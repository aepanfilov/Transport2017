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Документы\Хд\_Транспорт Волгоград 2017\Транспорт С#\Транспорт2017\bin\Debug\новые маршруты\"/>
    </mc:Choice>
  </mc:AlternateContent>
  <bookViews>
    <workbookView xWindow="0" yWindow="0" windowWidth="15360" windowHeight="9045" activeTab="1"/>
  </bookViews>
  <sheets>
    <sheet name="ИД_Остановки" sheetId="1" r:id="rId1"/>
    <sheet name="ИД_Маршруты" sheetId="2" r:id="rId2"/>
    <sheet name="Кнопки" sheetId="7" r:id="rId3"/>
    <sheet name="для рейсов" sheetId="8" r:id="rId4"/>
    <sheet name="Трафик маршрута" sheetId="9" r:id="rId5"/>
  </sheets>
  <functionGroups builtInGroupCount="18"/>
  <definedNames>
    <definedName name="_xlnm._FilterDatabase" localSheetId="3" hidden="1">'для рейсов'!$A$4:$K$150</definedName>
    <definedName name="_xlnm._FilterDatabase" localSheetId="1" hidden="1">ИД_Маршруты!$N$2:$S$2</definedName>
    <definedName name="_xlnm._FilterDatabase" localSheetId="0" hidden="1">ИД_Остановки!$A$2:$U$451</definedName>
    <definedName name="_xlnm._FilterDatabase" localSheetId="4" hidden="1">'Трафик маршрута'!$H$6:$K$6</definedName>
    <definedName name="КолМаршрутов">ИД_Маршруты!$A$1</definedName>
    <definedName name="КолМаршутов">ИД_Маршруты!$A$1</definedName>
    <definedName name="КолОстановок">ИД_Остановки!$A$1</definedName>
    <definedName name="КолРейсов">ИД_Маршруты!$K$1</definedName>
    <definedName name="Маршруты">ИД_Маршруты!$A$3:$D$152</definedName>
    <definedName name="Остановки">ИД_Остановки!$A$3:$B$467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701" i="2" l="1"/>
  <c r="Q3702" i="2"/>
  <c r="Q3703" i="2"/>
  <c r="Q3704" i="2"/>
  <c r="Q3705" i="2"/>
  <c r="Q3706" i="2"/>
  <c r="Q3707" i="2"/>
  <c r="Q3708" i="2"/>
  <c r="Q3709" i="2"/>
  <c r="Q3710" i="2"/>
  <c r="Q3711" i="2"/>
  <c r="Q3712" i="2"/>
  <c r="Q3713" i="2"/>
  <c r="Q3714" i="2"/>
  <c r="Q3715" i="2"/>
  <c r="Q3716" i="2"/>
  <c r="Q3685" i="2"/>
  <c r="Q3686" i="2"/>
  <c r="Q3687" i="2"/>
  <c r="Q3688" i="2"/>
  <c r="Q3689" i="2"/>
  <c r="Q3690" i="2"/>
  <c r="Q3691" i="2"/>
  <c r="Q3692" i="2"/>
  <c r="Q3693" i="2"/>
  <c r="Q3694" i="2"/>
  <c r="Q3695" i="2"/>
  <c r="Q3696" i="2"/>
  <c r="Q3697" i="2"/>
  <c r="Q3698" i="2"/>
  <c r="Q3699" i="2"/>
  <c r="Q3700" i="2"/>
  <c r="Q3667" i="2"/>
  <c r="Q3668" i="2"/>
  <c r="Q3669" i="2"/>
  <c r="Q3670" i="2"/>
  <c r="Q3671" i="2"/>
  <c r="Q3672" i="2"/>
  <c r="Q3673" i="2"/>
  <c r="Q3674" i="2"/>
  <c r="Q3675" i="2"/>
  <c r="Q3676" i="2"/>
  <c r="Q3677" i="2"/>
  <c r="Q3678" i="2"/>
  <c r="Q3679" i="2"/>
  <c r="Q3680" i="2"/>
  <c r="Q3681" i="2"/>
  <c r="Q3682" i="2"/>
  <c r="Q3683" i="2"/>
  <c r="Q3684" i="2"/>
  <c r="Q3654" i="2"/>
  <c r="Q3655" i="2"/>
  <c r="Q3656" i="2"/>
  <c r="Q3657" i="2"/>
  <c r="Q3658" i="2"/>
  <c r="Q3659" i="2"/>
  <c r="Q3660" i="2"/>
  <c r="Q3661" i="2"/>
  <c r="Q3662" i="2"/>
  <c r="Q3663" i="2"/>
  <c r="Q3664" i="2"/>
  <c r="Q3665" i="2"/>
  <c r="Q3666" i="2"/>
  <c r="Q3650" i="2"/>
  <c r="Q3651" i="2"/>
  <c r="Q3652" i="2"/>
  <c r="Q3653" i="2"/>
  <c r="Q3643" i="2"/>
  <c r="Q3644" i="2"/>
  <c r="Q3645" i="2"/>
  <c r="Q3646" i="2"/>
  <c r="Q3647" i="2"/>
  <c r="Q3648" i="2"/>
  <c r="Q3649" i="2"/>
  <c r="O3692" i="2"/>
  <c r="K7" i="9" l="1"/>
  <c r="K10" i="9"/>
  <c r="K11" i="9"/>
  <c r="K14" i="9"/>
  <c r="K15" i="9"/>
  <c r="K18" i="9"/>
  <c r="K19" i="9"/>
  <c r="K22" i="9"/>
  <c r="K23" i="9"/>
  <c r="K26" i="9"/>
  <c r="K27" i="9"/>
  <c r="I5" i="9"/>
  <c r="K8" i="9" s="1"/>
  <c r="I28" i="9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K25" i="9" l="1"/>
  <c r="K21" i="9"/>
  <c r="K17" i="9"/>
  <c r="K13" i="9"/>
  <c r="K9" i="9"/>
  <c r="K28" i="9"/>
  <c r="K24" i="9"/>
  <c r="K20" i="9"/>
  <c r="K16" i="9"/>
  <c r="K12" i="9"/>
  <c r="Q2" i="8"/>
  <c r="G151" i="8"/>
  <c r="G152" i="8"/>
  <c r="G153" i="8"/>
  <c r="G154" i="8"/>
  <c r="E150" i="8" l="1"/>
  <c r="E151" i="8"/>
  <c r="E152" i="8"/>
  <c r="E153" i="8"/>
  <c r="E154" i="8"/>
  <c r="D151" i="8"/>
  <c r="D152" i="8"/>
  <c r="D153" i="8"/>
  <c r="D154" i="8"/>
  <c r="A154" i="8"/>
  <c r="A151" i="8"/>
  <c r="A152" i="8"/>
  <c r="A153" i="8"/>
  <c r="O3643" i="2"/>
  <c r="O3644" i="2"/>
  <c r="O3645" i="2"/>
  <c r="O3646" i="2"/>
  <c r="O3647" i="2"/>
  <c r="O3648" i="2"/>
  <c r="O3649" i="2"/>
  <c r="O3650" i="2"/>
  <c r="O3651" i="2"/>
  <c r="O3652" i="2"/>
  <c r="O3653" i="2"/>
  <c r="O3654" i="2"/>
  <c r="O3655" i="2"/>
  <c r="O3656" i="2"/>
  <c r="O3657" i="2"/>
  <c r="O3658" i="2"/>
  <c r="O3659" i="2"/>
  <c r="O3660" i="2"/>
  <c r="O3661" i="2"/>
  <c r="O3662" i="2"/>
  <c r="O3663" i="2"/>
  <c r="O3664" i="2"/>
  <c r="O3665" i="2"/>
  <c r="O3666" i="2"/>
  <c r="O3667" i="2"/>
  <c r="O3668" i="2"/>
  <c r="O3669" i="2"/>
  <c r="O3670" i="2"/>
  <c r="O3671" i="2"/>
  <c r="O3672" i="2"/>
  <c r="O3673" i="2"/>
  <c r="O3674" i="2"/>
  <c r="O3675" i="2"/>
  <c r="O3676" i="2"/>
  <c r="O3677" i="2"/>
  <c r="O3678" i="2"/>
  <c r="O3679" i="2"/>
  <c r="O3680" i="2"/>
  <c r="O3681" i="2"/>
  <c r="O3682" i="2"/>
  <c r="O3683" i="2"/>
  <c r="O3684" i="2"/>
  <c r="O3685" i="2"/>
  <c r="O3686" i="2"/>
  <c r="O3687" i="2"/>
  <c r="O3688" i="2"/>
  <c r="O3689" i="2"/>
  <c r="O3690" i="2"/>
  <c r="O3691" i="2"/>
  <c r="O3693" i="2"/>
  <c r="O3694" i="2"/>
  <c r="O3695" i="2"/>
  <c r="O3696" i="2"/>
  <c r="O3697" i="2"/>
  <c r="O3698" i="2"/>
  <c r="O3699" i="2"/>
  <c r="O3700" i="2"/>
  <c r="O3701" i="2"/>
  <c r="O3702" i="2"/>
  <c r="O3703" i="2"/>
  <c r="O3704" i="2"/>
  <c r="O3705" i="2"/>
  <c r="O3706" i="2"/>
  <c r="O3707" i="2"/>
  <c r="O3708" i="2"/>
  <c r="O3709" i="2"/>
  <c r="O3710" i="2"/>
  <c r="O3711" i="2"/>
  <c r="O3712" i="2"/>
  <c r="O3713" i="2"/>
  <c r="O3714" i="2"/>
  <c r="O3715" i="2"/>
  <c r="O3716" i="2"/>
  <c r="M3" i="8" l="1"/>
  <c r="L3" i="8"/>
  <c r="K3" i="8" s="1"/>
  <c r="F11" i="9" l="1"/>
  <c r="B4" i="9"/>
  <c r="B27" i="9" l="1"/>
  <c r="B28" i="9" l="1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25" i="9"/>
  <c r="B26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5" i="9"/>
  <c r="G73" i="8" l="1"/>
  <c r="G74" i="8"/>
  <c r="G75" i="8"/>
  <c r="G1" i="8" l="1"/>
  <c r="A1" i="2" l="1"/>
  <c r="G13" i="8" l="1"/>
  <c r="G14" i="8"/>
  <c r="G12" i="8"/>
  <c r="G11" i="8"/>
  <c r="G82" i="8"/>
  <c r="G83" i="8"/>
  <c r="G42" i="8"/>
  <c r="G41" i="8"/>
  <c r="G146" i="8"/>
  <c r="G145" i="8"/>
  <c r="G20" i="8"/>
  <c r="G19" i="8"/>
  <c r="G69" i="8"/>
  <c r="G68" i="8"/>
  <c r="G144" i="8"/>
  <c r="G143" i="8"/>
  <c r="G142" i="8"/>
  <c r="G141" i="8"/>
  <c r="G71" i="8"/>
  <c r="G70" i="8"/>
  <c r="G64" i="8"/>
  <c r="G65" i="8"/>
  <c r="G139" i="8"/>
  <c r="G140" i="8"/>
  <c r="G60" i="8"/>
  <c r="G61" i="8"/>
  <c r="G81" i="8"/>
  <c r="G80" i="8"/>
  <c r="G33" i="8"/>
  <c r="G34" i="8"/>
  <c r="G77" i="8"/>
  <c r="G76" i="8"/>
  <c r="G91" i="8"/>
  <c r="G92" i="8"/>
  <c r="G63" i="8"/>
  <c r="G62" i="8"/>
  <c r="G138" i="8"/>
  <c r="G137" i="8"/>
  <c r="G135" i="8"/>
  <c r="G136" i="8"/>
  <c r="G134" i="8"/>
  <c r="G133" i="8"/>
  <c r="G66" i="8"/>
  <c r="G67" i="8"/>
  <c r="G32" i="8"/>
  <c r="G31" i="8"/>
  <c r="G149" i="8"/>
  <c r="G150" i="8"/>
  <c r="G54" i="8"/>
  <c r="G55" i="8"/>
  <c r="G132" i="8"/>
  <c r="G131" i="8"/>
  <c r="G86" i="8"/>
  <c r="G87" i="8"/>
  <c r="G72" i="8"/>
  <c r="G79" i="8"/>
  <c r="G78" i="8"/>
  <c r="G130" i="8"/>
  <c r="G129" i="8"/>
  <c r="G128" i="8"/>
  <c r="G127" i="8"/>
  <c r="G84" i="8"/>
  <c r="G85" i="8"/>
  <c r="G53" i="8"/>
  <c r="G52" i="8"/>
  <c r="G50" i="8"/>
  <c r="G51" i="8"/>
  <c r="G9" i="8"/>
  <c r="G10" i="8"/>
  <c r="G125" i="8"/>
  <c r="G126" i="8"/>
  <c r="G49" i="8"/>
  <c r="G56" i="8"/>
  <c r="G57" i="8"/>
  <c r="G123" i="8"/>
  <c r="G124" i="8"/>
  <c r="G121" i="8"/>
  <c r="G122" i="8"/>
  <c r="G44" i="8"/>
  <c r="G7" i="8"/>
  <c r="G43" i="8"/>
  <c r="G8" i="8"/>
  <c r="G119" i="8"/>
  <c r="G120" i="8"/>
  <c r="G118" i="8"/>
  <c r="G117" i="8"/>
  <c r="G116" i="8"/>
  <c r="G115" i="8"/>
  <c r="G47" i="8"/>
  <c r="G48" i="8"/>
  <c r="G114" i="8"/>
  <c r="G113" i="8"/>
  <c r="G111" i="8"/>
  <c r="G112" i="8"/>
  <c r="G109" i="8"/>
  <c r="G110" i="8"/>
  <c r="G5" i="8"/>
  <c r="G6" i="8"/>
  <c r="G108" i="8"/>
  <c r="G107" i="8"/>
  <c r="G106" i="8"/>
  <c r="G105" i="8"/>
  <c r="G103" i="8"/>
  <c r="G104" i="8"/>
  <c r="G59" i="8"/>
  <c r="G58" i="8"/>
  <c r="G101" i="8"/>
  <c r="G102" i="8"/>
  <c r="G89" i="8"/>
  <c r="G90" i="8"/>
  <c r="G17" i="8"/>
  <c r="G18" i="8"/>
  <c r="G88" i="8"/>
  <c r="G99" i="8"/>
  <c r="G100" i="8"/>
  <c r="G29" i="8"/>
  <c r="G30" i="8"/>
  <c r="G27" i="8"/>
  <c r="G28" i="8"/>
  <c r="G148" i="8"/>
  <c r="G147" i="8"/>
  <c r="G98" i="8"/>
  <c r="G97" i="8"/>
  <c r="G25" i="8"/>
  <c r="G26" i="8"/>
  <c r="G39" i="8"/>
  <c r="G24" i="8"/>
  <c r="G40" i="8"/>
  <c r="G23" i="8"/>
  <c r="G46" i="8"/>
  <c r="G45" i="8"/>
  <c r="G38" i="8"/>
  <c r="G96" i="8"/>
  <c r="G95" i="8"/>
  <c r="G37" i="8"/>
  <c r="G93" i="8"/>
  <c r="G94" i="8"/>
  <c r="G21" i="8"/>
  <c r="G22" i="8"/>
  <c r="G35" i="8"/>
  <c r="G36" i="8"/>
  <c r="G16" i="8"/>
  <c r="K1" i="2" l="1"/>
  <c r="G15" i="8" l="1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A6" i="8"/>
  <c r="D6" i="8"/>
  <c r="A7" i="8"/>
  <c r="D7" i="8"/>
  <c r="A8" i="8"/>
  <c r="D8" i="8"/>
  <c r="A9" i="8"/>
  <c r="D9" i="8"/>
  <c r="A10" i="8"/>
  <c r="D10" i="8"/>
  <c r="A11" i="8"/>
  <c r="D11" i="8"/>
  <c r="A12" i="8"/>
  <c r="D12" i="8"/>
  <c r="A13" i="8"/>
  <c r="D13" i="8"/>
  <c r="A14" i="8"/>
  <c r="D14" i="8"/>
  <c r="A15" i="8"/>
  <c r="D15" i="8"/>
  <c r="A16" i="8"/>
  <c r="D16" i="8"/>
  <c r="A17" i="8"/>
  <c r="D17" i="8"/>
  <c r="A18" i="8"/>
  <c r="D18" i="8"/>
  <c r="A19" i="8"/>
  <c r="D19" i="8"/>
  <c r="A20" i="8"/>
  <c r="D20" i="8"/>
  <c r="A21" i="8"/>
  <c r="D21" i="8"/>
  <c r="A22" i="8"/>
  <c r="D22" i="8"/>
  <c r="A23" i="8"/>
  <c r="D23" i="8"/>
  <c r="A24" i="8"/>
  <c r="D24" i="8"/>
  <c r="A25" i="8"/>
  <c r="D25" i="8"/>
  <c r="A26" i="8"/>
  <c r="D26" i="8"/>
  <c r="A27" i="8"/>
  <c r="D27" i="8"/>
  <c r="A28" i="8"/>
  <c r="D28" i="8"/>
  <c r="A29" i="8"/>
  <c r="D29" i="8"/>
  <c r="A30" i="8"/>
  <c r="D30" i="8"/>
  <c r="A31" i="8"/>
  <c r="D31" i="8"/>
  <c r="A32" i="8"/>
  <c r="D32" i="8"/>
  <c r="A33" i="8"/>
  <c r="D33" i="8"/>
  <c r="A34" i="8"/>
  <c r="D34" i="8"/>
  <c r="A35" i="8"/>
  <c r="D35" i="8"/>
  <c r="A36" i="8"/>
  <c r="D36" i="8"/>
  <c r="A37" i="8"/>
  <c r="D37" i="8"/>
  <c r="A38" i="8"/>
  <c r="D38" i="8"/>
  <c r="A39" i="8"/>
  <c r="D39" i="8"/>
  <c r="A40" i="8"/>
  <c r="D40" i="8"/>
  <c r="A41" i="8"/>
  <c r="D41" i="8"/>
  <c r="A42" i="8"/>
  <c r="D42" i="8"/>
  <c r="A43" i="8"/>
  <c r="D43" i="8"/>
  <c r="A44" i="8"/>
  <c r="D44" i="8"/>
  <c r="A45" i="8"/>
  <c r="D45" i="8"/>
  <c r="A46" i="8"/>
  <c r="D46" i="8"/>
  <c r="A47" i="8"/>
  <c r="D47" i="8"/>
  <c r="A48" i="8"/>
  <c r="D48" i="8"/>
  <c r="A49" i="8"/>
  <c r="D49" i="8"/>
  <c r="A50" i="8"/>
  <c r="D50" i="8"/>
  <c r="A51" i="8"/>
  <c r="D51" i="8"/>
  <c r="A52" i="8"/>
  <c r="D52" i="8"/>
  <c r="A53" i="8"/>
  <c r="D53" i="8"/>
  <c r="A54" i="8"/>
  <c r="D54" i="8"/>
  <c r="A55" i="8"/>
  <c r="D55" i="8"/>
  <c r="A56" i="8"/>
  <c r="D56" i="8"/>
  <c r="A57" i="8"/>
  <c r="D57" i="8"/>
  <c r="A58" i="8"/>
  <c r="D58" i="8"/>
  <c r="A59" i="8"/>
  <c r="D59" i="8"/>
  <c r="A60" i="8"/>
  <c r="D60" i="8"/>
  <c r="A61" i="8"/>
  <c r="D61" i="8"/>
  <c r="A62" i="8"/>
  <c r="D62" i="8"/>
  <c r="A63" i="8"/>
  <c r="D63" i="8"/>
  <c r="A64" i="8"/>
  <c r="D64" i="8"/>
  <c r="A65" i="8"/>
  <c r="D65" i="8"/>
  <c r="A66" i="8"/>
  <c r="D66" i="8"/>
  <c r="A67" i="8"/>
  <c r="D67" i="8"/>
  <c r="A68" i="8"/>
  <c r="D68" i="8"/>
  <c r="A69" i="8"/>
  <c r="D69" i="8"/>
  <c r="A70" i="8"/>
  <c r="D70" i="8"/>
  <c r="A71" i="8"/>
  <c r="D71" i="8"/>
  <c r="A72" i="8"/>
  <c r="D72" i="8"/>
  <c r="A73" i="8"/>
  <c r="D73" i="8"/>
  <c r="A74" i="8"/>
  <c r="D74" i="8"/>
  <c r="A75" i="8"/>
  <c r="D75" i="8"/>
  <c r="A76" i="8"/>
  <c r="D76" i="8"/>
  <c r="A77" i="8"/>
  <c r="D77" i="8"/>
  <c r="A78" i="8"/>
  <c r="D78" i="8"/>
  <c r="A79" i="8"/>
  <c r="D79" i="8"/>
  <c r="A80" i="8"/>
  <c r="D80" i="8"/>
  <c r="A81" i="8"/>
  <c r="D81" i="8"/>
  <c r="A82" i="8"/>
  <c r="D82" i="8"/>
  <c r="A83" i="8"/>
  <c r="D83" i="8"/>
  <c r="A84" i="8"/>
  <c r="D84" i="8"/>
  <c r="A85" i="8"/>
  <c r="D85" i="8"/>
  <c r="A86" i="8"/>
  <c r="D86" i="8"/>
  <c r="A87" i="8"/>
  <c r="D87" i="8"/>
  <c r="A88" i="8"/>
  <c r="D88" i="8"/>
  <c r="A89" i="8"/>
  <c r="D89" i="8"/>
  <c r="A90" i="8"/>
  <c r="D90" i="8"/>
  <c r="A91" i="8"/>
  <c r="D91" i="8"/>
  <c r="A92" i="8"/>
  <c r="D92" i="8"/>
  <c r="A93" i="8"/>
  <c r="D93" i="8"/>
  <c r="A94" i="8"/>
  <c r="D94" i="8"/>
  <c r="A95" i="8"/>
  <c r="D95" i="8"/>
  <c r="A96" i="8"/>
  <c r="D96" i="8"/>
  <c r="A97" i="8"/>
  <c r="D97" i="8"/>
  <c r="A98" i="8"/>
  <c r="D98" i="8"/>
  <c r="A99" i="8"/>
  <c r="D99" i="8"/>
  <c r="A100" i="8"/>
  <c r="D100" i="8"/>
  <c r="A101" i="8"/>
  <c r="D101" i="8"/>
  <c r="A102" i="8"/>
  <c r="D102" i="8"/>
  <c r="A103" i="8"/>
  <c r="D103" i="8"/>
  <c r="A104" i="8"/>
  <c r="D104" i="8"/>
  <c r="A105" i="8"/>
  <c r="D105" i="8"/>
  <c r="A106" i="8"/>
  <c r="D106" i="8"/>
  <c r="A107" i="8"/>
  <c r="D107" i="8"/>
  <c r="A108" i="8"/>
  <c r="D108" i="8"/>
  <c r="A109" i="8"/>
  <c r="D109" i="8"/>
  <c r="A110" i="8"/>
  <c r="D110" i="8"/>
  <c r="A111" i="8"/>
  <c r="D111" i="8"/>
  <c r="A112" i="8"/>
  <c r="D112" i="8"/>
  <c r="A113" i="8"/>
  <c r="D113" i="8"/>
  <c r="A114" i="8"/>
  <c r="D114" i="8"/>
  <c r="A115" i="8"/>
  <c r="D115" i="8"/>
  <c r="A116" i="8"/>
  <c r="D116" i="8"/>
  <c r="A117" i="8"/>
  <c r="D117" i="8"/>
  <c r="A118" i="8"/>
  <c r="D118" i="8"/>
  <c r="A119" i="8"/>
  <c r="D119" i="8"/>
  <c r="A120" i="8"/>
  <c r="D120" i="8"/>
  <c r="A121" i="8"/>
  <c r="D121" i="8"/>
  <c r="A122" i="8"/>
  <c r="D122" i="8"/>
  <c r="A123" i="8"/>
  <c r="D123" i="8"/>
  <c r="A124" i="8"/>
  <c r="D124" i="8"/>
  <c r="A125" i="8"/>
  <c r="D125" i="8"/>
  <c r="A126" i="8"/>
  <c r="D126" i="8"/>
  <c r="A127" i="8"/>
  <c r="D127" i="8"/>
  <c r="A128" i="8"/>
  <c r="D128" i="8"/>
  <c r="A129" i="8"/>
  <c r="D129" i="8"/>
  <c r="A130" i="8"/>
  <c r="D130" i="8"/>
  <c r="A131" i="8"/>
  <c r="D131" i="8"/>
  <c r="A132" i="8"/>
  <c r="D132" i="8"/>
  <c r="A133" i="8"/>
  <c r="D133" i="8"/>
  <c r="A134" i="8"/>
  <c r="D134" i="8"/>
  <c r="A135" i="8"/>
  <c r="D135" i="8"/>
  <c r="A136" i="8"/>
  <c r="D136" i="8"/>
  <c r="A137" i="8"/>
  <c r="D137" i="8"/>
  <c r="A138" i="8"/>
  <c r="D138" i="8"/>
  <c r="A139" i="8"/>
  <c r="D139" i="8"/>
  <c r="A140" i="8"/>
  <c r="D140" i="8"/>
  <c r="A141" i="8"/>
  <c r="D141" i="8"/>
  <c r="A142" i="8"/>
  <c r="D142" i="8"/>
  <c r="A143" i="8"/>
  <c r="D143" i="8"/>
  <c r="A144" i="8"/>
  <c r="D144" i="8"/>
  <c r="A145" i="8"/>
  <c r="D145" i="8"/>
  <c r="A146" i="8"/>
  <c r="D146" i="8"/>
  <c r="A147" i="8"/>
  <c r="D147" i="8"/>
  <c r="A148" i="8"/>
  <c r="D148" i="8"/>
  <c r="A149" i="8"/>
  <c r="D149" i="8"/>
  <c r="A150" i="8"/>
  <c r="D150" i="8"/>
  <c r="D5" i="8"/>
  <c r="A5" i="8"/>
  <c r="P2" i="8" l="1"/>
  <c r="O2" i="8"/>
  <c r="M2" i="8"/>
  <c r="L2" i="8"/>
  <c r="O3386" i="2"/>
  <c r="O1084" i="2"/>
  <c r="O1620" i="2"/>
  <c r="O3096" i="2"/>
  <c r="O1028" i="2"/>
  <c r="O2226" i="2"/>
  <c r="O2660" i="2"/>
  <c r="O2964" i="2"/>
  <c r="O2087" i="2"/>
  <c r="O2318" i="2"/>
  <c r="O3302" i="2"/>
  <c r="O1737" i="2"/>
  <c r="O2793" i="2"/>
  <c r="Q3386" i="2"/>
  <c r="Q1084" i="2"/>
  <c r="Q1620" i="2"/>
  <c r="Q3096" i="2"/>
  <c r="Q1028" i="2"/>
  <c r="Q2226" i="2"/>
  <c r="Q2660" i="2"/>
  <c r="Q2964" i="2"/>
  <c r="Q2087" i="2"/>
  <c r="Q2318" i="2"/>
  <c r="Q3302" i="2"/>
  <c r="Q1737" i="2"/>
  <c r="Q2793" i="2"/>
  <c r="K2" i="8" l="1"/>
  <c r="N2" i="8"/>
  <c r="Q461" i="2"/>
  <c r="Q1318" i="2"/>
  <c r="Q2894" i="2"/>
  <c r="Q1786" i="2"/>
  <c r="Q2680" i="2"/>
  <c r="Q2512" i="2"/>
  <c r="Q3043" i="2"/>
  <c r="Q837" i="2"/>
  <c r="Q1474" i="2"/>
  <c r="Q1194" i="2"/>
  <c r="Q1602" i="2"/>
  <c r="Q2702" i="2"/>
  <c r="Q1825" i="2"/>
  <c r="Q303" i="2"/>
  <c r="Q3233" i="2"/>
  <c r="Q2878" i="2"/>
  <c r="Q3143" i="2"/>
  <c r="O461" i="2"/>
  <c r="O1318" i="2"/>
  <c r="O2894" i="2"/>
  <c r="O1786" i="2"/>
  <c r="O2680" i="2"/>
  <c r="O2512" i="2"/>
  <c r="O3043" i="2"/>
  <c r="O837" i="2"/>
  <c r="O1474" i="2"/>
  <c r="O1194" i="2"/>
  <c r="O1602" i="2"/>
  <c r="O2702" i="2"/>
  <c r="O1825" i="2"/>
  <c r="O303" i="2"/>
  <c r="O3233" i="2"/>
  <c r="O2878" i="2"/>
  <c r="O3143" i="2"/>
  <c r="J2" i="8" l="1"/>
  <c r="O3237" i="2"/>
  <c r="O3434" i="2"/>
  <c r="O846" i="2"/>
  <c r="O1386" i="2"/>
  <c r="Q3237" i="2"/>
  <c r="Q3434" i="2"/>
  <c r="Q846" i="2"/>
  <c r="Q1386" i="2"/>
  <c r="Q2262" i="2"/>
  <c r="Q1481" i="2"/>
  <c r="Q3234" i="2"/>
  <c r="Q315" i="2"/>
  <c r="Q2801" i="2"/>
  <c r="Q2988" i="2"/>
  <c r="Q3560" i="2"/>
  <c r="Q3189" i="2"/>
  <c r="Q3365" i="2"/>
  <c r="Q2963" i="2"/>
  <c r="Q1696" i="2"/>
  <c r="Q2276" i="2"/>
  <c r="Q2554" i="2"/>
  <c r="Q3160" i="2"/>
  <c r="Q710" i="2"/>
  <c r="Q1274" i="2"/>
  <c r="Q2528" i="2"/>
  <c r="Q3522" i="2"/>
  <c r="Q2427" i="2"/>
  <c r="Q2553" i="2"/>
  <c r="Q2545" i="2"/>
  <c r="Q2881" i="2"/>
  <c r="Q844" i="2"/>
  <c r="Q887" i="2"/>
  <c r="Q3224" i="2"/>
  <c r="Q1323" i="2"/>
  <c r="Q1551" i="2"/>
  <c r="Q790" i="2"/>
  <c r="Q3640" i="2"/>
  <c r="Q2433" i="2"/>
  <c r="Q112" i="2"/>
  <c r="Q813" i="2"/>
  <c r="Q3437" i="2"/>
  <c r="Q2734" i="2"/>
  <c r="Q1268" i="2"/>
  <c r="Q611" i="2"/>
  <c r="Q2767" i="2"/>
  <c r="Q2442" i="2"/>
  <c r="Q967" i="2"/>
  <c r="Q2293" i="2"/>
  <c r="Q291" i="2"/>
  <c r="Q2725" i="2"/>
  <c r="Q2191" i="2"/>
  <c r="Q3403" i="2"/>
  <c r="Q2289" i="2"/>
  <c r="Q2297" i="2"/>
  <c r="Q3177" i="2"/>
  <c r="Q2871" i="2"/>
  <c r="Q7" i="2"/>
  <c r="Q457" i="2"/>
  <c r="Q2775" i="2"/>
  <c r="Q1936" i="2"/>
  <c r="Q2674" i="2"/>
  <c r="Q1115" i="2"/>
  <c r="Q651" i="2"/>
  <c r="Q452" i="2"/>
  <c r="Q279" i="2"/>
  <c r="Q3400" i="2"/>
  <c r="Q1187" i="2"/>
  <c r="Q1477" i="2"/>
  <c r="Q3187" i="2"/>
  <c r="Q1806" i="2"/>
  <c r="Q191" i="2"/>
  <c r="Q2962" i="2"/>
  <c r="Q869" i="2"/>
  <c r="Q1999" i="2"/>
  <c r="Q1504" i="2"/>
  <c r="Q2217" i="2"/>
  <c r="Q2050" i="2"/>
  <c r="Q2306" i="2"/>
  <c r="Q2301" i="2"/>
  <c r="Q2063" i="2"/>
  <c r="Q2338" i="2"/>
  <c r="Q1874" i="2"/>
  <c r="Q672" i="2"/>
  <c r="Q3335" i="2"/>
  <c r="Q314" i="2"/>
  <c r="Q725" i="2"/>
  <c r="Q917" i="2"/>
  <c r="Q3346" i="2"/>
  <c r="Q141" i="2"/>
  <c r="Q2004" i="2"/>
  <c r="Q2414" i="2"/>
  <c r="Q3608" i="2"/>
  <c r="Q1896" i="2"/>
  <c r="Q2266" i="2"/>
  <c r="Q2556" i="2"/>
  <c r="Q3381" i="2"/>
  <c r="Q1485" i="2"/>
  <c r="Q3611" i="2"/>
  <c r="Q3457" i="2"/>
  <c r="Q1025" i="2"/>
  <c r="Q660" i="2"/>
  <c r="Q3352" i="2"/>
  <c r="Q888" i="2"/>
  <c r="Q735" i="2"/>
  <c r="Q1558" i="2"/>
  <c r="Q619" i="2"/>
  <c r="Q805" i="2"/>
  <c r="Q2066" i="2"/>
  <c r="Q1627" i="2"/>
  <c r="Q655" i="2"/>
  <c r="Q782" i="2"/>
  <c r="Q1544" i="2"/>
  <c r="Q563" i="2"/>
  <c r="Q1075" i="2"/>
  <c r="Q894" i="2"/>
  <c r="Q2779" i="2"/>
  <c r="Q3419" i="2"/>
  <c r="Q1862" i="2"/>
  <c r="Q955" i="2"/>
  <c r="Q2715" i="2"/>
  <c r="Q3253" i="2"/>
  <c r="Q3528" i="2"/>
  <c r="Q78" i="2"/>
  <c r="Q3126" i="2"/>
  <c r="Q3020" i="2"/>
  <c r="Q911" i="2"/>
  <c r="Q1496" i="2"/>
  <c r="Q1844" i="2"/>
  <c r="Q3148" i="2"/>
  <c r="Q3305" i="2"/>
  <c r="Q2697" i="2"/>
  <c r="Q774" i="2"/>
  <c r="Q3281" i="2"/>
  <c r="Q696" i="2"/>
  <c r="Q2583" i="2"/>
  <c r="Q1173" i="2"/>
  <c r="Q553" i="2"/>
  <c r="Q629" i="2"/>
  <c r="Q2841" i="2"/>
  <c r="Q3055" i="2"/>
  <c r="Q2082" i="2"/>
  <c r="Q991" i="2"/>
  <c r="Q2576" i="2"/>
  <c r="Q2862" i="2"/>
  <c r="Q1409" i="2"/>
  <c r="Q2500" i="2"/>
  <c r="Q3057" i="2"/>
  <c r="Q832" i="2"/>
  <c r="Q1330" i="2"/>
  <c r="Q1710" i="2"/>
  <c r="Q1312" i="2"/>
  <c r="Q34" i="2"/>
  <c r="Q3069" i="2"/>
  <c r="Q3279" i="2"/>
  <c r="Q3361" i="2"/>
  <c r="Q2809" i="2"/>
  <c r="Q1984" i="2"/>
  <c r="Q104" i="2"/>
  <c r="Q2477" i="2"/>
  <c r="Q724" i="2"/>
  <c r="Q1876" i="2"/>
  <c r="Q2791" i="2"/>
  <c r="Q2321" i="2"/>
  <c r="Q3130" i="2"/>
  <c r="Q1234" i="2"/>
  <c r="Q533" i="2"/>
  <c r="Q1932" i="2"/>
  <c r="Q2747" i="2"/>
  <c r="Q1348" i="2"/>
  <c r="Q1465" i="2"/>
  <c r="Q1445" i="2"/>
  <c r="Q1109" i="2"/>
  <c r="Q1281" i="2"/>
  <c r="Q700" i="2"/>
  <c r="Q1680" i="2"/>
  <c r="Q372" i="2"/>
  <c r="Q2059" i="2"/>
  <c r="Q3024" i="2"/>
  <c r="Q1810" i="2"/>
  <c r="Q91" i="2"/>
  <c r="Q458" i="2"/>
  <c r="Q2060" i="2"/>
  <c r="Q329" i="2"/>
  <c r="Q2627" i="2"/>
  <c r="Q559" i="2"/>
  <c r="Q2521" i="2"/>
  <c r="Q2331" i="2"/>
  <c r="Q1594" i="2"/>
  <c r="Q3328" i="2"/>
  <c r="Q1568" i="2"/>
  <c r="Q30" i="2"/>
  <c r="Q1580" i="2"/>
  <c r="Q3420" i="2"/>
  <c r="Q927" i="2"/>
  <c r="Q1746" i="2"/>
  <c r="Q522" i="2"/>
  <c r="Q1257" i="2"/>
  <c r="Q2867" i="2"/>
  <c r="Q2193" i="2"/>
  <c r="Q1399" i="2"/>
  <c r="Q2622" i="2"/>
  <c r="Q886" i="2"/>
  <c r="Q3514" i="2"/>
  <c r="Q2557" i="2"/>
  <c r="Q1757" i="2"/>
  <c r="Q1549" i="2"/>
  <c r="Q1355" i="2"/>
  <c r="Q1267" i="2"/>
  <c r="Q3157" i="2"/>
  <c r="Q740" i="2"/>
  <c r="Q2842" i="2"/>
  <c r="Q1135" i="2"/>
  <c r="Q127" i="2"/>
  <c r="Q3269" i="2"/>
  <c r="Q819" i="2"/>
  <c r="Q861" i="2"/>
  <c r="Q1857" i="2"/>
  <c r="Q988" i="2"/>
  <c r="Q3226" i="2"/>
  <c r="Q344" i="2"/>
  <c r="Q637" i="2"/>
  <c r="Q3309" i="2"/>
  <c r="Q3484" i="2"/>
  <c r="Q3178" i="2"/>
  <c r="Q213" i="2"/>
  <c r="Q2918" i="2"/>
  <c r="Q2325" i="2"/>
  <c r="Q3331" i="2"/>
  <c r="Q593" i="2"/>
  <c r="Q1820" i="2"/>
  <c r="Q1524" i="2"/>
  <c r="Q377" i="2"/>
  <c r="Q2569" i="2"/>
  <c r="Q751" i="2"/>
  <c r="Q190" i="2"/>
  <c r="Q1890" i="2"/>
  <c r="Q1591" i="2"/>
  <c r="Q2246" i="2"/>
  <c r="Q602" i="2"/>
  <c r="Q210" i="2"/>
  <c r="Q2581" i="2"/>
  <c r="Q170" i="2"/>
  <c r="Q438" i="2"/>
  <c r="Q1546" i="2"/>
  <c r="Q3409" i="2"/>
  <c r="Q2195" i="2"/>
  <c r="Q3138" i="2"/>
  <c r="Q2190" i="2"/>
  <c r="Q65" i="2"/>
  <c r="Q3534" i="2"/>
  <c r="Q1884" i="2"/>
  <c r="Q3474" i="2"/>
  <c r="Q2880" i="2"/>
  <c r="Q2854" i="2"/>
  <c r="Q3105" i="2"/>
  <c r="Q3530" i="2"/>
  <c r="Q3239" i="2"/>
  <c r="Q3109" i="2"/>
  <c r="Q3121" i="2"/>
  <c r="Q904" i="2"/>
  <c r="Q2486" i="2"/>
  <c r="Q2662" i="2"/>
  <c r="Q698" i="2"/>
  <c r="Q2804" i="2"/>
  <c r="Q3117" i="2"/>
  <c r="Q1197" i="2"/>
  <c r="Q3296" i="2"/>
  <c r="Q747" i="2"/>
  <c r="Q2051" i="2"/>
  <c r="Q471" i="2"/>
  <c r="Q1341" i="2"/>
  <c r="Q3406" i="2"/>
  <c r="Q245" i="2"/>
  <c r="Q1598" i="2"/>
  <c r="Q2458" i="2"/>
  <c r="Q1542" i="2"/>
  <c r="Q2838" i="2"/>
  <c r="Q1775" i="2"/>
  <c r="Q3350" i="2"/>
  <c r="Q2951" i="2"/>
  <c r="Q1967" i="2"/>
  <c r="Q3050" i="2"/>
  <c r="Q2255" i="2"/>
  <c r="Q1007" i="2"/>
  <c r="Q609" i="2"/>
  <c r="Q1972" i="2"/>
  <c r="Q1951" i="2"/>
  <c r="Q933" i="2"/>
  <c r="Q3491" i="2"/>
  <c r="Q1595" i="2"/>
  <c r="Q1688" i="2"/>
  <c r="Q2142" i="2"/>
  <c r="Q2828" i="2"/>
  <c r="Q115" i="2"/>
  <c r="Q541" i="2"/>
  <c r="Q2463" i="2"/>
  <c r="Q550" i="2"/>
  <c r="Q2562" i="2"/>
  <c r="Q450" i="2"/>
  <c r="Q3547" i="2"/>
  <c r="Q1085" i="2"/>
  <c r="Q1925" i="2"/>
  <c r="Q414" i="2"/>
  <c r="Q2913" i="2"/>
  <c r="Q2820" i="2"/>
  <c r="Q2336" i="2"/>
  <c r="Q2096" i="2"/>
  <c r="Q3546" i="2"/>
  <c r="Q3490" i="2"/>
  <c r="Q604" i="2"/>
  <c r="Q2018" i="2"/>
  <c r="Q816" i="2"/>
  <c r="Q3609" i="2"/>
  <c r="Q2411" i="2"/>
  <c r="Q1271" i="2"/>
  <c r="Q1350" i="2"/>
  <c r="Q608" i="2"/>
  <c r="Q3150" i="2"/>
  <c r="Q1557" i="2"/>
  <c r="Q1579" i="2"/>
  <c r="Q824" i="2"/>
  <c r="Q2784" i="2"/>
  <c r="Q1991" i="2"/>
  <c r="Q1240" i="2"/>
  <c r="Q2166" i="2"/>
  <c r="Q2529" i="2"/>
  <c r="Q1854" i="2"/>
  <c r="Q3022" i="2"/>
  <c r="Q636" i="2"/>
  <c r="Q1715" i="2"/>
  <c r="Q889" i="2"/>
  <c r="Q3380" i="2"/>
  <c r="Q3284" i="2"/>
  <c r="Q868" i="2"/>
  <c r="Q1172" i="2"/>
  <c r="Q2497" i="2"/>
  <c r="Q1463" i="2"/>
  <c r="Q248" i="2"/>
  <c r="Q1131" i="2"/>
  <c r="Q2990" i="2"/>
  <c r="Q2440" i="2"/>
  <c r="Q1142" i="2"/>
  <c r="Q658" i="2"/>
  <c r="Q996" i="2"/>
  <c r="Q309" i="2"/>
  <c r="Q77" i="2"/>
  <c r="Q2547" i="2"/>
  <c r="Q3044" i="2"/>
  <c r="Q3053" i="2"/>
  <c r="Q3277" i="2"/>
  <c r="Q123" i="2"/>
  <c r="Q2505" i="2"/>
  <c r="Q1584" i="2"/>
  <c r="Q1870" i="2"/>
  <c r="Q62" i="2"/>
  <c r="Q3448" i="2"/>
  <c r="Q3373" i="2"/>
  <c r="Q2106" i="2"/>
  <c r="Q1508" i="2"/>
  <c r="Q1619" i="2"/>
  <c r="Q1543" i="2"/>
  <c r="Q2265" i="2"/>
  <c r="Q2372" i="2"/>
  <c r="Q243" i="2"/>
  <c r="Q1900" i="2"/>
  <c r="Q37" i="2"/>
  <c r="Q434" i="2"/>
  <c r="Q565" i="2"/>
  <c r="Q3100" i="2"/>
  <c r="Q2341" i="2"/>
  <c r="Q1834" i="2"/>
  <c r="Q2681" i="2"/>
  <c r="Q1864" i="2"/>
  <c r="Q2291" i="2"/>
  <c r="Q1078" i="2"/>
  <c r="Q1002" i="2"/>
  <c r="Q2449" i="2"/>
  <c r="Q2596" i="2"/>
  <c r="Q3615" i="2"/>
  <c r="Q721" i="2"/>
  <c r="Q1227" i="2"/>
  <c r="Q830" i="2"/>
  <c r="Q174" i="2"/>
  <c r="Q2243" i="2"/>
  <c r="Q3073" i="2"/>
  <c r="Q2070" i="2"/>
  <c r="Q1645" i="2"/>
  <c r="Q355" i="2"/>
  <c r="Q1363" i="2"/>
  <c r="Q1789" i="2"/>
  <c r="Q278" i="2"/>
  <c r="Q404" i="2"/>
  <c r="Q3336" i="2"/>
  <c r="Q451" i="2"/>
  <c r="Q1298" i="2"/>
  <c r="Q300" i="2"/>
  <c r="Q3591" i="2"/>
  <c r="Q1647" i="2"/>
  <c r="Q3246" i="2"/>
  <c r="Q2369" i="2"/>
  <c r="Q226" i="2"/>
  <c r="Q1066" i="2"/>
  <c r="Q3489" i="2"/>
  <c r="Q1590" i="2"/>
  <c r="Q390" i="2"/>
  <c r="Q489" i="2"/>
  <c r="Q2268" i="2"/>
  <c r="Q3063" i="2"/>
  <c r="Q1459" i="2"/>
  <c r="Q2229" i="2"/>
  <c r="Q775" i="2"/>
  <c r="Q943" i="2"/>
  <c r="Q3217" i="2"/>
  <c r="Q1581" i="2"/>
  <c r="Q16" i="2"/>
  <c r="Q2883" i="2"/>
  <c r="Q2080" i="2"/>
  <c r="Q583" i="2"/>
  <c r="Q1036" i="2"/>
  <c r="Q1509" i="2"/>
  <c r="Q2109" i="2"/>
  <c r="Q152" i="2"/>
  <c r="Q29" i="2"/>
  <c r="Q820" i="2"/>
  <c r="Q2923" i="2"/>
  <c r="Q2935" i="2"/>
  <c r="Q325" i="2"/>
  <c r="Q720" i="2"/>
  <c r="Q1526" i="2"/>
  <c r="Q49" i="2"/>
  <c r="Q3580" i="2"/>
  <c r="Q2602" i="2"/>
  <c r="Q1713" i="2"/>
  <c r="Q1675" i="2"/>
  <c r="Q2506" i="2"/>
  <c r="Q2744" i="2"/>
  <c r="Q1819" i="2"/>
  <c r="Q2886" i="2"/>
  <c r="Q867" i="2"/>
  <c r="Q3363" i="2"/>
  <c r="Q3612" i="2"/>
  <c r="Q1467" i="2"/>
  <c r="Q218" i="2"/>
  <c r="Q74" i="2"/>
  <c r="Q2807" i="2"/>
  <c r="Q1289" i="2"/>
  <c r="Q282" i="2"/>
  <c r="Q1315" i="2"/>
  <c r="Q2728" i="2"/>
  <c r="Q446" i="2"/>
  <c r="Q2350" i="2"/>
  <c r="Q1182" i="2"/>
  <c r="Q2714" i="2"/>
  <c r="Q492" i="2"/>
  <c r="Q2897" i="2"/>
  <c r="Q1767" i="2"/>
  <c r="Q1691" i="2"/>
  <c r="Q1265" i="2"/>
  <c r="Q1964" i="2"/>
  <c r="Q1306" i="2"/>
  <c r="Q3218" i="2"/>
  <c r="Q2708" i="2"/>
  <c r="Q2522" i="2"/>
  <c r="Q2354" i="2"/>
  <c r="Q3083" i="2"/>
  <c r="Q1219" i="2"/>
  <c r="Q1706" i="2"/>
  <c r="Q3232" i="2"/>
  <c r="Q1186" i="2"/>
  <c r="Q3244" i="2"/>
  <c r="Q2493" i="2"/>
  <c r="Q2222" i="2"/>
  <c r="Q1190" i="2"/>
  <c r="Q2700" i="2"/>
  <c r="Q3272" i="2"/>
  <c r="Q1571" i="2"/>
  <c r="Q275" i="2"/>
  <c r="Q1134" i="2"/>
  <c r="Q622" i="2"/>
  <c r="Q1415" i="2"/>
  <c r="Q1129" i="2"/>
  <c r="Q3059" i="2"/>
  <c r="Q1489" i="2"/>
  <c r="Q2328" i="2"/>
  <c r="Q2564" i="2"/>
  <c r="Q3379" i="2"/>
  <c r="Q697" i="2"/>
  <c r="Q2177" i="2"/>
  <c r="Q2903" i="2"/>
  <c r="Q3385" i="2"/>
  <c r="Q130" i="2"/>
  <c r="Q3206" i="2"/>
  <c r="Q3485" i="2"/>
  <c r="Q2417" i="2"/>
  <c r="Q3523" i="2"/>
  <c r="Q777" i="2"/>
  <c r="Q3256" i="2"/>
  <c r="Q2824" i="2"/>
  <c r="Q1633" i="2"/>
  <c r="Q136" i="2"/>
  <c r="Q188" i="2"/>
  <c r="Q962" i="2"/>
  <c r="Q900" i="2"/>
  <c r="Q1522" i="2"/>
  <c r="Q555" i="2"/>
  <c r="Q1295" i="2"/>
  <c r="Q1679" i="2"/>
  <c r="Q1960" i="2"/>
  <c r="Q870" i="2"/>
  <c r="Q3318" i="2"/>
  <c r="Q55" i="2"/>
  <c r="Q632" i="2"/>
  <c r="Q594" i="2"/>
  <c r="Q2257" i="2"/>
  <c r="Q410" i="2"/>
  <c r="Q456" i="2"/>
  <c r="Q592" i="2"/>
  <c r="Q1533" i="2"/>
  <c r="Q1624" i="2"/>
  <c r="Q1470" i="2"/>
  <c r="Q467" i="2"/>
  <c r="Q2668" i="2"/>
  <c r="Q3111" i="2"/>
  <c r="Q473" i="2"/>
  <c r="Q2677" i="2"/>
  <c r="Q148" i="2"/>
  <c r="Q2388" i="2"/>
  <c r="Q671" i="2"/>
  <c r="Q1603" i="2"/>
  <c r="Q2981" i="2"/>
  <c r="Q3349" i="2"/>
  <c r="Q743" i="2"/>
  <c r="Q1861" i="2"/>
  <c r="Q1439" i="2"/>
  <c r="Q3002" i="2"/>
  <c r="Q178" i="2"/>
  <c r="Q2058" i="2"/>
  <c r="Q97" i="2"/>
  <c r="Q797" i="2"/>
  <c r="Q1646" i="2"/>
  <c r="Q2550" i="2"/>
  <c r="Q595" i="2"/>
  <c r="Q3605" i="2"/>
  <c r="Q1005" i="2"/>
  <c r="Q3447" i="2"/>
  <c r="Q673" i="2"/>
  <c r="Q3427" i="2"/>
  <c r="Q2469" i="2"/>
  <c r="Q107" i="2"/>
  <c r="O2262" i="2"/>
  <c r="O1481" i="2"/>
  <c r="O3234" i="2"/>
  <c r="O315" i="2"/>
  <c r="O2801" i="2"/>
  <c r="O2988" i="2"/>
  <c r="O3560" i="2"/>
  <c r="O3189" i="2"/>
  <c r="O3365" i="2"/>
  <c r="O2963" i="2"/>
  <c r="O1696" i="2"/>
  <c r="O2276" i="2"/>
  <c r="O2554" i="2"/>
  <c r="O3160" i="2"/>
  <c r="O710" i="2"/>
  <c r="O1274" i="2"/>
  <c r="O2528" i="2"/>
  <c r="O3522" i="2"/>
  <c r="O2427" i="2"/>
  <c r="O2553" i="2"/>
  <c r="O2545" i="2"/>
  <c r="O2881" i="2"/>
  <c r="O844" i="2"/>
  <c r="O887" i="2"/>
  <c r="O3224" i="2"/>
  <c r="O1323" i="2"/>
  <c r="O1551" i="2"/>
  <c r="O790" i="2"/>
  <c r="O3640" i="2"/>
  <c r="O2433" i="2"/>
  <c r="O112" i="2"/>
  <c r="O813" i="2"/>
  <c r="O3437" i="2"/>
  <c r="O2734" i="2"/>
  <c r="O1268" i="2"/>
  <c r="O611" i="2"/>
  <c r="O2767" i="2"/>
  <c r="O2442" i="2"/>
  <c r="O967" i="2"/>
  <c r="O2293" i="2"/>
  <c r="O291" i="2"/>
  <c r="O2725" i="2"/>
  <c r="O2191" i="2"/>
  <c r="O3403" i="2"/>
  <c r="O2289" i="2"/>
  <c r="O2297" i="2"/>
  <c r="O3177" i="2"/>
  <c r="O2871" i="2"/>
  <c r="O7" i="2"/>
  <c r="O457" i="2"/>
  <c r="O2775" i="2"/>
  <c r="O1936" i="2"/>
  <c r="O2674" i="2"/>
  <c r="O1115" i="2"/>
  <c r="O651" i="2"/>
  <c r="O452" i="2"/>
  <c r="O279" i="2"/>
  <c r="O3400" i="2"/>
  <c r="O1187" i="2"/>
  <c r="O1477" i="2"/>
  <c r="O3187" i="2"/>
  <c r="O1806" i="2"/>
  <c r="O191" i="2"/>
  <c r="O2962" i="2"/>
  <c r="O869" i="2"/>
  <c r="O1999" i="2"/>
  <c r="O1504" i="2"/>
  <c r="O2217" i="2"/>
  <c r="O2050" i="2"/>
  <c r="O2306" i="2"/>
  <c r="O2301" i="2"/>
  <c r="O2063" i="2"/>
  <c r="O2338" i="2"/>
  <c r="O1874" i="2"/>
  <c r="O672" i="2"/>
  <c r="O3335" i="2"/>
  <c r="O314" i="2"/>
  <c r="O725" i="2"/>
  <c r="O917" i="2"/>
  <c r="O3346" i="2"/>
  <c r="O141" i="2"/>
  <c r="O2004" i="2"/>
  <c r="O2414" i="2"/>
  <c r="O3608" i="2"/>
  <c r="O1896" i="2"/>
  <c r="O2266" i="2"/>
  <c r="O2556" i="2"/>
  <c r="O3381" i="2"/>
  <c r="O1485" i="2"/>
  <c r="O3611" i="2"/>
  <c r="O3457" i="2"/>
  <c r="O1025" i="2"/>
  <c r="O660" i="2"/>
  <c r="O3352" i="2"/>
  <c r="O888" i="2"/>
  <c r="O735" i="2"/>
  <c r="O1558" i="2"/>
  <c r="O619" i="2"/>
  <c r="O805" i="2"/>
  <c r="O2066" i="2"/>
  <c r="O1627" i="2"/>
  <c r="O655" i="2"/>
  <c r="O782" i="2"/>
  <c r="O1544" i="2"/>
  <c r="O563" i="2"/>
  <c r="O1075" i="2"/>
  <c r="O894" i="2"/>
  <c r="O2779" i="2"/>
  <c r="O3419" i="2"/>
  <c r="O1862" i="2"/>
  <c r="O955" i="2"/>
  <c r="O2715" i="2"/>
  <c r="O3253" i="2"/>
  <c r="O3528" i="2"/>
  <c r="O78" i="2"/>
  <c r="O3126" i="2"/>
  <c r="O3020" i="2"/>
  <c r="O911" i="2"/>
  <c r="O1496" i="2"/>
  <c r="O1844" i="2"/>
  <c r="O3148" i="2"/>
  <c r="O3305" i="2"/>
  <c r="O2697" i="2"/>
  <c r="O774" i="2"/>
  <c r="O3281" i="2"/>
  <c r="O696" i="2"/>
  <c r="O2583" i="2"/>
  <c r="O1173" i="2"/>
  <c r="O553" i="2"/>
  <c r="O629" i="2"/>
  <c r="O2841" i="2"/>
  <c r="O3055" i="2"/>
  <c r="O2082" i="2"/>
  <c r="O991" i="2"/>
  <c r="O2576" i="2"/>
  <c r="O2862" i="2"/>
  <c r="O1409" i="2"/>
  <c r="O2500" i="2"/>
  <c r="O3057" i="2"/>
  <c r="O832" i="2"/>
  <c r="O1330" i="2"/>
  <c r="O1710" i="2"/>
  <c r="O1312" i="2"/>
  <c r="O34" i="2"/>
  <c r="O3069" i="2"/>
  <c r="O3279" i="2"/>
  <c r="O3361" i="2"/>
  <c r="O2809" i="2"/>
  <c r="O1984" i="2"/>
  <c r="O104" i="2"/>
  <c r="O2477" i="2"/>
  <c r="O724" i="2"/>
  <c r="O1876" i="2"/>
  <c r="O2791" i="2"/>
  <c r="O2321" i="2"/>
  <c r="O3130" i="2"/>
  <c r="O1234" i="2"/>
  <c r="O533" i="2"/>
  <c r="O1932" i="2"/>
  <c r="O2747" i="2"/>
  <c r="O1348" i="2"/>
  <c r="O1465" i="2"/>
  <c r="O1445" i="2"/>
  <c r="O1109" i="2"/>
  <c r="O1281" i="2"/>
  <c r="O700" i="2"/>
  <c r="O1680" i="2"/>
  <c r="O372" i="2"/>
  <c r="O2059" i="2"/>
  <c r="O3024" i="2"/>
  <c r="O1810" i="2"/>
  <c r="O91" i="2"/>
  <c r="O458" i="2"/>
  <c r="O2060" i="2"/>
  <c r="O329" i="2"/>
  <c r="O2627" i="2"/>
  <c r="O559" i="2"/>
  <c r="O2521" i="2"/>
  <c r="O2331" i="2"/>
  <c r="O1594" i="2"/>
  <c r="O3328" i="2"/>
  <c r="O1568" i="2"/>
  <c r="O30" i="2"/>
  <c r="O1580" i="2"/>
  <c r="O3420" i="2"/>
  <c r="O927" i="2"/>
  <c r="O1746" i="2"/>
  <c r="O522" i="2"/>
  <c r="O1257" i="2"/>
  <c r="O2867" i="2"/>
  <c r="O2193" i="2"/>
  <c r="O1399" i="2"/>
  <c r="O2622" i="2"/>
  <c r="O886" i="2"/>
  <c r="O3514" i="2"/>
  <c r="O2557" i="2"/>
  <c r="O1757" i="2"/>
  <c r="O1549" i="2"/>
  <c r="O1355" i="2"/>
  <c r="O1267" i="2"/>
  <c r="O3157" i="2"/>
  <c r="O740" i="2"/>
  <c r="O2842" i="2"/>
  <c r="O1135" i="2"/>
  <c r="O127" i="2"/>
  <c r="O3269" i="2"/>
  <c r="O819" i="2"/>
  <c r="O861" i="2"/>
  <c r="O1857" i="2"/>
  <c r="O988" i="2"/>
  <c r="O3226" i="2"/>
  <c r="O344" i="2"/>
  <c r="O637" i="2"/>
  <c r="O3309" i="2"/>
  <c r="O3484" i="2"/>
  <c r="O3178" i="2"/>
  <c r="O213" i="2"/>
  <c r="O2918" i="2"/>
  <c r="O2325" i="2"/>
  <c r="O3331" i="2"/>
  <c r="O593" i="2"/>
  <c r="O1820" i="2"/>
  <c r="O1524" i="2"/>
  <c r="O377" i="2"/>
  <c r="O2569" i="2"/>
  <c r="O751" i="2"/>
  <c r="O190" i="2"/>
  <c r="O1890" i="2"/>
  <c r="O1591" i="2"/>
  <c r="O2246" i="2"/>
  <c r="O602" i="2"/>
  <c r="O210" i="2"/>
  <c r="O2581" i="2"/>
  <c r="O170" i="2"/>
  <c r="O438" i="2"/>
  <c r="O1546" i="2"/>
  <c r="O3409" i="2"/>
  <c r="O2195" i="2"/>
  <c r="O3138" i="2"/>
  <c r="O2190" i="2"/>
  <c r="O65" i="2"/>
  <c r="O3534" i="2"/>
  <c r="O1884" i="2"/>
  <c r="O3474" i="2"/>
  <c r="O2880" i="2"/>
  <c r="O2854" i="2"/>
  <c r="O3105" i="2"/>
  <c r="O3530" i="2"/>
  <c r="O3239" i="2"/>
  <c r="O3109" i="2"/>
  <c r="O3121" i="2"/>
  <c r="O904" i="2"/>
  <c r="O2486" i="2"/>
  <c r="O2662" i="2"/>
  <c r="O698" i="2"/>
  <c r="O2804" i="2"/>
  <c r="O3117" i="2"/>
  <c r="O1197" i="2"/>
  <c r="O3296" i="2"/>
  <c r="O747" i="2"/>
  <c r="O2051" i="2"/>
  <c r="O471" i="2"/>
  <c r="O1341" i="2"/>
  <c r="O3406" i="2"/>
  <c r="O245" i="2"/>
  <c r="O1598" i="2"/>
  <c r="O2458" i="2"/>
  <c r="O1542" i="2"/>
  <c r="O2838" i="2"/>
  <c r="O1775" i="2"/>
  <c r="O3350" i="2"/>
  <c r="O2951" i="2"/>
  <c r="O1967" i="2"/>
  <c r="O3050" i="2"/>
  <c r="O2255" i="2"/>
  <c r="O1007" i="2"/>
  <c r="O609" i="2"/>
  <c r="O1972" i="2"/>
  <c r="O1951" i="2"/>
  <c r="O933" i="2"/>
  <c r="O3491" i="2"/>
  <c r="O1595" i="2"/>
  <c r="O1688" i="2"/>
  <c r="O2142" i="2"/>
  <c r="O2828" i="2"/>
  <c r="O115" i="2"/>
  <c r="O541" i="2"/>
  <c r="O2463" i="2"/>
  <c r="O550" i="2"/>
  <c r="O2562" i="2"/>
  <c r="O450" i="2"/>
  <c r="O3547" i="2"/>
  <c r="O1085" i="2"/>
  <c r="O1925" i="2"/>
  <c r="O414" i="2"/>
  <c r="O2913" i="2"/>
  <c r="O2820" i="2"/>
  <c r="O2336" i="2"/>
  <c r="O2096" i="2"/>
  <c r="O3546" i="2"/>
  <c r="O3490" i="2"/>
  <c r="O604" i="2"/>
  <c r="O2018" i="2"/>
  <c r="O816" i="2"/>
  <c r="O3609" i="2"/>
  <c r="O2411" i="2"/>
  <c r="O1271" i="2"/>
  <c r="O1350" i="2"/>
  <c r="O608" i="2"/>
  <c r="O3150" i="2"/>
  <c r="O1557" i="2"/>
  <c r="O1579" i="2"/>
  <c r="O824" i="2"/>
  <c r="O2784" i="2"/>
  <c r="O1991" i="2"/>
  <c r="O1240" i="2"/>
  <c r="O2166" i="2"/>
  <c r="O2529" i="2"/>
  <c r="O1854" i="2"/>
  <c r="O3022" i="2"/>
  <c r="O636" i="2"/>
  <c r="O1715" i="2"/>
  <c r="O889" i="2"/>
  <c r="O3380" i="2"/>
  <c r="O3284" i="2"/>
  <c r="O868" i="2"/>
  <c r="O1172" i="2"/>
  <c r="O2497" i="2"/>
  <c r="O1463" i="2"/>
  <c r="O248" i="2"/>
  <c r="O1131" i="2"/>
  <c r="O2990" i="2"/>
  <c r="O2440" i="2"/>
  <c r="O1142" i="2"/>
  <c r="O658" i="2"/>
  <c r="O996" i="2"/>
  <c r="O309" i="2"/>
  <c r="O77" i="2"/>
  <c r="O2547" i="2"/>
  <c r="O3044" i="2"/>
  <c r="O3053" i="2"/>
  <c r="O3277" i="2"/>
  <c r="O123" i="2"/>
  <c r="O2505" i="2"/>
  <c r="O1584" i="2"/>
  <c r="O1870" i="2"/>
  <c r="O62" i="2"/>
  <c r="O3448" i="2"/>
  <c r="O3373" i="2"/>
  <c r="O2106" i="2"/>
  <c r="O1508" i="2"/>
  <c r="O1619" i="2"/>
  <c r="O1543" i="2"/>
  <c r="O2265" i="2"/>
  <c r="O2372" i="2"/>
  <c r="O243" i="2"/>
  <c r="O1900" i="2"/>
  <c r="O37" i="2"/>
  <c r="O434" i="2"/>
  <c r="O565" i="2"/>
  <c r="O3100" i="2"/>
  <c r="O2341" i="2"/>
  <c r="O1834" i="2"/>
  <c r="O2681" i="2"/>
  <c r="O1864" i="2"/>
  <c r="O2291" i="2"/>
  <c r="O1078" i="2"/>
  <c r="O1002" i="2"/>
  <c r="O2449" i="2"/>
  <c r="O2596" i="2"/>
  <c r="O3615" i="2"/>
  <c r="O721" i="2"/>
  <c r="O1227" i="2"/>
  <c r="O830" i="2"/>
  <c r="O174" i="2"/>
  <c r="O2243" i="2"/>
  <c r="O3073" i="2"/>
  <c r="O2070" i="2"/>
  <c r="O1645" i="2"/>
  <c r="O355" i="2"/>
  <c r="O1363" i="2"/>
  <c r="O1789" i="2"/>
  <c r="O278" i="2"/>
  <c r="O404" i="2"/>
  <c r="O3336" i="2"/>
  <c r="O451" i="2"/>
  <c r="O1298" i="2"/>
  <c r="O300" i="2"/>
  <c r="O3591" i="2"/>
  <c r="O1647" i="2"/>
  <c r="O3246" i="2"/>
  <c r="O2369" i="2"/>
  <c r="O226" i="2"/>
  <c r="O1066" i="2"/>
  <c r="O3489" i="2"/>
  <c r="O1590" i="2"/>
  <c r="O390" i="2"/>
  <c r="O489" i="2"/>
  <c r="O2268" i="2"/>
  <c r="O3063" i="2"/>
  <c r="O1459" i="2"/>
  <c r="O2229" i="2"/>
  <c r="O775" i="2"/>
  <c r="O943" i="2"/>
  <c r="O3217" i="2"/>
  <c r="O1581" i="2"/>
  <c r="O16" i="2"/>
  <c r="O2883" i="2"/>
  <c r="O2080" i="2"/>
  <c r="O583" i="2"/>
  <c r="O1036" i="2"/>
  <c r="O1509" i="2"/>
  <c r="O2109" i="2"/>
  <c r="O152" i="2"/>
  <c r="O29" i="2"/>
  <c r="O820" i="2"/>
  <c r="O2923" i="2"/>
  <c r="O2935" i="2"/>
  <c r="O325" i="2"/>
  <c r="O720" i="2"/>
  <c r="O1526" i="2"/>
  <c r="O49" i="2"/>
  <c r="O3580" i="2"/>
  <c r="O2602" i="2"/>
  <c r="O1713" i="2"/>
  <c r="O1675" i="2"/>
  <c r="O2506" i="2"/>
  <c r="O2744" i="2"/>
  <c r="O1819" i="2"/>
  <c r="O2886" i="2"/>
  <c r="O867" i="2"/>
  <c r="O3363" i="2"/>
  <c r="O3612" i="2"/>
  <c r="O1467" i="2"/>
  <c r="O218" i="2"/>
  <c r="O74" i="2"/>
  <c r="O2807" i="2"/>
  <c r="O1289" i="2"/>
  <c r="O282" i="2"/>
  <c r="O1315" i="2"/>
  <c r="O2728" i="2"/>
  <c r="O446" i="2"/>
  <c r="O2350" i="2"/>
  <c r="O1182" i="2"/>
  <c r="O2714" i="2"/>
  <c r="O492" i="2"/>
  <c r="O2897" i="2"/>
  <c r="O1767" i="2"/>
  <c r="O1691" i="2"/>
  <c r="O1265" i="2"/>
  <c r="O1964" i="2"/>
  <c r="O1306" i="2"/>
  <c r="O3218" i="2"/>
  <c r="O2708" i="2"/>
  <c r="O2522" i="2"/>
  <c r="O2354" i="2"/>
  <c r="O3083" i="2"/>
  <c r="O1219" i="2"/>
  <c r="O1706" i="2"/>
  <c r="O3232" i="2"/>
  <c r="O1186" i="2"/>
  <c r="O3244" i="2"/>
  <c r="O2493" i="2"/>
  <c r="O2222" i="2"/>
  <c r="O1190" i="2"/>
  <c r="O2700" i="2"/>
  <c r="O3272" i="2"/>
  <c r="O1571" i="2"/>
  <c r="O275" i="2"/>
  <c r="O1134" i="2"/>
  <c r="O622" i="2"/>
  <c r="O1415" i="2"/>
  <c r="O1129" i="2"/>
  <c r="O3059" i="2"/>
  <c r="O1489" i="2"/>
  <c r="O2328" i="2"/>
  <c r="O2564" i="2"/>
  <c r="O3379" i="2"/>
  <c r="O697" i="2"/>
  <c r="O2177" i="2"/>
  <c r="O2903" i="2"/>
  <c r="O3385" i="2"/>
  <c r="O130" i="2"/>
  <c r="O3206" i="2"/>
  <c r="O3485" i="2"/>
  <c r="O2417" i="2"/>
  <c r="O3523" i="2"/>
  <c r="O777" i="2"/>
  <c r="O3256" i="2"/>
  <c r="O2824" i="2"/>
  <c r="O1633" i="2"/>
  <c r="O136" i="2"/>
  <c r="O188" i="2"/>
  <c r="O962" i="2"/>
  <c r="O900" i="2"/>
  <c r="O1522" i="2"/>
  <c r="O555" i="2"/>
  <c r="O1295" i="2"/>
  <c r="O1679" i="2"/>
  <c r="O1960" i="2"/>
  <c r="O870" i="2"/>
  <c r="O3318" i="2"/>
  <c r="O55" i="2"/>
  <c r="O632" i="2"/>
  <c r="O594" i="2"/>
  <c r="O2257" i="2"/>
  <c r="O410" i="2"/>
  <c r="O456" i="2"/>
  <c r="O592" i="2"/>
  <c r="O1533" i="2"/>
  <c r="O1624" i="2"/>
  <c r="O1470" i="2"/>
  <c r="O467" i="2"/>
  <c r="O2668" i="2"/>
  <c r="O3111" i="2"/>
  <c r="O473" i="2"/>
  <c r="O2677" i="2"/>
  <c r="O148" i="2"/>
  <c r="O2388" i="2"/>
  <c r="O671" i="2"/>
  <c r="O1603" i="2"/>
  <c r="O2981" i="2"/>
  <c r="O3349" i="2"/>
  <c r="O743" i="2"/>
  <c r="O1861" i="2"/>
  <c r="O1439" i="2"/>
  <c r="O3002" i="2"/>
  <c r="O178" i="2"/>
  <c r="O2058" i="2"/>
  <c r="O97" i="2"/>
  <c r="O797" i="2"/>
  <c r="O1646" i="2"/>
  <c r="O2550" i="2"/>
  <c r="O595" i="2"/>
  <c r="O3605" i="2"/>
  <c r="O1005" i="2"/>
  <c r="O3447" i="2"/>
  <c r="O673" i="2"/>
  <c r="O3427" i="2"/>
  <c r="O2469" i="2"/>
  <c r="O107" i="2"/>
  <c r="O981" i="2"/>
  <c r="Q981" i="2"/>
  <c r="O1832" i="2"/>
  <c r="Q1832" i="2"/>
  <c r="O1034" i="2"/>
  <c r="Q1034" i="2"/>
  <c r="O1339" i="2"/>
  <c r="Q1339" i="2"/>
  <c r="O690" i="2"/>
  <c r="Q690" i="2"/>
  <c r="O1098" i="2"/>
  <c r="Q1098" i="2"/>
  <c r="O3159" i="2"/>
  <c r="Q3159" i="2"/>
  <c r="O2145" i="2"/>
  <c r="Q2145" i="2"/>
  <c r="O623" i="2"/>
  <c r="Q623" i="2"/>
  <c r="O2704" i="2"/>
  <c r="Q2704" i="2"/>
  <c r="O1154" i="2"/>
  <c r="Q1154" i="2"/>
  <c r="O1228" i="2"/>
  <c r="Q1228" i="2"/>
  <c r="O2485" i="2"/>
  <c r="Q2485" i="2"/>
  <c r="O1239" i="2"/>
  <c r="Q1239" i="2"/>
  <c r="O2346" i="2"/>
  <c r="Q2346" i="2"/>
  <c r="O1910" i="2"/>
  <c r="Q1910" i="2"/>
  <c r="O547" i="2"/>
  <c r="Q547" i="2"/>
  <c r="O2147" i="2"/>
  <c r="Q2147" i="2"/>
  <c r="O462" i="2"/>
  <c r="Q462" i="2"/>
  <c r="O2112" i="2"/>
  <c r="Q2112" i="2"/>
  <c r="O586" i="2"/>
  <c r="Q586" i="2"/>
  <c r="O524" i="2"/>
  <c r="Q524" i="2"/>
  <c r="O2473" i="2"/>
  <c r="Q2473" i="2"/>
  <c r="O145" i="2"/>
  <c r="Q145" i="2"/>
  <c r="O3504" i="2"/>
  <c r="Q3504" i="2"/>
  <c r="O2973" i="2"/>
  <c r="Q2973" i="2"/>
  <c r="O490" i="2"/>
  <c r="Q490" i="2"/>
  <c r="O3194" i="2"/>
  <c r="Q3194" i="2"/>
  <c r="O1278" i="2"/>
  <c r="Q1278" i="2"/>
  <c r="O1057" i="2"/>
  <c r="Q1057" i="2"/>
  <c r="O3155" i="2"/>
  <c r="Q3155" i="2"/>
  <c r="O2308" i="2"/>
  <c r="Q2308" i="2"/>
  <c r="O1931" i="2"/>
  <c r="Q1931" i="2"/>
  <c r="O1644" i="2"/>
  <c r="Q1644" i="2"/>
  <c r="O2917" i="2"/>
  <c r="Q2917" i="2"/>
  <c r="O2322" i="2"/>
  <c r="Q2322" i="2"/>
  <c r="O521" i="2"/>
  <c r="Q521" i="2"/>
  <c r="O558" i="2"/>
  <c r="Q558" i="2"/>
  <c r="O3153" i="2"/>
  <c r="Q3153" i="2"/>
  <c r="O1300" i="2"/>
  <c r="Q1300" i="2"/>
  <c r="O1102" i="2"/>
  <c r="Q1102" i="2"/>
  <c r="O3488" i="2"/>
  <c r="Q3488" i="2"/>
  <c r="O2859" i="2"/>
  <c r="Q2859" i="2"/>
  <c r="O1617" i="2"/>
  <c r="Q1617" i="2"/>
  <c r="O2368" i="2"/>
  <c r="Q2368" i="2"/>
  <c r="O2858" i="2"/>
  <c r="Q2858" i="2"/>
  <c r="O842" i="2"/>
  <c r="Q842" i="2"/>
  <c r="O182" i="2"/>
  <c r="Q182" i="2"/>
  <c r="O1816" i="2"/>
  <c r="Q1816" i="2"/>
  <c r="O3587" i="2"/>
  <c r="Q3587" i="2"/>
  <c r="O2811" i="2"/>
  <c r="Q2811" i="2"/>
  <c r="O874" i="2"/>
  <c r="Q874" i="2"/>
  <c r="O3294" i="2"/>
  <c r="Q3294" i="2"/>
  <c r="O843" i="2"/>
  <c r="Q843" i="2"/>
  <c r="O1807" i="2"/>
  <c r="Q1807" i="2"/>
  <c r="O882" i="2"/>
  <c r="Q882" i="2"/>
  <c r="O1482" i="2"/>
  <c r="Q1482" i="2"/>
  <c r="O2847" i="2"/>
  <c r="Q2847" i="2"/>
  <c r="O1553" i="2"/>
  <c r="Q1553" i="2"/>
  <c r="O172" i="2"/>
  <c r="Q172" i="2"/>
  <c r="O2846" i="2"/>
  <c r="Q2846" i="2"/>
  <c r="O3583" i="2"/>
  <c r="Q3583" i="2"/>
  <c r="O2635" i="2"/>
  <c r="Q2635" i="2"/>
  <c r="O79" i="2"/>
  <c r="Q79" i="2"/>
  <c r="O1745" i="2"/>
  <c r="Q1745" i="2"/>
  <c r="O1225" i="2"/>
  <c r="Q1225" i="2"/>
  <c r="O1382" i="2"/>
  <c r="Q1382" i="2"/>
  <c r="O795" i="2"/>
  <c r="Q795" i="2"/>
  <c r="O1434" i="2"/>
  <c r="Q1434" i="2"/>
  <c r="O3004" i="2"/>
  <c r="Q3004" i="2"/>
  <c r="O1301" i="2"/>
  <c r="Q1301" i="2"/>
  <c r="O340" i="2"/>
  <c r="Q340" i="2"/>
  <c r="O806" i="2"/>
  <c r="Q806" i="2"/>
  <c r="O2134" i="2"/>
  <c r="Q2134" i="2"/>
  <c r="O3054" i="2"/>
  <c r="Q3054" i="2"/>
  <c r="O3469" i="2"/>
  <c r="Q3469" i="2"/>
  <c r="O1814" i="2"/>
  <c r="Q1814" i="2"/>
  <c r="O2065" i="2"/>
  <c r="Q2065" i="2"/>
  <c r="O1740" i="2"/>
  <c r="Q1740" i="2"/>
  <c r="O2356" i="2"/>
  <c r="Q2356" i="2"/>
  <c r="O810" i="2"/>
  <c r="Q810" i="2"/>
  <c r="O2920" i="2"/>
  <c r="Q2920" i="2"/>
  <c r="O764" i="2"/>
  <c r="Q764" i="2"/>
  <c r="O1473" i="2"/>
  <c r="Q1473" i="2"/>
  <c r="O1420" i="2"/>
  <c r="Q1420" i="2"/>
  <c r="O2432" i="2"/>
  <c r="Q2432" i="2"/>
  <c r="O1928" i="2"/>
  <c r="Q1928" i="2"/>
  <c r="O392" i="2"/>
  <c r="Q392" i="2"/>
  <c r="O1185" i="2"/>
  <c r="Q1185" i="2"/>
  <c r="O568" i="2"/>
  <c r="Q568" i="2"/>
  <c r="O545" i="2"/>
  <c r="Q545" i="2"/>
  <c r="O3435" i="2"/>
  <c r="Q3435" i="2"/>
  <c r="O802" i="2"/>
  <c r="Q802" i="2"/>
  <c r="O3316" i="2"/>
  <c r="Q3316" i="2"/>
  <c r="O2140" i="2"/>
  <c r="Q2140" i="2"/>
  <c r="O3517" i="2"/>
  <c r="Q3517" i="2"/>
  <c r="O2797" i="2"/>
  <c r="Q2797" i="2"/>
  <c r="O3191" i="2"/>
  <c r="Q3191" i="2"/>
  <c r="O1236" i="2"/>
  <c r="Q1236" i="2"/>
  <c r="O3402" i="2"/>
  <c r="Q3402" i="2"/>
  <c r="O1780" i="2"/>
  <c r="Q1780" i="2"/>
  <c r="O1354" i="2"/>
  <c r="Q1354" i="2"/>
  <c r="O88" i="2"/>
  <c r="Q88" i="2"/>
  <c r="O2105" i="2"/>
  <c r="Q2105" i="2"/>
  <c r="O3342" i="2"/>
  <c r="Q3342" i="2"/>
  <c r="O1047" i="2"/>
  <c r="Q1047" i="2"/>
  <c r="O14" i="2"/>
  <c r="Q14" i="2"/>
  <c r="O256" i="2"/>
  <c r="Q256" i="2"/>
  <c r="O3200" i="2"/>
  <c r="Q3200" i="2"/>
  <c r="O2544" i="2"/>
  <c r="Q2544" i="2"/>
  <c r="O3430" i="2"/>
  <c r="Q3430" i="2"/>
  <c r="O2434" i="2"/>
  <c r="Q2434" i="2"/>
  <c r="O268" i="2"/>
  <c r="Q268" i="2"/>
  <c r="O1288" i="2"/>
  <c r="Q1288" i="2"/>
  <c r="O460" i="2"/>
  <c r="Q460" i="2"/>
  <c r="O584" i="2"/>
  <c r="Q584" i="2"/>
  <c r="O159" i="2"/>
  <c r="Q159" i="2"/>
  <c r="O2696" i="2"/>
  <c r="Q2696" i="2"/>
  <c r="O1716" i="2"/>
  <c r="Q1716" i="2"/>
  <c r="O19" i="2"/>
  <c r="Q19" i="2"/>
  <c r="O1282" i="2"/>
  <c r="Q1282" i="2"/>
  <c r="O2077" i="2"/>
  <c r="Q2077" i="2"/>
  <c r="O61" i="2"/>
  <c r="Q61" i="2"/>
  <c r="O302" i="2"/>
  <c r="Q302" i="2"/>
  <c r="O3607" i="2"/>
  <c r="Q3607" i="2"/>
  <c r="O1370" i="2"/>
  <c r="Q1370" i="2"/>
  <c r="O1264" i="2"/>
  <c r="Q1264" i="2"/>
  <c r="O1536" i="2"/>
  <c r="Q1536" i="2"/>
  <c r="O3441" i="2"/>
  <c r="Q3441" i="2"/>
  <c r="O1251" i="2"/>
  <c r="Q1251" i="2"/>
  <c r="O2236" i="2"/>
  <c r="Q2236" i="2"/>
  <c r="O2015" i="2"/>
  <c r="Q2015" i="2"/>
  <c r="O2116" i="2"/>
  <c r="Q2116" i="2"/>
  <c r="O3324" i="2"/>
  <c r="Q3324" i="2"/>
  <c r="O3627" i="2"/>
  <c r="Q3627" i="2"/>
  <c r="O1032" i="2"/>
  <c r="Q1032" i="2"/>
  <c r="O3166" i="2"/>
  <c r="Q3166" i="2"/>
  <c r="O3137" i="2"/>
  <c r="Q3137" i="2"/>
  <c r="O173" i="2"/>
  <c r="Q173" i="2"/>
  <c r="O814" i="2"/>
  <c r="Q814" i="2"/>
  <c r="O3047" i="2"/>
  <c r="Q3047" i="2"/>
  <c r="O1754" i="2"/>
  <c r="Q1754" i="2"/>
  <c r="O179" i="2"/>
  <c r="Q179" i="2"/>
  <c r="O2585" i="2"/>
  <c r="Q2585" i="2"/>
  <c r="O1944" i="2"/>
  <c r="Q1944" i="2"/>
  <c r="O749" i="2"/>
  <c r="Q749" i="2"/>
  <c r="O1933" i="2"/>
  <c r="Q1933" i="2"/>
  <c r="O398" i="2"/>
  <c r="Q398" i="2"/>
  <c r="O1813" i="2"/>
  <c r="Q1813" i="2"/>
  <c r="O3077" i="2"/>
  <c r="Q3077" i="2"/>
  <c r="O331" i="2"/>
  <c r="Q331" i="2"/>
  <c r="O648" i="2"/>
  <c r="Q648" i="2"/>
  <c r="O1108" i="2"/>
  <c r="Q1108" i="2"/>
  <c r="O3339" i="2"/>
  <c r="Q3339" i="2"/>
  <c r="O1177" i="2"/>
  <c r="Q1177" i="2"/>
  <c r="O2992" i="2"/>
  <c r="Q2992" i="2"/>
  <c r="O3081" i="2"/>
  <c r="Q3081" i="2"/>
  <c r="O211" i="2"/>
  <c r="Q211" i="2"/>
  <c r="O1407" i="2"/>
  <c r="Q1407" i="2"/>
  <c r="O510" i="2"/>
  <c r="Q510" i="2"/>
  <c r="O556" i="2"/>
  <c r="Q556" i="2"/>
  <c r="O1817" i="2"/>
  <c r="Q1817" i="2"/>
  <c r="O238" i="2"/>
  <c r="Q238" i="2"/>
  <c r="O3207" i="2"/>
  <c r="Q3207" i="2"/>
  <c r="O2950" i="2"/>
  <c r="Q2950" i="2"/>
  <c r="O2467" i="2"/>
  <c r="Q2467" i="2"/>
  <c r="O2391" i="2"/>
  <c r="Q2391" i="2"/>
  <c r="O1673" i="2"/>
  <c r="Q1673" i="2"/>
  <c r="O1712" i="2"/>
  <c r="Q1712" i="2"/>
  <c r="O1828" i="2"/>
  <c r="Q1828" i="2"/>
  <c r="O960" i="2"/>
  <c r="Q960" i="2"/>
  <c r="O132" i="2"/>
  <c r="Q132" i="2"/>
  <c r="O3467" i="2"/>
  <c r="Q3467" i="2"/>
  <c r="O1684" i="2"/>
  <c r="Q1684" i="2"/>
  <c r="O251" i="2"/>
  <c r="Q251" i="2"/>
  <c r="O2045" i="2"/>
  <c r="Q2045" i="2"/>
  <c r="O3203" i="2"/>
  <c r="Q3203" i="2"/>
  <c r="O893" i="2"/>
  <c r="Q893" i="2"/>
  <c r="O2729" i="2"/>
  <c r="Q2729" i="2"/>
  <c r="O122" i="2"/>
  <c r="Q122" i="2"/>
  <c r="O1666" i="2"/>
  <c r="Q1666" i="2"/>
  <c r="O2022" i="2"/>
  <c r="Q2022" i="2"/>
  <c r="O2612" i="2"/>
  <c r="Q2612" i="2"/>
  <c r="O1930" i="2"/>
  <c r="Q1930" i="2"/>
  <c r="O3262" i="2"/>
  <c r="Q3262" i="2"/>
  <c r="O185" i="2"/>
  <c r="Q185" i="2"/>
  <c r="O1785" i="2"/>
  <c r="Q1785" i="2"/>
  <c r="O189" i="2"/>
  <c r="Q189" i="2"/>
  <c r="O610" i="2"/>
  <c r="Q610" i="2"/>
  <c r="O1469" i="2"/>
  <c r="Q1469" i="2"/>
  <c r="O2974" i="2"/>
  <c r="Q2974" i="2"/>
  <c r="O2099" i="2"/>
  <c r="Q2099" i="2"/>
  <c r="O336" i="2"/>
  <c r="Q336" i="2"/>
  <c r="O552" i="2"/>
  <c r="Q552" i="2"/>
  <c r="O499" i="2"/>
  <c r="Q499" i="2"/>
  <c r="O2324" i="2"/>
  <c r="Q2324" i="2"/>
  <c r="O2772" i="2"/>
  <c r="Q2772" i="2"/>
  <c r="O634" i="2"/>
  <c r="Q634" i="2"/>
  <c r="O52" i="2"/>
  <c r="Q52" i="2"/>
  <c r="O13" i="2"/>
  <c r="Q13" i="2"/>
  <c r="O2642" i="2"/>
  <c r="Q2642" i="2"/>
  <c r="O2141" i="2"/>
  <c r="Q2141" i="2"/>
  <c r="O1970" i="2"/>
  <c r="Q1970" i="2"/>
  <c r="O269" i="2"/>
  <c r="Q269" i="2"/>
  <c r="O2633" i="2"/>
  <c r="Q2633" i="2"/>
  <c r="O99" i="2"/>
  <c r="Q99" i="2"/>
  <c r="O2446" i="2"/>
  <c r="Q2446" i="2"/>
  <c r="O236" i="2"/>
  <c r="Q236" i="2"/>
  <c r="O2808" i="2"/>
  <c r="Q2808" i="2"/>
  <c r="O2156" i="2"/>
  <c r="Q2156" i="2"/>
  <c r="O2093" i="2"/>
  <c r="Q2093" i="2"/>
  <c r="O3259" i="2"/>
  <c r="Q3259" i="2"/>
  <c r="O803" i="2"/>
  <c r="Q803" i="2"/>
  <c r="O3624" i="2"/>
  <c r="Q3624" i="2"/>
  <c r="O2470" i="2"/>
  <c r="Q2470" i="2"/>
  <c r="O930" i="2"/>
  <c r="Q930" i="2"/>
  <c r="O1915" i="2"/>
  <c r="Q1915" i="2"/>
  <c r="O1685" i="2"/>
  <c r="Q1685" i="2"/>
  <c r="O3" i="2"/>
  <c r="Q3" i="2"/>
  <c r="O454" i="2"/>
  <c r="Q454" i="2"/>
  <c r="O1437" i="2"/>
  <c r="Q1437" i="2"/>
  <c r="O3617" i="2"/>
  <c r="Q3617" i="2"/>
  <c r="O1576" i="2"/>
  <c r="Q1576" i="2"/>
  <c r="O1133" i="2"/>
  <c r="Q1133" i="2"/>
  <c r="O293" i="2"/>
  <c r="Q293" i="2"/>
  <c r="O3115" i="2"/>
  <c r="Q3115" i="2"/>
  <c r="O618" i="2"/>
  <c r="Q618" i="2"/>
  <c r="O3464" i="2"/>
  <c r="Q3464" i="2"/>
  <c r="O1975" i="2"/>
  <c r="Q1975" i="2"/>
  <c r="O1328" i="2"/>
  <c r="Q1328" i="2"/>
  <c r="O1833" i="2"/>
  <c r="Q1833" i="2"/>
  <c r="O1865" i="2"/>
  <c r="Q1865" i="2"/>
  <c r="O915" i="2"/>
  <c r="Q915" i="2"/>
  <c r="O262" i="2"/>
  <c r="Q262" i="2"/>
  <c r="O2924" i="2"/>
  <c r="Q2924" i="2"/>
  <c r="O1626" i="2"/>
  <c r="Q1626" i="2"/>
  <c r="O1195" i="2"/>
  <c r="Q1195" i="2"/>
  <c r="O2224" i="2"/>
  <c r="Q2224" i="2"/>
  <c r="O1081" i="2"/>
  <c r="Q1081" i="2"/>
  <c r="O2406" i="2"/>
  <c r="Q2406" i="2"/>
  <c r="O2251" i="2"/>
  <c r="Q2251" i="2"/>
  <c r="O956" i="2"/>
  <c r="Q956" i="2"/>
  <c r="O2474" i="2"/>
  <c r="Q2474" i="2"/>
  <c r="O646" i="2"/>
  <c r="Q646" i="2"/>
  <c r="O3618" i="2"/>
  <c r="Q3618" i="2"/>
  <c r="O2075" i="2"/>
  <c r="Q2075" i="2"/>
  <c r="O2381" i="2"/>
  <c r="Q2381" i="2"/>
  <c r="O292" i="2"/>
  <c r="Q292" i="2"/>
  <c r="O2735" i="2"/>
  <c r="Q2735" i="2"/>
  <c r="O3512" i="2"/>
  <c r="Q3512" i="2"/>
  <c r="O1105" i="2"/>
  <c r="Q1105" i="2"/>
  <c r="O1678" i="2"/>
  <c r="Q1678" i="2"/>
  <c r="O3258" i="2"/>
  <c r="Q3258" i="2"/>
  <c r="O3329" i="2"/>
  <c r="Q3329" i="2"/>
  <c r="O2936" i="2"/>
  <c r="Q2936" i="2"/>
  <c r="O1207" i="2"/>
  <c r="Q1207" i="2"/>
  <c r="O530" i="2"/>
  <c r="Q530" i="2"/>
  <c r="O2876" i="2"/>
  <c r="Q2876" i="2"/>
  <c r="O849" i="2"/>
  <c r="Q849" i="2"/>
  <c r="O839" i="2"/>
  <c r="Q839" i="2"/>
  <c r="O1209" i="2"/>
  <c r="Q1209" i="2"/>
  <c r="O3370" i="2"/>
  <c r="Q3370" i="2"/>
  <c r="O3470" i="2"/>
  <c r="Q3470" i="2"/>
  <c r="O56" i="2"/>
  <c r="Q56" i="2"/>
  <c r="O1528" i="2"/>
  <c r="Q1528" i="2"/>
  <c r="O1659" i="2"/>
  <c r="Q1659" i="2"/>
  <c r="O2305" i="2"/>
  <c r="Q2305" i="2"/>
  <c r="O1429" i="2"/>
  <c r="Q1429" i="2"/>
  <c r="O1053" i="2"/>
  <c r="Q1053" i="2"/>
  <c r="O1337" i="2"/>
  <c r="Q1337" i="2"/>
  <c r="O2400" i="2"/>
  <c r="Q2400" i="2"/>
  <c r="O17" i="2"/>
  <c r="Q17" i="2"/>
  <c r="O1990" i="2"/>
  <c r="Q1990" i="2"/>
  <c r="O841" i="2"/>
  <c r="Q841" i="2"/>
  <c r="O1235" i="2"/>
  <c r="Q1235" i="2"/>
  <c r="O3404" i="2"/>
  <c r="Q3404" i="2"/>
  <c r="O2283" i="2"/>
  <c r="Q2283" i="2"/>
  <c r="O201" i="2"/>
  <c r="Q201" i="2"/>
  <c r="O2248" i="2"/>
  <c r="Q2248" i="2"/>
  <c r="O1457" i="2"/>
  <c r="Q1457" i="2"/>
  <c r="O719" i="2"/>
  <c r="Q719" i="2"/>
  <c r="O93" i="2"/>
  <c r="Q93" i="2"/>
  <c r="O1201" i="2"/>
  <c r="Q1201" i="2"/>
  <c r="O902" i="2"/>
  <c r="Q902" i="2"/>
  <c r="O3390" i="2"/>
  <c r="Q3390" i="2"/>
  <c r="O2949" i="2"/>
  <c r="Q2949" i="2"/>
  <c r="O895" i="2"/>
  <c r="Q895" i="2"/>
  <c r="O1527" i="2"/>
  <c r="Q1527" i="2"/>
  <c r="O2274" i="2"/>
  <c r="Q2274" i="2"/>
  <c r="O2220" i="2"/>
  <c r="Q2220" i="2"/>
  <c r="O3307" i="2"/>
  <c r="Q3307" i="2"/>
  <c r="O1913" i="2"/>
  <c r="Q1913" i="2"/>
  <c r="O2046" i="2"/>
  <c r="Q2046" i="2"/>
  <c r="O2454" i="2"/>
  <c r="Q2454" i="2"/>
  <c r="O801" i="2"/>
  <c r="Q801" i="2"/>
  <c r="O2182" i="2"/>
  <c r="Q2182" i="2"/>
  <c r="O581" i="2"/>
  <c r="Q581" i="2"/>
  <c r="O2955" i="2"/>
  <c r="Q2955" i="2"/>
  <c r="O1726" i="2"/>
  <c r="Q1726" i="2"/>
  <c r="O1247" i="2"/>
  <c r="Q1247" i="2"/>
  <c r="O2654" i="2"/>
  <c r="Q2654" i="2"/>
  <c r="O1868" i="2"/>
  <c r="Q1868" i="2"/>
  <c r="O1872" i="2"/>
  <c r="Q1872" i="2"/>
  <c r="O140" i="2"/>
  <c r="Q140" i="2"/>
  <c r="O2232" i="2"/>
  <c r="Q2232" i="2"/>
  <c r="O2155" i="2"/>
  <c r="Q2155" i="2"/>
  <c r="O3048" i="2"/>
  <c r="Q3048" i="2"/>
  <c r="O305" i="2"/>
  <c r="Q305" i="2"/>
  <c r="O1044" i="2"/>
  <c r="Q1044" i="2"/>
  <c r="O1340" i="2"/>
  <c r="Q1340" i="2"/>
  <c r="O2853" i="2"/>
  <c r="Q2853" i="2"/>
  <c r="O3561" i="2"/>
  <c r="Q3561" i="2"/>
  <c r="O3524" i="2"/>
  <c r="Q3524" i="2"/>
  <c r="O68" i="2"/>
  <c r="Q68" i="2"/>
  <c r="O8" i="2"/>
  <c r="Q8" i="2"/>
  <c r="O2645" i="2"/>
  <c r="Q2645" i="2"/>
  <c r="O3186" i="2"/>
  <c r="Q3186" i="2"/>
  <c r="O2320" i="2"/>
  <c r="Q2320" i="2"/>
  <c r="O2001" i="2"/>
  <c r="Q2001" i="2"/>
  <c r="O2139" i="2"/>
  <c r="Q2139" i="2"/>
  <c r="O826" i="2"/>
  <c r="Q826" i="2"/>
  <c r="O3445" i="2"/>
  <c r="Q3445" i="2"/>
  <c r="O677" i="2"/>
  <c r="Q677" i="2"/>
  <c r="O2619" i="2"/>
  <c r="Q2619" i="2"/>
  <c r="O2209" i="2"/>
  <c r="Q2209" i="2"/>
  <c r="O50" i="2"/>
  <c r="Q50" i="2"/>
  <c r="O1392" i="2"/>
  <c r="Q1392" i="2"/>
  <c r="O1404" i="2"/>
  <c r="Q1404" i="2"/>
  <c r="O823" i="2"/>
  <c r="Q823" i="2"/>
  <c r="O1016" i="2"/>
  <c r="Q1016" i="2"/>
  <c r="O2916" i="2"/>
  <c r="Q2916" i="2"/>
  <c r="O257" i="2"/>
  <c r="Q257" i="2"/>
  <c r="O709" i="2"/>
  <c r="Q709" i="2"/>
  <c r="O1843" i="2"/>
  <c r="Q1843" i="2"/>
  <c r="O1200" i="2"/>
  <c r="Q1200" i="2"/>
  <c r="O2468" i="2"/>
  <c r="Q2468" i="2"/>
  <c r="O388" i="2"/>
  <c r="Q388" i="2"/>
  <c r="O2945" i="2"/>
  <c r="Q2945" i="2"/>
  <c r="O1305" i="2"/>
  <c r="Q1305" i="2"/>
  <c r="O1755" i="2"/>
  <c r="Q1755" i="2"/>
  <c r="O3376" i="2"/>
  <c r="Q3376" i="2"/>
  <c r="O2985" i="2"/>
  <c r="Q2985" i="2"/>
  <c r="O2971" i="2"/>
  <c r="Q2971" i="2"/>
  <c r="O2471" i="2"/>
  <c r="Q2471" i="2"/>
  <c r="O3195" i="2"/>
  <c r="Q3195" i="2"/>
  <c r="O1802" i="2"/>
  <c r="Q1802" i="2"/>
  <c r="O239" i="2"/>
  <c r="Q239" i="2"/>
  <c r="O2666" i="2"/>
  <c r="Q2666" i="2"/>
  <c r="O3275" i="2"/>
  <c r="Q3275" i="2"/>
  <c r="O2175" i="2"/>
  <c r="Q2175" i="2"/>
  <c r="O2927" i="2"/>
  <c r="Q2927" i="2"/>
  <c r="O3127" i="2"/>
  <c r="Q3127" i="2"/>
  <c r="O1847" i="2"/>
  <c r="Q1847" i="2"/>
  <c r="O983" i="2"/>
  <c r="Q983" i="2"/>
  <c r="O3116" i="2"/>
  <c r="Q3116" i="2"/>
  <c r="O1121" i="2"/>
  <c r="Q1121" i="2"/>
  <c r="O3042" i="2"/>
  <c r="Q3042" i="2"/>
  <c r="O205" i="2"/>
  <c r="Q205" i="2"/>
  <c r="O1011" i="2"/>
  <c r="Q1011" i="2"/>
  <c r="O3098" i="2"/>
  <c r="Q3098" i="2"/>
  <c r="O3364" i="2"/>
  <c r="Q3364" i="2"/>
  <c r="O1560" i="2"/>
  <c r="Q1560" i="2"/>
  <c r="O1390" i="2"/>
  <c r="Q1390" i="2"/>
  <c r="O1480" i="2"/>
  <c r="Q1480" i="2"/>
  <c r="O1357" i="2"/>
  <c r="Q1357" i="2"/>
  <c r="O424" i="2"/>
  <c r="Q424" i="2"/>
  <c r="O1674" i="2"/>
  <c r="Q1674" i="2"/>
  <c r="O2983" i="2"/>
  <c r="Q2983" i="2"/>
  <c r="O2421" i="2"/>
  <c r="Q2421" i="2"/>
  <c r="O1311" i="2"/>
  <c r="Q1311" i="2"/>
  <c r="O1040" i="2"/>
  <c r="Q1040" i="2"/>
  <c r="O432" i="2"/>
  <c r="Q432" i="2"/>
  <c r="O1359" i="2"/>
  <c r="Q1359" i="2"/>
  <c r="O2986" i="2"/>
  <c r="Q2986" i="2"/>
  <c r="O266" i="2"/>
  <c r="Q266" i="2"/>
  <c r="O1376" i="2"/>
  <c r="Q1376" i="2"/>
  <c r="O1909" i="2"/>
  <c r="Q1909" i="2"/>
  <c r="O2055" i="2"/>
  <c r="Q2055" i="2"/>
  <c r="O64" i="2"/>
  <c r="Q64" i="2"/>
  <c r="O200" i="2"/>
  <c r="Q200" i="2"/>
  <c r="O3636" i="2"/>
  <c r="Q3636" i="2"/>
  <c r="O3056" i="2"/>
  <c r="Q3056" i="2"/>
  <c r="O1367" i="2"/>
  <c r="Q1367" i="2"/>
  <c r="O264" i="2"/>
  <c r="Q264" i="2"/>
  <c r="O2466" i="2"/>
  <c r="Q2466" i="2"/>
  <c r="O2448" i="2"/>
  <c r="Q2448" i="2"/>
  <c r="O2552" i="2"/>
  <c r="Q2552" i="2"/>
  <c r="O2590" i="2"/>
  <c r="Q2590" i="2"/>
  <c r="O2233" i="2"/>
  <c r="Q2233" i="2"/>
  <c r="O1156" i="2"/>
  <c r="Q1156" i="2"/>
  <c r="O2110" i="2"/>
  <c r="Q2110" i="2"/>
  <c r="O415" i="2"/>
  <c r="Q415" i="2"/>
  <c r="O620" i="2"/>
  <c r="Q620" i="2"/>
  <c r="O3359" i="2"/>
  <c r="Q3359" i="2"/>
  <c r="O90" i="2"/>
  <c r="Q90" i="2"/>
  <c r="O2665" i="2"/>
  <c r="Q2665" i="2"/>
  <c r="O968" i="2"/>
  <c r="Q968" i="2"/>
  <c r="O3184" i="2"/>
  <c r="Q3184" i="2"/>
  <c r="O2491" i="2"/>
  <c r="Q2491" i="2"/>
  <c r="O3300" i="2"/>
  <c r="Q3300" i="2"/>
  <c r="O2062" i="2"/>
  <c r="Q2062" i="2"/>
  <c r="O2380" i="2"/>
  <c r="Q2380" i="2"/>
  <c r="O2861" i="2"/>
  <c r="Q2861" i="2"/>
  <c r="O3362" i="2"/>
  <c r="Q3362" i="2"/>
  <c r="O2537" i="2"/>
  <c r="Q2537" i="2"/>
  <c r="O2952" i="2"/>
  <c r="Q2952" i="2"/>
  <c r="O2904" i="2"/>
  <c r="Q2904" i="2"/>
  <c r="O3338" i="2"/>
  <c r="Q3338" i="2"/>
  <c r="O356" i="2"/>
  <c r="Q356" i="2"/>
  <c r="O339" i="2"/>
  <c r="Q339" i="2"/>
  <c r="O1413" i="2"/>
  <c r="Q1413" i="2"/>
  <c r="O1096" i="2"/>
  <c r="Q1096" i="2"/>
  <c r="O2086" i="2"/>
  <c r="Q2086" i="2"/>
  <c r="O483" i="2"/>
  <c r="Q483" i="2"/>
  <c r="O2723" i="2"/>
  <c r="Q2723" i="2"/>
  <c r="O3265" i="2"/>
  <c r="Q3265" i="2"/>
  <c r="O1525" i="2"/>
  <c r="Q1525" i="2"/>
  <c r="O1052" i="2"/>
  <c r="Q1052" i="2"/>
  <c r="O128" i="2"/>
  <c r="Q128" i="2"/>
  <c r="O3557" i="2"/>
  <c r="Q3557" i="2"/>
  <c r="O766" i="2"/>
  <c r="Q766" i="2"/>
  <c r="O881" i="2"/>
  <c r="Q881" i="2"/>
  <c r="O3075" i="2"/>
  <c r="Q3075" i="2"/>
  <c r="O2750" i="2"/>
  <c r="Q2750" i="2"/>
  <c r="O2436" i="2"/>
  <c r="Q2436" i="2"/>
  <c r="O2314" i="2"/>
  <c r="Q2314" i="2"/>
  <c r="O3173" i="2"/>
  <c r="Q3173" i="2"/>
  <c r="O1093" i="2"/>
  <c r="Q1093" i="2"/>
  <c r="O2038" i="2"/>
  <c r="Q2038" i="2"/>
  <c r="O1736" i="2"/>
  <c r="Q1736" i="2"/>
  <c r="O1043" i="2"/>
  <c r="Q1043" i="2"/>
  <c r="O1781" i="2"/>
  <c r="Q1781" i="2"/>
  <c r="O2538" i="2"/>
  <c r="Q2538" i="2"/>
  <c r="O1223" i="2"/>
  <c r="Q1223" i="2"/>
  <c r="O3508" i="2"/>
  <c r="Q3508" i="2"/>
  <c r="O554" i="2"/>
  <c r="Q554" i="2"/>
  <c r="O759" i="2"/>
  <c r="Q759" i="2"/>
  <c r="O3235" i="2"/>
  <c r="Q3235" i="2"/>
  <c r="O1050" i="2"/>
  <c r="Q1050" i="2"/>
  <c r="O3110" i="2"/>
  <c r="Q3110" i="2"/>
  <c r="O1607" i="2"/>
  <c r="Q1607" i="2"/>
  <c r="O519" i="2"/>
  <c r="Q519" i="2"/>
  <c r="O1462" i="2"/>
  <c r="Q1462" i="2"/>
  <c r="O323" i="2"/>
  <c r="Q323" i="2"/>
  <c r="O2957" i="2"/>
  <c r="Q2957" i="2"/>
  <c r="O1756" i="2"/>
  <c r="Q1756" i="2"/>
  <c r="O2133" i="2"/>
  <c r="Q2133" i="2"/>
  <c r="O381" i="2"/>
  <c r="Q381" i="2"/>
  <c r="O3271" i="2"/>
  <c r="Q3271" i="2"/>
  <c r="O2396" i="2"/>
  <c r="Q2396" i="2"/>
  <c r="O1804" i="2"/>
  <c r="Q1804" i="2"/>
  <c r="O1946" i="2"/>
  <c r="Q1946" i="2"/>
  <c r="O102" i="2"/>
  <c r="Q102" i="2"/>
  <c r="O3268" i="2"/>
  <c r="Q3268" i="2"/>
  <c r="O2031" i="2"/>
  <c r="Q2031" i="2"/>
  <c r="O2532" i="2"/>
  <c r="Q2532" i="2"/>
  <c r="O2603" i="2"/>
  <c r="Q2603" i="2"/>
  <c r="O924" i="2"/>
  <c r="Q924" i="2"/>
  <c r="O2123" i="2"/>
  <c r="Q2123" i="2"/>
  <c r="O1795" i="2"/>
  <c r="Q1795" i="2"/>
  <c r="O2551" i="2"/>
  <c r="Q2551" i="2"/>
  <c r="O1530" i="2"/>
  <c r="Q1530" i="2"/>
  <c r="O3442" i="2"/>
  <c r="Q3442" i="2"/>
  <c r="O1625" i="2"/>
  <c r="Q1625" i="2"/>
  <c r="O3423" i="2"/>
  <c r="Q3423" i="2"/>
  <c r="O1897" i="2"/>
  <c r="Q1897" i="2"/>
  <c r="O455" i="2"/>
  <c r="Q455" i="2"/>
  <c r="O1398" i="2"/>
  <c r="Q1398" i="2"/>
  <c r="O3614" i="2"/>
  <c r="Q3614" i="2"/>
  <c r="O1914" i="2"/>
  <c r="Q1914" i="2"/>
  <c r="O1545" i="2"/>
  <c r="Q1545" i="2"/>
  <c r="O2953" i="2"/>
  <c r="Q2953" i="2"/>
  <c r="O1164" i="2"/>
  <c r="Q1164" i="2"/>
  <c r="O443" i="2"/>
  <c r="Q443" i="2"/>
  <c r="O2437" i="2"/>
  <c r="Q2437" i="2"/>
  <c r="O2419" i="2"/>
  <c r="Q2419" i="2"/>
  <c r="O3227" i="2"/>
  <c r="Q3227" i="2"/>
  <c r="O2928" i="2"/>
  <c r="Q2928" i="2"/>
  <c r="O2706" i="2"/>
  <c r="Q2706" i="2"/>
  <c r="O3431" i="2"/>
  <c r="Q3431" i="2"/>
  <c r="O1938" i="2"/>
  <c r="Q1938" i="2"/>
  <c r="O1818" i="2"/>
  <c r="Q1818" i="2"/>
  <c r="O1853" i="2"/>
  <c r="Q1853" i="2"/>
  <c r="O2915" i="2"/>
  <c r="Q2915" i="2"/>
  <c r="O3357" i="2"/>
  <c r="Q3357" i="2"/>
  <c r="O2851" i="2"/>
  <c r="Q2851" i="2"/>
  <c r="O675" i="2"/>
  <c r="Q675" i="2"/>
  <c r="O1452" i="2"/>
  <c r="Q1452" i="2"/>
  <c r="O1103" i="2"/>
  <c r="Q1103" i="2"/>
  <c r="O2482" i="2"/>
  <c r="Q2482" i="2"/>
  <c r="O899" i="2"/>
  <c r="Q899" i="2"/>
  <c r="O1072" i="2"/>
  <c r="Q1072" i="2"/>
  <c r="O973" i="2"/>
  <c r="Q973" i="2"/>
  <c r="O3446" i="2"/>
  <c r="Q3446" i="2"/>
  <c r="O2238" i="2"/>
  <c r="Q2238" i="2"/>
  <c r="O2178" i="2"/>
  <c r="Q2178" i="2"/>
  <c r="O1690" i="2"/>
  <c r="Q1690" i="2"/>
  <c r="O3360" i="2"/>
  <c r="Q3360" i="2"/>
  <c r="O1344" i="2"/>
  <c r="Q1344" i="2"/>
  <c r="O1431" i="2"/>
  <c r="Q1431" i="2"/>
  <c r="O486" i="2"/>
  <c r="Q486" i="2"/>
  <c r="O488" i="2"/>
  <c r="Q488" i="2"/>
  <c r="O3391" i="2"/>
  <c r="Q3391" i="2"/>
  <c r="O811" i="2"/>
  <c r="Q811" i="2"/>
  <c r="O409" i="2"/>
  <c r="Q409" i="2"/>
  <c r="O1950" i="2"/>
  <c r="Q1950" i="2"/>
  <c r="O1748" i="2"/>
  <c r="Q1748" i="2"/>
  <c r="O175" i="2"/>
  <c r="Q175" i="2"/>
  <c r="O1338" i="2"/>
  <c r="Q1338" i="2"/>
  <c r="O3487" i="2"/>
  <c r="Q3487" i="2"/>
  <c r="O566" i="2"/>
  <c r="Q566" i="2"/>
  <c r="O3209" i="2"/>
  <c r="Q3209" i="2"/>
  <c r="O1141" i="2"/>
  <c r="Q1141" i="2"/>
  <c r="O1886" i="2"/>
  <c r="Q1886" i="2"/>
  <c r="O227" i="2"/>
  <c r="Q227" i="2"/>
  <c r="O380" i="2"/>
  <c r="Q380" i="2"/>
  <c r="O338" i="2"/>
  <c r="Q338" i="2"/>
  <c r="O3214" i="2"/>
  <c r="Q3214" i="2"/>
  <c r="O3425" i="2"/>
  <c r="Q3425" i="2"/>
  <c r="O1336" i="2"/>
  <c r="Q1336" i="2"/>
  <c r="O3092" i="2"/>
  <c r="Q3092" i="2"/>
  <c r="O1829" i="2"/>
  <c r="Q1829" i="2"/>
  <c r="O1442" i="2"/>
  <c r="Q1442" i="2"/>
  <c r="O1216" i="2"/>
  <c r="Q1216" i="2"/>
  <c r="O615" i="2"/>
  <c r="Q615" i="2"/>
  <c r="O2835" i="2"/>
  <c r="Q2835" i="2"/>
  <c r="O1987" i="2"/>
  <c r="Q1987" i="2"/>
  <c r="O3266" i="2"/>
  <c r="Q3266" i="2"/>
  <c r="O2595" i="2"/>
  <c r="Q2595" i="2"/>
  <c r="O1889" i="2"/>
  <c r="Q1889" i="2"/>
  <c r="O60" i="2"/>
  <c r="Q60" i="2"/>
  <c r="O838" i="2"/>
  <c r="Q838" i="2"/>
  <c r="O976" i="2"/>
  <c r="Q976" i="2"/>
  <c r="O2843" i="2"/>
  <c r="Q2843" i="2"/>
  <c r="O1188" i="2"/>
  <c r="Q1188" i="2"/>
  <c r="O2578" i="2"/>
  <c r="Q2578" i="2"/>
  <c r="O756" i="2"/>
  <c r="Q756" i="2"/>
  <c r="O845" i="2"/>
  <c r="Q845" i="2"/>
  <c r="O1728" i="2"/>
  <c r="Q1728" i="2"/>
  <c r="O2150" i="2"/>
  <c r="Q2150" i="2"/>
  <c r="O2634" i="2"/>
  <c r="Q2634" i="2"/>
  <c r="O168" i="2"/>
  <c r="Q168" i="2"/>
  <c r="O3034" i="2"/>
  <c r="Q3034" i="2"/>
  <c r="O2639" i="2"/>
  <c r="Q2639" i="2"/>
  <c r="O3114" i="2"/>
  <c r="Q3114" i="2"/>
  <c r="O786" i="2"/>
  <c r="Q786" i="2"/>
  <c r="O1107" i="2"/>
  <c r="Q1107" i="2"/>
  <c r="O101" i="2"/>
  <c r="Q101" i="2"/>
  <c r="O1935" i="2"/>
  <c r="Q1935" i="2"/>
  <c r="O2946" i="2"/>
  <c r="Q2946" i="2"/>
  <c r="O2244" i="2"/>
  <c r="Q2244" i="2"/>
  <c r="O1656" i="2"/>
  <c r="Q1656" i="2"/>
  <c r="O2280" i="2"/>
  <c r="Q2280" i="2"/>
  <c r="O2501" i="2"/>
  <c r="Q2501" i="2"/>
  <c r="O1660" i="2"/>
  <c r="Q1660" i="2"/>
  <c r="O357" i="2"/>
  <c r="Q357" i="2"/>
  <c r="O1790" i="2"/>
  <c r="Q1790" i="2"/>
  <c r="O501" i="2"/>
  <c r="Q501" i="2"/>
  <c r="O2819" i="2"/>
  <c r="Q2819" i="2"/>
  <c r="O2225" i="2"/>
  <c r="Q2225" i="2"/>
  <c r="O2475" i="2"/>
  <c r="Q2475" i="2"/>
  <c r="O765" i="2"/>
  <c r="Q765" i="2"/>
  <c r="O1162" i="2"/>
  <c r="Q1162" i="2"/>
  <c r="O2515" i="2"/>
  <c r="Q2515" i="2"/>
  <c r="O3634" i="2"/>
  <c r="Q3634" i="2"/>
  <c r="O3456" i="2"/>
  <c r="Q3456" i="2"/>
  <c r="O1979" i="2"/>
  <c r="Q1979" i="2"/>
  <c r="O1902" i="2"/>
  <c r="Q1902" i="2"/>
  <c r="O1010" i="2"/>
  <c r="Q1010" i="2"/>
  <c r="O1665" i="2"/>
  <c r="Q1665" i="2"/>
  <c r="O580" i="2"/>
  <c r="Q580" i="2"/>
  <c r="O221" i="2"/>
  <c r="Q221" i="2"/>
  <c r="O2462" i="2"/>
  <c r="Q2462" i="2"/>
  <c r="O3250" i="2"/>
  <c r="Q3250" i="2"/>
  <c r="O3101" i="2"/>
  <c r="Q3101" i="2"/>
  <c r="O1438" i="2"/>
  <c r="Q1438" i="2"/>
  <c r="O2044" i="2"/>
  <c r="Q2044" i="2"/>
  <c r="O40" i="2"/>
  <c r="Q40" i="2"/>
  <c r="O1566" i="2"/>
  <c r="Q1566" i="2"/>
  <c r="O699" i="2"/>
  <c r="Q699" i="2"/>
  <c r="O1059" i="2"/>
  <c r="Q1059" i="2"/>
  <c r="O2185" i="2"/>
  <c r="Q2185" i="2"/>
  <c r="O578" i="2"/>
  <c r="Q578" i="2"/>
  <c r="O1541" i="2"/>
  <c r="Q1541" i="2"/>
  <c r="O3330" i="2"/>
  <c r="Q3330" i="2"/>
  <c r="O1963" i="2"/>
  <c r="Q1963" i="2"/>
  <c r="O733" i="2"/>
  <c r="Q733" i="2"/>
  <c r="O66" i="2"/>
  <c r="Q66" i="2"/>
  <c r="O1799" i="2"/>
  <c r="Q1799" i="2"/>
  <c r="O1981" i="2"/>
  <c r="Q1981" i="2"/>
  <c r="O1831" i="2"/>
  <c r="Q1831" i="2"/>
  <c r="O2247" i="2"/>
  <c r="Q2247" i="2"/>
  <c r="O912" i="2"/>
  <c r="Q912" i="2"/>
  <c r="O2773" i="2"/>
  <c r="Q2773" i="2"/>
  <c r="O1682" i="2"/>
  <c r="Q1682" i="2"/>
  <c r="O3461" i="2"/>
  <c r="Q3461" i="2"/>
  <c r="O2825" i="2"/>
  <c r="Q2825" i="2"/>
  <c r="O2631" i="2"/>
  <c r="Q2631" i="2"/>
  <c r="O2121" i="2"/>
  <c r="Q2121" i="2"/>
  <c r="O2899" i="2"/>
  <c r="Q2899" i="2"/>
  <c r="O3201" i="2"/>
  <c r="Q3201" i="2"/>
  <c r="O2954" i="2"/>
  <c r="Q2954" i="2"/>
  <c r="O3076" i="2"/>
  <c r="Q3076" i="2"/>
  <c r="O3220" i="2"/>
  <c r="Q3220" i="2"/>
  <c r="O3029" i="2"/>
  <c r="Q3029" i="2"/>
  <c r="O954" i="2"/>
  <c r="Q954" i="2"/>
  <c r="O1297" i="2"/>
  <c r="Q1297" i="2"/>
  <c r="O2239" i="2"/>
  <c r="Q2239" i="2"/>
  <c r="O2895" i="2"/>
  <c r="Q2895" i="2"/>
  <c r="O3543" i="2"/>
  <c r="Q3543" i="2"/>
  <c r="O885" i="2"/>
  <c r="Q885" i="2"/>
  <c r="O2536" i="2"/>
  <c r="Q2536" i="2"/>
  <c r="O1391" i="2"/>
  <c r="Q1391" i="2"/>
  <c r="O2047" i="2"/>
  <c r="Q2047" i="2"/>
  <c r="O402" i="2"/>
  <c r="Q402" i="2"/>
  <c r="O475" i="2"/>
  <c r="Q475" i="2"/>
  <c r="O207" i="2"/>
  <c r="Q207" i="2"/>
  <c r="O1275" i="2"/>
  <c r="Q1275" i="2"/>
  <c r="O63" i="2"/>
  <c r="Q63" i="2"/>
  <c r="O3242" i="2"/>
  <c r="Q3242" i="2"/>
  <c r="O2510" i="2"/>
  <c r="Q2510" i="2"/>
  <c r="O755" i="2"/>
  <c r="Q755" i="2"/>
  <c r="O3565" i="2"/>
  <c r="Q3565" i="2"/>
  <c r="O2189" i="2"/>
  <c r="Q2189" i="2"/>
  <c r="O1873" i="2"/>
  <c r="Q1873" i="2"/>
  <c r="O2653" i="2"/>
  <c r="Q2653" i="2"/>
  <c r="O1453" i="2"/>
  <c r="Q1453" i="2"/>
  <c r="O2727" i="2"/>
  <c r="Q2727" i="2"/>
  <c r="O3413" i="2"/>
  <c r="Q3413" i="2"/>
  <c r="O2753" i="2"/>
  <c r="Q2753" i="2"/>
  <c r="O3113" i="2"/>
  <c r="Q3113" i="2"/>
  <c r="O2966" i="2"/>
  <c r="Q2966" i="2"/>
  <c r="O2422" i="2"/>
  <c r="Q2422" i="2"/>
  <c r="O616" i="2"/>
  <c r="Q616" i="2"/>
  <c r="O2304" i="2"/>
  <c r="Q2304" i="2"/>
  <c r="O2646" i="2"/>
  <c r="Q2646" i="2"/>
  <c r="O539" i="2"/>
  <c r="Q539" i="2"/>
  <c r="O2998" i="2"/>
  <c r="Q2998" i="2"/>
  <c r="O373" i="2"/>
  <c r="Q373" i="2"/>
  <c r="O3472" i="2"/>
  <c r="Q3472" i="2"/>
  <c r="O910" i="2"/>
  <c r="Q910" i="2"/>
  <c r="O1396" i="2"/>
  <c r="Q1396" i="2"/>
  <c r="O474" i="2"/>
  <c r="Q474" i="2"/>
  <c r="O235" i="2"/>
  <c r="Q235" i="2"/>
  <c r="O2073" i="2"/>
  <c r="Q2073" i="2"/>
  <c r="O1476" i="2"/>
  <c r="Q1476" i="2"/>
  <c r="O1742" i="2"/>
  <c r="Q1742" i="2"/>
  <c r="O982" i="2"/>
  <c r="Q982" i="2"/>
  <c r="O1787" i="2"/>
  <c r="Q1787" i="2"/>
  <c r="O827" i="2"/>
  <c r="Q827" i="2"/>
  <c r="O3571" i="2"/>
  <c r="Q3571" i="2"/>
  <c r="O3228" i="2"/>
  <c r="Q3228" i="2"/>
  <c r="O1095" i="2"/>
  <c r="Q1095" i="2"/>
  <c r="O1232" i="2"/>
  <c r="Q1232" i="2"/>
  <c r="O680" i="2"/>
  <c r="Q680" i="2"/>
  <c r="O734" i="2"/>
  <c r="Q734" i="2"/>
  <c r="O1118" i="2"/>
  <c r="Q1118" i="2"/>
  <c r="O1769" i="2"/>
  <c r="Q1769" i="2"/>
  <c r="O2930" i="2"/>
  <c r="Q2930" i="2"/>
  <c r="O2273" i="2"/>
  <c r="Q2273" i="2"/>
  <c r="O635" i="2"/>
  <c r="Q635" i="2"/>
  <c r="O1676" i="2"/>
  <c r="Q1676" i="2"/>
  <c r="O2472" i="2"/>
  <c r="Q2472" i="2"/>
  <c r="O1830" i="2"/>
  <c r="Q1830" i="2"/>
  <c r="O3192" i="2"/>
  <c r="Q3192" i="2"/>
  <c r="O770" i="2"/>
  <c r="Q770" i="2"/>
  <c r="O707" i="2"/>
  <c r="Q707" i="2"/>
  <c r="O444" i="2"/>
  <c r="Q444" i="2"/>
  <c r="O3270" i="2"/>
  <c r="Q3270" i="2"/>
  <c r="O242" i="2"/>
  <c r="Q242" i="2"/>
  <c r="O2090" i="2"/>
  <c r="Q2090" i="2"/>
  <c r="O3099" i="2"/>
  <c r="Q3099" i="2"/>
  <c r="O2837" i="2"/>
  <c r="Q2837" i="2"/>
  <c r="O3254" i="2"/>
  <c r="Q3254" i="2"/>
  <c r="O1206" i="2"/>
  <c r="Q1206" i="2"/>
  <c r="O313" i="2"/>
  <c r="Q313" i="2"/>
  <c r="O1397" i="2"/>
  <c r="Q1397" i="2"/>
  <c r="O1351" i="2"/>
  <c r="Q1351" i="2"/>
  <c r="O3179" i="2"/>
  <c r="Q3179" i="2"/>
  <c r="O729" i="2"/>
  <c r="Q729" i="2"/>
  <c r="O304" i="2"/>
  <c r="Q304" i="2"/>
  <c r="O2542" i="2"/>
  <c r="Q2542" i="2"/>
  <c r="O2740" i="2"/>
  <c r="Q2740" i="2"/>
  <c r="O2517" i="2"/>
  <c r="Q2517" i="2"/>
  <c r="O181" i="2"/>
  <c r="Q181" i="2"/>
  <c r="O993" i="2"/>
  <c r="Q993" i="2"/>
  <c r="O3145" i="2"/>
  <c r="Q3145" i="2"/>
  <c r="O3312" i="2"/>
  <c r="Q3312" i="2"/>
  <c r="O603" i="2"/>
  <c r="Q603" i="2"/>
  <c r="O970" i="2"/>
  <c r="Q970" i="2"/>
  <c r="O1068" i="2"/>
  <c r="Q1068" i="2"/>
  <c r="O1609" i="2"/>
  <c r="Q1609" i="2"/>
  <c r="O1361" i="2"/>
  <c r="Q1361" i="2"/>
  <c r="O878" i="2"/>
  <c r="Q878" i="2"/>
  <c r="O712" i="2"/>
  <c r="Q712" i="2"/>
  <c r="O1610" i="2"/>
  <c r="Q1610" i="2"/>
  <c r="O1630" i="2"/>
  <c r="Q1630" i="2"/>
  <c r="O876" i="2"/>
  <c r="Q876" i="2"/>
  <c r="O124" i="2"/>
  <c r="Q124" i="2"/>
  <c r="O2630" i="2"/>
  <c r="Q2630" i="2"/>
  <c r="O1008" i="2"/>
  <c r="Q1008" i="2"/>
  <c r="O815" i="2"/>
  <c r="Q815" i="2"/>
  <c r="O3162" i="2"/>
  <c r="Q3162" i="2"/>
  <c r="O194" i="2"/>
  <c r="Q194" i="2"/>
  <c r="O2340" i="2"/>
  <c r="Q2340" i="2"/>
  <c r="O3459" i="2"/>
  <c r="Q3459" i="2"/>
  <c r="O2218" i="2"/>
  <c r="Q2218" i="2"/>
  <c r="O662" i="2"/>
  <c r="Q662" i="2"/>
  <c r="O854" i="2"/>
  <c r="Q854" i="2"/>
  <c r="O2921" i="2"/>
  <c r="Q2921" i="2"/>
  <c r="O3408" i="2"/>
  <c r="Q3408" i="2"/>
  <c r="O908" i="2"/>
  <c r="Q908" i="2"/>
  <c r="O272" i="2"/>
  <c r="Q272" i="2"/>
  <c r="O2445" i="2"/>
  <c r="Q2445" i="2"/>
  <c r="O597" i="2"/>
  <c r="Q597" i="2"/>
  <c r="O2831" i="2"/>
  <c r="Q2831" i="2"/>
  <c r="O2961" i="2"/>
  <c r="Q2961" i="2"/>
  <c r="O2129" i="2"/>
  <c r="Q2129" i="2"/>
  <c r="O3182" i="2"/>
  <c r="Q3182" i="2"/>
  <c r="O2176" i="2"/>
  <c r="Q2176" i="2"/>
  <c r="O3355" i="2"/>
  <c r="Q3355" i="2"/>
  <c r="O2455" i="2"/>
  <c r="Q2455" i="2"/>
  <c r="O2228" i="2"/>
  <c r="Q2228" i="2"/>
  <c r="O3606" i="2"/>
  <c r="Q3606" i="2"/>
  <c r="O3278" i="2"/>
  <c r="Q3278" i="2"/>
  <c r="O1451" i="2"/>
  <c r="Q1451" i="2"/>
  <c r="O3291" i="2"/>
  <c r="Q3291" i="2"/>
  <c r="O59" i="2"/>
  <c r="Q59" i="2"/>
  <c r="O3102" i="2"/>
  <c r="Q3102" i="2"/>
  <c r="O342" i="2"/>
  <c r="Q342" i="2"/>
  <c r="O286" i="2"/>
  <c r="Q286" i="2"/>
  <c r="O3545" i="2"/>
  <c r="Q3545" i="2"/>
  <c r="O2043" i="2"/>
  <c r="Q2043" i="2"/>
  <c r="O2707" i="2"/>
  <c r="Q2707" i="2"/>
  <c r="O2483" i="2"/>
  <c r="Q2483" i="2"/>
  <c r="O177" i="2"/>
  <c r="Q177" i="2"/>
  <c r="O1099" i="2"/>
  <c r="Q1099" i="2"/>
  <c r="O3572" i="2"/>
  <c r="Q3572" i="2"/>
  <c r="O3371" i="2"/>
  <c r="Q3371" i="2"/>
  <c r="O2196" i="2"/>
  <c r="Q2196" i="2"/>
  <c r="O2566" i="2"/>
  <c r="Q2566" i="2"/>
  <c r="O2745" i="2"/>
  <c r="Q2745" i="2"/>
  <c r="O2353" i="2"/>
  <c r="Q2353" i="2"/>
  <c r="O1163" i="2"/>
  <c r="Q1163" i="2"/>
  <c r="O2610" i="2"/>
  <c r="Q2610" i="2"/>
  <c r="O419" i="2"/>
  <c r="Q419" i="2"/>
  <c r="O3306" i="2"/>
  <c r="Q3306" i="2"/>
  <c r="O1436" i="2"/>
  <c r="Q1436" i="2"/>
  <c r="O1574" i="2"/>
  <c r="Q1574" i="2"/>
  <c r="O1753" i="2"/>
  <c r="Q1753" i="2"/>
  <c r="O1901" i="2"/>
  <c r="Q1901" i="2"/>
  <c r="O1157" i="2"/>
  <c r="Q1157" i="2"/>
  <c r="O1535" i="2"/>
  <c r="Q1535" i="2"/>
  <c r="O2161" i="2"/>
  <c r="Q2161" i="2"/>
  <c r="O491" i="2"/>
  <c r="Q491" i="2"/>
  <c r="O2425" i="2"/>
  <c r="Q2425" i="2"/>
  <c r="O3238" i="2"/>
  <c r="Q3238" i="2"/>
  <c r="O3444" i="2"/>
  <c r="Q3444" i="2"/>
  <c r="O2959" i="2"/>
  <c r="Q2959" i="2"/>
  <c r="O829" i="2"/>
  <c r="Q829" i="2"/>
  <c r="O695" i="2"/>
  <c r="Q695" i="2"/>
  <c r="O1026" i="2"/>
  <c r="Q1026" i="2"/>
  <c r="O3249" i="2"/>
  <c r="Q3249" i="2"/>
  <c r="O2746" i="2"/>
  <c r="Q2746" i="2"/>
  <c r="O715" i="2"/>
  <c r="Q715" i="2"/>
  <c r="O684" i="2"/>
  <c r="Q684" i="2"/>
  <c r="O3205" i="2"/>
  <c r="Q3205" i="2"/>
  <c r="O1845" i="2"/>
  <c r="Q1845" i="2"/>
  <c r="O2997" i="2"/>
  <c r="Q2997" i="2"/>
  <c r="O2794" i="2"/>
  <c r="Q2794" i="2"/>
  <c r="O106" i="2"/>
  <c r="Q106" i="2"/>
  <c r="O1643" i="2"/>
  <c r="Q1643" i="2"/>
  <c r="O3449" i="2"/>
  <c r="Q3449" i="2"/>
  <c r="O883" i="2"/>
  <c r="Q883" i="2"/>
  <c r="O1324" i="2"/>
  <c r="Q1324" i="2"/>
  <c r="O2943" i="2"/>
  <c r="Q2943" i="2"/>
  <c r="O1181" i="2"/>
  <c r="Q1181" i="2"/>
  <c r="O1270" i="2"/>
  <c r="Q1270" i="2"/>
  <c r="O352" i="2"/>
  <c r="Q352" i="2"/>
  <c r="O1718" i="2"/>
  <c r="Q1718" i="2"/>
  <c r="O852" i="2"/>
  <c r="Q852" i="2"/>
  <c r="O1003" i="2"/>
  <c r="Q1003" i="2"/>
  <c r="O1988" i="2"/>
  <c r="Q1988" i="2"/>
  <c r="O2870" i="2"/>
  <c r="Q2870" i="2"/>
  <c r="O2965" i="2"/>
  <c r="Q2965" i="2"/>
  <c r="O2526" i="2"/>
  <c r="Q2526" i="2"/>
  <c r="O250" i="2"/>
  <c r="Q250" i="2"/>
  <c r="O2726" i="2"/>
  <c r="Q2726" i="2"/>
  <c r="O1304" i="2"/>
  <c r="Q1304" i="2"/>
  <c r="O1652" i="2"/>
  <c r="Q1652" i="2"/>
  <c r="O1968" i="2"/>
  <c r="Q1968" i="2"/>
  <c r="O601" i="2"/>
  <c r="Q601" i="2"/>
  <c r="O661" i="2"/>
  <c r="Q661" i="2"/>
  <c r="O125" i="2"/>
  <c r="Q125" i="2"/>
  <c r="O411" i="2"/>
  <c r="Q411" i="2"/>
  <c r="O1711" i="2"/>
  <c r="Q1711" i="2"/>
  <c r="O1893" i="2"/>
  <c r="Q1893" i="2"/>
  <c r="O1841" i="2"/>
  <c r="Q1841" i="2"/>
  <c r="O532" i="2"/>
  <c r="Q532" i="2"/>
  <c r="O3181" i="2"/>
  <c r="Q3181" i="2"/>
  <c r="O2901" i="2"/>
  <c r="Q2901" i="2"/>
  <c r="O3452" i="2"/>
  <c r="Q3452" i="2"/>
  <c r="O86" i="2"/>
  <c r="Q86" i="2"/>
  <c r="O913" i="2"/>
  <c r="Q913" i="2"/>
  <c r="O3531" i="2"/>
  <c r="Q3531" i="2"/>
  <c r="O1238" i="2"/>
  <c r="Q1238" i="2"/>
  <c r="O2548" i="2"/>
  <c r="Q2548" i="2"/>
  <c r="O1721" i="2"/>
  <c r="Q1721" i="2"/>
  <c r="O1796" i="2"/>
  <c r="Q1796" i="2"/>
  <c r="O1698" i="2"/>
  <c r="Q1698" i="2"/>
  <c r="O818" i="2"/>
  <c r="Q818" i="2"/>
  <c r="O2782" i="2"/>
  <c r="Q2782" i="2"/>
  <c r="O2821" i="2"/>
  <c r="Q2821" i="2"/>
  <c r="O2546" i="2"/>
  <c r="Q2546" i="2"/>
  <c r="O1069" i="2"/>
  <c r="Q1069" i="2"/>
  <c r="O3028" i="2"/>
  <c r="Q3028" i="2"/>
  <c r="O1149" i="2"/>
  <c r="Q1149" i="2"/>
  <c r="O2531" i="2"/>
  <c r="Q2531" i="2"/>
  <c r="O1702" i="2"/>
  <c r="Q1702" i="2"/>
  <c r="O3481" i="2"/>
  <c r="Q3481" i="2"/>
  <c r="O542" i="2"/>
  <c r="Q542" i="2"/>
  <c r="O382" i="2"/>
  <c r="Q382" i="2"/>
  <c r="O1027" i="2"/>
  <c r="Q1027" i="2"/>
  <c r="O119" i="2"/>
  <c r="Q119" i="2"/>
  <c r="O2211" i="2"/>
  <c r="Q2211" i="2"/>
  <c r="O2786" i="2"/>
  <c r="Q2786" i="2"/>
  <c r="O2888" i="2"/>
  <c r="Q2888" i="2"/>
  <c r="O984" i="2"/>
  <c r="Q984" i="2"/>
  <c r="O1727" i="2"/>
  <c r="Q1727" i="2"/>
  <c r="O2785" i="2"/>
  <c r="Q2785" i="2"/>
  <c r="O2102" i="2"/>
  <c r="Q2102" i="2"/>
  <c r="O2541" i="2"/>
  <c r="Q2541" i="2"/>
  <c r="O3564" i="2"/>
  <c r="Q3564" i="2"/>
  <c r="O1859" i="2"/>
  <c r="Q1859" i="2"/>
  <c r="O1178" i="2"/>
  <c r="Q1178" i="2"/>
  <c r="O3537" i="2"/>
  <c r="Q3537" i="2"/>
  <c r="O3135" i="2"/>
  <c r="Q3135" i="2"/>
  <c r="O1762" i="2"/>
  <c r="Q1762" i="2"/>
  <c r="O3183" i="2"/>
  <c r="Q3183" i="2"/>
  <c r="O3129" i="2"/>
  <c r="Q3129" i="2"/>
  <c r="O2450" i="2"/>
  <c r="Q2450" i="2"/>
  <c r="O2374" i="2"/>
  <c r="Q2374" i="2"/>
  <c r="O1433" i="2"/>
  <c r="Q1433" i="2"/>
  <c r="O2896" i="2"/>
  <c r="Q2896" i="2"/>
  <c r="O880" i="2"/>
  <c r="Q880" i="2"/>
  <c r="O1128" i="2"/>
  <c r="Q1128" i="2"/>
  <c r="O2453" i="2"/>
  <c r="Q2453" i="2"/>
  <c r="O1244" i="2"/>
  <c r="Q1244" i="2"/>
  <c r="O267" i="2"/>
  <c r="Q267" i="2"/>
  <c r="O3202" i="2"/>
  <c r="Q3202" i="2"/>
  <c r="O534" i="2"/>
  <c r="Q534" i="2"/>
  <c r="O27" i="2"/>
  <c r="Q27" i="2"/>
  <c r="O1060" i="2"/>
  <c r="Q1060" i="2"/>
  <c r="O731" i="2"/>
  <c r="Q731" i="2"/>
  <c r="O1320" i="2"/>
  <c r="Q1320" i="2"/>
  <c r="O822" i="2"/>
  <c r="Q822" i="2"/>
  <c r="O1307" i="2"/>
  <c r="Q1307" i="2"/>
  <c r="O3240" i="2"/>
  <c r="Q3240" i="2"/>
  <c r="O1221" i="2"/>
  <c r="Q1221" i="2"/>
  <c r="O2856" i="2"/>
  <c r="Q2856" i="2"/>
  <c r="O2769" i="2"/>
  <c r="Q2769" i="2"/>
  <c r="O2693" i="2"/>
  <c r="Q2693" i="2"/>
  <c r="O1435" i="2"/>
  <c r="Q1435" i="2"/>
  <c r="O2256" i="2"/>
  <c r="Q2256" i="2"/>
  <c r="O2479" i="2"/>
  <c r="Q2479" i="2"/>
  <c r="O502" i="2"/>
  <c r="Q502" i="2"/>
  <c r="O1798" i="2"/>
  <c r="Q1798" i="2"/>
  <c r="O3252" i="2"/>
  <c r="Q3252" i="2"/>
  <c r="O25" i="2"/>
  <c r="Q25" i="2"/>
  <c r="O1332" i="2"/>
  <c r="Q1332" i="2"/>
  <c r="O569" i="2"/>
  <c r="Q569" i="2"/>
  <c r="O1519" i="2"/>
  <c r="Q1519" i="2"/>
  <c r="O742" i="2"/>
  <c r="Q742" i="2"/>
  <c r="O3505" i="2"/>
  <c r="Q3505" i="2"/>
  <c r="O333" i="2"/>
  <c r="Q333" i="2"/>
  <c r="O2628" i="2"/>
  <c r="Q2628" i="2"/>
  <c r="O1211" i="2"/>
  <c r="Q1211" i="2"/>
  <c r="O2146" i="2"/>
  <c r="Q2146" i="2"/>
  <c r="O2519" i="2"/>
  <c r="Q2519" i="2"/>
  <c r="O3513" i="2"/>
  <c r="Q3513" i="2"/>
  <c r="O2360" i="2"/>
  <c r="Q2360" i="2"/>
  <c r="O197" i="2"/>
  <c r="Q197" i="2"/>
  <c r="O376" i="2"/>
  <c r="Q376" i="2"/>
  <c r="O2720" i="2"/>
  <c r="Q2720" i="2"/>
  <c r="O607" i="2"/>
  <c r="Q607" i="2"/>
  <c r="O1760" i="2"/>
  <c r="Q1760" i="2"/>
  <c r="O1248" i="2"/>
  <c r="Q1248" i="2"/>
  <c r="O2298" i="2"/>
  <c r="Q2298" i="2"/>
  <c r="O836" i="2"/>
  <c r="Q836" i="2"/>
  <c r="O2003" i="2"/>
  <c r="Q2003" i="2"/>
  <c r="O1927" i="2"/>
  <c r="Q1927" i="2"/>
  <c r="O1487" i="2"/>
  <c r="Q1487" i="2"/>
  <c r="O2371" i="2"/>
  <c r="Q2371" i="2"/>
  <c r="O3049" i="2"/>
  <c r="Q3049" i="2"/>
  <c r="O324" i="2"/>
  <c r="Q324" i="2"/>
  <c r="O2413" i="2"/>
  <c r="Q2413" i="2"/>
  <c r="O2131" i="2"/>
  <c r="Q2131" i="2"/>
  <c r="O971" i="2"/>
  <c r="Q971" i="2"/>
  <c r="O386" i="2"/>
  <c r="Q386" i="2"/>
  <c r="O3620" i="2"/>
  <c r="Q3620" i="2"/>
  <c r="O1686" i="2"/>
  <c r="Q1686" i="2"/>
  <c r="O1965" i="2"/>
  <c r="Q1965" i="2"/>
  <c r="O2005" i="2"/>
  <c r="Q2005" i="2"/>
  <c r="O998" i="2"/>
  <c r="Q998" i="2"/>
  <c r="O2885" i="2"/>
  <c r="Q2885" i="2"/>
  <c r="O2124" i="2"/>
  <c r="Q2124" i="2"/>
  <c r="O2174" i="2"/>
  <c r="Q2174" i="2"/>
  <c r="O2111" i="2"/>
  <c r="Q2111" i="2"/>
  <c r="O1538" i="2"/>
  <c r="Q1538" i="2"/>
  <c r="O208" i="2"/>
  <c r="Q208" i="2"/>
  <c r="O2334" i="2"/>
  <c r="Q2334" i="2"/>
  <c r="O1088" i="2"/>
  <c r="Q1088" i="2"/>
  <c r="O2036" i="2"/>
  <c r="Q2036" i="2"/>
  <c r="O2938" i="2"/>
  <c r="Q2938" i="2"/>
  <c r="O574" i="2"/>
  <c r="Q574" i="2"/>
  <c r="O1655" i="2"/>
  <c r="Q1655" i="2"/>
  <c r="O1738" i="2"/>
  <c r="Q1738" i="2"/>
  <c r="O2412" i="2"/>
  <c r="Q2412" i="2"/>
  <c r="O2457" i="2"/>
  <c r="Q2457" i="2"/>
  <c r="O3103" i="2"/>
  <c r="Q3103" i="2"/>
  <c r="O840" i="2"/>
  <c r="Q840" i="2"/>
  <c r="O2016" i="2"/>
  <c r="Q2016" i="2"/>
  <c r="O1877" i="2"/>
  <c r="Q1877" i="2"/>
  <c r="O1151" i="2"/>
  <c r="Q1151" i="2"/>
  <c r="O6" i="2"/>
  <c r="Q6" i="2"/>
  <c r="O2996" i="2"/>
  <c r="Q2996" i="2"/>
  <c r="O2882" i="2"/>
  <c r="Q2882" i="2"/>
  <c r="O995" i="2"/>
  <c r="Q995" i="2"/>
  <c r="O81" i="2"/>
  <c r="Q81" i="2"/>
  <c r="O2978" i="2"/>
  <c r="Q2978" i="2"/>
  <c r="O980" i="2"/>
  <c r="Q980" i="2"/>
  <c r="O3149" i="2"/>
  <c r="Q3149" i="2"/>
  <c r="O3582" i="2"/>
  <c r="Q3582" i="2"/>
  <c r="O1460" i="2"/>
  <c r="Q1460" i="2"/>
  <c r="O1693" i="2"/>
  <c r="Q1693" i="2"/>
  <c r="O3221" i="2"/>
  <c r="Q3221" i="2"/>
  <c r="O1599" i="2"/>
  <c r="Q1599" i="2"/>
  <c r="O1317" i="2"/>
  <c r="Q1317" i="2"/>
  <c r="O922" i="2"/>
  <c r="Q922" i="2"/>
  <c r="O1124" i="2"/>
  <c r="Q1124" i="2"/>
  <c r="O3010" i="2"/>
  <c r="Q3010" i="2"/>
  <c r="O2523" i="2"/>
  <c r="Q2523" i="2"/>
  <c r="O1285" i="2"/>
  <c r="Q1285" i="2"/>
  <c r="O2029" i="2"/>
  <c r="Q2029" i="2"/>
  <c r="O1049" i="2"/>
  <c r="Q1049" i="2"/>
  <c r="O219" i="2"/>
  <c r="Q219" i="2"/>
  <c r="O2365" i="2"/>
  <c r="Q2365" i="2"/>
  <c r="O2600" i="2"/>
  <c r="Q2600" i="2"/>
  <c r="O3460" i="2"/>
  <c r="Q3460" i="2"/>
  <c r="O1622" i="2"/>
  <c r="Q1622" i="2"/>
  <c r="O2091" i="2"/>
  <c r="Q2091" i="2"/>
  <c r="O2117" i="2"/>
  <c r="Q2117" i="2"/>
  <c r="O2840" i="2"/>
  <c r="Q2840" i="2"/>
  <c r="O3559" i="2"/>
  <c r="Q3559" i="2"/>
  <c r="O464" i="2"/>
  <c r="Q464" i="2"/>
  <c r="O2053" i="2"/>
  <c r="Q2053" i="2"/>
  <c r="O3541" i="2"/>
  <c r="Q3541" i="2"/>
  <c r="O2614" i="2"/>
  <c r="Q2614" i="2"/>
  <c r="O3354" i="2"/>
  <c r="Q3354" i="2"/>
  <c r="O1214" i="2"/>
  <c r="Q1214" i="2"/>
  <c r="O1761" i="2"/>
  <c r="Q1761" i="2"/>
  <c r="O2230" i="2"/>
  <c r="Q2230" i="2"/>
  <c r="O487" i="2"/>
  <c r="Q487" i="2"/>
  <c r="O737" i="2"/>
  <c r="Q737" i="2"/>
  <c r="O1703" i="2"/>
  <c r="Q1703" i="2"/>
  <c r="O776" i="2"/>
  <c r="Q776" i="2"/>
  <c r="O370" i="2"/>
  <c r="Q370" i="2"/>
  <c r="O1256" i="2"/>
  <c r="Q1256" i="2"/>
  <c r="O1811" i="2"/>
  <c r="Q1811" i="2"/>
  <c r="O3070" i="2"/>
  <c r="Q3070" i="2"/>
  <c r="O3282" i="2"/>
  <c r="Q3282" i="2"/>
  <c r="O1222" i="2"/>
  <c r="Q1222" i="2"/>
  <c r="O2573" i="2"/>
  <c r="Q2573" i="2"/>
  <c r="O481" i="2"/>
  <c r="Q481" i="2"/>
  <c r="O365" i="2"/>
  <c r="Q365" i="2"/>
  <c r="O2994" i="2"/>
  <c r="Q2994" i="2"/>
  <c r="O3071" i="2"/>
  <c r="Q3071" i="2"/>
  <c r="O599" i="2"/>
  <c r="Q599" i="2"/>
  <c r="O1597" i="2"/>
  <c r="Q1597" i="2"/>
  <c r="O2292" i="2"/>
  <c r="Q2292" i="2"/>
  <c r="O3473" i="2"/>
  <c r="Q3473" i="2"/>
  <c r="O1502" i="2"/>
  <c r="Q1502" i="2"/>
  <c r="O95" i="2"/>
  <c r="Q95" i="2"/>
  <c r="O1291" i="2"/>
  <c r="Q1291" i="2"/>
  <c r="O1513" i="2"/>
  <c r="Q1513" i="2"/>
  <c r="O2817" i="2"/>
  <c r="Q2817" i="2"/>
  <c r="O3095" i="2"/>
  <c r="Q3095" i="2"/>
  <c r="O3374" i="2"/>
  <c r="Q3374" i="2"/>
  <c r="O575" i="2"/>
  <c r="Q575" i="2"/>
  <c r="O480" i="2"/>
  <c r="Q480" i="2"/>
  <c r="O3333" i="2"/>
  <c r="Q3333" i="2"/>
  <c r="O2575" i="2"/>
  <c r="Q2575" i="2"/>
  <c r="O3146" i="2"/>
  <c r="Q3146" i="2"/>
  <c r="O2398" i="2"/>
  <c r="Q2398" i="2"/>
  <c r="O3285" i="2"/>
  <c r="Q3285" i="2"/>
  <c r="O994" i="2"/>
  <c r="Q994" i="2"/>
  <c r="O3389" i="2"/>
  <c r="Q3389" i="2"/>
  <c r="O2868" i="2"/>
  <c r="Q2868" i="2"/>
  <c r="O794" i="2"/>
  <c r="Q794" i="2"/>
  <c r="O1174" i="2"/>
  <c r="Q1174" i="2"/>
  <c r="O3476" i="2"/>
  <c r="Q3476" i="2"/>
  <c r="O3175" i="2"/>
  <c r="Q3175" i="2"/>
  <c r="O1245" i="2"/>
  <c r="Q1245" i="2"/>
  <c r="O1331" i="2"/>
  <c r="Q1331" i="2"/>
  <c r="O3304" i="2"/>
  <c r="Q3304" i="2"/>
  <c r="O2033" i="2"/>
  <c r="Q2033" i="2"/>
  <c r="O449" i="2"/>
  <c r="Q449" i="2"/>
  <c r="O679" i="2"/>
  <c r="Q679" i="2"/>
  <c r="O1335" i="2"/>
  <c r="Q1335" i="2"/>
  <c r="O2678" i="2"/>
  <c r="Q2678" i="2"/>
  <c r="O110" i="2"/>
  <c r="Q110" i="2"/>
  <c r="O1664" i="2"/>
  <c r="Q1664" i="2"/>
  <c r="O346" i="2"/>
  <c r="Q346" i="2"/>
  <c r="O1903" i="2"/>
  <c r="Q1903" i="2"/>
  <c r="O1427" i="2"/>
  <c r="Q1427" i="2"/>
  <c r="O668" i="2"/>
  <c r="Q668" i="2"/>
  <c r="O1329" i="2"/>
  <c r="Q1329" i="2"/>
  <c r="O745" i="2"/>
  <c r="Q745" i="2"/>
  <c r="O1596" i="2"/>
  <c r="Q1596" i="2"/>
  <c r="O2409" i="2"/>
  <c r="Q2409" i="2"/>
  <c r="O758" i="2"/>
  <c r="Q758" i="2"/>
  <c r="O1352" i="2"/>
  <c r="Q1352" i="2"/>
  <c r="O2157" i="2"/>
  <c r="Q2157" i="2"/>
  <c r="O1092" i="2"/>
  <c r="Q1092" i="2"/>
  <c r="O950" i="2"/>
  <c r="Q950" i="2"/>
  <c r="O2826" i="2"/>
  <c r="Q2826" i="2"/>
  <c r="O217" i="2"/>
  <c r="Q217" i="2"/>
  <c r="O2095" i="2"/>
  <c r="Q2095" i="2"/>
  <c r="O1327" i="2"/>
  <c r="Q1327" i="2"/>
  <c r="O2643" i="2"/>
  <c r="Q2643" i="2"/>
  <c r="O3231" i="2"/>
  <c r="Q3231" i="2"/>
  <c r="O2119" i="2"/>
  <c r="Q2119" i="2"/>
  <c r="O1779" i="2"/>
  <c r="Q1779" i="2"/>
  <c r="O1302" i="2"/>
  <c r="Q1302" i="2"/>
  <c r="O431" i="2"/>
  <c r="Q431" i="2"/>
  <c r="O2333" i="2"/>
  <c r="Q2333" i="2"/>
  <c r="O1615" i="2"/>
  <c r="Q1615" i="2"/>
  <c r="O2694" i="2"/>
  <c r="Q2694" i="2"/>
  <c r="O1272" i="2"/>
  <c r="Q1272" i="2"/>
  <c r="O87" i="2"/>
  <c r="Q87" i="2"/>
  <c r="O1417" i="2"/>
  <c r="Q1417" i="2"/>
  <c r="O1258" i="2"/>
  <c r="Q1258" i="2"/>
  <c r="O523" i="2"/>
  <c r="Q523" i="2"/>
  <c r="O1998" i="2"/>
  <c r="Q1998" i="2"/>
  <c r="O1490" i="2"/>
  <c r="Q1490" i="2"/>
  <c r="O2539" i="2"/>
  <c r="Q2539" i="2"/>
  <c r="O1540" i="2"/>
  <c r="Q1540" i="2"/>
  <c r="O2213" i="2"/>
  <c r="Q2213" i="2"/>
  <c r="O1183" i="2"/>
  <c r="Q1183" i="2"/>
  <c r="O301" i="2"/>
  <c r="Q301" i="2"/>
  <c r="O1777" i="2"/>
  <c r="Q1777" i="2"/>
  <c r="O361" i="2"/>
  <c r="Q361" i="2"/>
  <c r="O3526" i="2"/>
  <c r="Q3526" i="2"/>
  <c r="O1147" i="2"/>
  <c r="Q1147" i="2"/>
  <c r="O2160" i="2"/>
  <c r="Q2160" i="2"/>
  <c r="O3516" i="2"/>
  <c r="Q3516" i="2"/>
  <c r="O2357" i="2"/>
  <c r="Q2357" i="2"/>
  <c r="O663" i="2"/>
  <c r="Q663" i="2"/>
  <c r="O2670" i="2"/>
  <c r="Q2670" i="2"/>
  <c r="O351" i="2"/>
  <c r="Q351" i="2"/>
  <c r="O3241" i="2"/>
  <c r="Q3241" i="2"/>
  <c r="O2802" i="2"/>
  <c r="Q2802" i="2"/>
  <c r="O1611" i="2"/>
  <c r="Q1611" i="2"/>
  <c r="O3058" i="2"/>
  <c r="Q3058" i="2"/>
  <c r="O2891" i="2"/>
  <c r="Q2891" i="2"/>
  <c r="O674" i="2"/>
  <c r="Q674" i="2"/>
  <c r="O3276" i="2"/>
  <c r="Q3276" i="2"/>
  <c r="O2640" i="2"/>
  <c r="Q2640" i="2"/>
  <c r="O46" i="2"/>
  <c r="Q46" i="2"/>
  <c r="O975" i="2"/>
  <c r="Q975" i="2"/>
  <c r="O3260" i="2"/>
  <c r="Q3260" i="2"/>
  <c r="O3208" i="2"/>
  <c r="Q3208" i="2"/>
  <c r="O1556" i="2"/>
  <c r="Q1556" i="2"/>
  <c r="O3536" i="2"/>
  <c r="Q3536" i="2"/>
  <c r="O371" i="2"/>
  <c r="Q371" i="2"/>
  <c r="O158" i="2"/>
  <c r="Q158" i="2"/>
  <c r="O1993" i="2"/>
  <c r="Q1993" i="2"/>
  <c r="O2278" i="2"/>
  <c r="Q2278" i="2"/>
  <c r="O2208" i="2"/>
  <c r="Q2208" i="2"/>
  <c r="O343" i="2"/>
  <c r="Q343" i="2"/>
  <c r="O1849" i="2"/>
  <c r="Q1849" i="2"/>
  <c r="O3529" i="2"/>
  <c r="Q3529" i="2"/>
  <c r="O1764" i="2"/>
  <c r="Q1764" i="2"/>
  <c r="O2658" i="2"/>
  <c r="Q2658" i="2"/>
  <c r="O1863" i="2"/>
  <c r="Q1863" i="2"/>
  <c r="O1671" i="2"/>
  <c r="Q1671" i="2"/>
  <c r="O1031" i="2"/>
  <c r="Q1031" i="2"/>
  <c r="O1912" i="2"/>
  <c r="Q1912" i="2"/>
  <c r="O1905" i="2"/>
  <c r="Q1905" i="2"/>
  <c r="O3154" i="2"/>
  <c r="Q3154" i="2"/>
  <c r="O2282" i="2"/>
  <c r="Q2282" i="2"/>
  <c r="O1325" i="2"/>
  <c r="Q1325" i="2"/>
  <c r="O3156" i="2"/>
  <c r="Q3156" i="2"/>
  <c r="O1600" i="2"/>
  <c r="Q1600" i="2"/>
  <c r="O3297" i="2"/>
  <c r="Q3297" i="2"/>
  <c r="O2958" i="2"/>
  <c r="Q2958" i="2"/>
  <c r="O363" i="2"/>
  <c r="Q363" i="2"/>
  <c r="O1788" i="2"/>
  <c r="Q1788" i="2"/>
  <c r="O582" i="2"/>
  <c r="Q582" i="2"/>
  <c r="O2210" i="2"/>
  <c r="Q2210" i="2"/>
  <c r="O3038" i="2"/>
  <c r="Q3038" i="2"/>
  <c r="O896" i="2"/>
  <c r="Q896" i="2"/>
  <c r="O589" i="2"/>
  <c r="Q589" i="2"/>
  <c r="O3158" i="2"/>
  <c r="Q3158" i="2"/>
  <c r="O2942" i="2"/>
  <c r="Q2942" i="2"/>
  <c r="O3222" i="2"/>
  <c r="Q3222" i="2"/>
  <c r="O3289" i="2"/>
  <c r="Q3289" i="2"/>
  <c r="O21" i="2"/>
  <c r="Q21" i="2"/>
  <c r="O2513" i="2"/>
  <c r="Q2513" i="2"/>
  <c r="O2136" i="2"/>
  <c r="Q2136" i="2"/>
  <c r="O284" i="2"/>
  <c r="Q284" i="2"/>
  <c r="O1039" i="2"/>
  <c r="Q1039" i="2"/>
  <c r="O2343" i="2"/>
  <c r="Q2343" i="2"/>
  <c r="O3631" i="2"/>
  <c r="Q3631" i="2"/>
  <c r="O1782" i="2"/>
  <c r="Q1782" i="2"/>
  <c r="O1013" i="2"/>
  <c r="Q1013" i="2"/>
  <c r="O961" i="2"/>
  <c r="Q961" i="2"/>
  <c r="O783" i="2"/>
  <c r="Q783" i="2"/>
  <c r="O1732" i="2"/>
  <c r="Q1732" i="2"/>
  <c r="O2849" i="2"/>
  <c r="Q2849" i="2"/>
  <c r="O860" i="2"/>
  <c r="Q860" i="2"/>
  <c r="O265" i="2"/>
  <c r="Q265" i="2"/>
  <c r="O1954" i="2"/>
  <c r="Q1954" i="2"/>
  <c r="O1472" i="2"/>
  <c r="Q1472" i="2"/>
  <c r="O511" i="2"/>
  <c r="Q511" i="2"/>
  <c r="O1450" i="2"/>
  <c r="Q1450" i="2"/>
  <c r="O3340" i="2"/>
  <c r="Q3340" i="2"/>
  <c r="O1276" i="2"/>
  <c r="Q1276" i="2"/>
  <c r="O3213" i="2"/>
  <c r="Q3213" i="2"/>
  <c r="O41" i="2"/>
  <c r="Q41" i="2"/>
  <c r="O2783" i="2"/>
  <c r="Q2783" i="2"/>
  <c r="O2418" i="2"/>
  <c r="Q2418" i="2"/>
  <c r="O1140" i="2"/>
  <c r="Q1140" i="2"/>
  <c r="O1642" i="2"/>
  <c r="Q1642" i="2"/>
  <c r="O799" i="2"/>
  <c r="Q799" i="2"/>
  <c r="O1720" i="2"/>
  <c r="Q1720" i="2"/>
  <c r="O2560" i="2"/>
  <c r="Q2560" i="2"/>
  <c r="O321" i="2"/>
  <c r="Q321" i="2"/>
  <c r="O2839" i="2"/>
  <c r="Q2839" i="2"/>
  <c r="O1613" i="2"/>
  <c r="Q1613" i="2"/>
  <c r="O1733" i="2"/>
  <c r="Q1733" i="2"/>
  <c r="O85" i="2"/>
  <c r="Q85" i="2"/>
  <c r="O1836" i="2"/>
  <c r="Q1836" i="2"/>
  <c r="O3068" i="2"/>
  <c r="Q3068" i="2"/>
  <c r="O1410" i="2"/>
  <c r="Q1410" i="2"/>
  <c r="O3432" i="2"/>
  <c r="Q3432" i="2"/>
  <c r="O2214" i="2"/>
  <c r="Q2214" i="2"/>
  <c r="O3106" i="2"/>
  <c r="Q3106" i="2"/>
  <c r="O796" i="2"/>
  <c r="Q796" i="2"/>
  <c r="O1529" i="2"/>
  <c r="Q1529" i="2"/>
  <c r="O2403" i="2"/>
  <c r="Q2403" i="2"/>
  <c r="O2159" i="2"/>
  <c r="Q2159" i="2"/>
  <c r="O3494" i="2"/>
  <c r="Q3494" i="2"/>
  <c r="O3006" i="2"/>
  <c r="Q3006" i="2"/>
  <c r="O2287" i="2"/>
  <c r="Q2287" i="2"/>
  <c r="O901" i="2"/>
  <c r="Q901" i="2"/>
  <c r="O349" i="2"/>
  <c r="Q349" i="2"/>
  <c r="O3131" i="2"/>
  <c r="Q3131" i="2"/>
  <c r="O723" i="2"/>
  <c r="Q723" i="2"/>
  <c r="O35" i="2"/>
  <c r="Q35" i="2"/>
  <c r="O1850" i="2"/>
  <c r="Q1850" i="2"/>
  <c r="O1750" i="2"/>
  <c r="Q1750" i="2"/>
  <c r="O26" i="2"/>
  <c r="Q26" i="2"/>
  <c r="O2650" i="2"/>
  <c r="Q2650" i="2"/>
  <c r="O3623" i="2"/>
  <c r="Q3623" i="2"/>
  <c r="O2929" i="2"/>
  <c r="Q2929" i="2"/>
  <c r="O2800" i="2"/>
  <c r="Q2800" i="2"/>
  <c r="O1641" i="2"/>
  <c r="Q1641" i="2"/>
  <c r="O2152" i="2"/>
  <c r="Q2152" i="2"/>
  <c r="O1198" i="2"/>
  <c r="Q1198" i="2"/>
  <c r="O685" i="2"/>
  <c r="Q685" i="2"/>
  <c r="O2632" i="2"/>
  <c r="Q2632" i="2"/>
  <c r="O647" i="2"/>
  <c r="Q647" i="2"/>
  <c r="O2049" i="2"/>
  <c r="Q2049" i="2"/>
  <c r="O3501" i="2"/>
  <c r="Q3501" i="2"/>
  <c r="O2611" i="2"/>
  <c r="Q2611" i="2"/>
  <c r="O3551" i="2"/>
  <c r="Q3551" i="2"/>
  <c r="O1700" i="2"/>
  <c r="Q1700" i="2"/>
  <c r="O781" i="2"/>
  <c r="Q781" i="2"/>
  <c r="O1945" i="2"/>
  <c r="Q1945" i="2"/>
  <c r="O2108" i="2"/>
  <c r="Q2108" i="2"/>
  <c r="O75" i="2"/>
  <c r="Q75" i="2"/>
  <c r="O1958" i="2"/>
  <c r="Q1958" i="2"/>
  <c r="O570" i="2"/>
  <c r="Q570" i="2"/>
  <c r="O753" i="2"/>
  <c r="Q753" i="2"/>
  <c r="O2113" i="2"/>
  <c r="Q2113" i="2"/>
  <c r="O435" i="2"/>
  <c r="Q435" i="2"/>
  <c r="O1112" i="2"/>
  <c r="Q1112" i="2"/>
  <c r="O1346" i="2"/>
  <c r="Q1346" i="2"/>
  <c r="O1383" i="2"/>
  <c r="Q1383" i="2"/>
  <c r="O240" i="2"/>
  <c r="Q240" i="2"/>
  <c r="O2056" i="2"/>
  <c r="Q2056" i="2"/>
  <c r="O2319" i="2"/>
  <c r="Q2319" i="2"/>
  <c r="O3604" i="2"/>
  <c r="Q3604" i="2"/>
  <c r="O3314" i="2"/>
  <c r="Q3314" i="2"/>
  <c r="O2192" i="2"/>
  <c r="Q2192" i="2"/>
  <c r="O1253" i="2"/>
  <c r="Q1253" i="2"/>
  <c r="O241" i="2"/>
  <c r="Q241" i="2"/>
  <c r="O1377" i="2"/>
  <c r="Q1377" i="2"/>
  <c r="O1167" i="2"/>
  <c r="Q1167" i="2"/>
  <c r="O2829" i="2"/>
  <c r="Q2829" i="2"/>
  <c r="O1104" i="2"/>
  <c r="Q1104" i="2"/>
  <c r="O1758" i="2"/>
  <c r="Q1758" i="2"/>
  <c r="O1922" i="2"/>
  <c r="Q1922" i="2"/>
  <c r="O859" i="2"/>
  <c r="Q859" i="2"/>
  <c r="O2813" i="2"/>
  <c r="Q2813" i="2"/>
  <c r="O1287" i="2"/>
  <c r="Q1287" i="2"/>
  <c r="O1800" i="2"/>
  <c r="Q1800" i="2"/>
  <c r="O416" i="2"/>
  <c r="Q416" i="2"/>
  <c r="O403" i="2"/>
  <c r="Q403" i="2"/>
  <c r="O513" i="2"/>
  <c r="Q513" i="2"/>
  <c r="O53" i="2"/>
  <c r="Q53" i="2"/>
  <c r="O3185" i="2"/>
  <c r="Q3185" i="2"/>
  <c r="O2812" i="2"/>
  <c r="Q2812" i="2"/>
  <c r="O358" i="2"/>
  <c r="Q358" i="2"/>
  <c r="O2375" i="2"/>
  <c r="Q2375" i="2"/>
  <c r="O312" i="2"/>
  <c r="Q312" i="2"/>
  <c r="O3415" i="2"/>
  <c r="Q3415" i="2"/>
  <c r="O199" i="2"/>
  <c r="Q199" i="2"/>
  <c r="O2572" i="2"/>
  <c r="Q2572" i="2"/>
  <c r="O2162" i="2"/>
  <c r="Q2162" i="2"/>
  <c r="O898" i="2"/>
  <c r="Q898" i="2"/>
  <c r="O2118" i="2"/>
  <c r="Q2118" i="2"/>
  <c r="O20" i="2"/>
  <c r="Q20" i="2"/>
  <c r="O518" i="2"/>
  <c r="Q518" i="2"/>
  <c r="O2524" i="2"/>
  <c r="Q2524" i="2"/>
  <c r="O369" i="2"/>
  <c r="Q369" i="2"/>
  <c r="O3169" i="2"/>
  <c r="Q3169" i="2"/>
  <c r="O1254" i="2"/>
  <c r="Q1254" i="2"/>
  <c r="O2447" i="2"/>
  <c r="Q2447" i="2"/>
  <c r="O220" i="2"/>
  <c r="Q220" i="2"/>
  <c r="O2083" i="2"/>
  <c r="Q2083" i="2"/>
  <c r="O2202" i="2"/>
  <c r="Q2202" i="2"/>
  <c r="O1772" i="2"/>
  <c r="Q1772" i="2"/>
  <c r="O1631" i="2"/>
  <c r="Q1631" i="2"/>
  <c r="O763" i="2"/>
  <c r="Q763" i="2"/>
  <c r="O1349" i="2"/>
  <c r="Q1349" i="2"/>
  <c r="O1401" i="2"/>
  <c r="Q1401" i="2"/>
  <c r="O1014" i="2"/>
  <c r="Q1014" i="2"/>
  <c r="O2317" i="2"/>
  <c r="Q2317" i="2"/>
  <c r="O2352" i="2"/>
  <c r="Q2352" i="2"/>
  <c r="O354" i="2"/>
  <c r="Q354" i="2"/>
  <c r="O1997" i="2"/>
  <c r="Q1997" i="2"/>
  <c r="O2212" i="2"/>
  <c r="Q2212" i="2"/>
  <c r="O1074" i="2"/>
  <c r="Q1074" i="2"/>
  <c r="O2386" i="2"/>
  <c r="Q2386" i="2"/>
  <c r="O999" i="2"/>
  <c r="Q999" i="2"/>
  <c r="O1835" i="2"/>
  <c r="Q1835" i="2"/>
  <c r="O3549" i="2"/>
  <c r="Q3549" i="2"/>
  <c r="O1387" i="2"/>
  <c r="Q1387" i="2"/>
  <c r="O216" i="2"/>
  <c r="Q216" i="2"/>
  <c r="O919" i="2"/>
  <c r="Q919" i="2"/>
  <c r="O2149" i="2"/>
  <c r="Q2149" i="2"/>
  <c r="O2315" i="2"/>
  <c r="Q2315" i="2"/>
  <c r="O1521" i="2"/>
  <c r="Q1521" i="2"/>
  <c r="O656" i="2"/>
  <c r="Q656" i="2"/>
  <c r="O2025" i="2"/>
  <c r="Q2025" i="2"/>
  <c r="O2525" i="2"/>
  <c r="Q2525" i="2"/>
  <c r="O1881" i="2"/>
  <c r="Q1881" i="2"/>
  <c r="O3439" i="2"/>
  <c r="Q3439" i="2"/>
  <c r="O1801" i="2"/>
  <c r="Q1801" i="2"/>
  <c r="O2020" i="2"/>
  <c r="Q2020" i="2"/>
  <c r="O2690" i="2"/>
  <c r="Q2690" i="2"/>
  <c r="O3458" i="2"/>
  <c r="Q3458" i="2"/>
  <c r="O255" i="2"/>
  <c r="Q255" i="2"/>
  <c r="O621" i="2"/>
  <c r="Q621" i="2"/>
  <c r="O3136" i="2"/>
  <c r="Q3136" i="2"/>
  <c r="O1405" i="2"/>
  <c r="Q1405" i="2"/>
  <c r="O1803" i="2"/>
  <c r="Q1803" i="2"/>
  <c r="O531" i="2"/>
  <c r="Q531" i="2"/>
  <c r="O2144" i="2"/>
  <c r="Q2144" i="2"/>
  <c r="O3167" i="2"/>
  <c r="Q3167" i="2"/>
  <c r="O1137" i="2"/>
  <c r="Q1137" i="2"/>
  <c r="O1389" i="2"/>
  <c r="Q1389" i="2"/>
  <c r="O573" i="2"/>
  <c r="Q573" i="2"/>
  <c r="O3012" i="2"/>
  <c r="Q3012" i="2"/>
  <c r="O2231" i="2"/>
  <c r="Q2231" i="2"/>
  <c r="O780" i="2"/>
  <c r="Q780" i="2"/>
  <c r="O1493" i="2"/>
  <c r="Q1493" i="2"/>
  <c r="O654" i="2"/>
  <c r="Q654" i="2"/>
  <c r="O3482" i="2"/>
  <c r="Q3482" i="2"/>
  <c r="O3495" i="2"/>
  <c r="Q3495" i="2"/>
  <c r="O2814" i="2"/>
  <c r="Q2814" i="2"/>
  <c r="O1242" i="2"/>
  <c r="Q1242" i="2"/>
  <c r="O164" i="2"/>
  <c r="Q164" i="2"/>
  <c r="O1080" i="2"/>
  <c r="Q1080" i="2"/>
  <c r="O44" i="2"/>
  <c r="Q44" i="2"/>
  <c r="O2980" i="2"/>
  <c r="Q2980" i="2"/>
  <c r="O2621" i="2"/>
  <c r="Q2621" i="2"/>
  <c r="O1657" i="2"/>
  <c r="Q1657" i="2"/>
  <c r="O1394" i="2"/>
  <c r="Q1394" i="2"/>
  <c r="O1792" i="2"/>
  <c r="Q1792" i="2"/>
  <c r="O3026" i="2"/>
  <c r="Q3026" i="2"/>
  <c r="O2579" i="2"/>
  <c r="Q2579" i="2"/>
  <c r="O3424" i="2"/>
  <c r="Q3424" i="2"/>
  <c r="O1723" i="2"/>
  <c r="Q1723" i="2"/>
  <c r="O1952" i="2"/>
  <c r="Q1952" i="2"/>
  <c r="O1215" i="2"/>
  <c r="Q1215" i="2"/>
  <c r="O562" i="2"/>
  <c r="Q562" i="2"/>
  <c r="O3122" i="2"/>
  <c r="Q3122" i="2"/>
  <c r="O3108" i="2"/>
  <c r="Q3108" i="2"/>
  <c r="O937" i="2"/>
  <c r="Q937" i="2"/>
  <c r="O3570" i="2"/>
  <c r="Q3570" i="2"/>
  <c r="O1708" i="2"/>
  <c r="Q1708" i="2"/>
  <c r="O862" i="2"/>
  <c r="Q862" i="2"/>
  <c r="O3151" i="2"/>
  <c r="Q3151" i="2"/>
  <c r="O1029" i="2"/>
  <c r="Q1029" i="2"/>
  <c r="O703" i="2"/>
  <c r="Q703" i="2"/>
  <c r="O2490" i="2"/>
  <c r="Q2490" i="2"/>
  <c r="O3555" i="2"/>
  <c r="Q3555" i="2"/>
  <c r="O1654" i="2"/>
  <c r="Q1654" i="2"/>
  <c r="O1583" i="2"/>
  <c r="Q1583" i="2"/>
  <c r="O909" i="2"/>
  <c r="Q909" i="2"/>
  <c r="O1749" i="2"/>
  <c r="Q1749" i="2"/>
  <c r="O3088" i="2"/>
  <c r="Q3088" i="2"/>
  <c r="O921" i="2"/>
  <c r="Q921" i="2"/>
  <c r="O2739" i="2"/>
  <c r="Q2739" i="2"/>
  <c r="O2555" i="2"/>
  <c r="Q2555" i="2"/>
  <c r="O992" i="2"/>
  <c r="Q992" i="2"/>
  <c r="O728" i="2"/>
  <c r="Q728" i="2"/>
  <c r="O1824" i="2"/>
  <c r="Q1824" i="2"/>
  <c r="O1992" i="2"/>
  <c r="Q1992" i="2"/>
  <c r="O1692" i="2"/>
  <c r="Q1692" i="2"/>
  <c r="O3576" i="2"/>
  <c r="Q3576" i="2"/>
  <c r="O3396" i="2"/>
  <c r="Q3396" i="2"/>
  <c r="O70" i="2"/>
  <c r="Q70" i="2"/>
  <c r="O3574" i="2"/>
  <c r="Q3574" i="2"/>
  <c r="O246" i="2"/>
  <c r="Q246" i="2"/>
  <c r="O111" i="2"/>
  <c r="Q111" i="2"/>
  <c r="O234" i="2"/>
  <c r="Q234" i="2"/>
  <c r="O2683" i="2"/>
  <c r="Q2683" i="2"/>
  <c r="O362" i="2"/>
  <c r="Q362" i="2"/>
  <c r="O2367" i="2"/>
  <c r="Q2367" i="2"/>
  <c r="O1567" i="2"/>
  <c r="Q1567" i="2"/>
  <c r="O3493" i="2"/>
  <c r="Q3493" i="2"/>
  <c r="O1961" i="2"/>
  <c r="Q1961" i="2"/>
  <c r="O514" i="2"/>
  <c r="Q514" i="2"/>
  <c r="O429" i="2"/>
  <c r="Q429" i="2"/>
  <c r="O3293" i="2"/>
  <c r="Q3293" i="2"/>
  <c r="O2259" i="2"/>
  <c r="Q2259" i="2"/>
  <c r="O1677" i="2"/>
  <c r="Q1677" i="2"/>
  <c r="O3492" i="2"/>
  <c r="Q3492" i="2"/>
  <c r="O3628" i="2"/>
  <c r="Q3628" i="2"/>
  <c r="O3592" i="2"/>
  <c r="Q3592" i="2"/>
  <c r="O590" i="2"/>
  <c r="Q590" i="2"/>
  <c r="O918" i="2"/>
  <c r="Q918" i="2"/>
  <c r="O1514" i="2"/>
  <c r="Q1514" i="2"/>
  <c r="O1668" i="2"/>
  <c r="Q1668" i="2"/>
  <c r="O1653" i="2"/>
  <c r="Q1653" i="2"/>
  <c r="O2013" i="2"/>
  <c r="Q2013" i="2"/>
  <c r="O2833" i="2"/>
  <c r="Q2833" i="2"/>
  <c r="O3577" i="2"/>
  <c r="Q3577" i="2"/>
  <c r="O2507" i="2"/>
  <c r="Q2507" i="2"/>
  <c r="O337" i="2"/>
  <c r="Q337" i="2"/>
  <c r="O2905" i="2"/>
  <c r="Q2905" i="2"/>
  <c r="O214" i="2"/>
  <c r="Q214" i="2"/>
  <c r="O2242" i="2"/>
  <c r="Q2242" i="2"/>
  <c r="O2443" i="2"/>
  <c r="Q2443" i="2"/>
  <c r="O858" i="2"/>
  <c r="Q858" i="2"/>
  <c r="O1752" i="2"/>
  <c r="Q1752" i="2"/>
  <c r="O360" i="2"/>
  <c r="Q360" i="2"/>
  <c r="O2181" i="2"/>
  <c r="Q2181" i="2"/>
  <c r="O1203" i="2"/>
  <c r="Q1203" i="2"/>
  <c r="O142" i="2"/>
  <c r="Q142" i="2"/>
  <c r="O560" i="2"/>
  <c r="Q560" i="2"/>
  <c r="O3603" i="2"/>
  <c r="Q3603" i="2"/>
  <c r="O423" i="2"/>
  <c r="Q423" i="2"/>
  <c r="O38" i="2"/>
  <c r="Q38" i="2"/>
  <c r="O3193" i="2"/>
  <c r="Q3193" i="2"/>
  <c r="O3410" i="2"/>
  <c r="Q3410" i="2"/>
  <c r="O3500" i="2"/>
  <c r="Q3500" i="2"/>
  <c r="O944" i="2"/>
  <c r="Q944" i="2"/>
  <c r="O726" i="2"/>
  <c r="Q726" i="2"/>
  <c r="O230" i="2"/>
  <c r="Q230" i="2"/>
  <c r="O2480" i="2"/>
  <c r="Q2480" i="2"/>
  <c r="O2489" i="2"/>
  <c r="Q2489" i="2"/>
  <c r="O1822" i="2"/>
  <c r="Q1822" i="2"/>
  <c r="O548" i="2"/>
  <c r="Q548" i="2"/>
  <c r="O103" i="2"/>
  <c r="Q103" i="2"/>
  <c r="O1379" i="2"/>
  <c r="Q1379" i="2"/>
  <c r="O2394" i="2"/>
  <c r="Q2394" i="2"/>
  <c r="O1126" i="2"/>
  <c r="Q1126" i="2"/>
  <c r="O1449" i="2"/>
  <c r="Q1449" i="2"/>
  <c r="O1159" i="2"/>
  <c r="Q1159" i="2"/>
  <c r="O1015" i="2"/>
  <c r="Q1015" i="2"/>
  <c r="O746" i="2"/>
  <c r="Q746" i="2"/>
  <c r="O1062" i="2"/>
  <c r="Q1062" i="2"/>
  <c r="O298" i="2"/>
  <c r="Q298" i="2"/>
  <c r="O3398" i="2"/>
  <c r="Q3398" i="2"/>
  <c r="O368" i="2"/>
  <c r="Q368" i="2"/>
  <c r="O1499" i="2"/>
  <c r="Q1499" i="2"/>
  <c r="O2736" i="2"/>
  <c r="Q2736" i="2"/>
  <c r="O866" i="2"/>
  <c r="Q866" i="2"/>
  <c r="O2624" i="2"/>
  <c r="Q2624" i="2"/>
  <c r="O1308" i="2"/>
  <c r="Q1308" i="2"/>
  <c r="O2586" i="2"/>
  <c r="Q2586" i="2"/>
  <c r="O160" i="2"/>
  <c r="Q160" i="2"/>
  <c r="O1855" i="2"/>
  <c r="Q1855" i="2"/>
  <c r="O3139" i="2"/>
  <c r="Q3139" i="2"/>
  <c r="O1111" i="2"/>
  <c r="Q1111" i="2"/>
  <c r="O2661" i="2"/>
  <c r="Q2661" i="2"/>
  <c r="O1067" i="2"/>
  <c r="Q1067" i="2"/>
  <c r="O3292" i="2"/>
  <c r="Q3292" i="2"/>
  <c r="O3320" i="2"/>
  <c r="Q3320" i="2"/>
  <c r="O2464" i="2"/>
  <c r="Q2464" i="2"/>
  <c r="O1921" i="2"/>
  <c r="Q1921" i="2"/>
  <c r="O2999" i="2"/>
  <c r="Q2999" i="2"/>
  <c r="O326" i="2"/>
  <c r="Q326" i="2"/>
  <c r="O3619" i="2"/>
  <c r="Q3619" i="2"/>
  <c r="O3033" i="2"/>
  <c r="Q3033" i="2"/>
  <c r="O1501" i="2"/>
  <c r="Q1501" i="2"/>
  <c r="O617" i="2"/>
  <c r="Q617" i="2"/>
  <c r="O32" i="2"/>
  <c r="Q32" i="2"/>
  <c r="O1064" i="2"/>
  <c r="Q1064" i="2"/>
  <c r="O714" i="2"/>
  <c r="Q714" i="2"/>
  <c r="O113" i="2"/>
  <c r="Q113" i="2"/>
  <c r="O1280" i="2"/>
  <c r="Q1280" i="2"/>
  <c r="O2349" i="2"/>
  <c r="Q2349" i="2"/>
  <c r="O3197" i="2"/>
  <c r="Q3197" i="2"/>
  <c r="O2822" i="2"/>
  <c r="Q2822" i="2"/>
  <c r="O350" i="2"/>
  <c r="Q350" i="2"/>
  <c r="O299" i="2"/>
  <c r="Q299" i="2"/>
  <c r="O2384" i="2"/>
  <c r="Q2384" i="2"/>
  <c r="O3188" i="2"/>
  <c r="Q3188" i="2"/>
  <c r="O3107" i="2"/>
  <c r="Q3107" i="2"/>
  <c r="O1744" i="2"/>
  <c r="Q1744" i="2"/>
  <c r="O2332" i="2"/>
  <c r="Q2332" i="2"/>
  <c r="O347" i="2"/>
  <c r="Q347" i="2"/>
  <c r="O3236" i="2"/>
  <c r="Q3236" i="2"/>
  <c r="O2452" i="2"/>
  <c r="Q2452" i="2"/>
  <c r="O1759" i="2"/>
  <c r="Q1759" i="2"/>
  <c r="O1565" i="2"/>
  <c r="Q1565" i="2"/>
  <c r="O2429" i="2"/>
  <c r="Q2429" i="2"/>
  <c r="O3562" i="2"/>
  <c r="Q3562" i="2"/>
  <c r="O3387" i="2"/>
  <c r="Q3387" i="2"/>
  <c r="O2205" i="2"/>
  <c r="Q2205" i="2"/>
  <c r="O3168" i="2"/>
  <c r="Q3168" i="2"/>
  <c r="O2948" i="2"/>
  <c r="Q2948" i="2"/>
  <c r="O2261" i="2"/>
  <c r="Q2261" i="2"/>
  <c r="O1041" i="2"/>
  <c r="Q1041" i="2"/>
  <c r="O3325" i="2"/>
  <c r="Q3325" i="2"/>
  <c r="O198" i="2"/>
  <c r="Q198" i="2"/>
  <c r="O1768" i="2"/>
  <c r="Q1768" i="2"/>
  <c r="O963" i="2"/>
  <c r="Q963" i="2"/>
  <c r="O3210" i="2"/>
  <c r="Q3210" i="2"/>
  <c r="O2028" i="2"/>
  <c r="Q2028" i="2"/>
  <c r="O2863" i="2"/>
  <c r="Q2863" i="2"/>
  <c r="O1887" i="2"/>
  <c r="Q1887" i="2"/>
  <c r="O391" i="2"/>
  <c r="Q391" i="2"/>
  <c r="O2890" i="2"/>
  <c r="Q2890" i="2"/>
  <c r="O923" i="2"/>
  <c r="Q923" i="2"/>
  <c r="O3021" i="2"/>
  <c r="Q3021" i="2"/>
  <c r="O1483" i="2"/>
  <c r="Q1483" i="2"/>
  <c r="O2132" i="2"/>
  <c r="Q2132" i="2"/>
  <c r="O1924" i="2"/>
  <c r="Q1924" i="2"/>
  <c r="O100" i="2"/>
  <c r="Q100" i="2"/>
  <c r="O2844" i="2"/>
  <c r="Q2844" i="2"/>
  <c r="O2893" i="2"/>
  <c r="Q2893" i="2"/>
  <c r="O466" i="2"/>
  <c r="Q466" i="2"/>
  <c r="O3486" i="2"/>
  <c r="Q3486" i="2"/>
  <c r="O969" i="2"/>
  <c r="Q969" i="2"/>
  <c r="O1956" i="2"/>
  <c r="Q1956" i="2"/>
  <c r="O348" i="2"/>
  <c r="Q348" i="2"/>
  <c r="O3280" i="2"/>
  <c r="Q3280" i="2"/>
  <c r="O96" i="2"/>
  <c r="Q96" i="2"/>
  <c r="O546" i="2"/>
  <c r="Q546" i="2"/>
  <c r="O2922" i="2"/>
  <c r="Q2922" i="2"/>
  <c r="O916" i="2"/>
  <c r="Q916" i="2"/>
  <c r="O2279" i="2"/>
  <c r="Q2279" i="2"/>
  <c r="O3261" i="2"/>
  <c r="Q3261" i="2"/>
  <c r="O1171" i="2"/>
  <c r="Q1171" i="2"/>
  <c r="O1091" i="2"/>
  <c r="Q1091" i="2"/>
  <c r="O1548" i="2"/>
  <c r="Q1548" i="2"/>
  <c r="O633" i="2"/>
  <c r="Q633" i="2"/>
  <c r="O3147" i="2"/>
  <c r="Q3147" i="2"/>
  <c r="O527" i="2"/>
  <c r="Q527" i="2"/>
  <c r="O427" i="2"/>
  <c r="Q427" i="2"/>
  <c r="O2558" i="2"/>
  <c r="Q2558" i="2"/>
  <c r="O1722" i="2"/>
  <c r="Q1722" i="2"/>
  <c r="O2385" i="2"/>
  <c r="Q2385" i="2"/>
  <c r="O2682" i="2"/>
  <c r="Q2682" i="2"/>
  <c r="O3025" i="2"/>
  <c r="Q3025" i="2"/>
  <c r="O1587" i="2"/>
  <c r="Q1587" i="2"/>
  <c r="O1260" i="2"/>
  <c r="Q1260" i="2"/>
  <c r="O2302" i="2"/>
  <c r="Q2302" i="2"/>
  <c r="O657" i="2"/>
  <c r="Q657" i="2"/>
  <c r="O1402" i="2"/>
  <c r="Q1402" i="2"/>
  <c r="O1035" i="2"/>
  <c r="Q1035" i="2"/>
  <c r="O1269" i="2"/>
  <c r="Q1269" i="2"/>
  <c r="O1158" i="2"/>
  <c r="Q1158" i="2"/>
  <c r="O825" i="2"/>
  <c r="Q825" i="2"/>
  <c r="O1443" i="2"/>
  <c r="Q1443" i="2"/>
  <c r="O2027" i="2"/>
  <c r="Q2027" i="2"/>
  <c r="O1606" i="2"/>
  <c r="Q1606" i="2"/>
  <c r="O3310" i="2"/>
  <c r="Q3310" i="2"/>
  <c r="O2636" i="2"/>
  <c r="Q2636" i="2"/>
  <c r="O2977" i="2"/>
  <c r="Q2977" i="2"/>
  <c r="O1523" i="2"/>
  <c r="Q1523" i="2"/>
  <c r="O1957" i="2"/>
  <c r="Q1957" i="2"/>
  <c r="O1424" i="2"/>
  <c r="Q1424" i="2"/>
  <c r="O1663" i="2"/>
  <c r="Q1663" i="2"/>
  <c r="O650" i="2"/>
  <c r="Q650" i="2"/>
  <c r="O2064" i="2"/>
  <c r="Q2064" i="2"/>
  <c r="O1212" i="2"/>
  <c r="Q1212" i="2"/>
  <c r="O2598" i="2"/>
  <c r="Q2598" i="2"/>
  <c r="O3412" i="2"/>
  <c r="Q3412" i="2"/>
  <c r="O1725" i="2"/>
  <c r="Q1725" i="2"/>
  <c r="O2671" i="2"/>
  <c r="Q2671" i="2"/>
  <c r="O683" i="2"/>
  <c r="Q683" i="2"/>
  <c r="O2759" i="2"/>
  <c r="Q2759" i="2"/>
  <c r="O793" i="2"/>
  <c r="Q793" i="2"/>
  <c r="O1570" i="2"/>
  <c r="Q1570" i="2"/>
  <c r="O2281" i="2"/>
  <c r="Q2281" i="2"/>
  <c r="O2864" i="2"/>
  <c r="Q2864" i="2"/>
  <c r="O3009" i="2"/>
  <c r="Q3009" i="2"/>
  <c r="O2079" i="2"/>
  <c r="Q2079" i="2"/>
  <c r="O33" i="2"/>
  <c r="Q33" i="2"/>
  <c r="O1213" i="2"/>
  <c r="Q1213" i="2"/>
  <c r="O2834" i="2"/>
  <c r="Q2834" i="2"/>
  <c r="O260" i="2"/>
  <c r="Q260" i="2"/>
  <c r="O1823" i="2"/>
  <c r="Q1823" i="2"/>
  <c r="O3097" i="2"/>
  <c r="Q3097" i="2"/>
  <c r="O2561" i="2"/>
  <c r="Q2561" i="2"/>
  <c r="O9" i="2"/>
  <c r="Q9" i="2"/>
  <c r="O1947" i="2"/>
  <c r="Q1947" i="2"/>
  <c r="O2857" i="2"/>
  <c r="Q2857" i="2"/>
  <c r="O2407" i="2"/>
  <c r="Q2407" i="2"/>
  <c r="O3550" i="2"/>
  <c r="Q3550" i="2"/>
  <c r="O1883" i="2"/>
  <c r="Q1883" i="2"/>
  <c r="O274" i="2"/>
  <c r="Q274" i="2"/>
  <c r="O1575" i="2"/>
  <c r="Q1575" i="2"/>
  <c r="O3030" i="2"/>
  <c r="Q3030" i="2"/>
  <c r="O2758" i="2"/>
  <c r="Q2758" i="2"/>
  <c r="O938" i="2"/>
  <c r="Q938" i="2"/>
  <c r="O702" i="2"/>
  <c r="Q702" i="2"/>
  <c r="O639" i="2"/>
  <c r="Q639" i="2"/>
  <c r="O3078" i="2"/>
  <c r="Q3078" i="2"/>
  <c r="O149" i="2"/>
  <c r="Q149" i="2"/>
  <c r="O118" i="2"/>
  <c r="Q118" i="2"/>
  <c r="O228" i="2"/>
  <c r="Q228" i="2"/>
  <c r="O1412" i="2"/>
  <c r="Q1412" i="2"/>
  <c r="O2197" i="2"/>
  <c r="Q2197" i="2"/>
  <c r="O940" i="2"/>
  <c r="Q940" i="2"/>
  <c r="O1233" i="2"/>
  <c r="Q1233" i="2"/>
  <c r="O2663" i="2"/>
  <c r="Q2663" i="2"/>
  <c r="O422" i="2"/>
  <c r="Q422" i="2"/>
  <c r="O2691" i="2"/>
  <c r="Q2691" i="2"/>
  <c r="O418" i="2"/>
  <c r="Q418" i="2"/>
  <c r="O3120" i="2"/>
  <c r="Q3120" i="2"/>
  <c r="O3629" i="2"/>
  <c r="Q3629" i="2"/>
  <c r="O784" i="2"/>
  <c r="Q784" i="2"/>
  <c r="O2599" i="2"/>
  <c r="Q2599" i="2"/>
  <c r="O1241" i="2"/>
  <c r="Q1241" i="2"/>
  <c r="O730" i="2"/>
  <c r="Q730" i="2"/>
  <c r="O2502" i="2"/>
  <c r="Q2502" i="2"/>
  <c r="O3641" i="2"/>
  <c r="Q3641" i="2"/>
  <c r="O3519" i="2"/>
  <c r="Q3519" i="2"/>
  <c r="O3637" i="2"/>
  <c r="Q3637" i="2"/>
  <c r="O1978" i="2"/>
  <c r="Q1978" i="2"/>
  <c r="O150" i="2"/>
  <c r="Q150" i="2"/>
  <c r="O2039" i="2"/>
  <c r="Q2039" i="2"/>
  <c r="O3348" i="2"/>
  <c r="Q3348" i="2"/>
  <c r="O2685" i="2"/>
  <c r="Q2685" i="2"/>
  <c r="O2968" i="2"/>
  <c r="Q2968" i="2"/>
  <c r="O2487" i="2"/>
  <c r="Q2487" i="2"/>
  <c r="O2288" i="2"/>
  <c r="Q2288" i="2"/>
  <c r="O564" i="2"/>
  <c r="Q564" i="2"/>
  <c r="O2241" i="2"/>
  <c r="Q2241" i="2"/>
  <c r="O3558" i="2"/>
  <c r="Q3558" i="2"/>
  <c r="O3223" i="2"/>
  <c r="Q3223" i="2"/>
  <c r="O985" i="2"/>
  <c r="Q985" i="2"/>
  <c r="O2969" i="2"/>
  <c r="Q2969" i="2"/>
  <c r="O1577" i="2"/>
  <c r="Q1577" i="2"/>
  <c r="O2805" i="2"/>
  <c r="Q2805" i="2"/>
  <c r="O2832" i="2"/>
  <c r="Q2832" i="2"/>
  <c r="O2019" i="2"/>
  <c r="Q2019" i="2"/>
  <c r="O163" i="2"/>
  <c r="Q163" i="2"/>
  <c r="O2130" i="2"/>
  <c r="Q2130" i="2"/>
  <c r="O252" i="2"/>
  <c r="Q252" i="2"/>
  <c r="O2738" i="2"/>
  <c r="Q2738" i="2"/>
  <c r="O2461" i="2"/>
  <c r="Q2461" i="2"/>
  <c r="O367" i="2"/>
  <c r="Q367" i="2"/>
  <c r="O2423" i="2"/>
  <c r="Q2423" i="2"/>
  <c r="O2410" i="2"/>
  <c r="Q2410" i="2"/>
  <c r="O1038" i="2"/>
  <c r="Q1038" i="2"/>
  <c r="O2873" i="2"/>
  <c r="Q2873" i="2"/>
  <c r="O319" i="2"/>
  <c r="Q319" i="2"/>
  <c r="O3052" i="2"/>
  <c r="Q3052" i="2"/>
  <c r="O3638" i="2"/>
  <c r="Q3638" i="2"/>
  <c r="O3287" i="2"/>
  <c r="Q3287" i="2"/>
  <c r="O3625" i="2"/>
  <c r="Q3625" i="2"/>
  <c r="O2686" i="2"/>
  <c r="Q2686" i="2"/>
  <c r="O162" i="2"/>
  <c r="Q162" i="2"/>
  <c r="O871" i="2"/>
  <c r="Q871" i="2"/>
  <c r="O3211" i="2"/>
  <c r="Q3211" i="2"/>
  <c r="O2514" i="2"/>
  <c r="Q2514" i="2"/>
  <c r="O2803" i="2"/>
  <c r="Q2803" i="2"/>
  <c r="O2889" i="2"/>
  <c r="Q2889" i="2"/>
  <c r="O2128" i="2"/>
  <c r="Q2128" i="2"/>
  <c r="O2688" i="2"/>
  <c r="Q2688" i="2"/>
  <c r="O768" i="2"/>
  <c r="Q768" i="2"/>
  <c r="O294" i="2"/>
  <c r="Q294" i="2"/>
  <c r="O1612" i="2"/>
  <c r="Q1612" i="2"/>
  <c r="O2163" i="2"/>
  <c r="Q2163" i="2"/>
  <c r="O497" i="2"/>
  <c r="Q497" i="2"/>
  <c r="O535" i="2"/>
  <c r="Q535" i="2"/>
  <c r="O1001" i="2"/>
  <c r="Q1001" i="2"/>
  <c r="O936" i="2"/>
  <c r="Q936" i="2"/>
  <c r="O1651" i="2"/>
  <c r="Q1651" i="2"/>
  <c r="O1638" i="2"/>
  <c r="Q1638" i="2"/>
  <c r="O1446" i="2"/>
  <c r="Q1446" i="2"/>
  <c r="O2979" i="2"/>
  <c r="Q2979" i="2"/>
  <c r="O1448" i="2"/>
  <c r="Q1448" i="2"/>
  <c r="O1995" i="2"/>
  <c r="Q1995" i="2"/>
  <c r="O1629" i="2"/>
  <c r="Q1629" i="2"/>
  <c r="O879" i="2"/>
  <c r="Q879" i="2"/>
  <c r="O1261" i="2"/>
  <c r="Q1261" i="2"/>
  <c r="O1917" i="2"/>
  <c r="Q1917" i="2"/>
  <c r="O1851" i="2"/>
  <c r="Q1851" i="2"/>
  <c r="O2363" i="2"/>
  <c r="Q2363" i="2"/>
  <c r="O2902" i="2"/>
  <c r="Q2902" i="2"/>
  <c r="O2511" i="2"/>
  <c r="Q2511" i="2"/>
  <c r="O2823" i="2"/>
  <c r="Q2823" i="2"/>
  <c r="O2426" i="2"/>
  <c r="Q2426" i="2"/>
  <c r="O1621" i="2"/>
  <c r="Q1621" i="2"/>
  <c r="O1569" i="2"/>
  <c r="Q1569" i="2"/>
  <c r="O385" i="2"/>
  <c r="Q385" i="2"/>
  <c r="O1152" i="2"/>
  <c r="Q1152" i="2"/>
  <c r="O1000" i="2"/>
  <c r="Q1000" i="2"/>
  <c r="O3635" i="2"/>
  <c r="Q3635" i="2"/>
  <c r="O2186" i="2"/>
  <c r="Q2186" i="2"/>
  <c r="O271" i="2"/>
  <c r="Q271" i="2"/>
  <c r="O3003" i="2"/>
  <c r="Q3003" i="2"/>
  <c r="O3496" i="2"/>
  <c r="Q3496" i="2"/>
  <c r="O631" i="2"/>
  <c r="Q631" i="2"/>
  <c r="O1432" i="2"/>
  <c r="Q1432" i="2"/>
  <c r="O2167" i="2"/>
  <c r="Q2167" i="2"/>
  <c r="O2887" i="2"/>
  <c r="Q2887" i="2"/>
  <c r="O2719" i="2"/>
  <c r="Q2719" i="2"/>
  <c r="O493" i="2"/>
  <c r="Q493" i="2"/>
  <c r="O906" i="2"/>
  <c r="Q906" i="2"/>
  <c r="O1805" i="2"/>
  <c r="Q1805" i="2"/>
  <c r="O1077" i="2"/>
  <c r="Q1077" i="2"/>
  <c r="O345" i="2"/>
  <c r="Q345" i="2"/>
  <c r="O567" i="2"/>
  <c r="Q567" i="2"/>
  <c r="O54" i="2"/>
  <c r="Q54" i="2"/>
  <c r="O289" i="2"/>
  <c r="Q289" i="2"/>
  <c r="O517" i="2"/>
  <c r="Q517" i="2"/>
  <c r="O3317" i="2"/>
  <c r="Q3317" i="2"/>
  <c r="O1082" i="2"/>
  <c r="Q1082" i="2"/>
  <c r="O1204" i="2"/>
  <c r="Q1204" i="2"/>
  <c r="O2344" i="2"/>
  <c r="Q2344" i="2"/>
  <c r="O138" i="2"/>
  <c r="Q138" i="2"/>
  <c r="O1347" i="2"/>
  <c r="Q1347" i="2"/>
  <c r="O3417" i="2"/>
  <c r="Q3417" i="2"/>
  <c r="O772" i="2"/>
  <c r="Q772" i="2"/>
  <c r="O1616" i="2"/>
  <c r="Q1616" i="2"/>
  <c r="O3017" i="2"/>
  <c r="Q3017" i="2"/>
  <c r="O288" i="2"/>
  <c r="Q288" i="2"/>
  <c r="O2307" i="2"/>
  <c r="Q2307" i="2"/>
  <c r="O804" i="2"/>
  <c r="Q804" i="2"/>
  <c r="O2041" i="2"/>
  <c r="Q2041" i="2"/>
  <c r="O1614" i="2"/>
  <c r="Q1614" i="2"/>
  <c r="O249" i="2"/>
  <c r="Q249" i="2"/>
  <c r="O1283" i="2"/>
  <c r="Q1283" i="2"/>
  <c r="O247" i="2"/>
  <c r="Q247" i="2"/>
  <c r="O2787" i="2"/>
  <c r="Q2787" i="2"/>
  <c r="O3585" i="2"/>
  <c r="Q3585" i="2"/>
  <c r="O1246" i="2"/>
  <c r="Q1246" i="2"/>
  <c r="O1249" i="2"/>
  <c r="Q1249" i="2"/>
  <c r="O974" i="2"/>
  <c r="Q974" i="2"/>
  <c r="O1375" i="2"/>
  <c r="Q1375" i="2"/>
  <c r="O1898" i="2"/>
  <c r="Q1898" i="2"/>
  <c r="O2014" i="2"/>
  <c r="Q2014" i="2"/>
  <c r="O736" i="2"/>
  <c r="Q736" i="2"/>
  <c r="O2910" i="2"/>
  <c r="Q2910" i="2"/>
  <c r="O1374" i="2"/>
  <c r="Q1374" i="2"/>
  <c r="O2114" i="2"/>
  <c r="Q2114" i="2"/>
  <c r="O1023" i="2"/>
  <c r="Q1023" i="2"/>
  <c r="O1353" i="2"/>
  <c r="Q1353" i="2"/>
  <c r="O1562" i="2"/>
  <c r="Q1562" i="2"/>
  <c r="O925" i="2"/>
  <c r="Q925" i="2"/>
  <c r="O3015" i="2"/>
  <c r="Q3015" i="2"/>
  <c r="O2705" i="2"/>
  <c r="Q2705" i="2"/>
  <c r="O3112" i="2"/>
  <c r="Q3112" i="2"/>
  <c r="O1042" i="2"/>
  <c r="Q1042" i="2"/>
  <c r="O2659" i="2"/>
  <c r="Q2659" i="2"/>
  <c r="O3480" i="2"/>
  <c r="Q3480" i="2"/>
  <c r="O1277" i="2"/>
  <c r="Q1277" i="2"/>
  <c r="O649" i="2"/>
  <c r="Q649" i="2"/>
  <c r="O884" i="2"/>
  <c r="Q884" i="2"/>
  <c r="O285" i="2"/>
  <c r="Q285" i="2"/>
  <c r="O1193" i="2"/>
  <c r="Q1193" i="2"/>
  <c r="O3630" i="2"/>
  <c r="Q3630" i="2"/>
  <c r="O506" i="2"/>
  <c r="Q506" i="2"/>
  <c r="O2530" i="2"/>
  <c r="Q2530" i="2"/>
  <c r="O426" i="2"/>
  <c r="Q426" i="2"/>
  <c r="O335" i="2"/>
  <c r="Q335" i="2"/>
  <c r="O2594" i="2"/>
  <c r="Q2594" i="2"/>
  <c r="O1741" i="2"/>
  <c r="Q1741" i="2"/>
  <c r="O3568" i="2"/>
  <c r="Q3568" i="2"/>
  <c r="O2675" i="2"/>
  <c r="Q2675" i="2"/>
  <c r="O1441" i="2"/>
  <c r="Q1441" i="2"/>
  <c r="O1101" i="2"/>
  <c r="Q1101" i="2"/>
  <c r="O3062" i="2"/>
  <c r="Q3062" i="2"/>
  <c r="O310" i="2"/>
  <c r="Q310" i="2"/>
  <c r="O2655" i="2"/>
  <c r="Q2655" i="2"/>
  <c r="O3180" i="2"/>
  <c r="Q3180" i="2"/>
  <c r="O2168" i="2"/>
  <c r="Q2168" i="2"/>
  <c r="O1358" i="2"/>
  <c r="Q1358" i="2"/>
  <c r="O2300" i="2"/>
  <c r="Q2300" i="2"/>
  <c r="O1046" i="2"/>
  <c r="Q1046" i="2"/>
  <c r="O259" i="2"/>
  <c r="Q259" i="2"/>
  <c r="O3429" i="2"/>
  <c r="Q3429" i="2"/>
  <c r="O295" i="2"/>
  <c r="Q295" i="2"/>
  <c r="O2378" i="2"/>
  <c r="Q2378" i="2"/>
  <c r="O1717" i="2"/>
  <c r="Q1717" i="2"/>
  <c r="O2206" i="2"/>
  <c r="Q2206" i="2"/>
  <c r="O1160" i="2"/>
  <c r="Q1160" i="2"/>
  <c r="O1087" i="2"/>
  <c r="Q1087" i="2"/>
  <c r="O638" i="2"/>
  <c r="Q638" i="2"/>
  <c r="O2459" i="2"/>
  <c r="Q2459" i="2"/>
  <c r="O3594" i="2"/>
  <c r="Q3594" i="2"/>
  <c r="O1127" i="2"/>
  <c r="Q1127" i="2"/>
  <c r="O478" i="2"/>
  <c r="Q478" i="2"/>
  <c r="O2026" i="2"/>
  <c r="Q2026" i="2"/>
  <c r="O630" i="2"/>
  <c r="Q630" i="2"/>
  <c r="O1770" i="2"/>
  <c r="Q1770" i="2"/>
  <c r="O3626" i="2"/>
  <c r="Q3626" i="2"/>
  <c r="O3462" i="2"/>
  <c r="Q3462" i="2"/>
  <c r="O687" i="2"/>
  <c r="Q687" i="2"/>
  <c r="O496" i="2"/>
  <c r="Q496" i="2"/>
  <c r="O2664" i="2"/>
  <c r="Q2664" i="2"/>
  <c r="O1299" i="2"/>
  <c r="Q1299" i="2"/>
  <c r="O1539" i="2"/>
  <c r="Q1539" i="2"/>
  <c r="O1837" i="2"/>
  <c r="Q1837" i="2"/>
  <c r="O1076" i="2"/>
  <c r="Q1076" i="2"/>
  <c r="O1532" i="2"/>
  <c r="Q1532" i="2"/>
  <c r="O1345" i="2"/>
  <c r="Q1345" i="2"/>
  <c r="O2995" i="2"/>
  <c r="Q2995" i="2"/>
  <c r="O1475" i="2"/>
  <c r="Q1475" i="2"/>
  <c r="O1511" i="2"/>
  <c r="Q1511" i="2"/>
  <c r="O3465" i="2"/>
  <c r="Q3465" i="2"/>
  <c r="O2272" i="2"/>
  <c r="Q2272" i="2"/>
  <c r="O1985" i="2"/>
  <c r="Q1985" i="2"/>
  <c r="O1871" i="2"/>
  <c r="Q1871" i="2"/>
  <c r="O2778" i="2"/>
  <c r="Q2778" i="2"/>
  <c r="O204" i="2"/>
  <c r="Q204" i="2"/>
  <c r="O2580" i="2"/>
  <c r="Q2580" i="2"/>
  <c r="O3503" i="2"/>
  <c r="Q3503" i="2"/>
  <c r="O643" i="2"/>
  <c r="Q643" i="2"/>
  <c r="O47" i="2"/>
  <c r="Q47" i="2"/>
  <c r="O2760" i="2"/>
  <c r="Q2760" i="2"/>
  <c r="O529" i="2"/>
  <c r="Q529" i="2"/>
  <c r="O2424" i="2"/>
  <c r="Q2424" i="2"/>
  <c r="O1189" i="2"/>
  <c r="Q1189" i="2"/>
  <c r="O290" i="2"/>
  <c r="Q290" i="2"/>
  <c r="O2397" i="2"/>
  <c r="Q2397" i="2"/>
  <c r="O525" i="2"/>
  <c r="Q525" i="2"/>
  <c r="O2527" i="2"/>
  <c r="Q2527" i="2"/>
  <c r="O2342" i="2"/>
  <c r="Q2342" i="2"/>
  <c r="O2710" i="2"/>
  <c r="Q2710" i="2"/>
  <c r="O1842" i="2"/>
  <c r="Q1842" i="2"/>
  <c r="O2037" i="2"/>
  <c r="Q2037" i="2"/>
  <c r="O892" i="2"/>
  <c r="Q892" i="2"/>
  <c r="O1994" i="2"/>
  <c r="Q1994" i="2"/>
  <c r="O2761" i="2"/>
  <c r="Q2761" i="2"/>
  <c r="O2754" i="2"/>
  <c r="Q2754" i="2"/>
  <c r="O914" i="2"/>
  <c r="Q914" i="2"/>
  <c r="O1176" i="2"/>
  <c r="Q1176" i="2"/>
  <c r="O1368" i="2"/>
  <c r="Q1368" i="2"/>
  <c r="O3525" i="2"/>
  <c r="Q3525" i="2"/>
  <c r="O2850" i="2"/>
  <c r="Q2850" i="2"/>
  <c r="O2498" i="2"/>
  <c r="Q2498" i="2"/>
  <c r="O31" i="2"/>
  <c r="Q31" i="2"/>
  <c r="O788" i="2"/>
  <c r="Q788" i="2"/>
  <c r="O1520" i="2"/>
  <c r="Q1520" i="2"/>
  <c r="O1326" i="2"/>
  <c r="Q1326" i="2"/>
  <c r="O3045" i="2"/>
  <c r="Q3045" i="2"/>
  <c r="O1561" i="2"/>
  <c r="Q1561" i="2"/>
  <c r="O2567" i="2"/>
  <c r="Q2567" i="2"/>
  <c r="O1120" i="2"/>
  <c r="Q1120" i="2"/>
  <c r="O153" i="2"/>
  <c r="Q153" i="2"/>
  <c r="O2389" i="2"/>
  <c r="Q2389" i="2"/>
  <c r="O2420" i="2"/>
  <c r="Q2420" i="2"/>
  <c r="O1588" i="2"/>
  <c r="Q1588" i="2"/>
  <c r="O2170" i="2"/>
  <c r="Q2170" i="2"/>
  <c r="O154" i="2"/>
  <c r="Q154" i="2"/>
  <c r="O2207" i="2"/>
  <c r="Q2207" i="2"/>
  <c r="O1090" i="2"/>
  <c r="Q1090" i="2"/>
  <c r="O2267" i="2"/>
  <c r="Q2267" i="2"/>
  <c r="O1411" i="2"/>
  <c r="Q1411" i="2"/>
  <c r="O931" i="2"/>
  <c r="Q931" i="2"/>
  <c r="O1578" i="2"/>
  <c r="Q1578" i="2"/>
  <c r="O1191" i="2"/>
  <c r="Q1191" i="2"/>
  <c r="O1314" i="2"/>
  <c r="Q1314" i="2"/>
  <c r="O2484" i="2"/>
  <c r="Q2484" i="2"/>
  <c r="O557" i="2"/>
  <c r="Q557" i="2"/>
  <c r="O1962" i="2"/>
  <c r="Q1962" i="2"/>
  <c r="O1885" i="2"/>
  <c r="Q1885" i="2"/>
  <c r="O1899" i="2"/>
  <c r="Q1899" i="2"/>
  <c r="O1920" i="2"/>
  <c r="Q1920" i="2"/>
  <c r="O2684" i="2"/>
  <c r="Q2684" i="2"/>
  <c r="O3563" i="2"/>
  <c r="Q3563" i="2"/>
  <c r="O2606" i="2"/>
  <c r="Q2606" i="2"/>
  <c r="O1356" i="2"/>
  <c r="Q1356" i="2"/>
  <c r="O2605" i="2"/>
  <c r="Q2605" i="2"/>
  <c r="O459" i="2"/>
  <c r="Q459" i="2"/>
  <c r="O1097" i="2"/>
  <c r="Q1097" i="2"/>
  <c r="O1724" i="2"/>
  <c r="Q1724" i="2"/>
  <c r="O463" i="2"/>
  <c r="Q463" i="2"/>
  <c r="O669" i="2"/>
  <c r="Q669" i="2"/>
  <c r="O3001" i="2"/>
  <c r="Q3001" i="2"/>
  <c r="O3573" i="2"/>
  <c r="Q3573" i="2"/>
  <c r="O2478" i="2"/>
  <c r="Q2478" i="2"/>
  <c r="O1231" i="2"/>
  <c r="Q1231" i="2"/>
  <c r="O3369" i="2"/>
  <c r="Q3369" i="2"/>
  <c r="O2010" i="2"/>
  <c r="Q2010" i="2"/>
  <c r="O1976" i="2"/>
  <c r="Q1976" i="2"/>
  <c r="O1484" i="2"/>
  <c r="Q1484" i="2"/>
  <c r="O2588" i="2"/>
  <c r="Q2588" i="2"/>
  <c r="O750" i="2"/>
  <c r="Q750" i="2"/>
  <c r="O1586" i="2"/>
  <c r="Q1586" i="2"/>
  <c r="O3051" i="2"/>
  <c r="Q3051" i="2"/>
  <c r="O2584" i="2"/>
  <c r="Q2584" i="2"/>
  <c r="O209" i="2"/>
  <c r="Q209" i="2"/>
  <c r="O2865" i="2"/>
  <c r="Q2865" i="2"/>
  <c r="O2830" i="2"/>
  <c r="Q2830" i="2"/>
  <c r="O67" i="2"/>
  <c r="Q67" i="2"/>
  <c r="O1371" i="2"/>
  <c r="Q1371" i="2"/>
  <c r="O407" i="2"/>
  <c r="Q407" i="2"/>
  <c r="O1888" i="2"/>
  <c r="Q1888" i="2"/>
  <c r="O3007" i="2"/>
  <c r="Q3007" i="2"/>
  <c r="O809" i="2"/>
  <c r="Q809" i="2"/>
  <c r="O2290" i="2"/>
  <c r="Q2290" i="2"/>
  <c r="O2879" i="2"/>
  <c r="Q2879" i="2"/>
  <c r="O3264" i="2"/>
  <c r="Q3264" i="2"/>
  <c r="O3507" i="2"/>
  <c r="Q3507" i="2"/>
  <c r="O1259" i="2"/>
  <c r="Q1259" i="2"/>
  <c r="O2494" i="2"/>
  <c r="Q2494" i="2"/>
  <c r="O2199" i="2"/>
  <c r="Q2199" i="2"/>
  <c r="O1747" i="2"/>
  <c r="Q1747" i="2"/>
  <c r="O1145" i="2"/>
  <c r="Q1145" i="2"/>
  <c r="O1250" i="2"/>
  <c r="Q1250" i="2"/>
  <c r="O1585" i="2"/>
  <c r="Q1585" i="2"/>
  <c r="O2042" i="2"/>
  <c r="Q2042" i="2"/>
  <c r="O135" i="2"/>
  <c r="Q135" i="2"/>
  <c r="O3598" i="2"/>
  <c r="Q3598" i="2"/>
  <c r="O577" i="2"/>
  <c r="Q577" i="2"/>
  <c r="O1208" i="2"/>
  <c r="Q1208" i="2"/>
  <c r="O2587" i="2"/>
  <c r="Q2587" i="2"/>
  <c r="O2323" i="2"/>
  <c r="Q2323" i="2"/>
  <c r="O738" i="2"/>
  <c r="Q738" i="2"/>
  <c r="O1794" i="2"/>
  <c r="Q1794" i="2"/>
  <c r="O1774" i="2"/>
  <c r="Q1774" i="2"/>
  <c r="O2651" i="2"/>
  <c r="Q2651" i="2"/>
  <c r="O3407" i="2"/>
  <c r="Q3407" i="2"/>
  <c r="O1923" i="2"/>
  <c r="Q1923" i="2"/>
  <c r="O3455" i="2"/>
  <c r="Q3455" i="2"/>
  <c r="O2258" i="2"/>
  <c r="Q2258" i="2"/>
  <c r="O2154" i="2"/>
  <c r="Q2154" i="2"/>
  <c r="O997" i="2"/>
  <c r="Q997" i="2"/>
  <c r="O1110" i="2"/>
  <c r="Q1110" i="2"/>
  <c r="O1563" i="2"/>
  <c r="Q1563" i="2"/>
  <c r="O2806" i="2"/>
  <c r="Q2806" i="2"/>
  <c r="O857" i="2"/>
  <c r="Q857" i="2"/>
  <c r="O1279" i="2"/>
  <c r="Q1279" i="2"/>
  <c r="O877" i="2"/>
  <c r="Q877" i="2"/>
  <c r="O1144" i="2"/>
  <c r="Q1144" i="2"/>
  <c r="O3295" i="2"/>
  <c r="Q3295" i="2"/>
  <c r="O3622" i="2"/>
  <c r="Q3622" i="2"/>
  <c r="O1106" i="2"/>
  <c r="Q1106" i="2"/>
  <c r="O3392" i="2"/>
  <c r="Q3392" i="2"/>
  <c r="O1030" i="2"/>
  <c r="Q1030" i="2"/>
  <c r="O2358" i="2"/>
  <c r="Q2358" i="2"/>
  <c r="O453" i="2"/>
  <c r="Q453" i="2"/>
  <c r="O3515" i="2"/>
  <c r="Q3515" i="2"/>
  <c r="O848" i="2"/>
  <c r="Q848" i="2"/>
  <c r="O58" i="2"/>
  <c r="Q58" i="2"/>
  <c r="O1495" i="2"/>
  <c r="Q1495" i="2"/>
  <c r="O3642" i="2"/>
  <c r="Q3642" i="2"/>
  <c r="O2362" i="2"/>
  <c r="Q2362" i="2"/>
  <c r="O2172" i="2"/>
  <c r="Q2172" i="2"/>
  <c r="O1009" i="2"/>
  <c r="Q1009" i="2"/>
  <c r="O3337" i="2"/>
  <c r="Q3337" i="2"/>
  <c r="O1365" i="2"/>
  <c r="Q1365" i="2"/>
  <c r="O2373" i="2"/>
  <c r="Q2373" i="2"/>
  <c r="O2722" i="2"/>
  <c r="Q2722" i="2"/>
  <c r="O1856" i="2"/>
  <c r="Q1856" i="2"/>
  <c r="O133" i="2"/>
  <c r="Q133" i="2"/>
  <c r="O3454" i="2"/>
  <c r="Q3454" i="2"/>
  <c r="O2404" i="2"/>
  <c r="Q2404" i="2"/>
  <c r="O2730" i="2"/>
  <c r="Q2730" i="2"/>
  <c r="O341" i="2"/>
  <c r="Q341" i="2"/>
  <c r="O2792" i="2"/>
  <c r="Q2792" i="2"/>
  <c r="O131" i="2"/>
  <c r="Q131" i="2"/>
  <c r="O2348" i="2"/>
  <c r="Q2348" i="2"/>
  <c r="O327" i="2"/>
  <c r="Q327" i="2"/>
  <c r="O2188" i="2"/>
  <c r="Q2188" i="2"/>
  <c r="O812" i="2"/>
  <c r="Q812" i="2"/>
  <c r="O1537" i="2"/>
  <c r="Q1537" i="2"/>
  <c r="O2987" i="2"/>
  <c r="Q2987" i="2"/>
  <c r="O393" i="2"/>
  <c r="Q393" i="2"/>
  <c r="O2393" i="2"/>
  <c r="Q2393" i="2"/>
  <c r="O1812" i="2"/>
  <c r="Q1812" i="2"/>
  <c r="O3085" i="2"/>
  <c r="Q3085" i="2"/>
  <c r="O1286" i="2"/>
  <c r="Q1286" i="2"/>
  <c r="O2198" i="2"/>
  <c r="Q2198" i="2"/>
  <c r="O526" i="2"/>
  <c r="Q526" i="2"/>
  <c r="O2755" i="2"/>
  <c r="Q2755" i="2"/>
  <c r="O1515" i="2"/>
  <c r="Q1515" i="2"/>
  <c r="O3090" i="2"/>
  <c r="Q3090" i="2"/>
  <c r="O2103" i="2"/>
  <c r="Q2103" i="2"/>
  <c r="O1492" i="2"/>
  <c r="Q1492" i="2"/>
  <c r="O3011" i="2"/>
  <c r="Q3011" i="2"/>
  <c r="O3315" i="2"/>
  <c r="Q3315" i="2"/>
  <c r="O1196" i="2"/>
  <c r="Q1196" i="2"/>
  <c r="O1846" i="2"/>
  <c r="Q1846" i="2"/>
  <c r="O2741" i="2"/>
  <c r="Q2741" i="2"/>
  <c r="O2383" i="2"/>
  <c r="Q2383" i="2"/>
  <c r="O1117" i="2"/>
  <c r="Q1117" i="2"/>
  <c r="O167" i="2"/>
  <c r="Q167" i="2"/>
  <c r="O1303" i="2"/>
  <c r="Q1303" i="2"/>
  <c r="O2731" i="2"/>
  <c r="Q2731" i="2"/>
  <c r="O1471" i="2"/>
  <c r="Q1471" i="2"/>
  <c r="O686" i="2"/>
  <c r="Q686" i="2"/>
  <c r="O3466" i="2"/>
  <c r="Q3466" i="2"/>
  <c r="O2540" i="2"/>
  <c r="Q2540" i="2"/>
  <c r="O1024" i="2"/>
  <c r="Q1024" i="2"/>
  <c r="O1266" i="2"/>
  <c r="Q1266" i="2"/>
  <c r="O2866" i="2"/>
  <c r="Q2866" i="2"/>
  <c r="O2577" i="2"/>
  <c r="Q2577" i="2"/>
  <c r="O711" i="2"/>
  <c r="Q711" i="2"/>
  <c r="O3176" i="2"/>
  <c r="Q3176" i="2"/>
  <c r="O1719" i="2"/>
  <c r="Q1719" i="2"/>
  <c r="O2607" i="2"/>
  <c r="Q2607" i="2"/>
  <c r="O2277" i="2"/>
  <c r="Q2277" i="2"/>
  <c r="O156" i="2"/>
  <c r="Q156" i="2"/>
  <c r="O957" i="2"/>
  <c r="Q957" i="2"/>
  <c r="O1707" i="2"/>
  <c r="Q1707" i="2"/>
  <c r="O752" i="2"/>
  <c r="Q752" i="2"/>
  <c r="O3397" i="2"/>
  <c r="Q3397" i="2"/>
  <c r="O2874" i="2"/>
  <c r="Q2874" i="2"/>
  <c r="O2991" i="2"/>
  <c r="Q2991" i="2"/>
  <c r="O2698" i="2"/>
  <c r="Q2698" i="2"/>
  <c r="O2721" i="2"/>
  <c r="Q2721" i="2"/>
  <c r="O1033" i="2"/>
  <c r="Q1033" i="2"/>
  <c r="O1878" i="2"/>
  <c r="Q1878" i="2"/>
  <c r="O1422" i="2"/>
  <c r="Q1422" i="2"/>
  <c r="O653" i="2"/>
  <c r="Q653" i="2"/>
  <c r="O821" i="2"/>
  <c r="Q821" i="2"/>
  <c r="O520" i="2"/>
  <c r="Q520" i="2"/>
  <c r="O851" i="2"/>
  <c r="Q851" i="2"/>
  <c r="O465" i="2"/>
  <c r="Q465" i="2"/>
  <c r="O2008" i="2"/>
  <c r="Q2008" i="2"/>
  <c r="O863" i="2"/>
  <c r="Q863" i="2"/>
  <c r="O281" i="2"/>
  <c r="Q281" i="2"/>
  <c r="O1230" i="2"/>
  <c r="Q1230" i="2"/>
  <c r="O3372" i="2"/>
  <c r="Q3372" i="2"/>
  <c r="O1895" i="2"/>
  <c r="Q1895" i="2"/>
  <c r="O3219" i="2"/>
  <c r="Q3219" i="2"/>
  <c r="O2768" i="2"/>
  <c r="Q2768" i="2"/>
  <c r="O1503" i="2"/>
  <c r="Q1503" i="2"/>
  <c r="O1006" i="2"/>
  <c r="Q1006" i="2"/>
  <c r="O1428" i="2"/>
  <c r="Q1428" i="2"/>
  <c r="O2347" i="2"/>
  <c r="Q2347" i="2"/>
  <c r="O3072" i="2"/>
  <c r="Q3072" i="2"/>
  <c r="O785" i="2"/>
  <c r="Q785" i="2"/>
  <c r="O2435" i="2"/>
  <c r="Q2435" i="2"/>
  <c r="O2312" i="2"/>
  <c r="Q2312" i="2"/>
  <c r="O1130" i="2"/>
  <c r="Q1130" i="2"/>
  <c r="O441" i="2"/>
  <c r="Q441" i="2"/>
  <c r="O2235" i="2"/>
  <c r="Q2235" i="2"/>
  <c r="O2071" i="2"/>
  <c r="Q2071" i="2"/>
  <c r="O2024" i="2"/>
  <c r="Q2024" i="2"/>
  <c r="O3013" i="2"/>
  <c r="Q3013" i="2"/>
  <c r="O3286" i="2"/>
  <c r="Q3286" i="2"/>
  <c r="O507" i="2"/>
  <c r="Q507" i="2"/>
  <c r="O3274" i="2"/>
  <c r="Q3274" i="2"/>
  <c r="O2048" i="2"/>
  <c r="Q2048" i="2"/>
  <c r="O2609" i="2"/>
  <c r="Q2609" i="2"/>
  <c r="O22" i="2"/>
  <c r="Q22" i="2"/>
  <c r="O1649" i="2"/>
  <c r="Q1649" i="2"/>
  <c r="O1166" i="2"/>
  <c r="Q1166" i="2"/>
  <c r="O3502" i="2"/>
  <c r="Q3502" i="2"/>
  <c r="O151" i="2"/>
  <c r="Q151" i="2"/>
  <c r="O195" i="2"/>
  <c r="Q195" i="2"/>
  <c r="O375" i="2"/>
  <c r="Q375" i="2"/>
  <c r="O2535" i="2"/>
  <c r="Q2535" i="2"/>
  <c r="O3556" i="2"/>
  <c r="Q3556" i="2"/>
  <c r="O1488" i="2"/>
  <c r="Q1488" i="2"/>
  <c r="O1869" i="2"/>
  <c r="Q1869" i="2"/>
  <c r="O773" i="2"/>
  <c r="Q773" i="2"/>
  <c r="O1263" i="2"/>
  <c r="Q1263" i="2"/>
  <c r="O389" i="2"/>
  <c r="Q389" i="2"/>
  <c r="O3326" i="2"/>
  <c r="Q3326" i="2"/>
  <c r="O2245" i="2"/>
  <c r="Q2245" i="2"/>
  <c r="O1464" i="2"/>
  <c r="Q1464" i="2"/>
  <c r="O121" i="2"/>
  <c r="Q121" i="2"/>
  <c r="O144" i="2"/>
  <c r="Q144" i="2"/>
  <c r="O1694" i="2"/>
  <c r="Q1694" i="2"/>
  <c r="O2227" i="2"/>
  <c r="Q2227" i="2"/>
  <c r="O2616" i="2"/>
  <c r="Q2616" i="2"/>
  <c r="O2852" i="2"/>
  <c r="Q2852" i="2"/>
  <c r="O3453" i="2"/>
  <c r="Q3453" i="2"/>
  <c r="O2221" i="2"/>
  <c r="Q2221" i="2"/>
  <c r="O3602" i="2"/>
  <c r="Q3602" i="2"/>
  <c r="O3091" i="2"/>
  <c r="Q3091" i="2"/>
  <c r="O3416" i="2"/>
  <c r="Q3416" i="2"/>
  <c r="O1793" i="2"/>
  <c r="Q1793" i="2"/>
  <c r="O3125" i="2"/>
  <c r="Q3125" i="2"/>
  <c r="O263" i="2"/>
  <c r="Q263" i="2"/>
  <c r="O2006" i="2"/>
  <c r="Q2006" i="2"/>
  <c r="O3450" i="2"/>
  <c r="Q3450" i="2"/>
  <c r="O1155" i="2"/>
  <c r="Q1155" i="2"/>
  <c r="O872" i="2"/>
  <c r="Q872" i="2"/>
  <c r="O760" i="2"/>
  <c r="Q760" i="2"/>
  <c r="O2084" i="2"/>
  <c r="Q2084" i="2"/>
  <c r="O3554" i="2"/>
  <c r="Q3554" i="2"/>
  <c r="O1169" i="2"/>
  <c r="Q1169" i="2"/>
  <c r="O598" i="2"/>
  <c r="Q598" i="2"/>
  <c r="O3190" i="2"/>
  <c r="Q3190" i="2"/>
  <c r="O2068" i="2"/>
  <c r="Q2068" i="2"/>
  <c r="O397" i="2"/>
  <c r="Q397" i="2"/>
  <c r="O3395" i="2"/>
  <c r="Q3395" i="2"/>
  <c r="O3000" i="2"/>
  <c r="Q3000" i="2"/>
  <c r="O1019" i="2"/>
  <c r="Q1019" i="2"/>
  <c r="O3384" i="2"/>
  <c r="Q3384" i="2"/>
  <c r="O3283" i="2"/>
  <c r="Q3283" i="2"/>
  <c r="O2604" i="2"/>
  <c r="Q2604" i="2"/>
  <c r="O469" i="2"/>
  <c r="Q469" i="2"/>
  <c r="O2074" i="2"/>
  <c r="Q2074" i="2"/>
  <c r="O1342" i="2"/>
  <c r="Q1342" i="2"/>
  <c r="O1973" i="2"/>
  <c r="Q1973" i="2"/>
  <c r="O1063" i="2"/>
  <c r="Q1063" i="2"/>
  <c r="O1384" i="2"/>
  <c r="Q1384" i="2"/>
  <c r="O24" i="2"/>
  <c r="Q24" i="2"/>
  <c r="O2035" i="2"/>
  <c r="Q2035" i="2"/>
  <c r="O1765" i="2"/>
  <c r="Q1765" i="2"/>
  <c r="O3440" i="2"/>
  <c r="Q3440" i="2"/>
  <c r="O2644" i="2"/>
  <c r="Q2644" i="2"/>
  <c r="O2618" i="2"/>
  <c r="Q2618" i="2"/>
  <c r="O2592" i="2"/>
  <c r="Q2592" i="2"/>
  <c r="O1148" i="2"/>
  <c r="Q1148" i="2"/>
  <c r="O3463" i="2"/>
  <c r="Q3463" i="2"/>
  <c r="O2269" i="2"/>
  <c r="Q2269" i="2"/>
  <c r="O2476" i="2"/>
  <c r="Q2476" i="2"/>
  <c r="O2173" i="2"/>
  <c r="Q2173" i="2"/>
  <c r="O2796" i="2"/>
  <c r="Q2796" i="2"/>
  <c r="O965" i="2"/>
  <c r="Q965" i="2"/>
  <c r="O1996" i="2"/>
  <c r="Q1996" i="2"/>
  <c r="O787" i="2"/>
  <c r="Q787" i="2"/>
  <c r="O1573" i="2"/>
  <c r="Q1573" i="2"/>
  <c r="O109" i="2"/>
  <c r="Q109" i="2"/>
  <c r="O2444" i="2"/>
  <c r="Q2444" i="2"/>
  <c r="O2925" i="2"/>
  <c r="Q2925" i="2"/>
  <c r="O941" i="2"/>
  <c r="Q941" i="2"/>
  <c r="O2898" i="2"/>
  <c r="Q2898" i="2"/>
  <c r="O1512" i="2"/>
  <c r="Q1512" i="2"/>
  <c r="O2402" i="2"/>
  <c r="Q2402" i="2"/>
  <c r="O406" i="2"/>
  <c r="Q406" i="2"/>
  <c r="O3358" i="2"/>
  <c r="Q3358" i="2"/>
  <c r="O2764" i="2"/>
  <c r="Q2764" i="2"/>
  <c r="O3578" i="2"/>
  <c r="Q3578" i="2"/>
  <c r="O3375" i="2"/>
  <c r="Q3375" i="2"/>
  <c r="O2860" i="2"/>
  <c r="Q2860" i="2"/>
  <c r="O2451" i="2"/>
  <c r="Q2451" i="2"/>
  <c r="O232" i="2"/>
  <c r="Q232" i="2"/>
  <c r="O2127" i="2"/>
  <c r="Q2127" i="2"/>
  <c r="O500" i="2"/>
  <c r="Q500" i="2"/>
  <c r="O2067" i="2"/>
  <c r="Q2067" i="2"/>
  <c r="O1650" i="2"/>
  <c r="Q1650" i="2"/>
  <c r="O2934" i="2"/>
  <c r="Q2934" i="2"/>
  <c r="O3616" i="2"/>
  <c r="Q3616" i="2"/>
  <c r="O572" i="2"/>
  <c r="Q572" i="2"/>
  <c r="O273" i="2"/>
  <c r="Q273" i="2"/>
  <c r="O1079" i="2"/>
  <c r="Q1079" i="2"/>
  <c r="O57" i="2"/>
  <c r="Q57" i="2"/>
  <c r="O2054" i="2"/>
  <c r="Q2054" i="2"/>
  <c r="O3593" i="2"/>
  <c r="Q3593" i="2"/>
  <c r="O2376" i="2"/>
  <c r="Q2376" i="2"/>
  <c r="O504" i="2"/>
  <c r="Q504" i="2"/>
  <c r="O571" i="2"/>
  <c r="Q571" i="2"/>
  <c r="O2335" i="2"/>
  <c r="Q2335" i="2"/>
  <c r="O399" i="2"/>
  <c r="Q399" i="2"/>
  <c r="O1421" i="2"/>
  <c r="Q1421" i="2"/>
  <c r="O2143" i="2"/>
  <c r="Q2143" i="2"/>
  <c r="O11" i="2"/>
  <c r="Q11" i="2"/>
  <c r="O116" i="2"/>
  <c r="Q116" i="2"/>
  <c r="O2179" i="2"/>
  <c r="Q2179" i="2"/>
  <c r="O3032" i="2"/>
  <c r="Q3032" i="2"/>
  <c r="O2613" i="2"/>
  <c r="Q2613" i="2"/>
  <c r="O3124" i="2"/>
  <c r="Q3124" i="2"/>
  <c r="O258" i="2"/>
  <c r="Q258" i="2"/>
  <c r="O2203" i="2"/>
  <c r="Q2203" i="2"/>
  <c r="O625" i="2"/>
  <c r="Q625" i="2"/>
  <c r="O2742" i="2"/>
  <c r="Q2742" i="2"/>
  <c r="O1073" i="2"/>
  <c r="Q1073" i="2"/>
  <c r="O626" i="2"/>
  <c r="Q626" i="2"/>
  <c r="O3245" i="2"/>
  <c r="Q3245" i="2"/>
  <c r="O2960" i="2"/>
  <c r="Q2960" i="2"/>
  <c r="O2379" i="2"/>
  <c r="Q2379" i="2"/>
  <c r="O1146" i="2"/>
  <c r="Q1146" i="2"/>
  <c r="O990" i="2"/>
  <c r="Q990" i="2"/>
  <c r="O3468" i="2"/>
  <c r="Q3468" i="2"/>
  <c r="O1937" i="2"/>
  <c r="Q1937" i="2"/>
  <c r="O1454" i="2"/>
  <c r="Q1454" i="2"/>
  <c r="O2002" i="2"/>
  <c r="Q2002" i="2"/>
  <c r="O3141" i="2"/>
  <c r="Q3141" i="2"/>
  <c r="O509" i="2"/>
  <c r="Q509" i="2"/>
  <c r="O2549" i="2"/>
  <c r="Q2549" i="2"/>
  <c r="O2428" i="2"/>
  <c r="Q2428" i="2"/>
  <c r="O2656" i="2"/>
  <c r="Q2656" i="2"/>
  <c r="O945" i="2"/>
  <c r="Q945" i="2"/>
  <c r="O1456" i="2"/>
  <c r="Q1456" i="2"/>
  <c r="O3428" i="2"/>
  <c r="Q3428" i="2"/>
  <c r="O2097" i="2"/>
  <c r="Q2097" i="2"/>
  <c r="O614" i="2"/>
  <c r="Q614" i="2"/>
  <c r="O2908" i="2"/>
  <c r="Q2908" i="2"/>
  <c r="O233" i="2"/>
  <c r="Q233" i="2"/>
  <c r="O3023" i="2"/>
  <c r="Q3023" i="2"/>
  <c r="O405" i="2"/>
  <c r="Q405" i="2"/>
  <c r="O689" i="2"/>
  <c r="Q689" i="2"/>
  <c r="O1058" i="2"/>
  <c r="Q1058" i="2"/>
  <c r="O3633" i="2"/>
  <c r="Q3633" i="2"/>
  <c r="O807" i="2"/>
  <c r="Q807" i="2"/>
  <c r="O2107" i="2"/>
  <c r="Q2107" i="2"/>
  <c r="O2534" i="2"/>
  <c r="Q2534" i="2"/>
  <c r="O855" i="2"/>
  <c r="Q855" i="2"/>
  <c r="O1821" i="2"/>
  <c r="Q1821" i="2"/>
  <c r="O3319" i="2"/>
  <c r="Q3319" i="2"/>
  <c r="O744" i="2"/>
  <c r="Q744" i="2"/>
  <c r="O2237" i="2"/>
  <c r="Q2237" i="2"/>
  <c r="O126" i="2"/>
  <c r="Q126" i="2"/>
  <c r="O3399" i="2"/>
  <c r="Q3399" i="2"/>
  <c r="O98" i="2"/>
  <c r="Q98" i="2"/>
  <c r="O212" i="2"/>
  <c r="Q212" i="2"/>
  <c r="O767" i="2"/>
  <c r="Q767" i="2"/>
  <c r="O3401" i="2"/>
  <c r="Q3401" i="2"/>
  <c r="O3368" i="2"/>
  <c r="Q3368" i="2"/>
  <c r="O1699" i="2"/>
  <c r="Q1699" i="2"/>
  <c r="O1959" i="2"/>
  <c r="Q1959" i="2"/>
  <c r="O3172" i="2"/>
  <c r="Q3172" i="2"/>
  <c r="O237" i="2"/>
  <c r="Q237" i="2"/>
  <c r="O2872" i="2"/>
  <c r="Q2872" i="2"/>
  <c r="O1934" i="2"/>
  <c r="Q1934" i="2"/>
  <c r="O420" i="2"/>
  <c r="Q420" i="2"/>
  <c r="O587" i="2"/>
  <c r="Q587" i="2"/>
  <c r="O484" i="2"/>
  <c r="Q484" i="2"/>
  <c r="O1369" i="2"/>
  <c r="Q1369" i="2"/>
  <c r="O2757" i="2"/>
  <c r="Q2757" i="2"/>
  <c r="O359" i="2"/>
  <c r="Q359" i="2"/>
  <c r="O3589" i="2"/>
  <c r="Q3589" i="2"/>
  <c r="O704" i="2"/>
  <c r="Q704" i="2"/>
  <c r="O959" i="2"/>
  <c r="Q959" i="2"/>
  <c r="O2148" i="2"/>
  <c r="Q2148" i="2"/>
  <c r="O155" i="2"/>
  <c r="Q155" i="2"/>
  <c r="O2591" i="2"/>
  <c r="Q2591" i="2"/>
  <c r="O3087" i="2"/>
  <c r="Q3087" i="2"/>
  <c r="O3288" i="2"/>
  <c r="Q3288" i="2"/>
  <c r="O605" i="2"/>
  <c r="Q605" i="2"/>
  <c r="O2309" i="2"/>
  <c r="Q2309" i="2"/>
  <c r="O2329" i="2"/>
  <c r="Q2329" i="2"/>
  <c r="O705" i="2"/>
  <c r="Q705" i="2"/>
  <c r="O692" i="2"/>
  <c r="Q692" i="2"/>
  <c r="O3198" i="2"/>
  <c r="Q3198" i="2"/>
  <c r="O2204" i="2"/>
  <c r="Q2204" i="2"/>
  <c r="O196" i="2"/>
  <c r="Q196" i="2"/>
  <c r="O2377" i="2"/>
  <c r="Q2377" i="2"/>
  <c r="O2085" i="2"/>
  <c r="Q2085" i="2"/>
  <c r="O3014" i="2"/>
  <c r="Q3014" i="2"/>
  <c r="O579" i="2"/>
  <c r="Q579" i="2"/>
  <c r="O1670" i="2"/>
  <c r="Q1670" i="2"/>
  <c r="O2907" i="2"/>
  <c r="Q2907" i="2"/>
  <c r="O3553" i="2"/>
  <c r="Q3553" i="2"/>
  <c r="O1919" i="2"/>
  <c r="Q1919" i="2"/>
  <c r="O2200" i="2"/>
  <c r="Q2200" i="2"/>
  <c r="O2327" i="2"/>
  <c r="Q2327" i="2"/>
  <c r="O2223" i="2"/>
  <c r="Q2223" i="2"/>
  <c r="O1083" i="2"/>
  <c r="Q1083" i="2"/>
  <c r="O1255" i="2"/>
  <c r="Q1255" i="2"/>
  <c r="O180" i="2"/>
  <c r="Q180" i="2"/>
  <c r="O2057" i="2"/>
  <c r="Q2057" i="2"/>
  <c r="O165" i="2"/>
  <c r="Q165" i="2"/>
  <c r="O1468" i="2"/>
  <c r="Q1468" i="2"/>
  <c r="O3510" i="2"/>
  <c r="Q3510" i="2"/>
  <c r="O1170" i="2"/>
  <c r="Q1170" i="2"/>
  <c r="O3477" i="2"/>
  <c r="Q3477" i="2"/>
  <c r="O757" i="2"/>
  <c r="Q757" i="2"/>
  <c r="O1534" i="2"/>
  <c r="Q1534" i="2"/>
  <c r="O2763" i="2"/>
  <c r="Q2763" i="2"/>
  <c r="O1237" i="2"/>
  <c r="Q1237" i="2"/>
  <c r="O2570" i="2"/>
  <c r="Q2570" i="2"/>
  <c r="O2330" i="2"/>
  <c r="Q2330" i="2"/>
  <c r="O645" i="2"/>
  <c r="Q645" i="2"/>
  <c r="O978" i="2"/>
  <c r="Q978" i="2"/>
  <c r="O400" i="2"/>
  <c r="Q400" i="2"/>
  <c r="O1309" i="2"/>
  <c r="Q1309" i="2"/>
  <c r="O43" i="2"/>
  <c r="Q43" i="2"/>
  <c r="O2975" i="2"/>
  <c r="Q2975" i="2"/>
  <c r="O1943" i="2"/>
  <c r="Q1943" i="2"/>
  <c r="O485" i="2"/>
  <c r="Q485" i="2"/>
  <c r="O186" i="2"/>
  <c r="Q186" i="2"/>
  <c r="O972" i="2"/>
  <c r="Q972" i="2"/>
  <c r="O2183" i="2"/>
  <c r="Q2183" i="2"/>
  <c r="O494" i="2"/>
  <c r="Q494" i="2"/>
  <c r="O2687" i="2"/>
  <c r="Q2687" i="2"/>
  <c r="O2076" i="2"/>
  <c r="Q2076" i="2"/>
  <c r="O3601" i="2"/>
  <c r="Q3601" i="2"/>
  <c r="O2679" i="2"/>
  <c r="Q2679" i="2"/>
  <c r="O1310" i="2"/>
  <c r="Q1310" i="2"/>
  <c r="O2430" i="2"/>
  <c r="Q2430" i="2"/>
  <c r="O665" i="2"/>
  <c r="Q665" i="2"/>
  <c r="O334" i="2"/>
  <c r="Q334" i="2"/>
  <c r="O2926" i="2"/>
  <c r="Q2926" i="2"/>
  <c r="O3064" i="2"/>
  <c r="Q3064" i="2"/>
  <c r="O1220" i="2"/>
  <c r="Q1220" i="2"/>
  <c r="O2906" i="2"/>
  <c r="Q2906" i="2"/>
  <c r="O3161" i="2"/>
  <c r="Q3161" i="2"/>
  <c r="O1592" i="2"/>
  <c r="Q1592" i="2"/>
  <c r="O231" i="2"/>
  <c r="Q231" i="2"/>
  <c r="O1809" i="2"/>
  <c r="Q1809" i="2"/>
  <c r="O3060" i="2"/>
  <c r="Q3060" i="2"/>
  <c r="O977" i="2"/>
  <c r="Q977" i="2"/>
  <c r="O1199" i="2"/>
  <c r="Q1199" i="2"/>
  <c r="O727" i="2"/>
  <c r="Q727" i="2"/>
  <c r="O3065" i="2"/>
  <c r="Q3065" i="2"/>
  <c r="O1372" i="2"/>
  <c r="Q1372" i="2"/>
  <c r="O3388" i="2"/>
  <c r="Q3388" i="2"/>
  <c r="O2187" i="2"/>
  <c r="Q2187" i="2"/>
  <c r="O1916" i="2"/>
  <c r="Q1916" i="2"/>
  <c r="O3311" i="2"/>
  <c r="Q3311" i="2"/>
  <c r="O439" i="2"/>
  <c r="Q439" i="2"/>
  <c r="O2799" i="2"/>
  <c r="Q2799" i="2"/>
  <c r="O1974" i="2"/>
  <c r="Q1974" i="2"/>
  <c r="O1662" i="2"/>
  <c r="Q1662" i="2"/>
  <c r="O2912" i="2"/>
  <c r="Q2912" i="2"/>
  <c r="O2568" i="2"/>
  <c r="Q2568" i="2"/>
  <c r="O2081" i="2"/>
  <c r="Q2081" i="2"/>
  <c r="O1908" i="2"/>
  <c r="Q1908" i="2"/>
  <c r="O3581" i="2"/>
  <c r="Q3581" i="2"/>
  <c r="O2615" i="2"/>
  <c r="Q2615" i="2"/>
  <c r="O1773" i="2"/>
  <c r="Q1773" i="2"/>
  <c r="O2100" i="2"/>
  <c r="Q2100" i="2"/>
  <c r="O442" i="2"/>
  <c r="Q442" i="2"/>
  <c r="O2201" i="2"/>
  <c r="Q2201" i="2"/>
  <c r="O2496" i="2"/>
  <c r="Q2496" i="2"/>
  <c r="O297" i="2"/>
  <c r="Q297" i="2"/>
  <c r="O1022" i="2"/>
  <c r="Q1022" i="2"/>
  <c r="O1100" i="2"/>
  <c r="Q1100" i="2"/>
  <c r="O778" i="2"/>
  <c r="Q778" i="2"/>
  <c r="O143" i="2"/>
  <c r="Q143" i="2"/>
  <c r="O1608" i="2"/>
  <c r="Q1608" i="2"/>
  <c r="O791" i="2"/>
  <c r="Q791" i="2"/>
  <c r="O1791" i="2"/>
  <c r="Q1791" i="2"/>
  <c r="O3039" i="2"/>
  <c r="Q3039" i="2"/>
  <c r="O45" i="2"/>
  <c r="Q45" i="2"/>
  <c r="O3548" i="2"/>
  <c r="Q3548" i="2"/>
  <c r="O3196" i="2"/>
  <c r="Q3196" i="2"/>
  <c r="O244" i="2"/>
  <c r="Q244" i="2"/>
  <c r="O2771" i="2"/>
  <c r="Q2771" i="2"/>
  <c r="O1826" i="2"/>
  <c r="Q1826" i="2"/>
  <c r="O1986" i="2"/>
  <c r="Q1986" i="2"/>
  <c r="O800" i="2"/>
  <c r="Q800" i="2"/>
  <c r="O1224" i="2"/>
  <c r="Q1224" i="2"/>
  <c r="O1498" i="2"/>
  <c r="Q1498" i="2"/>
  <c r="O1500" i="2"/>
  <c r="Q1500" i="2"/>
  <c r="O1381" i="2"/>
  <c r="Q1381" i="2"/>
  <c r="O3579" i="2"/>
  <c r="Q3579" i="2"/>
  <c r="O1408" i="2"/>
  <c r="Q1408" i="2"/>
  <c r="O1229" i="2"/>
  <c r="Q1229" i="2"/>
  <c r="O987" i="2"/>
  <c r="Q987" i="2"/>
  <c r="O3356" i="2"/>
  <c r="Q3356" i="2"/>
  <c r="O3506" i="2"/>
  <c r="Q3506" i="2"/>
  <c r="O762" i="2"/>
  <c r="Q762" i="2"/>
  <c r="O3066" i="2"/>
  <c r="Q3066" i="2"/>
  <c r="O2253" i="2"/>
  <c r="Q2253" i="2"/>
  <c r="O2415" i="2"/>
  <c r="Q2415" i="2"/>
  <c r="O1444" i="2"/>
  <c r="Q1444" i="2"/>
  <c r="O2669" i="2"/>
  <c r="Q2669" i="2"/>
  <c r="O215" i="2"/>
  <c r="Q215" i="2"/>
  <c r="O932" i="2"/>
  <c r="Q932" i="2"/>
  <c r="O2818" i="2"/>
  <c r="Q2818" i="2"/>
  <c r="O3067" i="2"/>
  <c r="Q3067" i="2"/>
  <c r="O72" i="2"/>
  <c r="Q72" i="2"/>
  <c r="O1406" i="2"/>
  <c r="Q1406" i="2"/>
  <c r="O317" i="2"/>
  <c r="Q317" i="2"/>
  <c r="O3433" i="2"/>
  <c r="Q3433" i="2"/>
  <c r="O129" i="2"/>
  <c r="Q129" i="2"/>
  <c r="O2122" i="2"/>
  <c r="Q2122" i="2"/>
  <c r="O417" i="2"/>
  <c r="Q417" i="2"/>
  <c r="O1125" i="2"/>
  <c r="Q1125" i="2"/>
  <c r="O2215" i="2"/>
  <c r="Q2215" i="2"/>
  <c r="O69" i="2"/>
  <c r="Q69" i="2"/>
  <c r="O2326" i="2"/>
  <c r="Q2326" i="2"/>
  <c r="O1880" i="2"/>
  <c r="Q1880" i="2"/>
  <c r="O1378" i="2"/>
  <c r="Q1378" i="2"/>
  <c r="O2900" i="2"/>
  <c r="Q2900" i="2"/>
  <c r="O1605" i="2"/>
  <c r="Q1605" i="2"/>
  <c r="O1296" i="2"/>
  <c r="Q1296" i="2"/>
  <c r="O2717" i="2"/>
  <c r="Q2717" i="2"/>
  <c r="O3142" i="2"/>
  <c r="Q3142" i="2"/>
  <c r="O1866" i="2"/>
  <c r="Q1866" i="2"/>
  <c r="O3613" i="2"/>
  <c r="Q3613" i="2"/>
  <c r="O1065" i="2"/>
  <c r="Q1065" i="2"/>
  <c r="O39" i="2"/>
  <c r="Q39" i="2"/>
  <c r="O3521" i="2"/>
  <c r="Q3521" i="2"/>
  <c r="O1262" i="2"/>
  <c r="Q1262" i="2"/>
  <c r="O2976" i="2"/>
  <c r="Q2976" i="2"/>
  <c r="O642" i="2"/>
  <c r="Q642" i="2"/>
  <c r="O261" i="2"/>
  <c r="Q261" i="2"/>
  <c r="O798" i="2"/>
  <c r="Q798" i="2"/>
  <c r="O412" i="2"/>
  <c r="Q412" i="2"/>
  <c r="O2488" i="2"/>
  <c r="Q2488" i="2"/>
  <c r="O1661" i="2"/>
  <c r="Q1661" i="2"/>
  <c r="O694" i="2"/>
  <c r="Q694" i="2"/>
  <c r="O3084" i="2"/>
  <c r="Q3084" i="2"/>
  <c r="O2311" i="2"/>
  <c r="Q2311" i="2"/>
  <c r="O1572" i="2"/>
  <c r="Q1572" i="2"/>
  <c r="O2777" i="2"/>
  <c r="Q2777" i="2"/>
  <c r="O864" i="2"/>
  <c r="Q864" i="2"/>
  <c r="O2629" i="2"/>
  <c r="Q2629" i="2"/>
  <c r="O666" i="2"/>
  <c r="Q666" i="2"/>
  <c r="O1089" i="2"/>
  <c r="Q1089" i="2"/>
  <c r="O708" i="2"/>
  <c r="Q708" i="2"/>
  <c r="O2672" i="2"/>
  <c r="Q2672" i="2"/>
  <c r="O3216" i="2"/>
  <c r="Q3216" i="2"/>
  <c r="O2345" i="2"/>
  <c r="Q2345" i="2"/>
  <c r="O332" i="2"/>
  <c r="Q332" i="2"/>
  <c r="O3542" i="2"/>
  <c r="Q3542" i="2"/>
  <c r="O2316" i="2"/>
  <c r="Q2316" i="2"/>
  <c r="O3511" i="2"/>
  <c r="Q3511" i="2"/>
  <c r="O3518" i="2"/>
  <c r="Q3518" i="2"/>
  <c r="O1168" i="2"/>
  <c r="Q1168" i="2"/>
  <c r="O421" i="2"/>
  <c r="Q421" i="2"/>
  <c r="O51" i="2"/>
  <c r="Q51" i="2"/>
  <c r="O989" i="2"/>
  <c r="Q989" i="2"/>
  <c r="O640" i="2"/>
  <c r="Q640" i="2"/>
  <c r="O1017" i="2"/>
  <c r="Q1017" i="2"/>
  <c r="O3174" i="2"/>
  <c r="Q3174" i="2"/>
  <c r="O1848" i="2"/>
  <c r="Q1848" i="2"/>
  <c r="O779" i="2"/>
  <c r="Q779" i="2"/>
  <c r="O1589" i="2"/>
  <c r="Q1589" i="2"/>
  <c r="O2869" i="2"/>
  <c r="Q2869" i="2"/>
  <c r="O2135" i="2"/>
  <c r="Q2135" i="2"/>
  <c r="O3552" i="2"/>
  <c r="Q3552" i="2"/>
  <c r="O1486" i="2"/>
  <c r="Q1486" i="2"/>
  <c r="O1070" i="2"/>
  <c r="Q1070" i="2"/>
  <c r="O3118" i="2"/>
  <c r="Q3118" i="2"/>
  <c r="O2937" i="2"/>
  <c r="Q2937" i="2"/>
  <c r="O2692" i="2"/>
  <c r="Q2692" i="2"/>
  <c r="O2762" i="2"/>
  <c r="Q2762" i="2"/>
  <c r="O1430" i="2"/>
  <c r="Q1430" i="2"/>
  <c r="O682" i="2"/>
  <c r="Q682" i="2"/>
  <c r="O307" i="2"/>
  <c r="Q307" i="2"/>
  <c r="O2776" i="2"/>
  <c r="Q2776" i="2"/>
  <c r="O2303" i="2"/>
  <c r="Q2303" i="2"/>
  <c r="O2270" i="2"/>
  <c r="Q2270" i="2"/>
  <c r="O353" i="2"/>
  <c r="Q353" i="2"/>
  <c r="O1165" i="2"/>
  <c r="Q1165" i="2"/>
  <c r="O3165" i="2"/>
  <c r="Q3165" i="2"/>
  <c r="O588" i="2"/>
  <c r="Q588" i="2"/>
  <c r="O1701" i="2"/>
  <c r="Q1701" i="2"/>
  <c r="O2543" i="2"/>
  <c r="Q2543" i="2"/>
  <c r="O1226" i="2"/>
  <c r="Q1226" i="2"/>
  <c r="O2465" i="2"/>
  <c r="Q2465" i="2"/>
  <c r="O1635" i="2"/>
  <c r="Q1635" i="2"/>
  <c r="O120" i="2"/>
  <c r="Q120" i="2"/>
  <c r="O1056" i="2"/>
  <c r="Q1056" i="2"/>
  <c r="O280" i="2"/>
  <c r="Q280" i="2"/>
  <c r="O1977" i="2"/>
  <c r="Q1977" i="2"/>
  <c r="O2234" i="2"/>
  <c r="Q2234" i="2"/>
  <c r="O3499" i="2"/>
  <c r="Q3499" i="2"/>
  <c r="O2827" i="2"/>
  <c r="Q2827" i="2"/>
  <c r="O2007" i="2"/>
  <c r="Q2007" i="2"/>
  <c r="O585" i="2"/>
  <c r="Q585" i="2"/>
  <c r="O3204" i="2"/>
  <c r="Q3204" i="2"/>
  <c r="O1689" i="2"/>
  <c r="Q1689" i="2"/>
  <c r="O1021" i="2"/>
  <c r="Q1021" i="2"/>
  <c r="O12" i="2"/>
  <c r="Q12" i="2"/>
  <c r="O538" i="2"/>
  <c r="Q538" i="2"/>
  <c r="O1366" i="2"/>
  <c r="Q1366" i="2"/>
  <c r="O1564" i="2"/>
  <c r="Q1564" i="2"/>
  <c r="O3527" i="2"/>
  <c r="Q3527" i="2"/>
  <c r="O306" i="2"/>
  <c r="Q306" i="2"/>
  <c r="O516" i="2"/>
  <c r="Q516" i="2"/>
  <c r="O2495" i="2"/>
  <c r="Q2495" i="2"/>
  <c r="O1983" i="2"/>
  <c r="Q1983" i="2"/>
  <c r="O2052" i="2"/>
  <c r="Q2052" i="2"/>
  <c r="O681" i="2"/>
  <c r="Q681" i="2"/>
  <c r="O108" i="2"/>
  <c r="Q108" i="2"/>
  <c r="O3584" i="2"/>
  <c r="Q3584" i="2"/>
  <c r="O953" i="2"/>
  <c r="Q953" i="2"/>
  <c r="O2508" i="2"/>
  <c r="Q2508" i="2"/>
  <c r="O2780" i="2"/>
  <c r="Q2780" i="2"/>
  <c r="O1333" i="2"/>
  <c r="Q1333" i="2"/>
  <c r="O3152" i="2"/>
  <c r="Q3152" i="2"/>
  <c r="O833" i="2"/>
  <c r="Q833" i="2"/>
  <c r="O1071" i="2"/>
  <c r="Q1071" i="2"/>
  <c r="O1554" i="2"/>
  <c r="Q1554" i="2"/>
  <c r="O3079" i="2"/>
  <c r="Q3079" i="2"/>
  <c r="O964" i="2"/>
  <c r="Q964" i="2"/>
  <c r="O1669" i="2"/>
  <c r="Q1669" i="2"/>
  <c r="O1840" i="2"/>
  <c r="Q1840" i="2"/>
  <c r="O76" i="2"/>
  <c r="Q76" i="2"/>
  <c r="O2089" i="2"/>
  <c r="Q2089" i="2"/>
  <c r="O2939" i="2"/>
  <c r="Q2939" i="2"/>
  <c r="O926" i="2"/>
  <c r="Q926" i="2"/>
  <c r="O2504" i="2"/>
  <c r="Q2504" i="2"/>
  <c r="O1860" i="2"/>
  <c r="Q1860" i="2"/>
  <c r="O379" i="2"/>
  <c r="Q379" i="2"/>
  <c r="O3008" i="2"/>
  <c r="Q3008" i="2"/>
  <c r="O1094" i="2"/>
  <c r="Q1094" i="2"/>
  <c r="O224" i="2"/>
  <c r="Q224" i="2"/>
  <c r="O873" i="2"/>
  <c r="Q873" i="2"/>
  <c r="O3164" i="2"/>
  <c r="Q3164" i="2"/>
  <c r="O2030" i="2"/>
  <c r="Q2030" i="2"/>
  <c r="O951" i="2"/>
  <c r="Q951" i="2"/>
  <c r="O3341" i="2"/>
  <c r="Q3341" i="2"/>
  <c r="O1123" i="2"/>
  <c r="Q1123" i="2"/>
  <c r="O440" i="2"/>
  <c r="Q440" i="2"/>
  <c r="O549" i="2"/>
  <c r="Q549" i="2"/>
  <c r="O1360" i="2"/>
  <c r="Q1360" i="2"/>
  <c r="O2337" i="2"/>
  <c r="Q2337" i="2"/>
  <c r="O387" i="2"/>
  <c r="Q387" i="2"/>
  <c r="O2689" i="2"/>
  <c r="Q2689" i="2"/>
  <c r="O3247" i="2"/>
  <c r="Q3247" i="2"/>
  <c r="O2765" i="2"/>
  <c r="Q2765" i="2"/>
  <c r="O1875" i="2"/>
  <c r="Q1875" i="2"/>
  <c r="O3018" i="2"/>
  <c r="Q3018" i="2"/>
  <c r="O600" i="2"/>
  <c r="Q600" i="2"/>
  <c r="O771" i="2"/>
  <c r="Q771" i="2"/>
  <c r="O1506" i="2"/>
  <c r="Q1506" i="2"/>
  <c r="O920" i="2"/>
  <c r="Q920" i="2"/>
  <c r="O2284" i="2"/>
  <c r="Q2284" i="2"/>
  <c r="O1218" i="2"/>
  <c r="Q1218" i="2"/>
  <c r="O1906" i="2"/>
  <c r="Q1906" i="2"/>
  <c r="O1550" i="2"/>
  <c r="Q1550" i="2"/>
  <c r="O2749" i="2"/>
  <c r="Q2749" i="2"/>
  <c r="O701" i="2"/>
  <c r="Q701" i="2"/>
  <c r="O2509" i="2"/>
  <c r="Q2509" i="2"/>
  <c r="O1648" i="2"/>
  <c r="Q1648" i="2"/>
  <c r="O1942" i="2"/>
  <c r="Q1942" i="2"/>
  <c r="O3405" i="2"/>
  <c r="Q3405" i="2"/>
  <c r="O2249" i="2"/>
  <c r="Q2249" i="2"/>
  <c r="O10" i="2"/>
  <c r="Q10" i="2"/>
  <c r="O147" i="2"/>
  <c r="Q147" i="2"/>
  <c r="O1447" i="2"/>
  <c r="Q1447" i="2"/>
  <c r="O3267" i="2"/>
  <c r="Q3267" i="2"/>
  <c r="O1364" i="2"/>
  <c r="Q1364" i="2"/>
  <c r="O1867" i="2"/>
  <c r="Q1867" i="2"/>
  <c r="O1086" i="2"/>
  <c r="Q1086" i="2"/>
  <c r="O847" i="2"/>
  <c r="Q847" i="2"/>
  <c r="O3298" i="2"/>
  <c r="Q3298" i="2"/>
  <c r="O1628" i="2"/>
  <c r="Q1628" i="2"/>
  <c r="O413" i="2"/>
  <c r="Q413" i="2"/>
  <c r="O476" i="2"/>
  <c r="Q476" i="2"/>
  <c r="O206" i="2"/>
  <c r="Q206" i="2"/>
  <c r="O1136" i="2"/>
  <c r="Q1136" i="2"/>
  <c r="O2115" i="2"/>
  <c r="Q2115" i="2"/>
  <c r="O2021" i="2"/>
  <c r="Q2021" i="2"/>
  <c r="O3132" i="2"/>
  <c r="Q3132" i="2"/>
  <c r="O2709" i="2"/>
  <c r="Q2709" i="2"/>
  <c r="O366" i="2"/>
  <c r="Q366" i="2"/>
  <c r="O2104" i="2"/>
  <c r="Q2104" i="2"/>
  <c r="O1949" i="2"/>
  <c r="Q1949" i="2"/>
  <c r="O229" i="2"/>
  <c r="Q229" i="2"/>
  <c r="O875" i="2"/>
  <c r="Q875" i="2"/>
  <c r="O2565" i="2"/>
  <c r="Q2565" i="2"/>
  <c r="O1322" i="2"/>
  <c r="Q1322" i="2"/>
  <c r="O495" i="2"/>
  <c r="Q495" i="2"/>
  <c r="O627" i="2"/>
  <c r="Q627" i="2"/>
  <c r="O374" i="2"/>
  <c r="Q374" i="2"/>
  <c r="O3343" i="2"/>
  <c r="Q3343" i="2"/>
  <c r="O1479" i="2"/>
  <c r="Q1479" i="2"/>
  <c r="O3005" i="2"/>
  <c r="Q3005" i="2"/>
  <c r="O612" i="2"/>
  <c r="Q612" i="2"/>
  <c r="O2012" i="2"/>
  <c r="Q2012" i="2"/>
  <c r="O3229" i="2"/>
  <c r="Q3229" i="2"/>
  <c r="O3382" i="2"/>
  <c r="Q3382" i="2"/>
  <c r="O1290" i="2"/>
  <c r="Q1290" i="2"/>
  <c r="O1132" i="2"/>
  <c r="Q1132" i="2"/>
  <c r="O1730" i="2"/>
  <c r="Q1730" i="2"/>
  <c r="O447" i="2"/>
  <c r="Q447" i="2"/>
  <c r="O3332" i="2"/>
  <c r="Q3332" i="2"/>
  <c r="O3567" i="2"/>
  <c r="Q3567" i="2"/>
  <c r="O2712" i="2"/>
  <c r="Q2712" i="2"/>
  <c r="O3610" i="2"/>
  <c r="Q3610" i="2"/>
  <c r="O3089" i="2"/>
  <c r="Q3089" i="2"/>
  <c r="O3046" i="2"/>
  <c r="Q3046" i="2"/>
  <c r="O2617" i="2"/>
  <c r="Q2617" i="2"/>
  <c r="O508" i="2"/>
  <c r="Q508" i="2"/>
  <c r="O3301" i="2"/>
  <c r="Q3301" i="2"/>
  <c r="O3383" i="2"/>
  <c r="Q3383" i="2"/>
  <c r="O722" i="2"/>
  <c r="Q722" i="2"/>
  <c r="O2023" i="2"/>
  <c r="Q2023" i="2"/>
  <c r="O1771" i="2"/>
  <c r="Q1771" i="2"/>
  <c r="O3590" i="2"/>
  <c r="Q3590" i="2"/>
  <c r="O498" i="2"/>
  <c r="Q498" i="2"/>
  <c r="O2667" i="2"/>
  <c r="Q2667" i="2"/>
  <c r="O667" i="2"/>
  <c r="Q667" i="2"/>
  <c r="O105" i="2"/>
  <c r="Q105" i="2"/>
  <c r="O384" i="2"/>
  <c r="Q384" i="2"/>
  <c r="O1709" i="2"/>
  <c r="Q1709" i="2"/>
  <c r="O1879" i="2"/>
  <c r="Q1879" i="2"/>
  <c r="O853" i="2"/>
  <c r="Q853" i="2"/>
  <c r="O1061" i="2"/>
  <c r="Q1061" i="2"/>
  <c r="O890" i="2"/>
  <c r="Q890" i="2"/>
  <c r="O3377" i="2"/>
  <c r="Q3377" i="2"/>
  <c r="O644" i="2"/>
  <c r="Q644" i="2"/>
  <c r="O1461" i="2"/>
  <c r="Q1461" i="2"/>
  <c r="O2387" i="2"/>
  <c r="Q2387" i="2"/>
  <c r="O543" i="2"/>
  <c r="Q543" i="2"/>
  <c r="O986" i="2"/>
  <c r="Q986" i="2"/>
  <c r="O2972" i="2"/>
  <c r="Q2972" i="2"/>
  <c r="O1980" i="2"/>
  <c r="Q1980" i="2"/>
  <c r="O2125" i="2"/>
  <c r="Q2125" i="2"/>
  <c r="O1284" i="2"/>
  <c r="Q1284" i="2"/>
  <c r="O1517" i="2"/>
  <c r="Q1517" i="2"/>
  <c r="O1891" i="2"/>
  <c r="Q1891" i="2"/>
  <c r="O2416" i="2"/>
  <c r="Q2416" i="2"/>
  <c r="O3080" i="2"/>
  <c r="Q3080" i="2"/>
  <c r="O3426" i="2"/>
  <c r="Q3426" i="2"/>
  <c r="O966" i="2"/>
  <c r="Q966" i="2"/>
  <c r="O3621" i="2"/>
  <c r="Q3621" i="2"/>
  <c r="O2339" i="2"/>
  <c r="Q2339" i="2"/>
  <c r="O1636" i="2"/>
  <c r="Q1636" i="2"/>
  <c r="O2815" i="2"/>
  <c r="Q2815" i="2"/>
  <c r="O1852" i="2"/>
  <c r="Q1852" i="2"/>
  <c r="O470" i="2"/>
  <c r="Q470" i="2"/>
  <c r="O187" i="2"/>
  <c r="Q187" i="2"/>
  <c r="O2574" i="2"/>
  <c r="Q2574" i="2"/>
  <c r="O3393" i="2"/>
  <c r="Q3393" i="2"/>
  <c r="O4" i="2"/>
  <c r="Q4" i="2"/>
  <c r="O1419" i="2"/>
  <c r="Q1419" i="2"/>
  <c r="O2914" i="2"/>
  <c r="Q2914" i="2"/>
  <c r="O3031" i="2"/>
  <c r="Q3031" i="2"/>
  <c r="O688" i="2"/>
  <c r="Q688" i="2"/>
  <c r="O2676" i="2"/>
  <c r="Q2676" i="2"/>
  <c r="O225" i="2"/>
  <c r="Q225" i="2"/>
  <c r="O1012" i="2"/>
  <c r="Q1012" i="2"/>
  <c r="O3478" i="2"/>
  <c r="Q3478" i="2"/>
  <c r="O946" i="2"/>
  <c r="Q946" i="2"/>
  <c r="O817" i="2"/>
  <c r="Q817" i="2"/>
  <c r="O1882" i="2"/>
  <c r="Q1882" i="2"/>
  <c r="O1395" i="2"/>
  <c r="Q1395" i="2"/>
  <c r="O2078" i="2"/>
  <c r="Q2078" i="2"/>
  <c r="O2219" i="2"/>
  <c r="Q2219" i="2"/>
  <c r="O834" i="2"/>
  <c r="Q834" i="2"/>
  <c r="O184" i="2"/>
  <c r="Q184" i="2"/>
  <c r="O2138" i="2"/>
  <c r="Q2138" i="2"/>
  <c r="O2456" i="2"/>
  <c r="Q2456" i="2"/>
  <c r="O1393" i="2"/>
  <c r="Q1393" i="2"/>
  <c r="O3367" i="2"/>
  <c r="Q3367" i="2"/>
  <c r="O2034" i="2"/>
  <c r="Q2034" i="2"/>
  <c r="O401" i="2"/>
  <c r="Q401" i="2"/>
  <c r="O166" i="2"/>
  <c r="Q166" i="2"/>
  <c r="O1695" i="2"/>
  <c r="Q1695" i="2"/>
  <c r="O3128" i="2"/>
  <c r="Q3128" i="2"/>
  <c r="O3016" i="2"/>
  <c r="Q3016" i="2"/>
  <c r="O2790" i="2"/>
  <c r="Q2790" i="2"/>
  <c r="O378" i="2"/>
  <c r="Q378" i="2"/>
  <c r="O1116" i="2"/>
  <c r="Q1116" i="2"/>
  <c r="O1455" i="2"/>
  <c r="Q1455" i="2"/>
  <c r="O2460" i="2"/>
  <c r="Q2460" i="2"/>
  <c r="O3074" i="2"/>
  <c r="Q3074" i="2"/>
  <c r="O718" i="2"/>
  <c r="Q718" i="2"/>
  <c r="O1623" i="2"/>
  <c r="Q1623" i="2"/>
  <c r="O1507" i="2"/>
  <c r="Q1507" i="2"/>
  <c r="O2944" i="2"/>
  <c r="Q2944" i="2"/>
  <c r="O1929" i="2"/>
  <c r="Q1929" i="2"/>
  <c r="O2098" i="2"/>
  <c r="Q2098" i="2"/>
  <c r="O929" i="2"/>
  <c r="Q929" i="2"/>
  <c r="O3411" i="2"/>
  <c r="Q3411" i="2"/>
  <c r="O1778" i="2"/>
  <c r="Q1778" i="2"/>
  <c r="O2252" i="2"/>
  <c r="Q2252" i="2"/>
  <c r="O1316" i="2"/>
  <c r="Q1316" i="2"/>
  <c r="O2164" i="2"/>
  <c r="Q2164" i="2"/>
  <c r="O83" i="2"/>
  <c r="Q83" i="2"/>
  <c r="O1640" i="2"/>
  <c r="Q1640" i="2"/>
  <c r="O2401" i="2"/>
  <c r="Q2401" i="2"/>
  <c r="O1045" i="2"/>
  <c r="Q1045" i="2"/>
  <c r="O3632" i="2"/>
  <c r="Q3632" i="2"/>
  <c r="O1425" i="2"/>
  <c r="Q1425" i="2"/>
  <c r="O322" i="2"/>
  <c r="Q322" i="2"/>
  <c r="O958" i="2"/>
  <c r="Q958" i="2"/>
  <c r="O2703" i="2"/>
  <c r="Q2703" i="2"/>
  <c r="O2559" i="2"/>
  <c r="Q2559" i="2"/>
  <c r="O1966" i="2"/>
  <c r="Q1966" i="2"/>
  <c r="O114" i="2"/>
  <c r="Q114" i="2"/>
  <c r="O2184" i="2"/>
  <c r="Q2184" i="2"/>
  <c r="O1618" i="2"/>
  <c r="Q1618" i="2"/>
  <c r="O2695" i="2"/>
  <c r="Q2695" i="2"/>
  <c r="O1766" i="2"/>
  <c r="Q1766" i="2"/>
  <c r="O270" i="2"/>
  <c r="Q270" i="2"/>
  <c r="O3497" i="2"/>
  <c r="Q3497" i="2"/>
  <c r="O2620" i="2"/>
  <c r="Q2620" i="2"/>
  <c r="O503" i="2"/>
  <c r="Q503" i="2"/>
  <c r="O1743" i="2"/>
  <c r="Q1743" i="2"/>
  <c r="O2439" i="2"/>
  <c r="Q2439" i="2"/>
  <c r="O2593" i="2"/>
  <c r="Q2593" i="2"/>
  <c r="O2713" i="2"/>
  <c r="Q2713" i="2"/>
  <c r="O1808" i="2"/>
  <c r="Q1808" i="2"/>
  <c r="O3086" i="2"/>
  <c r="Q3086" i="2"/>
  <c r="O2313" i="2"/>
  <c r="Q2313" i="2"/>
  <c r="O2993" i="2"/>
  <c r="Q2993" i="2"/>
  <c r="O3225" i="2"/>
  <c r="Q3225" i="2"/>
  <c r="O1918" i="2"/>
  <c r="Q1918" i="2"/>
  <c r="O2608" i="2"/>
  <c r="Q2608" i="2"/>
  <c r="O3347" i="2"/>
  <c r="Q3347" i="2"/>
  <c r="O2137" i="2"/>
  <c r="Q2137" i="2"/>
  <c r="O947" i="2"/>
  <c r="Q947" i="2"/>
  <c r="O2798" i="2"/>
  <c r="Q2798" i="2"/>
  <c r="O3123" i="2"/>
  <c r="Q3123" i="2"/>
  <c r="O1604" i="2"/>
  <c r="Q1604" i="2"/>
  <c r="O1048" i="2"/>
  <c r="Q1048" i="2"/>
  <c r="O1037" i="2"/>
  <c r="Q1037" i="2"/>
  <c r="O2294" i="2"/>
  <c r="Q2294" i="2"/>
  <c r="O3251" i="2"/>
  <c r="Q3251" i="2"/>
  <c r="O659" i="2"/>
  <c r="Q659" i="2"/>
  <c r="O1911" i="2"/>
  <c r="Q1911" i="2"/>
  <c r="O2774" i="2"/>
  <c r="Q2774" i="2"/>
  <c r="O1751" i="2"/>
  <c r="Q1751" i="2"/>
  <c r="O2153" i="2"/>
  <c r="Q2153" i="2"/>
  <c r="O1704" i="2"/>
  <c r="Q1704" i="2"/>
  <c r="O596" i="2"/>
  <c r="Q596" i="2"/>
  <c r="O2295" i="2"/>
  <c r="Q2295" i="2"/>
  <c r="O691" i="2"/>
  <c r="Q691" i="2"/>
  <c r="O2516" i="2"/>
  <c r="Q2516" i="2"/>
  <c r="O512" i="2"/>
  <c r="Q512" i="2"/>
  <c r="O1739" i="2"/>
  <c r="Q1739" i="2"/>
  <c r="O1941" i="2"/>
  <c r="Q1941" i="2"/>
  <c r="O203" i="2"/>
  <c r="Q203" i="2"/>
  <c r="O2286" i="2"/>
  <c r="Q2286" i="2"/>
  <c r="O528" i="2"/>
  <c r="Q528" i="2"/>
  <c r="O2165" i="2"/>
  <c r="Q2165" i="2"/>
  <c r="O157" i="2"/>
  <c r="Q157" i="2"/>
  <c r="O693" i="2"/>
  <c r="Q693" i="2"/>
  <c r="O1143" i="2"/>
  <c r="Q1143" i="2"/>
  <c r="O383" i="2"/>
  <c r="Q383" i="2"/>
  <c r="O430" i="2"/>
  <c r="Q430" i="2"/>
  <c r="O171" i="2"/>
  <c r="Q171" i="2"/>
  <c r="O2032" i="2"/>
  <c r="Q2032" i="2"/>
  <c r="O2180" i="2"/>
  <c r="Q2180" i="2"/>
  <c r="O1004" i="2"/>
  <c r="Q1004" i="2"/>
  <c r="O717" i="2"/>
  <c r="Q717" i="2"/>
  <c r="O1175" i="2"/>
  <c r="Q1175" i="2"/>
  <c r="O2310" i="2"/>
  <c r="Q2310" i="2"/>
  <c r="O2481" i="2"/>
  <c r="Q2481" i="2"/>
  <c r="O3171" i="2"/>
  <c r="Q3171" i="2"/>
  <c r="O1205" i="2"/>
  <c r="Q1205" i="2"/>
  <c r="O935" i="2"/>
  <c r="Q935" i="2"/>
  <c r="O2638" i="2"/>
  <c r="Q2638" i="2"/>
  <c r="O3483" i="2"/>
  <c r="Q3483" i="2"/>
  <c r="O2364" i="2"/>
  <c r="Q2364" i="2"/>
  <c r="O2855" i="2"/>
  <c r="Q2855" i="2"/>
  <c r="O678" i="2"/>
  <c r="Q678" i="2"/>
  <c r="O3394" i="2"/>
  <c r="Q3394" i="2"/>
  <c r="O652" i="2"/>
  <c r="Q652" i="2"/>
  <c r="O2756" i="2"/>
  <c r="Q2756" i="2"/>
  <c r="O3327" i="2"/>
  <c r="Q3327" i="2"/>
  <c r="O1547" i="2"/>
  <c r="Q1547" i="2"/>
  <c r="O1138" i="2"/>
  <c r="Q1138" i="2"/>
  <c r="O92" i="2"/>
  <c r="Q92" i="2"/>
  <c r="O754" i="2"/>
  <c r="Q754" i="2"/>
  <c r="O3451" i="2"/>
  <c r="Q3451" i="2"/>
  <c r="O3094" i="2"/>
  <c r="Q3094" i="2"/>
  <c r="O1139" i="2"/>
  <c r="Q1139" i="2"/>
  <c r="O3040" i="2"/>
  <c r="Q3040" i="2"/>
  <c r="O3418" i="2"/>
  <c r="Q3418" i="2"/>
  <c r="O2441" i="2"/>
  <c r="Q2441" i="2"/>
  <c r="O472" i="2"/>
  <c r="Q472" i="2"/>
  <c r="O1687" i="2"/>
  <c r="Q1687" i="2"/>
  <c r="O2875" i="2"/>
  <c r="Q2875" i="2"/>
  <c r="O1634" i="2"/>
  <c r="Q1634" i="2"/>
  <c r="O3538" i="2"/>
  <c r="Q3538" i="2"/>
  <c r="O576" i="2"/>
  <c r="Q576" i="2"/>
  <c r="O2438" i="2"/>
  <c r="Q2438" i="2"/>
  <c r="O2743" i="2"/>
  <c r="Q2743" i="2"/>
  <c r="O907" i="2"/>
  <c r="Q907" i="2"/>
  <c r="O394" i="2"/>
  <c r="Q394" i="2"/>
  <c r="O1380" i="2"/>
  <c r="Q1380" i="2"/>
  <c r="O161" i="2"/>
  <c r="Q161" i="2"/>
  <c r="O169" i="2"/>
  <c r="Q169" i="2"/>
  <c r="O1478" i="2"/>
  <c r="Q1478" i="2"/>
  <c r="O1054" i="2"/>
  <c r="Q1054" i="2"/>
  <c r="O3588" i="2"/>
  <c r="Q3588" i="2"/>
  <c r="O3597" i="2"/>
  <c r="Q3597" i="2"/>
  <c r="O253" i="2"/>
  <c r="Q253" i="2"/>
  <c r="O84" i="2"/>
  <c r="Q84" i="2"/>
  <c r="O2092" i="2"/>
  <c r="Q2092" i="2"/>
  <c r="O2884" i="2"/>
  <c r="Q2884" i="2"/>
  <c r="O468" i="2"/>
  <c r="Q468" i="2"/>
  <c r="O3036" i="2"/>
  <c r="Q3036" i="2"/>
  <c r="O3140" i="2"/>
  <c r="Q3140" i="2"/>
  <c r="O713" i="2"/>
  <c r="Q713" i="2"/>
  <c r="O664" i="2"/>
  <c r="Q664" i="2"/>
  <c r="O2285" i="2"/>
  <c r="Q2285" i="2"/>
  <c r="O1313" i="2"/>
  <c r="Q1313" i="2"/>
  <c r="O1388" i="2"/>
  <c r="Q1388" i="2"/>
  <c r="O897" i="2"/>
  <c r="Q897" i="2"/>
  <c r="O1184" i="2"/>
  <c r="Q1184" i="2"/>
  <c r="O1892" i="2"/>
  <c r="Q1892" i="2"/>
  <c r="O3199" i="2"/>
  <c r="Q3199" i="2"/>
  <c r="O2623" i="2"/>
  <c r="Q2623" i="2"/>
  <c r="O477" i="2"/>
  <c r="Q477" i="2"/>
  <c r="O2169" i="2"/>
  <c r="Q2169" i="2"/>
  <c r="O628" i="2"/>
  <c r="Q628" i="2"/>
  <c r="O3566" i="2"/>
  <c r="Q3566" i="2"/>
  <c r="O1731" i="2"/>
  <c r="Q1731" i="2"/>
  <c r="O2641" i="2"/>
  <c r="Q2641" i="2"/>
  <c r="O139" i="2"/>
  <c r="Q139" i="2"/>
  <c r="O551" i="2"/>
  <c r="Q551" i="2"/>
  <c r="O1763" i="2"/>
  <c r="Q1763" i="2"/>
  <c r="O82" i="2"/>
  <c r="Q82" i="2"/>
  <c r="O2982" i="2"/>
  <c r="Q2982" i="2"/>
  <c r="O80" i="2"/>
  <c r="Q80" i="2"/>
  <c r="O928" i="2"/>
  <c r="Q928" i="2"/>
  <c r="O741" i="2"/>
  <c r="Q741" i="2"/>
  <c r="O2366" i="2"/>
  <c r="Q2366" i="2"/>
  <c r="O1018" i="2"/>
  <c r="Q1018" i="2"/>
  <c r="O2088" i="2"/>
  <c r="Q2088" i="2"/>
  <c r="O1055" i="2"/>
  <c r="Q1055" i="2"/>
  <c r="O1926" i="2"/>
  <c r="Q1926" i="2"/>
  <c r="O3438" i="2"/>
  <c r="Q3438" i="2"/>
  <c r="O1683" i="2"/>
  <c r="Q1683" i="2"/>
  <c r="O3308" i="2"/>
  <c r="Q3308" i="2"/>
  <c r="O3230" i="2"/>
  <c r="Q3230" i="2"/>
  <c r="O2748" i="2"/>
  <c r="Q2748" i="2"/>
  <c r="O2431" i="2"/>
  <c r="Q2431" i="2"/>
  <c r="O1153" i="2"/>
  <c r="Q1153" i="2"/>
  <c r="O1150" i="2"/>
  <c r="Q1150" i="2"/>
  <c r="O624" i="2"/>
  <c r="Q624" i="2"/>
  <c r="O318" i="2"/>
  <c r="Q318" i="2"/>
  <c r="O1505" i="2"/>
  <c r="Q1505" i="2"/>
  <c r="O2216" i="2"/>
  <c r="Q2216" i="2"/>
  <c r="O2240" i="2"/>
  <c r="Q2240" i="2"/>
  <c r="O540" i="2"/>
  <c r="Q540" i="2"/>
  <c r="O308" i="2"/>
  <c r="Q308" i="2"/>
  <c r="O1423" i="2"/>
  <c r="Q1423" i="2"/>
  <c r="O2711" i="2"/>
  <c r="Q2711" i="2"/>
  <c r="O1510" i="2"/>
  <c r="Q1510" i="2"/>
  <c r="O831" i="2"/>
  <c r="Q831" i="2"/>
  <c r="O2264" i="2"/>
  <c r="Q2264" i="2"/>
  <c r="O2673" i="2"/>
  <c r="Q2673" i="2"/>
  <c r="O3035" i="2"/>
  <c r="Q3035" i="2"/>
  <c r="O1161" i="2"/>
  <c r="Q1161" i="2"/>
  <c r="O2845" i="2"/>
  <c r="Q2845" i="2"/>
  <c r="O117" i="2"/>
  <c r="Q117" i="2"/>
  <c r="O865" i="2"/>
  <c r="Q865" i="2"/>
  <c r="O3422" i="2"/>
  <c r="Q3422" i="2"/>
  <c r="O3243" i="2"/>
  <c r="Q3243" i="2"/>
  <c r="O2877" i="2"/>
  <c r="Q2877" i="2"/>
  <c r="O1334" i="2"/>
  <c r="Q1334" i="2"/>
  <c r="O3215" i="2"/>
  <c r="Q3215" i="2"/>
  <c r="O408" i="2"/>
  <c r="Q408" i="2"/>
  <c r="O3344" i="2"/>
  <c r="Q3344" i="2"/>
  <c r="O979" i="2"/>
  <c r="Q979" i="2"/>
  <c r="O1020" i="2"/>
  <c r="Q1020" i="2"/>
  <c r="O1601" i="2"/>
  <c r="Q1601" i="2"/>
  <c r="O1948" i="2"/>
  <c r="Q1948" i="2"/>
  <c r="O1210" i="2"/>
  <c r="Q1210" i="2"/>
  <c r="O1294" i="2"/>
  <c r="Q1294" i="2"/>
  <c r="O505" i="2"/>
  <c r="Q505" i="2"/>
  <c r="O436" i="2"/>
  <c r="Q436" i="2"/>
  <c r="O1113" i="2"/>
  <c r="Q1113" i="2"/>
  <c r="O3313" i="2"/>
  <c r="Q3313" i="2"/>
  <c r="O3535" i="2"/>
  <c r="Q3535" i="2"/>
  <c r="O2009" i="2"/>
  <c r="Q2009" i="2"/>
  <c r="O3414" i="2"/>
  <c r="Q3414" i="2"/>
  <c r="O2724" i="2"/>
  <c r="Q2724" i="2"/>
  <c r="O2699" i="2"/>
  <c r="Q2699" i="2"/>
  <c r="O2737" i="2"/>
  <c r="Q2737" i="2"/>
  <c r="O3479" i="2"/>
  <c r="Q3479" i="2"/>
  <c r="O2984" i="2"/>
  <c r="Q2984" i="2"/>
  <c r="O3520" i="2"/>
  <c r="Q3520" i="2"/>
  <c r="O3421" i="2"/>
  <c r="Q3421" i="2"/>
  <c r="O3248" i="2"/>
  <c r="Q3248" i="2"/>
  <c r="O1202" i="2"/>
  <c r="Q1202" i="2"/>
  <c r="O3134" i="2"/>
  <c r="Q3134" i="2"/>
  <c r="O3366" i="2"/>
  <c r="Q3366" i="2"/>
  <c r="O1815" i="2"/>
  <c r="Q1815" i="2"/>
  <c r="O2970" i="2"/>
  <c r="Q2970" i="2"/>
  <c r="O1362" i="2"/>
  <c r="Q1362" i="2"/>
  <c r="O3323" i="2"/>
  <c r="Q3323" i="2"/>
  <c r="O1217" i="2"/>
  <c r="Q1217" i="2"/>
  <c r="O2941" i="2"/>
  <c r="Q2941" i="2"/>
  <c r="O1827" i="2"/>
  <c r="Q1827" i="2"/>
  <c r="O2781" i="2"/>
  <c r="Q2781" i="2"/>
  <c r="O3273" i="2"/>
  <c r="Q3273" i="2"/>
  <c r="O36" i="2"/>
  <c r="Q36" i="2"/>
  <c r="O2933" i="2"/>
  <c r="Q2933" i="2"/>
  <c r="O3061" i="2"/>
  <c r="Q3061" i="2"/>
  <c r="O2795" i="2"/>
  <c r="Q2795" i="2"/>
  <c r="O934" i="2"/>
  <c r="Q934" i="2"/>
  <c r="O1940" i="2"/>
  <c r="Q1940" i="2"/>
  <c r="O2649" i="2"/>
  <c r="Q2649" i="2"/>
  <c r="O2395" i="2"/>
  <c r="Q2395" i="2"/>
  <c r="O903" i="2"/>
  <c r="Q903" i="2"/>
  <c r="O537" i="2"/>
  <c r="Q537" i="2"/>
  <c r="O2518" i="2"/>
  <c r="Q2518" i="2"/>
  <c r="O2647" i="2"/>
  <c r="Q2647" i="2"/>
  <c r="O73" i="2"/>
  <c r="Q73" i="2"/>
  <c r="O2194" i="2"/>
  <c r="Q2194" i="2"/>
  <c r="O939" i="2"/>
  <c r="Q939" i="2"/>
  <c r="O1494" i="2"/>
  <c r="Q1494" i="2"/>
  <c r="O2126" i="2"/>
  <c r="Q2126" i="2"/>
  <c r="O1907" i="2"/>
  <c r="Q1907" i="2"/>
  <c r="O2250" i="2"/>
  <c r="Q2250" i="2"/>
  <c r="O1555" i="2"/>
  <c r="Q1555" i="2"/>
  <c r="O3334" i="2"/>
  <c r="Q3334" i="2"/>
  <c r="O137" i="2"/>
  <c r="Q137" i="2"/>
  <c r="O2789" i="2"/>
  <c r="Q2789" i="2"/>
  <c r="O437" i="2"/>
  <c r="Q437" i="2"/>
  <c r="O1559" i="2"/>
  <c r="Q1559" i="2"/>
  <c r="O606" i="2"/>
  <c r="Q606" i="2"/>
  <c r="O3443" i="2"/>
  <c r="Q3443" i="2"/>
  <c r="O544" i="2"/>
  <c r="Q544" i="2"/>
  <c r="O3639" i="2"/>
  <c r="Q3639" i="2"/>
  <c r="O1491" i="2"/>
  <c r="Q1491" i="2"/>
  <c r="O28" i="2"/>
  <c r="Q28" i="2"/>
  <c r="O3041" i="2"/>
  <c r="Q3041" i="2"/>
  <c r="O2601" i="2"/>
  <c r="Q2601" i="2"/>
  <c r="O1252" i="2"/>
  <c r="Q1252" i="2"/>
  <c r="O1776" i="2"/>
  <c r="Q1776" i="2"/>
  <c r="O905" i="2"/>
  <c r="Q905" i="2"/>
  <c r="O515" i="2"/>
  <c r="Q515" i="2"/>
  <c r="O1971" i="2"/>
  <c r="Q1971" i="2"/>
  <c r="O2408" i="2"/>
  <c r="Q2408" i="2"/>
  <c r="O395" i="2"/>
  <c r="Q395" i="2"/>
  <c r="O2492" i="2"/>
  <c r="Q2492" i="2"/>
  <c r="O2940" i="2"/>
  <c r="Q2940" i="2"/>
  <c r="O3595" i="2"/>
  <c r="Q3595" i="2"/>
  <c r="O18" i="2"/>
  <c r="Q18" i="2"/>
  <c r="O1593" i="2"/>
  <c r="Q1593" i="2"/>
  <c r="O1839" i="2"/>
  <c r="Q1839" i="2"/>
  <c r="O3599" i="2"/>
  <c r="Q3599" i="2"/>
  <c r="O2263" i="2"/>
  <c r="Q2263" i="2"/>
  <c r="O3303" i="2"/>
  <c r="Q3303" i="2"/>
  <c r="O283" i="2"/>
  <c r="Q283" i="2"/>
  <c r="O433" i="2"/>
  <c r="Q433" i="2"/>
  <c r="O732" i="2"/>
  <c r="Q732" i="2"/>
  <c r="O48" i="2"/>
  <c r="Q48" i="2"/>
  <c r="O891" i="2"/>
  <c r="Q891" i="2"/>
  <c r="O706" i="2"/>
  <c r="Q706" i="2"/>
  <c r="O1373" i="2"/>
  <c r="Q1373" i="2"/>
  <c r="O1516" i="2"/>
  <c r="Q1516" i="2"/>
  <c r="O2271" i="2"/>
  <c r="Q2271" i="2"/>
  <c r="O2011" i="2"/>
  <c r="Q2011" i="2"/>
  <c r="O3290" i="2"/>
  <c r="Q3290" i="2"/>
  <c r="O3498" i="2"/>
  <c r="Q3498" i="2"/>
  <c r="O835" i="2"/>
  <c r="Q835" i="2"/>
  <c r="O2405" i="2"/>
  <c r="Q2405" i="2"/>
  <c r="O2499" i="2"/>
  <c r="Q2499" i="2"/>
  <c r="O3027" i="2"/>
  <c r="Q3027" i="2"/>
  <c r="O5" i="2"/>
  <c r="Q5" i="2"/>
  <c r="O3263" i="2"/>
  <c r="Q3263" i="2"/>
  <c r="O949" i="2"/>
  <c r="Q949" i="2"/>
  <c r="O3133" i="2"/>
  <c r="Q3133" i="2"/>
  <c r="O15" i="2"/>
  <c r="Q15" i="2"/>
  <c r="O1729" i="2"/>
  <c r="Q1729" i="2"/>
  <c r="O193" i="2"/>
  <c r="Q193" i="2"/>
  <c r="O1319" i="2"/>
  <c r="Q1319" i="2"/>
  <c r="O2989" i="2"/>
  <c r="Q2989" i="2"/>
  <c r="O3569" i="2"/>
  <c r="Q3569" i="2"/>
  <c r="O2101" i="2"/>
  <c r="Q2101" i="2"/>
  <c r="O2072" i="2"/>
  <c r="Q2072" i="2"/>
  <c r="O2657" i="2"/>
  <c r="Q2657" i="2"/>
  <c r="O176" i="2"/>
  <c r="Q176" i="2"/>
  <c r="O3540" i="2"/>
  <c r="Q3540" i="2"/>
  <c r="O3600" i="2"/>
  <c r="Q3600" i="2"/>
  <c r="O2947" i="2"/>
  <c r="Q2947" i="2"/>
  <c r="O942" i="2"/>
  <c r="Q942" i="2"/>
  <c r="O1458" i="2"/>
  <c r="Q1458" i="2"/>
  <c r="O1939" i="2"/>
  <c r="Q1939" i="2"/>
  <c r="O1783" i="2"/>
  <c r="Q1783" i="2"/>
  <c r="O1797" i="2"/>
  <c r="Q1797" i="2"/>
  <c r="O1518" i="2"/>
  <c r="Q1518" i="2"/>
  <c r="O2299" i="2"/>
  <c r="Q2299" i="2"/>
  <c r="O1681" i="2"/>
  <c r="Q1681" i="2"/>
  <c r="O1697" i="2"/>
  <c r="Q1697" i="2"/>
  <c r="O2652" i="2"/>
  <c r="Q2652" i="2"/>
  <c r="O3257" i="2"/>
  <c r="Q3257" i="2"/>
  <c r="O2361" i="2"/>
  <c r="Q2361" i="2"/>
  <c r="O2836" i="2"/>
  <c r="Q2836" i="2"/>
  <c r="O613" i="2"/>
  <c r="Q613" i="2"/>
  <c r="O1051" i="2"/>
  <c r="Q1051" i="2"/>
  <c r="O2589" i="2"/>
  <c r="Q2589" i="2"/>
  <c r="O2931" i="2"/>
  <c r="Q2931" i="2"/>
  <c r="O134" i="2"/>
  <c r="Q134" i="2"/>
  <c r="O2359" i="2"/>
  <c r="Q2359" i="2"/>
  <c r="O2582" i="2"/>
  <c r="Q2582" i="2"/>
  <c r="O561" i="2"/>
  <c r="Q561" i="2"/>
  <c r="O1114" i="2"/>
  <c r="Q1114" i="2"/>
  <c r="O2816" i="2"/>
  <c r="Q2816" i="2"/>
  <c r="O2752" i="2"/>
  <c r="Q2752" i="2"/>
  <c r="O2069" i="2"/>
  <c r="Q2069" i="2"/>
  <c r="O2158" i="2"/>
  <c r="Q2158" i="2"/>
  <c r="O3119" i="2"/>
  <c r="Q3119" i="2"/>
  <c r="O1426" i="2"/>
  <c r="Q1426" i="2"/>
  <c r="O311" i="2"/>
  <c r="Q311" i="2"/>
  <c r="O3255" i="2"/>
  <c r="Q3255" i="2"/>
  <c r="O192" i="2"/>
  <c r="Q192" i="2"/>
  <c r="O2351" i="2"/>
  <c r="Q2351" i="2"/>
  <c r="O1735" i="2"/>
  <c r="Q1735" i="2"/>
  <c r="O2503" i="2"/>
  <c r="Q2503" i="2"/>
  <c r="O23" i="2"/>
  <c r="Q23" i="2"/>
  <c r="O316" i="2"/>
  <c r="Q316" i="2"/>
  <c r="O296" i="2"/>
  <c r="Q296" i="2"/>
  <c r="O2296" i="2"/>
  <c r="Q2296" i="2"/>
  <c r="O94" i="2"/>
  <c r="Q94" i="2"/>
  <c r="O3345" i="2"/>
  <c r="Q3345" i="2"/>
  <c r="O2571" i="2"/>
  <c r="Q2571" i="2"/>
  <c r="O2392" i="2"/>
  <c r="Q2392" i="2"/>
  <c r="O1440" i="2"/>
  <c r="Q1440" i="2"/>
  <c r="O89" i="2"/>
  <c r="Q89" i="2"/>
  <c r="O1637" i="2"/>
  <c r="Q1637" i="2"/>
  <c r="O2563" i="2"/>
  <c r="Q2563" i="2"/>
  <c r="O1343" i="2"/>
  <c r="Q1343" i="2"/>
  <c r="O641" i="2"/>
  <c r="Q641" i="2"/>
  <c r="O591" i="2"/>
  <c r="Q591" i="2"/>
  <c r="O1667" i="2"/>
  <c r="Q1667" i="2"/>
  <c r="O71" i="2"/>
  <c r="Q71" i="2"/>
  <c r="O2718" i="2"/>
  <c r="Q2718" i="2"/>
  <c r="O1784" i="2"/>
  <c r="Q1784" i="2"/>
  <c r="O2788" i="2"/>
  <c r="Q2788" i="2"/>
  <c r="O1955" i="2"/>
  <c r="Q1955" i="2"/>
  <c r="O1385" i="2"/>
  <c r="Q1385" i="2"/>
  <c r="O2382" i="2"/>
  <c r="Q2382" i="2"/>
  <c r="O1321" i="2"/>
  <c r="Q1321" i="2"/>
  <c r="O1293" i="2"/>
  <c r="Q1293" i="2"/>
  <c r="O2275" i="2"/>
  <c r="Q2275" i="2"/>
  <c r="O1466" i="2"/>
  <c r="Q1466" i="2"/>
  <c r="O3212" i="2"/>
  <c r="Q3212" i="2"/>
  <c r="O1894" i="2"/>
  <c r="Q1894" i="2"/>
  <c r="O42" i="2"/>
  <c r="Q42" i="2"/>
  <c r="O3533" i="2"/>
  <c r="Q3533" i="2"/>
  <c r="O1497" i="2"/>
  <c r="Q1497" i="2"/>
  <c r="O254" i="2"/>
  <c r="Q254" i="2"/>
  <c r="O1969" i="2"/>
  <c r="Q1969" i="2"/>
  <c r="O1714" i="2"/>
  <c r="Q1714" i="2"/>
  <c r="O3586" i="2"/>
  <c r="Q3586" i="2"/>
  <c r="O3378" i="2"/>
  <c r="Q3378" i="2"/>
  <c r="O2390" i="2"/>
  <c r="Q2390" i="2"/>
  <c r="O2254" i="2"/>
  <c r="Q2254" i="2"/>
  <c r="O222" i="2"/>
  <c r="Q222" i="2"/>
  <c r="O202" i="2"/>
  <c r="Q202" i="2"/>
  <c r="O1734" i="2"/>
  <c r="Q1734" i="2"/>
  <c r="O1672" i="2"/>
  <c r="Q1672" i="2"/>
  <c r="O1582" i="2"/>
  <c r="Q1582" i="2"/>
  <c r="O1292" i="2"/>
  <c r="Q1292" i="2"/>
  <c r="O748" i="2"/>
  <c r="Q748" i="2"/>
  <c r="O1989" i="2"/>
  <c r="Q1989" i="2"/>
  <c r="O2171" i="2"/>
  <c r="Q2171" i="2"/>
  <c r="O2932" i="2"/>
  <c r="Q2932" i="2"/>
  <c r="O789" i="2"/>
  <c r="Q789" i="2"/>
  <c r="O2151" i="2"/>
  <c r="Q2151" i="2"/>
  <c r="O1403" i="2"/>
  <c r="Q1403" i="2"/>
  <c r="O1416" i="2"/>
  <c r="Q1416" i="2"/>
  <c r="O3596" i="2"/>
  <c r="Q3596" i="2"/>
  <c r="O445" i="2"/>
  <c r="Q445" i="2"/>
  <c r="O1418" i="2"/>
  <c r="Q1418" i="2"/>
  <c r="O277" i="2"/>
  <c r="Q277" i="2"/>
  <c r="O856" i="2"/>
  <c r="Q856" i="2"/>
  <c r="O948" i="2"/>
  <c r="Q948" i="2"/>
  <c r="O2355" i="2"/>
  <c r="Q2355" i="2"/>
  <c r="O425" i="2"/>
  <c r="Q425" i="2"/>
  <c r="O3093" i="2"/>
  <c r="Q3093" i="2"/>
  <c r="O739" i="2"/>
  <c r="Q739" i="2"/>
  <c r="O3082" i="2"/>
  <c r="Q3082" i="2"/>
  <c r="O3539" i="2"/>
  <c r="Q3539" i="2"/>
  <c r="O1705" i="2"/>
  <c r="Q1705" i="2"/>
  <c r="O183" i="2"/>
  <c r="Q183" i="2"/>
  <c r="O2260" i="2"/>
  <c r="Q2260" i="2"/>
  <c r="O716" i="2"/>
  <c r="Q716" i="2"/>
  <c r="O146" i="2"/>
  <c r="Q146" i="2"/>
  <c r="O1179" i="2"/>
  <c r="Q1179" i="2"/>
  <c r="O2733" i="2"/>
  <c r="Q2733" i="2"/>
  <c r="O1119" i="2"/>
  <c r="Q1119" i="2"/>
  <c r="O2000" i="2"/>
  <c r="Q2000" i="2"/>
  <c r="O3353" i="2"/>
  <c r="Q3353" i="2"/>
  <c r="O2533" i="2"/>
  <c r="Q2533" i="2"/>
  <c r="O1982" i="2"/>
  <c r="Q1982" i="2"/>
  <c r="O1639" i="2"/>
  <c r="Q1639" i="2"/>
  <c r="O2909" i="2"/>
  <c r="Q2909" i="2"/>
  <c r="O2751" i="2"/>
  <c r="Q2751" i="2"/>
  <c r="O287" i="2"/>
  <c r="Q287" i="2"/>
  <c r="O448" i="2"/>
  <c r="Q448" i="2"/>
  <c r="O2061" i="2"/>
  <c r="Q2061" i="2"/>
  <c r="O328" i="2"/>
  <c r="Q328" i="2"/>
  <c r="O3104" i="2"/>
  <c r="Q3104" i="2"/>
  <c r="O2732" i="2"/>
  <c r="Q2732" i="2"/>
  <c r="O1531" i="2"/>
  <c r="Q1531" i="2"/>
  <c r="O3471" i="2"/>
  <c r="Q3471" i="2"/>
  <c r="O3475" i="2"/>
  <c r="Q3475" i="2"/>
  <c r="O3144" i="2"/>
  <c r="Q3144" i="2"/>
  <c r="O828" i="2"/>
  <c r="Q828" i="2"/>
  <c r="O792" i="2"/>
  <c r="Q792" i="2"/>
  <c r="O2911" i="2"/>
  <c r="Q2911" i="2"/>
  <c r="O3575" i="2"/>
  <c r="Q3575" i="2"/>
  <c r="O2648" i="2"/>
  <c r="Q2648" i="2"/>
  <c r="O479" i="2"/>
  <c r="Q479" i="2"/>
  <c r="O223" i="2"/>
  <c r="Q223" i="2"/>
  <c r="O330" i="2"/>
  <c r="Q330" i="2"/>
  <c r="O1953" i="2"/>
  <c r="Q1953" i="2"/>
  <c r="O2892" i="2"/>
  <c r="Q2892" i="2"/>
  <c r="O1273" i="2"/>
  <c r="Q1273" i="2"/>
  <c r="O276" i="2"/>
  <c r="Q276" i="2"/>
  <c r="O364" i="2"/>
  <c r="Q364" i="2"/>
  <c r="O3436" i="2"/>
  <c r="Q3436" i="2"/>
  <c r="O2597" i="2"/>
  <c r="Q2597" i="2"/>
  <c r="O2017" i="2"/>
  <c r="Q2017" i="2"/>
  <c r="O3170" i="2"/>
  <c r="Q3170" i="2"/>
  <c r="O2701" i="2"/>
  <c r="Q2701" i="2"/>
  <c r="O3321" i="2"/>
  <c r="Q3321" i="2"/>
  <c r="O769" i="2"/>
  <c r="Q769" i="2"/>
  <c r="O2637" i="2"/>
  <c r="Q2637" i="2"/>
  <c r="O2399" i="2"/>
  <c r="Q2399" i="2"/>
  <c r="O1858" i="2"/>
  <c r="Q1858" i="2"/>
  <c r="O536" i="2"/>
  <c r="Q536" i="2"/>
  <c r="O3299" i="2"/>
  <c r="Q3299" i="2"/>
  <c r="O1632" i="2"/>
  <c r="Q1632" i="2"/>
  <c r="O3351" i="2"/>
  <c r="Q3351" i="2"/>
  <c r="O1552" i="2"/>
  <c r="Q1552" i="2"/>
  <c r="O2094" i="2"/>
  <c r="Q2094" i="2"/>
  <c r="O3037" i="2"/>
  <c r="Q3037" i="2"/>
  <c r="O850" i="2"/>
  <c r="Q850" i="2"/>
  <c r="O428" i="2"/>
  <c r="Q428" i="2"/>
  <c r="O2716" i="2"/>
  <c r="Q2716" i="2"/>
  <c r="O482" i="2"/>
  <c r="Q482" i="2"/>
  <c r="O2040" i="2"/>
  <c r="Q2040" i="2"/>
  <c r="O1904" i="2"/>
  <c r="Q1904" i="2"/>
  <c r="O2520" i="2"/>
  <c r="Q2520" i="2"/>
  <c r="O3019" i="2"/>
  <c r="Q3019" i="2"/>
  <c r="O761" i="2"/>
  <c r="Q761" i="2"/>
  <c r="O2810" i="2"/>
  <c r="Q2810" i="2"/>
  <c r="O3544" i="2"/>
  <c r="Q3544" i="2"/>
  <c r="O1400" i="2"/>
  <c r="Q1400" i="2"/>
  <c r="O320" i="2"/>
  <c r="Q320" i="2"/>
  <c r="O3163" i="2"/>
  <c r="Q3163" i="2"/>
  <c r="O2956" i="2"/>
  <c r="Q2956" i="2"/>
  <c r="O2770" i="2"/>
  <c r="Q2770" i="2"/>
  <c r="O1180" i="2"/>
  <c r="Q1180" i="2"/>
  <c r="O952" i="2"/>
  <c r="Q952" i="2"/>
  <c r="O3532" i="2"/>
  <c r="Q3532" i="2"/>
  <c r="O2625" i="2"/>
  <c r="Q2625" i="2"/>
  <c r="O1122" i="2"/>
  <c r="Q1122" i="2"/>
  <c r="O1838" i="2"/>
  <c r="Q1838" i="2"/>
  <c r="O676" i="2"/>
  <c r="Q676" i="2"/>
  <c r="O2848" i="2"/>
  <c r="Q2848" i="2"/>
  <c r="O2370" i="2"/>
  <c r="Q2370" i="2"/>
  <c r="O808" i="2"/>
  <c r="Q808" i="2"/>
  <c r="O396" i="2"/>
  <c r="Q396" i="2"/>
  <c r="O1658" i="2"/>
  <c r="Q1658" i="2"/>
  <c r="O3509" i="2"/>
  <c r="Q3509" i="2"/>
  <c r="O3322" i="2"/>
  <c r="Q3322" i="2"/>
  <c r="O670" i="2"/>
  <c r="Q670" i="2"/>
  <c r="O2120" i="2"/>
  <c r="Q2120" i="2"/>
  <c r="O1414" i="2"/>
  <c r="Q1414" i="2"/>
  <c r="O2626" i="2"/>
  <c r="Q2626" i="2"/>
  <c r="O1192" i="2"/>
  <c r="Q1192" i="2"/>
  <c r="O2967" i="2"/>
  <c r="Q2967" i="2"/>
  <c r="O1243" i="2"/>
  <c r="Q1243" i="2"/>
  <c r="O2919" i="2"/>
  <c r="Q2919" i="2"/>
  <c r="O2766" i="2"/>
  <c r="Q2766" i="2"/>
  <c r="A1" i="1" l="1"/>
</calcChain>
</file>

<file path=xl/comments1.xml><?xml version="1.0" encoding="utf-8"?>
<comments xmlns="http://schemas.openxmlformats.org/spreadsheetml/2006/main">
  <authors>
    <author>Панфилов Александр</author>
  </authors>
  <commentList>
    <comment ref="S2" authorId="0" shapeId="0">
      <text>
        <r>
          <rPr>
            <sz val="9"/>
            <color indexed="81"/>
            <rFont val="Tahoma"/>
            <family val="2"/>
            <charset val="204"/>
          </rPr>
          <t>расстояние от предыдущей до текущей остановки</t>
        </r>
      </text>
    </comment>
  </commentList>
</comments>
</file>

<file path=xl/comments2.xml><?xml version="1.0" encoding="utf-8"?>
<comments xmlns="http://schemas.openxmlformats.org/spreadsheetml/2006/main">
  <authors>
    <author>Панфилов Александр</author>
  </authors>
  <commentList>
    <comment ref="B4" authorId="0" shapeId="0">
      <text>
        <r>
          <rPr>
            <sz val="9"/>
            <color indexed="81"/>
            <rFont val="Tahoma"/>
            <family val="2"/>
            <charset val="204"/>
          </rPr>
          <t>для трамваев взято из файла "Время пробега по трамваям.xls" (почти совпадает с "Наряд-депо ХХ.xls"</t>
        </r>
      </text>
    </comment>
    <comment ref="C4" authorId="0" shapeId="0">
      <text>
        <r>
          <rPr>
            <sz val="9"/>
            <color indexed="81"/>
            <rFont val="Tahoma"/>
            <family val="2"/>
            <charset val="204"/>
          </rPr>
          <t>для трамваев и троллейбусов взято из файла "Электротранспорт маршруты.xls"
для автобусов - взято из "Автобусные маршруты ВПАТП №7 и ВАП.xls"</t>
        </r>
      </text>
    </comment>
    <comment ref="F4" authorId="0" shapeId="0">
      <text>
        <r>
          <rPr>
            <sz val="9"/>
            <color indexed="81"/>
            <rFont val="Tahoma"/>
            <family val="2"/>
            <charset val="204"/>
          </rPr>
          <t>взято из "Автобусные маршруты ВПАТП №7 и ВАП.xls" + "Подвижной состав МЭТ.doc"</t>
        </r>
      </text>
    </comment>
  </commentList>
</comments>
</file>

<file path=xl/sharedStrings.xml><?xml version="1.0" encoding="utf-8"?>
<sst xmlns="http://schemas.openxmlformats.org/spreadsheetml/2006/main" count="8756" uniqueCount="696">
  <si>
    <t>название</t>
  </si>
  <si>
    <t>колМестДляАвто</t>
  </si>
  <si>
    <t>Льготники</t>
  </si>
  <si>
    <t>Нельготники</t>
  </si>
  <si>
    <t>&lt;- число остановок</t>
  </si>
  <si>
    <t>&lt;- число маршрутов</t>
  </si>
  <si>
    <t>Рейсы маршрутов</t>
  </si>
  <si>
    <t>число рейсов -&gt;</t>
  </si>
  <si>
    <t>Район остановки (выбрать из списка)</t>
  </si>
  <si>
    <t>Ворошиловский</t>
  </si>
  <si>
    <t>Кожгалантерейная фабрика</t>
  </si>
  <si>
    <t>Вагонное депо</t>
  </si>
  <si>
    <t>Ж/Д Волгоград-2</t>
  </si>
  <si>
    <t>Строительный техникум</t>
  </si>
  <si>
    <t>Центральный</t>
  </si>
  <si>
    <t>Детский центр</t>
  </si>
  <si>
    <t>Школа №36</t>
  </si>
  <si>
    <t>Дзержинский</t>
  </si>
  <si>
    <t>Школа №82</t>
  </si>
  <si>
    <t>завод Ахтуба</t>
  </si>
  <si>
    <t>Областная больница</t>
  </si>
  <si>
    <t>Маршала Рокоссовского</t>
  </si>
  <si>
    <t>Обувная фабрика</t>
  </si>
  <si>
    <t>Советский</t>
  </si>
  <si>
    <t>Рембыттехника</t>
  </si>
  <si>
    <t>Волгоградский институт кооперации</t>
  </si>
  <si>
    <t>Больница №7</t>
  </si>
  <si>
    <t>Путепроводная</t>
  </si>
  <si>
    <t>Протезный завод</t>
  </si>
  <si>
    <t>Торговый центр</t>
  </si>
  <si>
    <t>Ким</t>
  </si>
  <si>
    <t>Жилгородок</t>
  </si>
  <si>
    <t>Краснооктябрьский</t>
  </si>
  <si>
    <t>Лицей №7</t>
  </si>
  <si>
    <t>Молодежный центр Россия</t>
  </si>
  <si>
    <t>Поликлиника №18</t>
  </si>
  <si>
    <t>ЖБИ</t>
  </si>
  <si>
    <t>Народная ярмарка</t>
  </si>
  <si>
    <t>Комплекс Русь</t>
  </si>
  <si>
    <t>Академия МВД</t>
  </si>
  <si>
    <t>Дом детского творчества</t>
  </si>
  <si>
    <t>Агентство воздушных сообщений</t>
  </si>
  <si>
    <t>Колледж бизнеса</t>
  </si>
  <si>
    <t xml:space="preserve">завод Газоаппарат </t>
  </si>
  <si>
    <t>Судоверфь</t>
  </si>
  <si>
    <t>Бульвар Энгельса</t>
  </si>
  <si>
    <t>Красноармейский</t>
  </si>
  <si>
    <t>к/т Юбилейный</t>
  </si>
  <si>
    <t>Клуб Строитель</t>
  </si>
  <si>
    <t>Депо №3</t>
  </si>
  <si>
    <t>Опытно-экспериментальный завод</t>
  </si>
  <si>
    <t>Кировский</t>
  </si>
  <si>
    <t>Заводоуправление</t>
  </si>
  <si>
    <t>Волгохимремонт</t>
  </si>
  <si>
    <t>Полевая</t>
  </si>
  <si>
    <t>Монолитспецстрой</t>
  </si>
  <si>
    <t>Экономико-технический колледж</t>
  </si>
  <si>
    <t>Стадион Монолит</t>
  </si>
  <si>
    <t>ТЮЗ</t>
  </si>
  <si>
    <t>Пионерская</t>
  </si>
  <si>
    <t>ТРК Европа</t>
  </si>
  <si>
    <t>ЦПКиО</t>
  </si>
  <si>
    <t>Центральный стадион</t>
  </si>
  <si>
    <t>Мамаев Курган</t>
  </si>
  <si>
    <t>Дворец Спорта</t>
  </si>
  <si>
    <t>пл. Чекистов</t>
  </si>
  <si>
    <t>Больница Ильича</t>
  </si>
  <si>
    <t>Водоотстой</t>
  </si>
  <si>
    <t>Тракторозаводский</t>
  </si>
  <si>
    <t>Нижний пос. ВГТЗ</t>
  </si>
  <si>
    <t>Фабрика Царица</t>
  </si>
  <si>
    <t>Памятник Североморцам</t>
  </si>
  <si>
    <t>Архитектурно-строительный университет</t>
  </si>
  <si>
    <t>ЖКО</t>
  </si>
  <si>
    <t>к/т Старт</t>
  </si>
  <si>
    <t>Колхозный рынок</t>
  </si>
  <si>
    <t>Парк Памяти</t>
  </si>
  <si>
    <t>Новая Спартановка</t>
  </si>
  <si>
    <t>Спартановка</t>
  </si>
  <si>
    <t>Гимназия №14</t>
  </si>
  <si>
    <t>Школа №12</t>
  </si>
  <si>
    <t>к/т Юность</t>
  </si>
  <si>
    <t>к/т Родина</t>
  </si>
  <si>
    <t>Ж/Д Вокзал</t>
  </si>
  <si>
    <t>Качинское училище</t>
  </si>
  <si>
    <t>МНТК Микрохирургия глаза</t>
  </si>
  <si>
    <t>Больничный комплекс</t>
  </si>
  <si>
    <t>Технологический колледж</t>
  </si>
  <si>
    <t>ул. Ткачева</t>
  </si>
  <si>
    <t>Красные казармы</t>
  </si>
  <si>
    <t>ул. Хиросимы</t>
  </si>
  <si>
    <t>ул. Чайковского</t>
  </si>
  <si>
    <t>ул. Менделеева</t>
  </si>
  <si>
    <t>ул. Газовая</t>
  </si>
  <si>
    <t>Монумент</t>
  </si>
  <si>
    <t>Инструментальный завод</t>
  </si>
  <si>
    <t>пос. Гули Королевой</t>
  </si>
  <si>
    <t>пос. Водный</t>
  </si>
  <si>
    <t>Лесник-2</t>
  </si>
  <si>
    <t>ВолГУ</t>
  </si>
  <si>
    <t>пос. Майский</t>
  </si>
  <si>
    <t>Химический завод</t>
  </si>
  <si>
    <t>ВЗСМ</t>
  </si>
  <si>
    <t>ВолгоГРЭС</t>
  </si>
  <si>
    <t>Детский комбинат</t>
  </si>
  <si>
    <t>7-я площадка</t>
  </si>
  <si>
    <t>8-я площадка</t>
  </si>
  <si>
    <t>Вторчермет</t>
  </si>
  <si>
    <t>Лесобаза</t>
  </si>
  <si>
    <t>Дома речников</t>
  </si>
  <si>
    <t>школа №115</t>
  </si>
  <si>
    <t>ул. Пролетарская</t>
  </si>
  <si>
    <t>40 колодцев</t>
  </si>
  <si>
    <t>Пост ГИБДД</t>
  </si>
  <si>
    <t>Дачи - 2</t>
  </si>
  <si>
    <t>Дачи Металлургов</t>
  </si>
  <si>
    <t>Горчичный завод</t>
  </si>
  <si>
    <t>Набережная</t>
  </si>
  <si>
    <t>Зеленое кольцо</t>
  </si>
  <si>
    <t>Колледж нефти и газа</t>
  </si>
  <si>
    <t>Спутник</t>
  </si>
  <si>
    <t>к/т Мир</t>
  </si>
  <si>
    <t>Автозаводская</t>
  </si>
  <si>
    <t>ВПЭЛС</t>
  </si>
  <si>
    <t>Воинская часть</t>
  </si>
  <si>
    <t>Мост перекидной</t>
  </si>
  <si>
    <t>Дамба</t>
  </si>
  <si>
    <t>Сельхозтехника</t>
  </si>
  <si>
    <t>Аэропорт</t>
  </si>
  <si>
    <t>завод Куйбышева</t>
  </si>
  <si>
    <t>Энергетический колледж</t>
  </si>
  <si>
    <t>ВГСХА</t>
  </si>
  <si>
    <t>Школа №48</t>
  </si>
  <si>
    <t>к/т Авангард</t>
  </si>
  <si>
    <t>Гимназия №9</t>
  </si>
  <si>
    <t>санаторий Волгоград</t>
  </si>
  <si>
    <t>завод Электронмаш</t>
  </si>
  <si>
    <t>к/т Нефтяник</t>
  </si>
  <si>
    <t>ЖД Больница</t>
  </si>
  <si>
    <t>ст. Садовая</t>
  </si>
  <si>
    <t>Автобаза</t>
  </si>
  <si>
    <t>ГСК Елецкий</t>
  </si>
  <si>
    <t>Хлебный магазин</t>
  </si>
  <si>
    <t>СНТ Татьянка</t>
  </si>
  <si>
    <t>СНТ Нефтяник</t>
  </si>
  <si>
    <t>Школа №117</t>
  </si>
  <si>
    <t>ул. Караванная</t>
  </si>
  <si>
    <t>пл. Столетова</t>
  </si>
  <si>
    <t>Ветлечебница</t>
  </si>
  <si>
    <t>Церковь</t>
  </si>
  <si>
    <t>СНТ Берендей</t>
  </si>
  <si>
    <t>Карьер</t>
  </si>
  <si>
    <t>Сиреневая</t>
  </si>
  <si>
    <t>Центральная</t>
  </si>
  <si>
    <t>Дачи Кировец</t>
  </si>
  <si>
    <t>Родниковая долина</t>
  </si>
  <si>
    <t>Школа №131</t>
  </si>
  <si>
    <t>Гостиница Волго-Дон</t>
  </si>
  <si>
    <t>ул. Елецкая</t>
  </si>
  <si>
    <t>Дачи Шельф</t>
  </si>
  <si>
    <t>Дачи Орошенец</t>
  </si>
  <si>
    <t>пос. Песчанка</t>
  </si>
  <si>
    <t>Соленый пруд</t>
  </si>
  <si>
    <t>Химгородок</t>
  </si>
  <si>
    <t>Колледж им. Вернадского</t>
  </si>
  <si>
    <t>Механический институт</t>
  </si>
  <si>
    <t>пос. Латошинка</t>
  </si>
  <si>
    <t>Санаторий Латошинка</t>
  </si>
  <si>
    <t>Начало дачных участков</t>
  </si>
  <si>
    <t>8-ой Воздушной армии</t>
  </si>
  <si>
    <t>ТЦ Реал</t>
  </si>
  <si>
    <t>завод Аврора</t>
  </si>
  <si>
    <t>Моторный завод</t>
  </si>
  <si>
    <t>Оптовый рынок</t>
  </si>
  <si>
    <t>Волгоградмаш</t>
  </si>
  <si>
    <t>ВЗБТ</t>
  </si>
  <si>
    <t>Рыбокомплекс</t>
  </si>
  <si>
    <t>Подстанция</t>
  </si>
  <si>
    <t>17-й км.</t>
  </si>
  <si>
    <t>пос. Гумрак</t>
  </si>
  <si>
    <t>ст. Гумрак</t>
  </si>
  <si>
    <t>пос. Аэропорт</t>
  </si>
  <si>
    <t>АТБ-4</t>
  </si>
  <si>
    <t>ГСК №19</t>
  </si>
  <si>
    <t>ЖБИ №2</t>
  </si>
  <si>
    <t>ПТУ №54</t>
  </si>
  <si>
    <t>Звезда</t>
  </si>
  <si>
    <t>Радиоцентр</t>
  </si>
  <si>
    <t>ДОК-3</t>
  </si>
  <si>
    <t>ст. Сарепта</t>
  </si>
  <si>
    <t>Кардиоцентр</t>
  </si>
  <si>
    <t>рынок ВГТЗ</t>
  </si>
  <si>
    <t>МСЧ-40</t>
  </si>
  <si>
    <t>пос. Татьянка-1</t>
  </si>
  <si>
    <t>пос. Заря</t>
  </si>
  <si>
    <t>ЦСМ</t>
  </si>
  <si>
    <t>Импульс</t>
  </si>
  <si>
    <t>ул. Танкистов</t>
  </si>
  <si>
    <t>Авиагородок</t>
  </si>
  <si>
    <t>Верхнезареченское кладбище</t>
  </si>
  <si>
    <t>1000 мелочей</t>
  </si>
  <si>
    <t>Речной порт</t>
  </si>
  <si>
    <t>Арбитражный суд</t>
  </si>
  <si>
    <t>тв</t>
  </si>
  <si>
    <t>1 Детский центр - ул. Мончегорская (прямой)</t>
  </si>
  <si>
    <t>1 ул. Мончегорская -Детский центр (обратный)</t>
  </si>
  <si>
    <t>2 Детский центр - 36 школа (прямой)</t>
  </si>
  <si>
    <t>т</t>
  </si>
  <si>
    <t>а</t>
  </si>
  <si>
    <t>4 ЖД Больница - пл. Ленина (прямой)</t>
  </si>
  <si>
    <t>4 пл. Ленина - ЖД Больница (обратный)</t>
  </si>
  <si>
    <t>32 СНТ Татьянка - к/т Юбилейный (прямой)</t>
  </si>
  <si>
    <t>50Э Обувная фабрика - дачи Автотранспортник (прямой)</t>
  </si>
  <si>
    <t>50Э дачи Автотранспортник - Обувная фабрика (обратный)</t>
  </si>
  <si>
    <t>5А ул. Тулака - Дачи (прямой)</t>
  </si>
  <si>
    <t>5А Дачи - ул. Тулака (обратный)</t>
  </si>
  <si>
    <t>57Э дачи Шельф - 33-я школа(обратный)</t>
  </si>
  <si>
    <t>11 пл. ВГТЗ - пос. Верхнезареченский (прямой)</t>
  </si>
  <si>
    <t>20 пл. им. Дзержинского - Аллея Героев (прямой)</t>
  </si>
  <si>
    <t>22 ул. Комарова - Кардиоцентр (прямой)</t>
  </si>
  <si>
    <t>49 Капустная балка - Авиагородок (прямой)</t>
  </si>
  <si>
    <t>85 Жилгородок - Кардиоцентр (прямой)</t>
  </si>
  <si>
    <t>обозначение</t>
  </si>
  <si>
    <t>значение</t>
  </si>
  <si>
    <t>автобус</t>
  </si>
  <si>
    <t>троллейбус</t>
  </si>
  <si>
    <t>трамвай</t>
  </si>
  <si>
    <t>м</t>
  </si>
  <si>
    <t>маршрутка</t>
  </si>
  <si>
    <t>код Остановки</t>
  </si>
  <si>
    <t>Код маршрута</t>
  </si>
  <si>
    <t>Название маршрута</t>
  </si>
  <si>
    <t>Признак (из списка)</t>
  </si>
  <si>
    <t>Время</t>
  </si>
  <si>
    <t>Вместимость</t>
  </si>
  <si>
    <t>Льготность</t>
  </si>
  <si>
    <t>Название маршрута (из списка)</t>
  </si>
  <si>
    <t xml:space="preserve">Номер остановки </t>
  </si>
  <si>
    <t>Код остановки</t>
  </si>
  <si>
    <t>Название  остановки (из списка)</t>
  </si>
  <si>
    <t>Длина перегона (км)</t>
  </si>
  <si>
    <t>ул. Мончегорская</t>
  </si>
  <si>
    <t>ул. Просвещения</t>
  </si>
  <si>
    <t>ул. Череповецкая</t>
  </si>
  <si>
    <t>ул. Острогожская</t>
  </si>
  <si>
    <t>ул. Радомская</t>
  </si>
  <si>
    <t>ул. Милиционера Буханцева</t>
  </si>
  <si>
    <t>ул. Моздокская</t>
  </si>
  <si>
    <t>ул. Ростовская</t>
  </si>
  <si>
    <t>ул. Голубинская</t>
  </si>
  <si>
    <t>ул. Краснознаменская</t>
  </si>
  <si>
    <t>ул. Раздольная</t>
  </si>
  <si>
    <t>завод им. Петрова</t>
  </si>
  <si>
    <t>ул. 35-й Гвардейской Дивизии</t>
  </si>
  <si>
    <t>завод Заря Волгограда</t>
  </si>
  <si>
    <t>ул. Интернациональная</t>
  </si>
  <si>
    <t>ул. Козловская</t>
  </si>
  <si>
    <t>ул. 51-й Гвардейской дивизии</t>
  </si>
  <si>
    <t>ул. им. Землячки</t>
  </si>
  <si>
    <t>ул. Хорошева</t>
  </si>
  <si>
    <t>ул. Эльтонская</t>
  </si>
  <si>
    <t>ул. Двинская</t>
  </si>
  <si>
    <t>ул. Кубанская</t>
  </si>
  <si>
    <t>пр-т Героев Сталинграда</t>
  </si>
  <si>
    <t>Канал им. Ленина</t>
  </si>
  <si>
    <t>ул. Марийская</t>
  </si>
  <si>
    <t>ДК Царицын</t>
  </si>
  <si>
    <t>ул. Командира Рудь</t>
  </si>
  <si>
    <t>Овощная база (40 лет ВЛКСМ)</t>
  </si>
  <si>
    <t>ОАО Каустик</t>
  </si>
  <si>
    <t>ул. Матросова</t>
  </si>
  <si>
    <t>ул. Нижнеамурская</t>
  </si>
  <si>
    <t>ул. Хользунова</t>
  </si>
  <si>
    <t>ул. Триумфальная</t>
  </si>
  <si>
    <t>ул. Генерала Штеменко</t>
  </si>
  <si>
    <t>ул. Поддубного</t>
  </si>
  <si>
    <t>пр-т Металлургов</t>
  </si>
  <si>
    <t>ул. Богунская</t>
  </si>
  <si>
    <t>ул. Кузнецова</t>
  </si>
  <si>
    <t>Универмаг</t>
  </si>
  <si>
    <t>ул. Комсомольская</t>
  </si>
  <si>
    <t>пл. Ленина</t>
  </si>
  <si>
    <t>пл. Возрождения</t>
  </si>
  <si>
    <t>ул. 39-й Гвардейской Дивизии</t>
  </si>
  <si>
    <t>завод Красный Октябрь</t>
  </si>
  <si>
    <t>Универсам (Спартановка)</t>
  </si>
  <si>
    <t>пл. Куйбышева</t>
  </si>
  <si>
    <t>мкр. Тулака</t>
  </si>
  <si>
    <t>ул. Порт-Саида</t>
  </si>
  <si>
    <t>ул. Дзержинского</t>
  </si>
  <si>
    <t>ул. 7-й Гвардейской Дивизии</t>
  </si>
  <si>
    <t>ул. Бакинская</t>
  </si>
  <si>
    <t>ул. Библиотечная</t>
  </si>
  <si>
    <t>Магазин Медтехника</t>
  </si>
  <si>
    <t>ул. Титова</t>
  </si>
  <si>
    <t>ул. Ватутина</t>
  </si>
  <si>
    <t>ул. Ополченская / 33-я столовая</t>
  </si>
  <si>
    <t>пос. Горный</t>
  </si>
  <si>
    <t>3-я школа</t>
  </si>
  <si>
    <t>пл. Дзержинского</t>
  </si>
  <si>
    <t>ул. Кропоткина</t>
  </si>
  <si>
    <t>ул. Грамши (Школа №61)</t>
  </si>
  <si>
    <t>пл. Титова</t>
  </si>
  <si>
    <t>ул. Тарифная</t>
  </si>
  <si>
    <t>ул. Шурухина</t>
  </si>
  <si>
    <t>ул. Джаныбековская</t>
  </si>
  <si>
    <t>ул. Иртышская</t>
  </si>
  <si>
    <t>ул. Каспийская</t>
  </si>
  <si>
    <t>ул. Новороссийская</t>
  </si>
  <si>
    <t>127-й квартал</t>
  </si>
  <si>
    <t>Школа искусств №7</t>
  </si>
  <si>
    <t>ул. Константина Симонова</t>
  </si>
  <si>
    <t>Поликлиника №28</t>
  </si>
  <si>
    <t>Школа №33</t>
  </si>
  <si>
    <t>ул. Космонавтов</t>
  </si>
  <si>
    <t>Мед. Академия</t>
  </si>
  <si>
    <t>Мост (ул. Менделеева)</t>
  </si>
  <si>
    <t>Промышленный магазин</t>
  </si>
  <si>
    <t>ул. 39-й Гвардейской Дивизии (Универсам)</t>
  </si>
  <si>
    <t>Сквер Доблести и Славы</t>
  </si>
  <si>
    <t>Школа №87</t>
  </si>
  <si>
    <t>пос. ГЭС</t>
  </si>
  <si>
    <t>ул. Комарова</t>
  </si>
  <si>
    <t>ВолГУ (Университетский пр-т)</t>
  </si>
  <si>
    <t>Ж/Д Техникум</t>
  </si>
  <si>
    <t>Школа №115</t>
  </si>
  <si>
    <t>ул. Куйбышева</t>
  </si>
  <si>
    <t>Школа №63</t>
  </si>
  <si>
    <t>ул. Вилянская</t>
  </si>
  <si>
    <t>Продовольственный магазин</t>
  </si>
  <si>
    <t>ЗПСМ</t>
  </si>
  <si>
    <t>АК-1205</t>
  </si>
  <si>
    <t>2-е проходные ВСПКЗ</t>
  </si>
  <si>
    <t>Дачи - 1</t>
  </si>
  <si>
    <t>Школа №26</t>
  </si>
  <si>
    <t>ул. Габышева</t>
  </si>
  <si>
    <t>Больница №24</t>
  </si>
  <si>
    <t>ул. Джабаева</t>
  </si>
  <si>
    <t>Дачи (на Казахской)</t>
  </si>
  <si>
    <t>Магазин (ул. Полухина)</t>
  </si>
  <si>
    <t>Рынок Астра</t>
  </si>
  <si>
    <t>Дачи Здоровье</t>
  </si>
  <si>
    <t>ул. Академическая</t>
  </si>
  <si>
    <t>ул. Костюченко</t>
  </si>
  <si>
    <t>ул. Кузнецкая</t>
  </si>
  <si>
    <t>ул. Елисеева</t>
  </si>
  <si>
    <t>ул. Яблочная</t>
  </si>
  <si>
    <t>ул. Буровая</t>
  </si>
  <si>
    <t>Мехколонна №65</t>
  </si>
  <si>
    <t>ст. им. Максима Горького</t>
  </si>
  <si>
    <t>ул. Вокзальная</t>
  </si>
  <si>
    <t>ул. Станционная</t>
  </si>
  <si>
    <t>Цветочная</t>
  </si>
  <si>
    <t>Тепличная</t>
  </si>
  <si>
    <t>503-й квартал</t>
  </si>
  <si>
    <t>ТРК Комсомолл</t>
  </si>
  <si>
    <t>СО Дзержинец</t>
  </si>
  <si>
    <t>1-ые дачи (Тракторозаводский)</t>
  </si>
  <si>
    <t>2-ые дачи (Тракторозаводский)</t>
  </si>
  <si>
    <t>Школа №88</t>
  </si>
  <si>
    <t>ул. Тулака</t>
  </si>
  <si>
    <t>Дачи Слава</t>
  </si>
  <si>
    <t>пос. Верхнезареченский (ул. Синявина)</t>
  </si>
  <si>
    <t>ул. Дегтярева</t>
  </si>
  <si>
    <t>пос. Лавочки</t>
  </si>
  <si>
    <t>Пруды</t>
  </si>
  <si>
    <t>Детский сад (Жилгородок)</t>
  </si>
  <si>
    <t>завод им. Ермана</t>
  </si>
  <si>
    <t>Школа №107</t>
  </si>
  <si>
    <t>пос. Руднева</t>
  </si>
  <si>
    <t>Алюминиевый завод (кладбище)</t>
  </si>
  <si>
    <t>ул. Тополевая (Угол парка)</t>
  </si>
  <si>
    <t>Больница №9</t>
  </si>
  <si>
    <t>ул. Лавровая</t>
  </si>
  <si>
    <t>Санаторий Волгоград</t>
  </si>
  <si>
    <t>пос. Горная поляна</t>
  </si>
  <si>
    <t>ул. Огарева</t>
  </si>
  <si>
    <t>ул. Прямая</t>
  </si>
  <si>
    <t>ул. Закавказская</t>
  </si>
  <si>
    <t>ул. Куприна</t>
  </si>
  <si>
    <t>ул. Спокойная</t>
  </si>
  <si>
    <t>ул. Ужгородская</t>
  </si>
  <si>
    <t>Картонажная фабрика</t>
  </si>
  <si>
    <t>ул. Морфлотская</t>
  </si>
  <si>
    <t>Дачи нефтебазы</t>
  </si>
  <si>
    <t>Дачи Автотранспортник</t>
  </si>
  <si>
    <t>ул. Строительная</t>
  </si>
  <si>
    <t>СНТ Восход</t>
  </si>
  <si>
    <t>Поворот Горная Поляна</t>
  </si>
  <si>
    <t>ул. Бамбуковая</t>
  </si>
  <si>
    <t>Рынок Ткачевский</t>
  </si>
  <si>
    <t>Школа №44</t>
  </si>
  <si>
    <t>ТРЦ Акварель</t>
  </si>
  <si>
    <t>Бульвар 30 лет Победы</t>
  </si>
  <si>
    <t>ст. Бетонная</t>
  </si>
  <si>
    <t>ул. Мясникова</t>
  </si>
  <si>
    <t>пос. Водстрой</t>
  </si>
  <si>
    <t>Завод оросительной техники</t>
  </si>
  <si>
    <t>Начало пос. Верхняя Ельшанка</t>
  </si>
  <si>
    <t>Почта (Верхняя Ельшанка)</t>
  </si>
  <si>
    <t>пер. Прожекторный</t>
  </si>
  <si>
    <t>ул. Кагальникская</t>
  </si>
  <si>
    <t>Школа-интернат</t>
  </si>
  <si>
    <t>Больница №10</t>
  </si>
  <si>
    <t>Депо Сарепта</t>
  </si>
  <si>
    <t>пос. Татьянка-2</t>
  </si>
  <si>
    <t>ул. Мичурина</t>
  </si>
  <si>
    <t>ул. Автомобилистов</t>
  </si>
  <si>
    <t>ул. Шекспира</t>
  </si>
  <si>
    <t>Магазин №1</t>
  </si>
  <si>
    <t>Школа №110</t>
  </si>
  <si>
    <t>пос. Верхняя Ельшанка</t>
  </si>
  <si>
    <t>ул. Волгоградская</t>
  </si>
  <si>
    <t>2-ой км.</t>
  </si>
  <si>
    <t>Зигзаг</t>
  </si>
  <si>
    <t>Школа №41</t>
  </si>
  <si>
    <t>ул. Савкина</t>
  </si>
  <si>
    <t>Янтарный город</t>
  </si>
  <si>
    <t>ул. Республиканская</t>
  </si>
  <si>
    <t>ул. Клайпедская</t>
  </si>
  <si>
    <t>ул. Шаблиевская</t>
  </si>
  <si>
    <t>Магазин (Верхняя Ельшанка)</t>
  </si>
  <si>
    <t>Алюминиевый завод</t>
  </si>
  <si>
    <t>Лесозавод</t>
  </si>
  <si>
    <t>Клуб Антей</t>
  </si>
  <si>
    <t>ул. Героев Тулы</t>
  </si>
  <si>
    <t>Магазин "Ивушка"</t>
  </si>
  <si>
    <t>ул. Рионская</t>
  </si>
  <si>
    <t>ул. Продольная</t>
  </si>
  <si>
    <t>ул. Казахская</t>
  </si>
  <si>
    <t>ст. Ельшанка</t>
  </si>
  <si>
    <t>ул. Полухина</t>
  </si>
  <si>
    <t>ул. Дарвина</t>
  </si>
  <si>
    <t>ул. Стругацких</t>
  </si>
  <si>
    <t>ул. Григория Засекина</t>
  </si>
  <si>
    <t>ул. Дружбы народов</t>
  </si>
  <si>
    <t>Городок</t>
  </si>
  <si>
    <t>Мазазин Яблонька</t>
  </si>
  <si>
    <t>ВолгГТУ</t>
  </si>
  <si>
    <t>ВСПКЗ</t>
  </si>
  <si>
    <t>Магазин (ул. Менделеева)</t>
  </si>
  <si>
    <t>Дачи ЗКО</t>
  </si>
  <si>
    <t xml:space="preserve">пер. Железный </t>
  </si>
  <si>
    <t>пос. Отрада</t>
  </si>
  <si>
    <t>СНТ Сластена</t>
  </si>
  <si>
    <t>Пионерский лагерь</t>
  </si>
  <si>
    <t>Нефтебаза</t>
  </si>
  <si>
    <t>Онкоцентр</t>
  </si>
  <si>
    <t>Ж/Д Вокзал (мост)</t>
  </si>
  <si>
    <t>ул. Булгакова</t>
  </si>
  <si>
    <t>Разъезд "Горнополянский"</t>
  </si>
  <si>
    <t>Поворот</t>
  </si>
  <si>
    <t>ст. Динамо</t>
  </si>
  <si>
    <t>Автовокзал</t>
  </si>
  <si>
    <t>Телецентр</t>
  </si>
  <si>
    <t>Кольцо (пос. Верхнезареченский)</t>
  </si>
  <si>
    <t>пр-д Дорожников</t>
  </si>
  <si>
    <t>Дачная</t>
  </si>
  <si>
    <t>ВолгоградЭнергоСервис</t>
  </si>
  <si>
    <t>Хлебзавод №3</t>
  </si>
  <si>
    <t>Кладбище (Ворошиловский р-н)</t>
  </si>
  <si>
    <t>пос. Ежовка</t>
  </si>
  <si>
    <t>Поликлиника (пос. Горьковский)</t>
  </si>
  <si>
    <t>пос. Горьковский</t>
  </si>
  <si>
    <t>Депо (пос. Горьковский)</t>
  </si>
  <si>
    <t>Магазин (пос. Горьковский)</t>
  </si>
  <si>
    <t>СНТ Природа</t>
  </si>
  <si>
    <t>Библиотечная (на ул. Писемского)</t>
  </si>
  <si>
    <t>Мост (пос. Верхнезареченский)</t>
  </si>
  <si>
    <t>Военкомат (Школа №17)</t>
  </si>
  <si>
    <t>Пешеходный мост (пос. Горьковский)</t>
  </si>
  <si>
    <t>ул. Молодежная</t>
  </si>
  <si>
    <t>ул. Мушкетова (Песчанка)</t>
  </si>
  <si>
    <t>ул. Звездина</t>
  </si>
  <si>
    <t>пос. Горный (Советский р-н)</t>
  </si>
  <si>
    <t>Военный городок (Гумрак)</t>
  </si>
  <si>
    <t>Подстанция (Алюминиевый з-д)</t>
  </si>
  <si>
    <t>Экономико-технический колледж (Шурухина)</t>
  </si>
  <si>
    <t>28 км. (Тракторозаводский)</t>
  </si>
  <si>
    <t>Военный городок (Латошинка)</t>
  </si>
  <si>
    <t>Магазин (Верхнезареченский)</t>
  </si>
  <si>
    <t>Дачи Энергетик</t>
  </si>
  <si>
    <t>Универсам (ул. Кирова)</t>
  </si>
  <si>
    <t>Оптовый рынок "Татьянка"</t>
  </si>
  <si>
    <t>к/т Родина (на Рокоссовского)</t>
  </si>
  <si>
    <t>Сергеевский храм</t>
  </si>
  <si>
    <t>ул. им. Генерала Гурова</t>
  </si>
  <si>
    <t>Рынок Северный</t>
  </si>
  <si>
    <t>ул. Гидростроителей</t>
  </si>
  <si>
    <t>СО Строитель</t>
  </si>
  <si>
    <t>3 Обувная фабрика - КИМ (прямой)</t>
  </si>
  <si>
    <t xml:space="preserve">3 КИМ - Обувная фабрика (обратный) </t>
  </si>
  <si>
    <t>4 Обувная фабрика - Детский центр (прямой)</t>
  </si>
  <si>
    <t>4 Детский центр - Обувная фабрика (обратный)</t>
  </si>
  <si>
    <t>5 ул. Радомская - Жилгородок (прямой)</t>
  </si>
  <si>
    <t xml:space="preserve">5 Жилгородок - ул. Радомская (обратный) </t>
  </si>
  <si>
    <t>СТ ВГТЗ - пл. Чекистов (прямой)</t>
  </si>
  <si>
    <t>СТ пл. Чекистов - ВГТЗ (обратный)</t>
  </si>
  <si>
    <t>СТ2 стадион Монолит - Елышанка (прямой)</t>
  </si>
  <si>
    <t>СТ2 Елышанка - стадион Монолит (обратный)</t>
  </si>
  <si>
    <t>2 36 школа - Детский центр (обратный)</t>
  </si>
  <si>
    <t>9 пл. Куйбышева - Спартановка (прямой)</t>
  </si>
  <si>
    <t>9 Спартановка - пл. Куйбышева (обратный)</t>
  </si>
  <si>
    <t>10 ул. им. Землячки - пл. Куйбышева (прямой)</t>
  </si>
  <si>
    <t>10 пл. Куйбышева - ул. им. Землячки (обратный)</t>
  </si>
  <si>
    <t>12 Детский центр - Спартановка (прямой)</t>
  </si>
  <si>
    <t>12 Спартановка - Детский центр (обратный)</t>
  </si>
  <si>
    <t>12В Спартановка - ЖД вокзал (прямой)</t>
  </si>
  <si>
    <t>12В ЖД вокзал - Спартановка (обратный)</t>
  </si>
  <si>
    <t>15 ЖД вокзал - Больничный комплекс (прямой)</t>
  </si>
  <si>
    <t>15 Больничный комплекс - ЖД вокзал (обратный)</t>
  </si>
  <si>
    <t>15А пл. Куйбышева - Больничный комплекс (прямой)</t>
  </si>
  <si>
    <t>15А Больничный комплекс - пл. Куйбышева (обратный)</t>
  </si>
  <si>
    <t>6 ул. КИМ - Школа №36 (прямой)</t>
  </si>
  <si>
    <t>6 Школа №36 - ул. КИМ (обратный)</t>
  </si>
  <si>
    <t>7 ул. КИМ - Жилгородок (прямой)</t>
  </si>
  <si>
    <t>7 Жилгородок - ул. КИМ (обратный)</t>
  </si>
  <si>
    <t>10 Жилгородок - Детский центр (прямой)</t>
  </si>
  <si>
    <t>10 Детский центр - Жилгородок (обратный)</t>
  </si>
  <si>
    <t>11 ОАО Каустик - Судоверфь (прямой)</t>
  </si>
  <si>
    <t>11 Судоверфь - ОАО Каустик (обратный)</t>
  </si>
  <si>
    <t>12 Школа №36 - Жилгородок (прямой)</t>
  </si>
  <si>
    <t>12 Жилгородок - Школа №36 (обратный)</t>
  </si>
  <si>
    <t>98 Речпорт - ТРЦ "Комсомолл" (прямой)</t>
  </si>
  <si>
    <t>98 ТРЦ "Комсомолл" - Речпорт (обратный)</t>
  </si>
  <si>
    <t>11а пл. ВГТЗ - пос. Верхнезареченский (прямой)</t>
  </si>
  <si>
    <t>11а пос. Верхнезареченский - пл. ВГТЗ (обратный)</t>
  </si>
  <si>
    <t>48 ВГТЗ - Дачи (кольцевой)</t>
  </si>
  <si>
    <t>52Э ЖД вокзал - пос. Майский (прямой)</t>
  </si>
  <si>
    <t>52Э пос. Майский - ЖД вокзал (обратный)</t>
  </si>
  <si>
    <t>45 пос. Руднева - Дачи Кировец (прямой)</t>
  </si>
  <si>
    <t>45 Дачи Кировец - пос. Руднева (обратный)</t>
  </si>
  <si>
    <t>21 ЖД вокзал - пос. ГЭС (прямой)</t>
  </si>
  <si>
    <t>21 пос. ГЭС - ЖД вокзал (обратный)</t>
  </si>
  <si>
    <t>78 Химический завод - к/т Юбилейный (прямой)</t>
  </si>
  <si>
    <t>78 к/т Юбилейный - Химический завод (обратный)</t>
  </si>
  <si>
    <t>6А Каустик - Набережная (прямой)</t>
  </si>
  <si>
    <t>6А Набережная - Каустик (обратный)</t>
  </si>
  <si>
    <t>7Э пр-т Металлургов - Дачи (прямой)</t>
  </si>
  <si>
    <t>7Э Дачи - пр-т Металлургов (обратный)</t>
  </si>
  <si>
    <t>60Э ул. Тулака - дачи Спутник (прямой)</t>
  </si>
  <si>
    <t>60Э дачи Спутник - ул. Тулака (обратный)</t>
  </si>
  <si>
    <t>89 ЖД вокзал - пос. Песчанка (прямой)</t>
  </si>
  <si>
    <t>89 пос. Песчанка - ЖД вокзал (обратный)</t>
  </si>
  <si>
    <t>57Э 33-я школа- дачи Шельф (прямой)</t>
  </si>
  <si>
    <t>53Э Волгоград Автовокзал - дачи Орошенец (прямой)</t>
  </si>
  <si>
    <t>53Э дачи Орошенец - Волгоград Автовокзал (обратный)</t>
  </si>
  <si>
    <t>6Э 61 школа - Аэропорт (прямой)</t>
  </si>
  <si>
    <t>6Э Аэропорт - 61 школа (обратный)</t>
  </si>
  <si>
    <t>56Э Ермана - Лесник-2 (прямой)</t>
  </si>
  <si>
    <t>56Э Лесник-2 - Ермана (обратный)</t>
  </si>
  <si>
    <t>77 к/т Юбилейный - ТРК "Комсомолл" (прямой)</t>
  </si>
  <si>
    <t>77 ТРК "Комсомолл" - к/т Юбилейный (обратный)</t>
  </si>
  <si>
    <t>99Э пл. им. Дзержинского - Дамба (прямой)</t>
  </si>
  <si>
    <t>99Э Дамба - пл. им. Дзержинского (обратный)</t>
  </si>
  <si>
    <t>54Э ЖД вокзал - дачи Слава (прямой)</t>
  </si>
  <si>
    <t>54Э дачи Слава - ЖД вокзал (обратный)</t>
  </si>
  <si>
    <t>58Э з-д Петрова - Дачи Здоровье (прямой)</t>
  </si>
  <si>
    <t>58Э Дачи Здоровье - з-д Петрова (обратный)</t>
  </si>
  <si>
    <t>1к Аллея Героев (кольцевой)</t>
  </si>
  <si>
    <t>2 ул. Тополевая (угол парка) - ЖД Вокзал (прямой)</t>
  </si>
  <si>
    <t>2 ЖД Вокзал - ул. Тополевая (угол парка) (обратный)</t>
  </si>
  <si>
    <t>6К ул. им. Землячки - Аэропорт (прямой)</t>
  </si>
  <si>
    <t>6К Аэропорт - ул. им. Землячки (обратный)</t>
  </si>
  <si>
    <t>10А ул. Мясникова - пос. Водстрой (прямой)</t>
  </si>
  <si>
    <t>10А пос. Водстрой - ул. Мясникова (обратный)</t>
  </si>
  <si>
    <t>11 пос. Верхнезареченский - пл. ВГТЗ (обратный)</t>
  </si>
  <si>
    <t>12ф ЖД вокзал - пос. Верхняя Ельшанка (прямой)</t>
  </si>
  <si>
    <t>12ф пос. Верхняя Ельшанка - ЖД вокзал (обратный)</t>
  </si>
  <si>
    <t>19 ул. Кагальникская - депо Сарепта (прямой)</t>
  </si>
  <si>
    <t>19 депо Сарепта - ул. Кагальникская (обратный)</t>
  </si>
  <si>
    <t>20 Аллея Героев - пл. им. Дзержинского (обратный)</t>
  </si>
  <si>
    <t>22 Кардиоцентр - ул. Комарова (обратный)</t>
  </si>
  <si>
    <t>29Э к/т Юбилейный - Кардиоцентр (прямой)</t>
  </si>
  <si>
    <t>29Э Кардиоцентр - к/т Юбилейный (обратный)</t>
  </si>
  <si>
    <t>30 Химзавод - МЧС-40 (прямой)</t>
  </si>
  <si>
    <t>30 МЧС-40 - Химзавод (обратный)</t>
  </si>
  <si>
    <t>31 пос. Татьянка-1 - КСП Заря (прямой)</t>
  </si>
  <si>
    <t>31 КСП Заря - пос. Татьянка-1 (обратный)</t>
  </si>
  <si>
    <t>31К пос. Верхняя Ельшанка - пос. Горная Поляна (прямой)</t>
  </si>
  <si>
    <t>31К пос. Горная Поляна - пос. Верхняя Ельшанка (обратный)</t>
  </si>
  <si>
    <t>33 ЖД вокзал - пос. Горная Поляна (прямой)</t>
  </si>
  <si>
    <t>33 пос. Горная Поляна - ЖД Вокзал (обратный)</t>
  </si>
  <si>
    <t>35 Болничный комплекс - мкр. Тулака (прямой)</t>
  </si>
  <si>
    <t>35 мкр. Тулака - Болничный комплекс (обратный)</t>
  </si>
  <si>
    <t>39 Центр содействия мигрантам (ЦСМ) - ЖД вокзал (прямой)</t>
  </si>
  <si>
    <t xml:space="preserve">39 ЖД вокзал - Центр содействия мигрантам (ЦСМ) (обратный) </t>
  </si>
  <si>
    <t>43 ул. 39-й Гвардейской - Алюминиевый завод (обратный)</t>
  </si>
  <si>
    <t>43 Алюминиевый завод - ул. 39-й Гвардейской (прямой)</t>
  </si>
  <si>
    <t>44 Химзавод - дачи Кировец (прямой)</t>
  </si>
  <si>
    <t>44 дачи Кировец - Химзавод (обратный)</t>
  </si>
  <si>
    <t>49 Авиагородок - Капустная балка (обратный)</t>
  </si>
  <si>
    <t>55 7-я больница - к/т Юбилейный (прямой)</t>
  </si>
  <si>
    <t>55 к/т Юбилейный - 7-я больница (обратный)</t>
  </si>
  <si>
    <t>59 ул. Грамши (Школа №61) - ул. им. Землячки (прямой)</t>
  </si>
  <si>
    <t>59 ул. им. Землячки - ул. Грамши (Школа №61) (обратный)</t>
  </si>
  <si>
    <t>61 пл. им. Дзержинского - пос. Верхнезареченский (прямой)</t>
  </si>
  <si>
    <t>61 пос. Верхнезареченский - пл. им. Дзержинского (обратный)</t>
  </si>
  <si>
    <t>65 ул. им. Тулака - Жилгородок (прямой)</t>
  </si>
  <si>
    <t>65 Жилгородок - ул. им. Тулака (обратный)</t>
  </si>
  <si>
    <t>68 пос. Водстрой - пос. ГЭС (прямой)</t>
  </si>
  <si>
    <t>68 пос. ГЭС - пос. Водстрой (обратный)</t>
  </si>
  <si>
    <t>79 пос. Татьянка 2 - Дома речников (прямой)</t>
  </si>
  <si>
    <t>79 Дома речников - пос. Татьянка 2 (обратный)</t>
  </si>
  <si>
    <t>85 Кардиоцентр - Жилгородок (обратный)</t>
  </si>
  <si>
    <t>88 ЖД вокзал - пос. Максима Горького (прямой)</t>
  </si>
  <si>
    <t>88 пос. Максима Горького - ЖД вокзал (обратный)</t>
  </si>
  <si>
    <t>95 пос. ГЭС - ул. Тополевая (прямой)</t>
  </si>
  <si>
    <t>95 ул. Тополевая - пос. ГЭС (обратный)</t>
  </si>
  <si>
    <t>13 Стадион "Монолит" - ул. Александра Матросова (прямой)</t>
  </si>
  <si>
    <t>13 ул. Александра Матросова - Стадион "Монолит" (обратный)</t>
  </si>
  <si>
    <t>6 ЖД вокзал - Аэропорт (прямой)</t>
  </si>
  <si>
    <t>ул. 35-й Гвардейской дивизии</t>
  </si>
  <si>
    <t>КИМ</t>
  </si>
  <si>
    <t>Завод Ахтуба</t>
  </si>
  <si>
    <t>ул. 7-й Гвардейской дивизии</t>
  </si>
  <si>
    <t>Новая спартановка</t>
  </si>
  <si>
    <t>ул. Тополевая (угол парка)</t>
  </si>
  <si>
    <t>ул. 39-й Гвардейской дивизии</t>
  </si>
  <si>
    <t>санаторий Латошинка</t>
  </si>
  <si>
    <t>Рынок ВГТЗ</t>
  </si>
  <si>
    <t>Пер. Прожекторный</t>
  </si>
  <si>
    <t>6к ул. им. Землячки - Аэропорт (прямой)</t>
  </si>
  <si>
    <t>55К ОАО Каустик - ул. Тулака (прямой)</t>
  </si>
  <si>
    <t>55К ул. Тулака - ОАО Каустик (обратный)</t>
  </si>
  <si>
    <t>Парк памяти</t>
  </si>
  <si>
    <t>почта (Верхняя Ельшанка)</t>
  </si>
  <si>
    <t>33 пос. Горная Поляна - ЖД вокзал (обратный)</t>
  </si>
  <si>
    <t>ул. им. генерала Гурова</t>
  </si>
  <si>
    <t>Механический Институт</t>
  </si>
  <si>
    <t>Ж/Д вокзал</t>
  </si>
  <si>
    <t>Ж/Д вокзал (мост)</t>
  </si>
  <si>
    <t>Завод Аврора</t>
  </si>
  <si>
    <t>Детский сад №375</t>
  </si>
  <si>
    <t>Школа №72</t>
  </si>
  <si>
    <t>Магазин (ул. Хрустальная)</t>
  </si>
  <si>
    <t>ул. Долинная</t>
  </si>
  <si>
    <t>База (ул. Хрустальная)</t>
  </si>
  <si>
    <t>пос. Вишневая балка</t>
  </si>
  <si>
    <t>ул. Таращанцев</t>
  </si>
  <si>
    <t>32 к/т Юбилейный - СНТ Татьянка (обратный)</t>
  </si>
  <si>
    <t>8 пл. Титова - пос. Вишневая балка (прямой)</t>
  </si>
  <si>
    <t>8 пос. Вишневая балка - пл. Титова (обратный)</t>
  </si>
  <si>
    <t>25 Спартановка - ТРЦ Акварель (прямой)</t>
  </si>
  <si>
    <t>25 ТРЦ Акварель - Спартановка (обратный)</t>
  </si>
  <si>
    <t>Обувная фабрика (ул. Электролесовская)</t>
  </si>
  <si>
    <t>Мед. академия</t>
  </si>
  <si>
    <t>ул. Дегтярева (конечная)</t>
  </si>
  <si>
    <t>Царицынская опера</t>
  </si>
  <si>
    <t>Мед. Академия (конечная)</t>
  </si>
  <si>
    <t>ул. 39-й Гвардейской Дивизии (на Еременко)</t>
  </si>
  <si>
    <t>6 Аэропорт - ЖД вокзал (обратный)</t>
  </si>
  <si>
    <t>Основная кнопка</t>
  </si>
  <si>
    <t>Вспомогательные кнопки</t>
  </si>
  <si>
    <t>Данные по "Остановки 13 v2.xlsx"</t>
  </si>
  <si>
    <t>вероятность появления пассажиров по часамэ</t>
  </si>
  <si>
    <t>маршрут</t>
  </si>
  <si>
    <t>число ТС</t>
  </si>
  <si>
    <t>тип</t>
  </si>
  <si>
    <t>интервал движения</t>
  </si>
  <si>
    <t>время обор. рейса, мин</t>
  </si>
  <si>
    <t>вместимость</t>
  </si>
  <si>
    <t>Для автоматической генерации расписания рейсов</t>
  </si>
  <si>
    <t>Если есть данные в столбцах B,C,F -то маршруты попадут в расписание рейсов, иначе - нет</t>
  </si>
  <si>
    <t>нач. час</t>
  </si>
  <si>
    <t>конечный час</t>
  </si>
  <si>
    <t>диапзон</t>
  </si>
  <si>
    <t>отменен</t>
  </si>
  <si>
    <t>После добавления/удаления рейсов маршрута - пересчитать матрицу достижимостей!!!</t>
  </si>
  <si>
    <t>И заново сформировать список рейсов!!!</t>
  </si>
  <si>
    <t>Название остановки</t>
  </si>
  <si>
    <t>код маршрута</t>
  </si>
  <si>
    <t>название маршрута</t>
  </si>
  <si>
    <t>кол перевезенных</t>
  </si>
  <si>
    <t>кол желающих</t>
  </si>
  <si>
    <t>% маршрута от перевезенных</t>
  </si>
  <si>
    <t>Соберите остановки исследуемого маршрута, для которого будет подсчитан трафик или выберите маршрут из списка</t>
  </si>
  <si>
    <t>Выбран маршрут:</t>
  </si>
  <si>
    <t>надо</t>
  </si>
  <si>
    <t>сейчас</t>
  </si>
  <si>
    <t>трам</t>
  </si>
  <si>
    <t>трол</t>
  </si>
  <si>
    <t>электро</t>
  </si>
  <si>
    <t>всего</t>
  </si>
  <si>
    <t>авто ср, &lt;90</t>
  </si>
  <si>
    <t>авто бол, &gt;=90</t>
  </si>
  <si>
    <t>сумма авто</t>
  </si>
  <si>
    <t>ЧИСЛО ТС</t>
  </si>
  <si>
    <t>отмененные</t>
  </si>
  <si>
    <t>Расчет трафика по структурам ВСЕХ маршрутов</t>
  </si>
  <si>
    <t>Стоимость проезда</t>
  </si>
  <si>
    <t>c уточненными расстояниями по перегонам</t>
  </si>
  <si>
    <t>10А ул. Землячки - пл. Возрождения (прямой)</t>
  </si>
  <si>
    <t>10А пл. Возрождения - ул. Землячки (обратный)</t>
  </si>
  <si>
    <t>18 Обувная фабрика - ул. Тополевая (прямой)</t>
  </si>
  <si>
    <t>18 ул. Тополевая - Обувная фабрика (обратный)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</si>
</sst>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"/>
    <numFmt numFmtId="165" formatCode="0.0%"/>
  </numFmts>
  <fonts count="16" x14ac:knownFonts="1">
    <font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Arial"/>
      <family val="2"/>
      <charset val="204"/>
    </font>
    <font>
      <b/>
      <sz val="11"/>
      <color rgb="FF0070C0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indexed="12"/>
      <name val="Calibri"/>
      <family val="2"/>
      <charset val="204"/>
    </font>
    <font>
      <b/>
      <sz val="11"/>
      <color rgb="FFFF0000"/>
      <name val="Calibri"/>
      <family val="2"/>
      <charset val="204"/>
      <scheme val="minor"/>
    </font>
    <font>
      <sz val="10"/>
      <name val="Arial"/>
      <family val="2"/>
    </font>
    <font>
      <sz val="11"/>
      <color indexed="8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FF0000"/>
      <name val="Calibri"/>
      <family val="2"/>
      <charset val="204"/>
    </font>
    <font>
      <sz val="11"/>
      <name val="Calibri"/>
      <family val="2"/>
      <charset val="204"/>
    </font>
    <font>
      <sz val="11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0.14999847407452621"/>
        <bgColor indexed="0"/>
      </patternFill>
    </fill>
    <fill>
      <patternFill patternType="solid">
        <fgColor rgb="FFC0C0C0"/>
        <bgColor indexed="64"/>
      </patternFill>
    </fill>
  </fills>
  <borders count="18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rgb="FFC0C0C0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rgb="FFC0C0C0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rgb="FFC0C0C0"/>
      </left>
      <right style="thin">
        <color rgb="FFC0C0C0"/>
      </right>
      <top/>
      <bottom style="thin">
        <color rgb="FFC0C0C0"/>
      </bottom>
      <diagonal/>
    </border>
  </borders>
  <cellStyleXfs count="8">
    <xf numFmtId="0" fontId="0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" fillId="0" borderId="0"/>
    <xf numFmtId="0" fontId="4" fillId="0" borderId="0"/>
    <xf numFmtId="0" fontId="7" fillId="0" borderId="0">
      <alignment vertical="center"/>
    </xf>
  </cellStyleXfs>
  <cellXfs count="81">
    <xf numFmtId="0" fontId="0" fillId="0" borderId="0" xfId="0"/>
    <xf numFmtId="0" fontId="1" fillId="0" borderId="2" xfId="2" applyFont="1" applyFill="1" applyBorder="1" applyAlignment="1">
      <alignment horizontal="right" wrapText="1"/>
    </xf>
    <xf numFmtId="0" fontId="1" fillId="3" borderId="2" xfId="4" applyFont="1" applyFill="1" applyBorder="1" applyAlignment="1">
      <alignment horizontal="center" wrapText="1"/>
    </xf>
    <xf numFmtId="0" fontId="0" fillId="4" borderId="0" xfId="0" applyFill="1"/>
    <xf numFmtId="0" fontId="0" fillId="0" borderId="0" xfId="0" applyAlignment="1">
      <alignment horizontal="right"/>
    </xf>
    <xf numFmtId="0" fontId="3" fillId="0" borderId="0" xfId="0" applyFont="1"/>
    <xf numFmtId="0" fontId="1" fillId="0" borderId="3" xfId="1" applyFont="1" applyFill="1" applyBorder="1" applyAlignment="1">
      <alignment horizontal="right" wrapText="1"/>
    </xf>
    <xf numFmtId="0" fontId="1" fillId="0" borderId="2" xfId="2" applyFont="1" applyFill="1" applyBorder="1" applyAlignment="1">
      <alignment horizontal="right" wrapText="1"/>
    </xf>
    <xf numFmtId="0" fontId="0" fillId="0" borderId="0" xfId="0" applyFill="1"/>
    <xf numFmtId="0" fontId="1" fillId="2" borderId="1" xfId="2" applyFont="1" applyFill="1" applyBorder="1" applyAlignment="1">
      <alignment horizontal="center" wrapText="1"/>
    </xf>
    <xf numFmtId="0" fontId="5" fillId="6" borderId="6" xfId="0" applyFont="1" applyFill="1" applyBorder="1" applyAlignment="1">
      <alignment horizontal="center" vertical="center" wrapText="1"/>
    </xf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0" fontId="0" fillId="7" borderId="0" xfId="0" applyFill="1"/>
    <xf numFmtId="0" fontId="1" fillId="2" borderId="1" xfId="1" applyFont="1" applyFill="1" applyBorder="1" applyAlignment="1">
      <alignment horizontal="center" wrapText="1"/>
    </xf>
    <xf numFmtId="0" fontId="1" fillId="2" borderId="5" xfId="2" applyFont="1" applyFill="1" applyBorder="1" applyAlignment="1">
      <alignment horizontal="center" wrapText="1"/>
    </xf>
    <xf numFmtId="0" fontId="1" fillId="2" borderId="1" xfId="3" applyFont="1" applyFill="1" applyBorder="1" applyAlignment="1">
      <alignment horizontal="center" wrapText="1"/>
    </xf>
    <xf numFmtId="0" fontId="0" fillId="5" borderId="4" xfId="0" applyFill="1" applyBorder="1" applyAlignment="1">
      <alignment horizontal="center" wrapText="1"/>
    </xf>
    <xf numFmtId="0" fontId="0" fillId="0" borderId="0" xfId="0" applyAlignment="1">
      <alignment horizontal="center" wrapText="1"/>
    </xf>
    <xf numFmtId="0" fontId="1" fillId="7" borderId="2" xfId="2" applyFont="1" applyFill="1" applyBorder="1" applyAlignment="1">
      <alignment horizontal="right" wrapText="1"/>
    </xf>
    <xf numFmtId="0" fontId="0" fillId="7" borderId="2" xfId="0" applyFill="1" applyBorder="1"/>
    <xf numFmtId="0" fontId="1" fillId="7" borderId="0" xfId="2" applyFont="1" applyFill="1" applyBorder="1" applyAlignment="1">
      <alignment horizontal="right" wrapText="1"/>
    </xf>
    <xf numFmtId="0" fontId="1" fillId="7" borderId="2" xfId="2" applyFont="1" applyFill="1" applyBorder="1" applyAlignment="1">
      <alignment horizontal="left" wrapText="1"/>
    </xf>
    <xf numFmtId="0" fontId="0" fillId="7" borderId="2" xfId="0" applyFill="1" applyBorder="1" applyAlignment="1">
      <alignment horizontal="left"/>
    </xf>
    <xf numFmtId="0" fontId="0" fillId="7" borderId="0" xfId="0" applyFill="1" applyAlignment="1">
      <alignment horizontal="left"/>
    </xf>
    <xf numFmtId="0" fontId="1" fillId="7" borderId="0" xfId="2" applyFont="1" applyFill="1" applyBorder="1" applyAlignment="1">
      <alignment horizontal="left" wrapText="1"/>
    </xf>
    <xf numFmtId="0" fontId="1" fillId="7" borderId="2" xfId="2" applyFont="1" applyFill="1" applyBorder="1" applyAlignment="1">
      <alignment horizontal="center" wrapText="1"/>
    </xf>
    <xf numFmtId="0" fontId="0" fillId="7" borderId="2" xfId="0" applyFill="1" applyBorder="1" applyAlignment="1">
      <alignment horizontal="center"/>
    </xf>
    <xf numFmtId="0" fontId="1" fillId="7" borderId="0" xfId="2" applyFont="1" applyFill="1" applyBorder="1" applyAlignment="1">
      <alignment horizontal="center" wrapText="1"/>
    </xf>
    <xf numFmtId="0" fontId="0" fillId="7" borderId="0" xfId="0" applyFill="1" applyBorder="1" applyAlignment="1">
      <alignment horizontal="left"/>
    </xf>
    <xf numFmtId="0" fontId="0" fillId="7" borderId="0" xfId="0" applyFill="1" applyBorder="1" applyAlignment="1">
      <alignment horizontal="center"/>
    </xf>
    <xf numFmtId="0" fontId="0" fillId="7" borderId="0" xfId="0" applyFill="1" applyBorder="1"/>
    <xf numFmtId="0" fontId="6" fillId="0" borderId="0" xfId="0" applyFont="1"/>
    <xf numFmtId="0" fontId="1" fillId="0" borderId="2" xfId="1" applyFont="1" applyFill="1" applyBorder="1" applyAlignment="1">
      <alignment horizontal="right" wrapText="1"/>
    </xf>
    <xf numFmtId="0" fontId="0" fillId="0" borderId="0" xfId="0"/>
    <xf numFmtId="0" fontId="0" fillId="0" borderId="0" xfId="0" applyBorder="1"/>
    <xf numFmtId="0" fontId="1" fillId="4" borderId="2" xfId="2" applyFont="1" applyFill="1" applyBorder="1" applyAlignment="1">
      <alignment horizontal="right" wrapText="1"/>
    </xf>
    <xf numFmtId="0" fontId="0" fillId="4" borderId="0" xfId="0" applyFill="1" applyBorder="1"/>
    <xf numFmtId="0" fontId="0" fillId="8" borderId="0" xfId="0" applyFill="1" applyAlignment="1" applyProtection="1">
      <alignment horizontal="left"/>
      <protection locked="0"/>
    </xf>
    <xf numFmtId="0" fontId="1" fillId="8" borderId="10" xfId="4" applyFont="1" applyFill="1" applyBorder="1" applyAlignment="1" applyProtection="1">
      <alignment horizontal="left" wrapText="1"/>
      <protection locked="0"/>
    </xf>
    <xf numFmtId="0" fontId="8" fillId="8" borderId="2" xfId="4" applyFont="1" applyFill="1" applyBorder="1" applyAlignment="1" applyProtection="1">
      <alignment horizontal="left" wrapText="1"/>
      <protection locked="0"/>
    </xf>
    <xf numFmtId="0" fontId="1" fillId="8" borderId="2" xfId="1" applyFont="1" applyFill="1" applyBorder="1" applyAlignment="1" applyProtection="1">
      <alignment wrapText="1"/>
      <protection locked="0"/>
    </xf>
    <xf numFmtId="0" fontId="0" fillId="8" borderId="0" xfId="0" applyFill="1" applyProtection="1">
      <protection locked="0"/>
    </xf>
    <xf numFmtId="0" fontId="1" fillId="8" borderId="11" xfId="1" applyFont="1" applyFill="1" applyBorder="1" applyAlignment="1" applyProtection="1">
      <alignment wrapText="1"/>
      <protection locked="0"/>
    </xf>
    <xf numFmtId="0" fontId="1" fillId="7" borderId="2" xfId="4" applyFont="1" applyFill="1" applyBorder="1" applyAlignment="1">
      <alignment horizontal="left"/>
    </xf>
    <xf numFmtId="0" fontId="0" fillId="4" borderId="2" xfId="0" applyFill="1" applyBorder="1" applyAlignment="1" applyProtection="1">
      <protection locked="0"/>
    </xf>
    <xf numFmtId="0" fontId="1" fillId="7" borderId="0" xfId="4" applyFont="1" applyFill="1" applyBorder="1" applyAlignment="1">
      <alignment horizontal="left"/>
    </xf>
    <xf numFmtId="0" fontId="1" fillId="9" borderId="1" xfId="1" applyFont="1" applyFill="1" applyBorder="1" applyAlignment="1">
      <alignment horizontal="center"/>
    </xf>
    <xf numFmtId="0" fontId="0" fillId="3" borderId="0" xfId="0" applyFill="1"/>
    <xf numFmtId="0" fontId="1" fillId="3" borderId="2" xfId="1" applyFont="1" applyFill="1" applyBorder="1" applyAlignment="1">
      <alignment horizontal="right" wrapText="1"/>
    </xf>
    <xf numFmtId="164" fontId="1" fillId="3" borderId="3" xfId="1" applyNumberFormat="1" applyFont="1" applyFill="1" applyBorder="1" applyAlignment="1">
      <alignment horizontal="right" wrapText="1"/>
    </xf>
    <xf numFmtId="164" fontId="0" fillId="3" borderId="0" xfId="0" applyNumberFormat="1" applyFill="1"/>
    <xf numFmtId="0" fontId="0" fillId="0" borderId="0" xfId="0" applyAlignment="1">
      <alignment wrapText="1"/>
    </xf>
    <xf numFmtId="0" fontId="10" fillId="0" borderId="0" xfId="0" applyFont="1"/>
    <xf numFmtId="0" fontId="11" fillId="0" borderId="0" xfId="0" applyFont="1"/>
    <xf numFmtId="0" fontId="0" fillId="10" borderId="4" xfId="0" applyFill="1" applyBorder="1" applyAlignment="1">
      <alignment horizontal="center" wrapText="1"/>
    </xf>
    <xf numFmtId="0" fontId="0" fillId="0" borderId="0" xfId="0" applyFill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22" fontId="0" fillId="0" borderId="0" xfId="0" applyNumberFormat="1"/>
    <xf numFmtId="0" fontId="1" fillId="7" borderId="13" xfId="2" applyFont="1" applyFill="1" applyBorder="1" applyAlignment="1">
      <alignment wrapText="1"/>
    </xf>
    <xf numFmtId="0" fontId="0" fillId="7" borderId="12" xfId="0" applyFill="1" applyBorder="1"/>
    <xf numFmtId="0" fontId="1" fillId="7" borderId="15" xfId="2" applyFont="1" applyFill="1" applyBorder="1" applyAlignment="1">
      <alignment wrapText="1"/>
    </xf>
    <xf numFmtId="0" fontId="0" fillId="7" borderId="14" xfId="0" applyFill="1" applyBorder="1"/>
    <xf numFmtId="0" fontId="0" fillId="7" borderId="14" xfId="0" applyFill="1" applyBorder="1" applyAlignment="1">
      <alignment horizontal="left"/>
    </xf>
    <xf numFmtId="0" fontId="1" fillId="7" borderId="14" xfId="2" applyFont="1" applyFill="1" applyBorder="1" applyAlignment="1">
      <alignment horizontal="left" wrapText="1"/>
    </xf>
    <xf numFmtId="0" fontId="1" fillId="7" borderId="16" xfId="2" applyFont="1" applyFill="1" applyBorder="1" applyAlignment="1">
      <alignment wrapText="1"/>
    </xf>
    <xf numFmtId="0" fontId="0" fillId="7" borderId="17" xfId="0" applyFill="1" applyBorder="1"/>
    <xf numFmtId="0" fontId="1" fillId="2" borderId="4" xfId="2" applyFont="1" applyFill="1" applyBorder="1" applyAlignment="1">
      <alignment horizontal="center" wrapText="1"/>
    </xf>
    <xf numFmtId="0" fontId="0" fillId="4" borderId="0" xfId="0" applyFill="1" applyBorder="1" applyAlignment="1" applyProtection="1">
      <protection locked="0"/>
    </xf>
    <xf numFmtId="0" fontId="15" fillId="0" borderId="0" xfId="0" applyFont="1" applyProtection="1">
      <protection locked="0"/>
    </xf>
    <xf numFmtId="0" fontId="14" fillId="0" borderId="2" xfId="2" applyFont="1" applyFill="1" applyBorder="1" applyAlignment="1">
      <alignment horizontal="right" wrapText="1"/>
    </xf>
    <xf numFmtId="0" fontId="0" fillId="0" borderId="0" xfId="0"/>
    <xf numFmtId="0" fontId="15" fillId="0" borderId="0" xfId="0" applyFont="1" applyProtection="1">
      <protection locked="0"/>
    </xf>
    <xf numFmtId="0" fontId="15" fillId="0" borderId="0" xfId="0" applyFont="1" applyFill="1" applyAlignment="1" applyProtection="1">
      <alignment horizontal="left"/>
      <protection locked="0"/>
    </xf>
    <xf numFmtId="0" fontId="0" fillId="0" borderId="0" xfId="0" applyAlignment="1">
      <alignment horizontal="left" wrapText="1"/>
    </xf>
    <xf numFmtId="0" fontId="15" fillId="0" borderId="0" xfId="0" applyFont="1" applyFill="1" applyBorder="1" applyAlignment="1" applyProtection="1">
      <alignment horizontal="left"/>
      <protection locked="0"/>
    </xf>
    <xf numFmtId="0" fontId="15" fillId="0" borderId="0" xfId="0" applyFont="1" applyBorder="1" applyProtection="1">
      <protection locked="0"/>
    </xf>
    <xf numFmtId="0" fontId="15" fillId="0" borderId="0" xfId="0" applyFont="1" applyFill="1" applyBorder="1" applyProtection="1">
      <protection locked="0"/>
    </xf>
    <xf numFmtId="0" fontId="15" fillId="0" borderId="0" xfId="0" applyFont="1" applyBorder="1" applyAlignment="1" applyProtection="1">
      <alignment horizontal="left"/>
      <protection locked="0"/>
    </xf>
  </cellXfs>
  <cellStyles count="8">
    <cellStyle name="Обычный" xfId="0" builtinId="0"/>
    <cellStyle name="Обычный 2" xfId="7"/>
    <cellStyle name="Обычный 2 2" xfId="6"/>
    <cellStyle name="Обычный 2 3" xfId="5"/>
    <cellStyle name="Обычный_ИД_Маршруты" xfId="2"/>
    <cellStyle name="Обычный_ИД_Остановки" xfId="1"/>
    <cellStyle name="Обычный_ИД_ОстМаршрута" xfId="4"/>
    <cellStyle name="Обычный_ИД_Рейсы" xfId="3"/>
  </cellStyles>
  <dxfs count="0"/>
  <tableStyles count="0" defaultTableStyle="TableStyleMedium2" defaultPivotStyle="PivotStyleLight16"/>
  <colors>
    <mruColors>
      <color rgb="FFC0C0C0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List" dx="22" fmlaLink="$E$11" fmlaRange="ИД_Маршруты!$B$3:$B$152" sel="149" val="14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3</xdr:row>
          <xdr:rowOff>28575</xdr:rowOff>
        </xdr:from>
        <xdr:to>
          <xdr:col>4</xdr:col>
          <xdr:colOff>466725</xdr:colOff>
          <xdr:row>5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Окно моделирования КТС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12</xdr:row>
          <xdr:rowOff>9525</xdr:rowOff>
        </xdr:from>
        <xdr:to>
          <xdr:col>3</xdr:col>
          <xdr:colOff>9525</xdr:colOff>
          <xdr:row>16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матрицу достижимостей остановок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12</xdr:row>
          <xdr:rowOff>9525</xdr:rowOff>
        </xdr:from>
        <xdr:to>
          <xdr:col>5</xdr:col>
          <xdr:colOff>590550</xdr:colOff>
          <xdr:row>15</xdr:row>
          <xdr:rowOff>104775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лист Трафика пассажиров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12</xdr:row>
          <xdr:rowOff>19050</xdr:rowOff>
        </xdr:from>
        <xdr:to>
          <xdr:col>9</xdr:col>
          <xdr:colOff>0</xdr:colOff>
          <xdr:row>15</xdr:row>
          <xdr:rowOff>114300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Сформировать список рейсов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590550</xdr:colOff>
          <xdr:row>19</xdr:row>
          <xdr:rowOff>19050</xdr:rowOff>
        </xdr:from>
        <xdr:to>
          <xdr:col>3</xdr:col>
          <xdr:colOff>561975</xdr:colOff>
          <xdr:row>22</xdr:row>
          <xdr:rowOff>114300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Соотвествие "пересадочных" пассажиров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28576</xdr:colOff>
          <xdr:row>19</xdr:row>
          <xdr:rowOff>9525</xdr:rowOff>
        </xdr:from>
        <xdr:to>
          <xdr:col>7</xdr:col>
          <xdr:colOff>123825</xdr:colOff>
          <xdr:row>22</xdr:row>
          <xdr:rowOff>104775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Коррекция расстояния перегонов из файла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11</xdr:row>
          <xdr:rowOff>152400</xdr:rowOff>
        </xdr:from>
        <xdr:to>
          <xdr:col>5</xdr:col>
          <xdr:colOff>1238250</xdr:colOff>
          <xdr:row>15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Определить структуру составленного маршрута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</xdr:colOff>
          <xdr:row>2</xdr:row>
          <xdr:rowOff>19050</xdr:rowOff>
        </xdr:from>
        <xdr:to>
          <xdr:col>6</xdr:col>
          <xdr:colOff>514350</xdr:colOff>
          <xdr:row>7</xdr:row>
          <xdr:rowOff>9525</xdr:rowOff>
        </xdr:to>
        <xdr:sp macro="" textlink="">
          <xdr:nvSpPr>
            <xdr:cNvPr id="11272" name="List Box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7</xdr:row>
          <xdr:rowOff>76200</xdr:rowOff>
        </xdr:from>
        <xdr:to>
          <xdr:col>6</xdr:col>
          <xdr:colOff>142875</xdr:colOff>
          <xdr:row>9</xdr:row>
          <xdr:rowOff>123825</xdr:rowOff>
        </xdr:to>
        <xdr:sp macro="" textlink="">
          <xdr:nvSpPr>
            <xdr:cNvPr id="11274" name="Button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маршрут и заполнить им список остановок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18</xdr:row>
          <xdr:rowOff>66675</xdr:rowOff>
        </xdr:from>
        <xdr:to>
          <xdr:col>5</xdr:col>
          <xdr:colOff>1400175</xdr:colOff>
          <xdr:row>21</xdr:row>
          <xdr:rowOff>76200</xdr:rowOff>
        </xdr:to>
        <xdr:sp macro="" textlink="">
          <xdr:nvSpPr>
            <xdr:cNvPr id="11275" name="Button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Определить структуру ВСЕХ маршрутов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V447"/>
  <sheetViews>
    <sheetView workbookViewId="0"/>
  </sheetViews>
  <sheetFormatPr defaultRowHeight="15" x14ac:dyDescent="0.25"/>
  <cols>
    <col min="1" max="1" width="11.7109375" customWidth="1"/>
    <col min="2" max="2" width="38.42578125" customWidth="1"/>
    <col min="3" max="3" width="22.140625" customWidth="1"/>
    <col min="4" max="4" width="9.7109375" customWidth="1"/>
    <col min="5" max="5" width="11.5703125" bestFit="1" customWidth="1"/>
    <col min="6" max="6" width="12.7109375" bestFit="1" customWidth="1"/>
    <col min="7" max="21" width="7.140625" customWidth="1"/>
  </cols>
  <sheetData>
    <row r="1" spans="1:22" x14ac:dyDescent="0.25">
      <c r="A1" s="3">
        <f>COUNTA(A3:A867)</f>
        <v>445</v>
      </c>
      <c r="B1" t="s">
        <v>4</v>
      </c>
      <c r="G1" t="s">
        <v>655</v>
      </c>
    </row>
    <row r="2" spans="1:22" ht="30" x14ac:dyDescent="0.25">
      <c r="A2" s="15" t="s">
        <v>229</v>
      </c>
      <c r="B2" s="15" t="s">
        <v>0</v>
      </c>
      <c r="C2" s="15" t="s">
        <v>8</v>
      </c>
      <c r="D2" s="48" t="s">
        <v>1</v>
      </c>
      <c r="E2" s="48" t="s">
        <v>2</v>
      </c>
      <c r="F2" s="48" t="s">
        <v>3</v>
      </c>
      <c r="G2" s="49">
        <v>1</v>
      </c>
      <c r="H2" s="49">
        <v>2</v>
      </c>
      <c r="I2" s="49">
        <v>3</v>
      </c>
      <c r="J2" s="49">
        <v>4</v>
      </c>
      <c r="K2" s="49">
        <v>5</v>
      </c>
      <c r="L2" s="49">
        <v>6</v>
      </c>
      <c r="M2" s="49">
        <v>7</v>
      </c>
      <c r="N2" s="49">
        <v>8</v>
      </c>
      <c r="O2" s="49">
        <v>9</v>
      </c>
      <c r="P2" s="49">
        <v>10</v>
      </c>
      <c r="Q2" s="49">
        <v>11</v>
      </c>
      <c r="R2" s="49">
        <v>12</v>
      </c>
      <c r="S2" s="49">
        <v>13</v>
      </c>
      <c r="T2" s="49">
        <v>14</v>
      </c>
      <c r="U2" s="49">
        <v>15</v>
      </c>
    </row>
    <row r="3" spans="1:22" x14ac:dyDescent="0.25">
      <c r="A3" s="34">
        <v>1</v>
      </c>
      <c r="B3" s="42" t="s">
        <v>241</v>
      </c>
      <c r="C3" s="44" t="s">
        <v>9</v>
      </c>
      <c r="D3" s="50">
        <v>5</v>
      </c>
      <c r="E3" s="50">
        <v>2.7777779999999998E-2</v>
      </c>
      <c r="F3" s="50">
        <v>5.8333330000000003E-2</v>
      </c>
      <c r="G3" s="51">
        <v>0</v>
      </c>
      <c r="H3" s="52">
        <v>1.4309000000000001E-2</v>
      </c>
      <c r="I3" s="52">
        <v>0.20782419999999999</v>
      </c>
      <c r="J3" s="52">
        <v>0.1474192</v>
      </c>
      <c r="K3" s="52">
        <v>9.4469769999999995E-2</v>
      </c>
      <c r="L3" s="52">
        <v>7.2517890000000002E-2</v>
      </c>
      <c r="M3" s="52">
        <v>5.3346589999999999E-2</v>
      </c>
      <c r="N3" s="52">
        <v>2.4637019999999999E-2</v>
      </c>
      <c r="O3" s="52">
        <v>2.3546709999999998E-2</v>
      </c>
      <c r="P3" s="52">
        <v>9.8030950000000006E-2</v>
      </c>
      <c r="Q3" s="52">
        <v>7.5719700000000001E-2</v>
      </c>
      <c r="R3" s="52">
        <v>6.3433929999999999E-2</v>
      </c>
      <c r="S3" s="52">
        <v>6.125092E-2</v>
      </c>
      <c r="T3" s="52">
        <v>6.3493649999999999E-2</v>
      </c>
      <c r="U3" s="52">
        <v>0</v>
      </c>
    </row>
    <row r="4" spans="1:22" x14ac:dyDescent="0.25">
      <c r="A4" s="34">
        <v>2</v>
      </c>
      <c r="B4" s="42" t="s">
        <v>242</v>
      </c>
      <c r="C4" s="42" t="s">
        <v>9</v>
      </c>
      <c r="D4" s="50">
        <v>5</v>
      </c>
      <c r="E4" s="50">
        <v>1.9722219999999999E-2</v>
      </c>
      <c r="F4" s="50">
        <v>4.2500000000000003E-2</v>
      </c>
      <c r="G4" s="51">
        <v>0</v>
      </c>
      <c r="H4" s="51">
        <v>6.8473560000000003E-2</v>
      </c>
      <c r="I4" s="51">
        <v>0.1685178</v>
      </c>
      <c r="J4" s="51">
        <v>0.24771399999999999</v>
      </c>
      <c r="K4" s="51">
        <v>0.18283949999999999</v>
      </c>
      <c r="L4" s="51">
        <v>8.3490780000000001E-2</v>
      </c>
      <c r="M4" s="51">
        <v>5.7792250000000003E-2</v>
      </c>
      <c r="N4" s="51">
        <v>3.3994610000000001E-2</v>
      </c>
      <c r="O4" s="51">
        <v>0</v>
      </c>
      <c r="P4" s="51">
        <v>4.3049839999999999E-2</v>
      </c>
      <c r="Q4" s="51">
        <v>3.7951730000000003E-2</v>
      </c>
      <c r="R4" s="51">
        <v>3.7158469999999999E-2</v>
      </c>
      <c r="S4" s="51">
        <v>3.9017469999999999E-2</v>
      </c>
      <c r="T4" s="51">
        <v>0</v>
      </c>
      <c r="U4" s="51">
        <v>0</v>
      </c>
    </row>
    <row r="5" spans="1:22" x14ac:dyDescent="0.25">
      <c r="A5" s="34">
        <v>3</v>
      </c>
      <c r="B5" s="42" t="s">
        <v>243</v>
      </c>
      <c r="C5" s="42" t="s">
        <v>9</v>
      </c>
      <c r="D5" s="50">
        <v>5</v>
      </c>
      <c r="E5" s="50">
        <v>1.3888889999999999E-2</v>
      </c>
      <c r="F5" s="50">
        <v>1.583333E-2</v>
      </c>
      <c r="G5" s="51">
        <v>0</v>
      </c>
      <c r="H5" s="52">
        <v>1.4309000000000001E-2</v>
      </c>
      <c r="I5" s="52">
        <v>0.20782419999999999</v>
      </c>
      <c r="J5" s="52">
        <v>0.1474192</v>
      </c>
      <c r="K5" s="52">
        <v>9.4469769999999995E-2</v>
      </c>
      <c r="L5" s="52">
        <v>7.2517890000000002E-2</v>
      </c>
      <c r="M5" s="52">
        <v>5.3346589999999999E-2</v>
      </c>
      <c r="N5" s="52">
        <v>2.4637019999999999E-2</v>
      </c>
      <c r="O5" s="52">
        <v>2.3546709999999998E-2</v>
      </c>
      <c r="P5" s="52">
        <v>9.8030950000000006E-2</v>
      </c>
      <c r="Q5" s="52">
        <v>7.5719700000000001E-2</v>
      </c>
      <c r="R5" s="52">
        <v>6.3433929999999999E-2</v>
      </c>
      <c r="S5" s="52">
        <v>6.125092E-2</v>
      </c>
      <c r="T5" s="52">
        <v>6.3493649999999999E-2</v>
      </c>
      <c r="U5" s="52">
        <v>0</v>
      </c>
    </row>
    <row r="6" spans="1:22" x14ac:dyDescent="0.25">
      <c r="A6" s="34">
        <v>4</v>
      </c>
      <c r="B6" s="42" t="s">
        <v>244</v>
      </c>
      <c r="C6" s="42" t="s">
        <v>9</v>
      </c>
      <c r="D6" s="50">
        <v>5</v>
      </c>
      <c r="E6" s="50">
        <v>3.2222220000000003E-2</v>
      </c>
      <c r="F6" s="50">
        <v>0.1125</v>
      </c>
      <c r="G6" s="51">
        <v>0</v>
      </c>
      <c r="H6" s="51">
        <v>6.8473560000000003E-2</v>
      </c>
      <c r="I6" s="51">
        <v>0.1685178</v>
      </c>
      <c r="J6" s="51">
        <v>0.24771399999999999</v>
      </c>
      <c r="K6" s="51">
        <v>0.18283949999999999</v>
      </c>
      <c r="L6" s="51">
        <v>8.3490780000000001E-2</v>
      </c>
      <c r="M6" s="51">
        <v>5.7792250000000003E-2</v>
      </c>
      <c r="N6" s="51">
        <v>3.3994610000000001E-2</v>
      </c>
      <c r="O6" s="51">
        <v>0</v>
      </c>
      <c r="P6" s="51">
        <v>4.3049839999999999E-2</v>
      </c>
      <c r="Q6" s="51">
        <v>3.7951730000000003E-2</v>
      </c>
      <c r="R6" s="51">
        <v>3.7158469999999999E-2</v>
      </c>
      <c r="S6" s="51">
        <v>3.9017469999999999E-2</v>
      </c>
      <c r="T6" s="51">
        <v>0</v>
      </c>
      <c r="U6" s="51">
        <v>0</v>
      </c>
    </row>
    <row r="7" spans="1:22" x14ac:dyDescent="0.25">
      <c r="A7" s="34">
        <v>5</v>
      </c>
      <c r="B7" s="42" t="s">
        <v>10</v>
      </c>
      <c r="C7" s="42" t="s">
        <v>9</v>
      </c>
      <c r="D7" s="50">
        <v>5</v>
      </c>
      <c r="E7" s="50">
        <v>4.1666669999999998E-3</v>
      </c>
      <c r="F7" s="50">
        <v>1.1666670000000001E-2</v>
      </c>
      <c r="G7" s="51">
        <v>0</v>
      </c>
      <c r="H7" s="52">
        <v>1.4309000000000001E-2</v>
      </c>
      <c r="I7" s="52">
        <v>0.20782419999999999</v>
      </c>
      <c r="J7" s="52">
        <v>0.1474192</v>
      </c>
      <c r="K7" s="52">
        <v>9.4469769999999995E-2</v>
      </c>
      <c r="L7" s="52">
        <v>7.2517890000000002E-2</v>
      </c>
      <c r="M7" s="52">
        <v>5.3346589999999999E-2</v>
      </c>
      <c r="N7" s="52">
        <v>2.4637019999999999E-2</v>
      </c>
      <c r="O7" s="52">
        <v>2.3546709999999998E-2</v>
      </c>
      <c r="P7" s="52">
        <v>9.8030950000000006E-2</v>
      </c>
      <c r="Q7" s="52">
        <v>7.5719700000000001E-2</v>
      </c>
      <c r="R7" s="52">
        <v>6.3433929999999999E-2</v>
      </c>
      <c r="S7" s="52">
        <v>6.125092E-2</v>
      </c>
      <c r="T7" s="52">
        <v>6.3493649999999999E-2</v>
      </c>
      <c r="U7" s="52">
        <v>0</v>
      </c>
    </row>
    <row r="8" spans="1:22" x14ac:dyDescent="0.25">
      <c r="A8" s="34">
        <v>6</v>
      </c>
      <c r="B8" s="42" t="s">
        <v>245</v>
      </c>
      <c r="C8" s="42" t="s">
        <v>9</v>
      </c>
      <c r="D8" s="50">
        <v>5</v>
      </c>
      <c r="E8" s="50">
        <v>0.13333329999999999</v>
      </c>
      <c r="F8" s="50">
        <v>0.30805549999999998</v>
      </c>
      <c r="G8" s="50">
        <v>1.17638E-2</v>
      </c>
      <c r="H8" s="50">
        <v>4.1678600000000003E-2</v>
      </c>
      <c r="I8" s="50">
        <v>0.1048666</v>
      </c>
      <c r="J8" s="50">
        <v>0.14312849999999999</v>
      </c>
      <c r="K8" s="50">
        <v>5.812254E-2</v>
      </c>
      <c r="L8" s="50">
        <v>4.4280630000000001E-2</v>
      </c>
      <c r="M8" s="50">
        <v>4.5063510000000001E-2</v>
      </c>
      <c r="N8" s="50">
        <v>3.9940980000000001E-2</v>
      </c>
      <c r="O8" s="50">
        <v>7.9990220000000001E-2</v>
      </c>
      <c r="P8" s="50">
        <v>8.7572819999999996E-2</v>
      </c>
      <c r="Q8" s="50">
        <v>6.4184389999999994E-2</v>
      </c>
      <c r="R8" s="50">
        <v>9.0435420000000002E-2</v>
      </c>
      <c r="S8" s="50">
        <v>0.15950819999999999</v>
      </c>
      <c r="T8" s="50">
        <v>2.946375E-2</v>
      </c>
      <c r="U8" s="50">
        <v>0</v>
      </c>
      <c r="V8" s="6"/>
    </row>
    <row r="9" spans="1:22" x14ac:dyDescent="0.25">
      <c r="A9" s="34">
        <v>7</v>
      </c>
      <c r="B9" s="42" t="s">
        <v>11</v>
      </c>
      <c r="C9" s="42" t="s">
        <v>9</v>
      </c>
      <c r="D9" s="50">
        <v>5</v>
      </c>
      <c r="E9" s="50">
        <v>5.0833330000000003E-2</v>
      </c>
      <c r="F9" s="50">
        <v>9.8611110000000002E-2</v>
      </c>
      <c r="G9" s="50">
        <v>1.6778520000000001E-3</v>
      </c>
      <c r="H9" s="50">
        <v>1.664206E-2</v>
      </c>
      <c r="I9" s="50">
        <v>5.6402000000000001E-2</v>
      </c>
      <c r="J9" s="50">
        <v>6.5172049999999995E-2</v>
      </c>
      <c r="K9" s="50">
        <v>0.15733440000000001</v>
      </c>
      <c r="L9" s="50">
        <v>0.13802349999999999</v>
      </c>
      <c r="M9" s="50">
        <v>5.9456120000000001E-2</v>
      </c>
      <c r="N9" s="50">
        <v>3.3186689999999998E-2</v>
      </c>
      <c r="O9" s="50">
        <v>3.3431559999999999E-2</v>
      </c>
      <c r="P9" s="50">
        <v>0.1450794</v>
      </c>
      <c r="Q9" s="50">
        <v>0.10979120000000001</v>
      </c>
      <c r="R9" s="50">
        <v>8.6831679999999994E-2</v>
      </c>
      <c r="S9" s="50">
        <v>8.5936419999999999E-2</v>
      </c>
      <c r="T9" s="50">
        <v>1.1035079999999999E-2</v>
      </c>
      <c r="U9" s="50">
        <v>0</v>
      </c>
    </row>
    <row r="10" spans="1:22" x14ac:dyDescent="0.25">
      <c r="A10" s="34">
        <v>8</v>
      </c>
      <c r="B10" s="42" t="s">
        <v>12</v>
      </c>
      <c r="C10" s="42" t="s">
        <v>9</v>
      </c>
      <c r="D10" s="50">
        <v>5</v>
      </c>
      <c r="E10" s="50">
        <v>5.2777780000000003E-3</v>
      </c>
      <c r="F10" s="50">
        <v>1.1666670000000001E-2</v>
      </c>
      <c r="G10" s="49">
        <v>0</v>
      </c>
      <c r="H10" s="49">
        <v>0.13333333333333333</v>
      </c>
      <c r="I10" s="49">
        <v>0.37261904761904763</v>
      </c>
      <c r="J10" s="49">
        <v>0.15158730158730158</v>
      </c>
      <c r="K10" s="49">
        <v>0.11706349206349206</v>
      </c>
      <c r="L10" s="49">
        <v>3.0555555555555555E-2</v>
      </c>
      <c r="M10" s="49">
        <v>1.6666666666666666E-2</v>
      </c>
      <c r="N10" s="49">
        <v>3.5714285714285712E-2</v>
      </c>
      <c r="O10" s="49">
        <v>0</v>
      </c>
      <c r="P10" s="49">
        <v>1.3888888888888888E-2</v>
      </c>
      <c r="Q10" s="49">
        <v>1.7857142857142856E-2</v>
      </c>
      <c r="R10" s="49">
        <v>4.96031746031746E-2</v>
      </c>
      <c r="S10" s="49">
        <v>6.1111111111111109E-2</v>
      </c>
      <c r="T10" s="49">
        <v>0</v>
      </c>
      <c r="U10" s="49">
        <v>0</v>
      </c>
    </row>
    <row r="11" spans="1:22" x14ac:dyDescent="0.25">
      <c r="A11" s="34">
        <v>9</v>
      </c>
      <c r="B11" s="42" t="s">
        <v>246</v>
      </c>
      <c r="C11" s="42" t="s">
        <v>9</v>
      </c>
      <c r="D11" s="50">
        <v>5</v>
      </c>
      <c r="E11" s="50">
        <v>5.2777780000000003E-3</v>
      </c>
      <c r="F11" s="50">
        <v>3.7777779999999997E-2</v>
      </c>
      <c r="G11" s="50">
        <v>0</v>
      </c>
      <c r="H11" s="50">
        <v>0</v>
      </c>
      <c r="I11" s="50">
        <v>0.3020137</v>
      </c>
      <c r="J11" s="50">
        <v>0.14638570000000001</v>
      </c>
      <c r="K11" s="50">
        <v>9.1136780000000001E-2</v>
      </c>
      <c r="L11" s="50">
        <v>0.1130598</v>
      </c>
      <c r="M11" s="50">
        <v>9.0862750000000006E-2</v>
      </c>
      <c r="N11" s="50">
        <v>0</v>
      </c>
      <c r="O11" s="50">
        <v>0</v>
      </c>
      <c r="P11" s="50">
        <v>0.1112552</v>
      </c>
      <c r="Q11" s="50">
        <v>6.9594249999999996E-2</v>
      </c>
      <c r="R11" s="50">
        <v>4.2795399999999997E-2</v>
      </c>
      <c r="S11" s="50">
        <v>3.2896410000000001E-2</v>
      </c>
      <c r="T11" s="50">
        <v>0</v>
      </c>
      <c r="U11" s="50">
        <v>0</v>
      </c>
    </row>
    <row r="12" spans="1:22" x14ac:dyDescent="0.25">
      <c r="A12" s="34">
        <v>10</v>
      </c>
      <c r="B12" s="42" t="s">
        <v>247</v>
      </c>
      <c r="C12" s="42" t="s">
        <v>9</v>
      </c>
      <c r="D12" s="50">
        <v>5</v>
      </c>
      <c r="E12" s="50">
        <v>2.2499999999999999E-2</v>
      </c>
      <c r="F12" s="50">
        <v>4.1388889999999998E-2</v>
      </c>
      <c r="G12" s="50">
        <v>0</v>
      </c>
      <c r="H12" s="50">
        <v>1.6620880000000001E-2</v>
      </c>
      <c r="I12" s="50">
        <v>0.1921137</v>
      </c>
      <c r="J12" s="50">
        <v>0.1079092</v>
      </c>
      <c r="K12" s="50">
        <v>0.13506840000000001</v>
      </c>
      <c r="L12" s="50">
        <v>9.5722479999999999E-2</v>
      </c>
      <c r="M12" s="50">
        <v>9.3672889999999995E-2</v>
      </c>
      <c r="N12" s="50">
        <v>6.6238920000000007E-2</v>
      </c>
      <c r="O12" s="50">
        <v>3.5782969999999997E-2</v>
      </c>
      <c r="P12" s="50">
        <v>5.1894160000000002E-2</v>
      </c>
      <c r="Q12" s="50">
        <v>7.3666129999999996E-2</v>
      </c>
      <c r="R12" s="50">
        <v>5.7133219999999998E-2</v>
      </c>
      <c r="S12" s="50">
        <v>3.9050750000000002E-2</v>
      </c>
      <c r="T12" s="50">
        <v>3.5126280000000003E-2</v>
      </c>
      <c r="U12" s="50">
        <v>0</v>
      </c>
    </row>
    <row r="13" spans="1:22" x14ac:dyDescent="0.25">
      <c r="A13" s="34">
        <v>11</v>
      </c>
      <c r="B13" s="42" t="s">
        <v>248</v>
      </c>
      <c r="C13" s="42" t="s">
        <v>9</v>
      </c>
      <c r="D13" s="50">
        <v>5</v>
      </c>
      <c r="E13" s="50">
        <v>4.4444439999999997E-3</v>
      </c>
      <c r="F13" s="50">
        <v>8.6111109999999994E-3</v>
      </c>
      <c r="G13" s="50">
        <v>0</v>
      </c>
      <c r="H13" s="50">
        <v>0</v>
      </c>
      <c r="I13" s="50">
        <v>0.14166670000000001</v>
      </c>
      <c r="J13" s="50">
        <v>6.6666669999999997E-2</v>
      </c>
      <c r="K13" s="50">
        <v>0.15833330000000001</v>
      </c>
      <c r="L13" s="50">
        <v>2.7777779999999998E-2</v>
      </c>
      <c r="M13" s="50">
        <v>0</v>
      </c>
      <c r="N13" s="50">
        <v>4.1666670000000003E-2</v>
      </c>
      <c r="O13" s="50">
        <v>1.6666670000000001E-2</v>
      </c>
      <c r="P13" s="50">
        <v>0.1833333</v>
      </c>
      <c r="Q13" s="50">
        <v>0.15555559999999999</v>
      </c>
      <c r="R13" s="50">
        <v>0.11944440000000001</v>
      </c>
      <c r="S13" s="50">
        <v>7.4999999999999997E-2</v>
      </c>
      <c r="T13" s="50">
        <v>1.3888889999999999E-2</v>
      </c>
      <c r="U13" s="50">
        <v>0</v>
      </c>
    </row>
    <row r="14" spans="1:22" x14ac:dyDescent="0.25">
      <c r="A14" s="34">
        <v>12</v>
      </c>
      <c r="B14" s="42" t="s">
        <v>13</v>
      </c>
      <c r="C14" s="42" t="s">
        <v>14</v>
      </c>
      <c r="D14" s="50">
        <v>5</v>
      </c>
      <c r="E14" s="50">
        <v>3.5000000000000003E-2</v>
      </c>
      <c r="F14" s="50">
        <v>7.6944440000000003E-2</v>
      </c>
      <c r="G14" s="49">
        <v>0</v>
      </c>
      <c r="H14" s="49">
        <v>4.9673811742777255E-2</v>
      </c>
      <c r="I14" s="49">
        <v>0.15675093196644921</v>
      </c>
      <c r="J14" s="49">
        <v>0.10080576265921093</v>
      </c>
      <c r="K14" s="49">
        <v>0.12163909599254427</v>
      </c>
      <c r="L14" s="49">
        <v>0.10267995828340655</v>
      </c>
      <c r="M14" s="49">
        <v>4.8339657391381526E-2</v>
      </c>
      <c r="N14" s="49">
        <v>2.1555607331469398E-2</v>
      </c>
      <c r="O14" s="49">
        <v>8.4414802733768252E-2</v>
      </c>
      <c r="P14" s="49">
        <v>9.1655294457018602E-2</v>
      </c>
      <c r="Q14" s="49">
        <v>8.685955043713664E-2</v>
      </c>
      <c r="R14" s="49">
        <v>0.10325217458838148</v>
      </c>
      <c r="S14" s="49">
        <v>2.8063007588869655E-2</v>
      </c>
      <c r="T14" s="49">
        <v>2.1551724137931034E-3</v>
      </c>
      <c r="U14" s="49">
        <v>2.1551724137931034E-3</v>
      </c>
    </row>
    <row r="15" spans="1:22" x14ac:dyDescent="0.25">
      <c r="A15" s="34">
        <v>13</v>
      </c>
      <c r="B15" s="42" t="s">
        <v>249</v>
      </c>
      <c r="C15" s="42" t="s">
        <v>14</v>
      </c>
      <c r="D15" s="50">
        <v>5</v>
      </c>
      <c r="E15" s="50">
        <v>1.6111110000000001E-2</v>
      </c>
      <c r="F15" s="50">
        <v>6.0277780000000003E-2</v>
      </c>
      <c r="G15" s="49">
        <v>0</v>
      </c>
      <c r="H15" s="49">
        <v>3.5961798512508455E-2</v>
      </c>
      <c r="I15" s="49">
        <v>0.10765617636814392</v>
      </c>
      <c r="J15" s="49">
        <v>9.1498999460459904E-2</v>
      </c>
      <c r="K15" s="49">
        <v>9.6510661039058601E-2</v>
      </c>
      <c r="L15" s="49">
        <v>0.10629708170276121</v>
      </c>
      <c r="M15" s="49">
        <v>5.1636633406410282E-2</v>
      </c>
      <c r="N15" s="49">
        <v>2.9823676248625541E-2</v>
      </c>
      <c r="O15" s="49">
        <v>6.6850042002171817E-2</v>
      </c>
      <c r="P15" s="49">
        <v>0.12854884203768585</v>
      </c>
      <c r="Q15" s="49">
        <v>0.10390244568743555</v>
      </c>
      <c r="R15" s="49">
        <v>9.0482666420800287E-2</v>
      </c>
      <c r="S15" s="49">
        <v>5.962814418696772E-2</v>
      </c>
      <c r="T15" s="49">
        <v>3.1202832926970858E-2</v>
      </c>
      <c r="U15" s="49">
        <v>0</v>
      </c>
    </row>
    <row r="16" spans="1:22" x14ac:dyDescent="0.25">
      <c r="A16" s="34">
        <v>14</v>
      </c>
      <c r="B16" s="42" t="s">
        <v>250</v>
      </c>
      <c r="C16" s="42" t="s">
        <v>14</v>
      </c>
      <c r="D16" s="50">
        <v>5</v>
      </c>
      <c r="E16" s="50">
        <v>2.5555560000000001E-2</v>
      </c>
      <c r="F16" s="50">
        <v>5.1666669999999998E-2</v>
      </c>
      <c r="G16" s="49">
        <v>1.634223871670722E-2</v>
      </c>
      <c r="H16" s="49">
        <v>3.9232432963845945E-2</v>
      </c>
      <c r="I16" s="49">
        <v>0.12526933254684133</v>
      </c>
      <c r="J16" s="49">
        <v>0.15443302938694586</v>
      </c>
      <c r="K16" s="49">
        <v>9.0233571738720805E-2</v>
      </c>
      <c r="L16" s="49">
        <v>0.10470379564316201</v>
      </c>
      <c r="M16" s="49">
        <v>5.6748265211656469E-2</v>
      </c>
      <c r="N16" s="49">
        <v>3.9031713651371036E-2</v>
      </c>
      <c r="O16" s="49">
        <v>7.2093051834738367E-2</v>
      </c>
      <c r="P16" s="49">
        <v>6.8893831772638262E-2</v>
      </c>
      <c r="Q16" s="49">
        <v>5.7073922055365753E-2</v>
      </c>
      <c r="R16" s="49">
        <v>9.6455870425443027E-2</v>
      </c>
      <c r="S16" s="49">
        <v>5.0302717493712158E-2</v>
      </c>
      <c r="T16" s="49">
        <v>2.9186226558851724E-2</v>
      </c>
      <c r="U16" s="49">
        <v>0</v>
      </c>
    </row>
    <row r="17" spans="1:21" x14ac:dyDescent="0.25">
      <c r="A17" s="34">
        <v>15</v>
      </c>
      <c r="B17" s="42" t="s">
        <v>15</v>
      </c>
      <c r="C17" s="42" t="s">
        <v>14</v>
      </c>
      <c r="D17" s="50">
        <v>5</v>
      </c>
      <c r="E17" s="50">
        <v>0.42805559999999998</v>
      </c>
      <c r="F17" s="50">
        <v>0.62083330000000003</v>
      </c>
      <c r="G17" s="49">
        <v>5.9252040195686339E-3</v>
      </c>
      <c r="H17" s="49">
        <v>1.6900291618474419E-2</v>
      </c>
      <c r="I17" s="49">
        <v>6.9596485387156279E-2</v>
      </c>
      <c r="J17" s="49">
        <v>6.0267025295754215E-2</v>
      </c>
      <c r="K17" s="49">
        <v>8.7282907810222299E-2</v>
      </c>
      <c r="L17" s="49">
        <v>0.12621909730156572</v>
      </c>
      <c r="M17" s="49">
        <v>8.5002048575766223E-2</v>
      </c>
      <c r="N17" s="49">
        <v>6.8726418252415114E-2</v>
      </c>
      <c r="O17" s="49">
        <v>0.11460779317657514</v>
      </c>
      <c r="P17" s="49">
        <v>0.11574870457253253</v>
      </c>
      <c r="Q17" s="49">
        <v>8.5451961312734415E-2</v>
      </c>
      <c r="R17" s="49">
        <v>6.7259263399699801E-2</v>
      </c>
      <c r="S17" s="49">
        <v>6.5183749980938399E-2</v>
      </c>
      <c r="T17" s="49">
        <v>3.1829049296596829E-2</v>
      </c>
      <c r="U17" s="49">
        <v>0</v>
      </c>
    </row>
    <row r="18" spans="1:21" x14ac:dyDescent="0.25">
      <c r="A18" s="34">
        <v>16</v>
      </c>
      <c r="B18" s="42" t="s">
        <v>16</v>
      </c>
      <c r="C18" s="42" t="s">
        <v>17</v>
      </c>
      <c r="D18" s="50">
        <v>5</v>
      </c>
      <c r="E18" s="50">
        <v>0.1236111</v>
      </c>
      <c r="F18" s="50">
        <v>0.19361110000000001</v>
      </c>
      <c r="G18" s="49">
        <v>1.2798285955957032E-2</v>
      </c>
      <c r="H18" s="49">
        <v>5.929444182499256E-3</v>
      </c>
      <c r="I18" s="49">
        <v>5.680423201831928E-2</v>
      </c>
      <c r="J18" s="49">
        <v>7.3263518535564703E-2</v>
      </c>
      <c r="K18" s="49">
        <v>9.1232650931571763E-2</v>
      </c>
      <c r="L18" s="49">
        <v>9.2994293599773098E-2</v>
      </c>
      <c r="M18" s="49">
        <v>7.6717620689430457E-2</v>
      </c>
      <c r="N18" s="49">
        <v>6.4915670094296357E-2</v>
      </c>
      <c r="O18" s="49">
        <v>8.3623835042453326E-2</v>
      </c>
      <c r="P18" s="49">
        <v>9.1770723724542314E-2</v>
      </c>
      <c r="Q18" s="49">
        <v>9.8458340651029902E-2</v>
      </c>
      <c r="R18" s="49">
        <v>9.0593917784964326E-2</v>
      </c>
      <c r="S18" s="49">
        <v>0.115268001171453</v>
      </c>
      <c r="T18" s="49">
        <v>4.5629465618145237E-2</v>
      </c>
      <c r="U18" s="49">
        <v>0</v>
      </c>
    </row>
    <row r="19" spans="1:21" x14ac:dyDescent="0.25">
      <c r="A19" s="34">
        <v>17</v>
      </c>
      <c r="B19" s="42" t="s">
        <v>251</v>
      </c>
      <c r="C19" s="42" t="s">
        <v>17</v>
      </c>
      <c r="D19" s="50">
        <v>5</v>
      </c>
      <c r="E19" s="50">
        <v>6.5000000000000002E-2</v>
      </c>
      <c r="F19" s="50">
        <v>0.1561111</v>
      </c>
      <c r="G19" s="49">
        <v>0</v>
      </c>
      <c r="H19" s="49">
        <v>0.10126701115513512</v>
      </c>
      <c r="I19" s="49">
        <v>0.17988690854932379</v>
      </c>
      <c r="J19" s="49">
        <v>0.131260526070829</v>
      </c>
      <c r="K19" s="49">
        <v>0.10304509152079856</v>
      </c>
      <c r="L19" s="49">
        <v>5.9607511043655373E-2</v>
      </c>
      <c r="M19" s="49">
        <v>7.0517801204573849E-2</v>
      </c>
      <c r="N19" s="49">
        <v>4.0443448040190982E-2</v>
      </c>
      <c r="O19" s="49">
        <v>6.1065750705606305E-2</v>
      </c>
      <c r="P19" s="49">
        <v>9.6390883302309133E-2</v>
      </c>
      <c r="Q19" s="49">
        <v>7.3412475312112424E-2</v>
      </c>
      <c r="R19" s="49">
        <v>4.355719898678119E-2</v>
      </c>
      <c r="S19" s="49">
        <v>3.8156505219795342E-2</v>
      </c>
      <c r="T19" s="49">
        <v>1.3888888888888889E-3</v>
      </c>
      <c r="U19" s="49">
        <v>0</v>
      </c>
    </row>
    <row r="20" spans="1:21" x14ac:dyDescent="0.25">
      <c r="A20" s="34">
        <v>18</v>
      </c>
      <c r="B20" s="42" t="s">
        <v>18</v>
      </c>
      <c r="C20" s="42" t="s">
        <v>17</v>
      </c>
      <c r="D20" s="50">
        <v>5</v>
      </c>
      <c r="E20" s="50">
        <v>0.13972219999999999</v>
      </c>
      <c r="F20" s="50">
        <v>0.17888889999999999</v>
      </c>
      <c r="G20" s="49">
        <v>3.8816591057196446E-2</v>
      </c>
      <c r="H20" s="49">
        <v>3.0468280309477527E-2</v>
      </c>
      <c r="I20" s="49">
        <v>0.11224381762554611</v>
      </c>
      <c r="J20" s="49">
        <v>0.12731258648867039</v>
      </c>
      <c r="K20" s="49">
        <v>8.5042739321635252E-2</v>
      </c>
      <c r="L20" s="49">
        <v>0.12200556972545258</v>
      </c>
      <c r="M20" s="49">
        <v>7.0868131058696562E-2</v>
      </c>
      <c r="N20" s="49">
        <v>4.5070716850575974E-2</v>
      </c>
      <c r="O20" s="49">
        <v>5.7399414008498094E-2</v>
      </c>
      <c r="P20" s="49">
        <v>7.3727783009775866E-2</v>
      </c>
      <c r="Q20" s="49">
        <v>6.5125068796385618E-2</v>
      </c>
      <c r="R20" s="49">
        <v>7.9398664508931932E-2</v>
      </c>
      <c r="S20" s="49">
        <v>6.5169819694182674E-2</v>
      </c>
      <c r="T20" s="49">
        <v>2.7350817544974957E-2</v>
      </c>
      <c r="U20" s="49">
        <v>0</v>
      </c>
    </row>
    <row r="21" spans="1:21" x14ac:dyDescent="0.25">
      <c r="A21" s="34">
        <v>19</v>
      </c>
      <c r="B21" s="42" t="s">
        <v>19</v>
      </c>
      <c r="C21" s="42" t="s">
        <v>17</v>
      </c>
      <c r="D21" s="50">
        <v>5</v>
      </c>
      <c r="E21" s="50">
        <v>0.21249999999999999</v>
      </c>
      <c r="F21" s="50">
        <v>0.30638890000000002</v>
      </c>
      <c r="G21" s="49">
        <v>1.7897174014345062E-2</v>
      </c>
      <c r="H21" s="49">
        <v>2.4666671074854665E-2</v>
      </c>
      <c r="I21" s="49">
        <v>8.587020690393736E-2</v>
      </c>
      <c r="J21" s="49">
        <v>9.5201292282091315E-2</v>
      </c>
      <c r="K21" s="49">
        <v>9.1955686768552786E-2</v>
      </c>
      <c r="L21" s="49">
        <v>0.12398430012518993</v>
      </c>
      <c r="M21" s="49">
        <v>8.7827909184322928E-2</v>
      </c>
      <c r="N21" s="49">
        <v>4.1206437537708265E-2</v>
      </c>
      <c r="O21" s="49">
        <v>6.5345595739151191E-2</v>
      </c>
      <c r="P21" s="49">
        <v>8.0824596372963242E-2</v>
      </c>
      <c r="Q21" s="49">
        <v>6.8840305255809656E-2</v>
      </c>
      <c r="R21" s="49">
        <v>0.1005268420621946</v>
      </c>
      <c r="S21" s="49">
        <v>8.1396375962436582E-2</v>
      </c>
      <c r="T21" s="49">
        <v>3.4456606716442427E-2</v>
      </c>
      <c r="U21" s="49">
        <v>0</v>
      </c>
    </row>
    <row r="22" spans="1:21" x14ac:dyDescent="0.25">
      <c r="A22" s="34">
        <v>20</v>
      </c>
      <c r="B22" s="42" t="s">
        <v>20</v>
      </c>
      <c r="C22" s="42" t="s">
        <v>17</v>
      </c>
      <c r="D22" s="50">
        <v>5</v>
      </c>
      <c r="E22" s="50">
        <v>6.9444440000000001E-3</v>
      </c>
      <c r="F22" s="50">
        <v>1.8333329999999998E-2</v>
      </c>
      <c r="G22" s="49">
        <v>1.0869565217391304E-2</v>
      </c>
      <c r="H22" s="49">
        <v>8.0031412864996071E-2</v>
      </c>
      <c r="I22" s="49">
        <v>0.25056221889055474</v>
      </c>
      <c r="J22" s="49">
        <v>4.1050903119868636E-2</v>
      </c>
      <c r="K22" s="49">
        <v>1.1904761904761904E-2</v>
      </c>
      <c r="L22" s="49">
        <v>0.12524690035934413</v>
      </c>
      <c r="M22" s="49">
        <v>3.2608695652173912E-2</v>
      </c>
      <c r="N22" s="49">
        <v>0</v>
      </c>
      <c r="O22" s="49">
        <v>9.486923205064135E-2</v>
      </c>
      <c r="P22" s="49">
        <v>8.4966445348754194E-2</v>
      </c>
      <c r="Q22" s="49">
        <v>3.9750957854406133E-2</v>
      </c>
      <c r="R22" s="49">
        <v>9.2885105066514359E-2</v>
      </c>
      <c r="S22" s="49">
        <v>7.9698246115037716E-2</v>
      </c>
      <c r="T22" s="49">
        <v>5.5555555555555552E-2</v>
      </c>
      <c r="U22" s="49">
        <v>0</v>
      </c>
    </row>
    <row r="23" spans="1:21" x14ac:dyDescent="0.25">
      <c r="A23" s="34">
        <v>21</v>
      </c>
      <c r="B23" s="42" t="s">
        <v>21</v>
      </c>
      <c r="C23" s="42" t="s">
        <v>17</v>
      </c>
      <c r="D23" s="50">
        <v>5</v>
      </c>
      <c r="E23" s="50">
        <v>7.4999999999999997E-3</v>
      </c>
      <c r="F23" s="50">
        <v>8.8888890000000005E-3</v>
      </c>
      <c r="G23" s="49">
        <v>0</v>
      </c>
      <c r="H23" s="49">
        <v>0.05</v>
      </c>
      <c r="I23" s="49">
        <v>3.3333333333333333E-2</v>
      </c>
      <c r="J23" s="49">
        <v>0.39736842105263159</v>
      </c>
      <c r="K23" s="49">
        <v>0</v>
      </c>
      <c r="L23" s="49">
        <v>0.14166666666666666</v>
      </c>
      <c r="M23" s="49">
        <v>0</v>
      </c>
      <c r="N23" s="49">
        <v>0.125</v>
      </c>
      <c r="O23" s="49">
        <v>0</v>
      </c>
      <c r="P23" s="49">
        <v>0.12280701754385964</v>
      </c>
      <c r="Q23" s="49">
        <v>6.3157894736842107E-2</v>
      </c>
      <c r="R23" s="49">
        <v>3.3333333333333333E-2</v>
      </c>
      <c r="S23" s="49">
        <v>0</v>
      </c>
      <c r="T23" s="49">
        <v>3.3333333333333333E-2</v>
      </c>
      <c r="U23" s="49">
        <v>0</v>
      </c>
    </row>
    <row r="24" spans="1:21" x14ac:dyDescent="0.25">
      <c r="A24" s="34">
        <v>22</v>
      </c>
      <c r="B24" s="42" t="s">
        <v>22</v>
      </c>
      <c r="C24" s="42" t="s">
        <v>23</v>
      </c>
      <c r="D24" s="50">
        <v>5</v>
      </c>
      <c r="E24" s="50">
        <v>1.138889E-2</v>
      </c>
      <c r="F24" s="50">
        <v>1.6111110000000001E-2</v>
      </c>
      <c r="G24" s="49">
        <v>0</v>
      </c>
      <c r="H24" s="49">
        <v>0.14090909090909093</v>
      </c>
      <c r="I24" s="49">
        <v>0.3320762570762571</v>
      </c>
      <c r="J24" s="49">
        <v>8.3441558441558442E-2</v>
      </c>
      <c r="K24" s="49">
        <v>7.8862803862803865E-2</v>
      </c>
      <c r="L24" s="49">
        <v>6.4019314019314016E-2</v>
      </c>
      <c r="M24" s="49">
        <v>0</v>
      </c>
      <c r="N24" s="49">
        <v>0.14443056943056945</v>
      </c>
      <c r="O24" s="49">
        <v>0</v>
      </c>
      <c r="P24" s="49">
        <v>6.5476190476190466E-2</v>
      </c>
      <c r="Q24" s="49">
        <v>6.7515817515817506E-2</v>
      </c>
      <c r="R24" s="49">
        <v>0</v>
      </c>
      <c r="S24" s="49">
        <v>2.3268398268398268E-2</v>
      </c>
      <c r="T24" s="49">
        <v>0</v>
      </c>
      <c r="U24" s="49">
        <v>0</v>
      </c>
    </row>
    <row r="25" spans="1:21" x14ac:dyDescent="0.25">
      <c r="A25" s="34">
        <v>23</v>
      </c>
      <c r="B25" s="42" t="s">
        <v>24</v>
      </c>
      <c r="C25" s="42" t="s">
        <v>23</v>
      </c>
      <c r="D25" s="50">
        <v>5</v>
      </c>
      <c r="E25" s="50">
        <v>1.027778E-2</v>
      </c>
      <c r="F25" s="50">
        <v>2.5000000000000001E-2</v>
      </c>
      <c r="G25" s="49">
        <v>0</v>
      </c>
      <c r="H25" s="49">
        <v>6.9444444444444441E-3</v>
      </c>
      <c r="I25" s="49">
        <v>2.0617762995811778E-2</v>
      </c>
      <c r="J25" s="49">
        <v>1.5151515151515152E-2</v>
      </c>
      <c r="K25" s="49">
        <v>7.8637885309334382E-2</v>
      </c>
      <c r="L25" s="49">
        <v>0.11265542802486848</v>
      </c>
      <c r="M25" s="49">
        <v>5.5495775545990757E-2</v>
      </c>
      <c r="N25" s="49">
        <v>0</v>
      </c>
      <c r="O25" s="49">
        <v>0.10113600133327538</v>
      </c>
      <c r="P25" s="49">
        <v>0.11269981015318176</v>
      </c>
      <c r="Q25" s="49">
        <v>2.6715323971421533E-2</v>
      </c>
      <c r="R25" s="49">
        <v>0.15162384244163296</v>
      </c>
      <c r="S25" s="49">
        <v>0.28339981595003116</v>
      </c>
      <c r="T25" s="49">
        <v>3.4922394678492244E-2</v>
      </c>
      <c r="U25" s="49">
        <v>0</v>
      </c>
    </row>
    <row r="26" spans="1:21" x14ac:dyDescent="0.25">
      <c r="A26" s="34">
        <v>24</v>
      </c>
      <c r="B26" s="42" t="s">
        <v>252</v>
      </c>
      <c r="C26" s="42" t="s">
        <v>23</v>
      </c>
      <c r="D26" s="50">
        <v>5</v>
      </c>
      <c r="E26" s="50">
        <v>1.944444E-3</v>
      </c>
      <c r="F26" s="50">
        <v>6.6666670000000003E-3</v>
      </c>
      <c r="G26" s="49">
        <v>0</v>
      </c>
      <c r="H26" s="49">
        <v>3.125E-2</v>
      </c>
      <c r="I26" s="49">
        <v>0</v>
      </c>
      <c r="J26" s="49">
        <v>0.3214285714285714</v>
      </c>
      <c r="K26" s="49">
        <v>0.32232142857142859</v>
      </c>
      <c r="L26" s="49">
        <v>6.25E-2</v>
      </c>
      <c r="M26" s="49">
        <v>0</v>
      </c>
      <c r="N26" s="49">
        <v>0</v>
      </c>
      <c r="O26" s="49">
        <v>8.1250000000000003E-2</v>
      </c>
      <c r="P26" s="49">
        <v>0</v>
      </c>
      <c r="Q26" s="49">
        <v>0</v>
      </c>
      <c r="R26" s="49">
        <v>0.13125000000000001</v>
      </c>
      <c r="S26" s="49">
        <v>0.05</v>
      </c>
      <c r="T26" s="49">
        <v>0</v>
      </c>
      <c r="U26" s="49">
        <v>0</v>
      </c>
    </row>
    <row r="27" spans="1:21" x14ac:dyDescent="0.25">
      <c r="A27" s="34">
        <v>25</v>
      </c>
      <c r="B27" s="42" t="s">
        <v>253</v>
      </c>
      <c r="C27" s="42" t="s">
        <v>23</v>
      </c>
      <c r="D27" s="50">
        <v>5</v>
      </c>
      <c r="E27" s="50">
        <v>4.1666669999999998E-3</v>
      </c>
      <c r="F27" s="50">
        <v>1.5277779999999999E-2</v>
      </c>
      <c r="G27" s="49">
        <v>0</v>
      </c>
      <c r="H27" s="49">
        <v>5.7692307692307696E-2</v>
      </c>
      <c r="I27" s="49">
        <v>5.4945054945054944E-2</v>
      </c>
      <c r="J27" s="49">
        <v>5.9083850931677021E-2</v>
      </c>
      <c r="K27" s="49">
        <v>0.15151098901098903</v>
      </c>
      <c r="L27" s="49">
        <v>0</v>
      </c>
      <c r="M27" s="49">
        <v>3.8461538461538464E-2</v>
      </c>
      <c r="N27" s="49">
        <v>7.8469899665551845E-2</v>
      </c>
      <c r="O27" s="49">
        <v>2.3369565217391305E-2</v>
      </c>
      <c r="P27" s="49">
        <v>3.2608695652173912E-2</v>
      </c>
      <c r="Q27" s="49">
        <v>0.42003105590062112</v>
      </c>
      <c r="R27" s="49">
        <v>1.9230769230769232E-2</v>
      </c>
      <c r="S27" s="49">
        <v>6.4596273291925466E-2</v>
      </c>
      <c r="T27" s="49">
        <v>0</v>
      </c>
      <c r="U27" s="49">
        <v>0</v>
      </c>
    </row>
    <row r="28" spans="1:21" x14ac:dyDescent="0.25">
      <c r="A28" s="34">
        <v>26</v>
      </c>
      <c r="B28" s="42" t="s">
        <v>254</v>
      </c>
      <c r="C28" s="42" t="s">
        <v>23</v>
      </c>
      <c r="D28" s="50">
        <v>5</v>
      </c>
      <c r="E28" s="50">
        <v>2.5833330000000002E-2</v>
      </c>
      <c r="F28" s="50">
        <v>3.8611109999999997E-2</v>
      </c>
      <c r="G28" s="49">
        <v>0</v>
      </c>
      <c r="H28" s="49">
        <v>0</v>
      </c>
      <c r="I28" s="49">
        <v>0.21270137150917112</v>
      </c>
      <c r="J28" s="49">
        <v>9.2962710953675615E-2</v>
      </c>
      <c r="K28" s="49">
        <v>0.14387759795346827</v>
      </c>
      <c r="L28" s="49">
        <v>0.14214961393907713</v>
      </c>
      <c r="M28" s="49">
        <v>1.4150943396226415E-2</v>
      </c>
      <c r="N28" s="49">
        <v>1.6223520367487948E-2</v>
      </c>
      <c r="O28" s="49">
        <v>7.4938747141776646E-2</v>
      </c>
      <c r="P28" s="49">
        <v>7.9983347107317346E-2</v>
      </c>
      <c r="Q28" s="49">
        <v>7.4508279721872614E-2</v>
      </c>
      <c r="R28" s="49">
        <v>8.6006331895582502E-2</v>
      </c>
      <c r="S28" s="49">
        <v>5.8033250300058695E-2</v>
      </c>
      <c r="T28" s="49">
        <v>4.464285714285714E-3</v>
      </c>
      <c r="U28" s="49">
        <v>0</v>
      </c>
    </row>
    <row r="29" spans="1:21" x14ac:dyDescent="0.25">
      <c r="A29" s="34">
        <v>27</v>
      </c>
      <c r="B29" s="42" t="s">
        <v>25</v>
      </c>
      <c r="C29" s="42" t="s">
        <v>23</v>
      </c>
      <c r="D29" s="50">
        <v>5</v>
      </c>
      <c r="E29" s="50">
        <v>0.23138890000000001</v>
      </c>
      <c r="F29" s="50">
        <v>0.26361109999999999</v>
      </c>
      <c r="G29" s="49">
        <v>1.0770194216734223E-2</v>
      </c>
      <c r="H29" s="49">
        <v>1.5294516664168319E-2</v>
      </c>
      <c r="I29" s="49">
        <v>6.9609352841184857E-2</v>
      </c>
      <c r="J29" s="49">
        <v>8.9925817944274442E-2</v>
      </c>
      <c r="K29" s="49">
        <v>0.10230577487898546</v>
      </c>
      <c r="L29" s="49">
        <v>0.12020811939827128</v>
      </c>
      <c r="M29" s="49">
        <v>7.3709152338274589E-2</v>
      </c>
      <c r="N29" s="49">
        <v>7.3007163327031999E-2</v>
      </c>
      <c r="O29" s="49">
        <v>5.1986359751212852E-2</v>
      </c>
      <c r="P29" s="49">
        <v>8.7835396065225585E-2</v>
      </c>
      <c r="Q29" s="49">
        <v>8.4321269741226501E-2</v>
      </c>
      <c r="R29" s="49">
        <v>0.10063289475418025</v>
      </c>
      <c r="S29" s="49">
        <v>8.1119262320476559E-2</v>
      </c>
      <c r="T29" s="49">
        <v>3.9274725758753071E-2</v>
      </c>
      <c r="U29" s="49">
        <v>0</v>
      </c>
    </row>
    <row r="30" spans="1:21" x14ac:dyDescent="0.25">
      <c r="A30" s="34">
        <v>28</v>
      </c>
      <c r="B30" s="42" t="s">
        <v>26</v>
      </c>
      <c r="C30" s="42" t="s">
        <v>23</v>
      </c>
      <c r="D30" s="50">
        <v>5</v>
      </c>
      <c r="E30" s="50">
        <v>1.6666669999999999E-3</v>
      </c>
      <c r="F30" s="50">
        <v>5.8333329999999996E-3</v>
      </c>
      <c r="G30" s="49">
        <v>0</v>
      </c>
      <c r="H30" s="49">
        <v>0</v>
      </c>
      <c r="I30" s="49">
        <v>8.3333333333333329E-2</v>
      </c>
      <c r="J30" s="49">
        <v>0</v>
      </c>
      <c r="K30" s="49">
        <v>0.17045454545454547</v>
      </c>
      <c r="L30" s="49">
        <v>0</v>
      </c>
      <c r="M30" s="49">
        <v>0.25</v>
      </c>
      <c r="N30" s="49">
        <v>0</v>
      </c>
      <c r="O30" s="49">
        <v>7.4999999999999997E-2</v>
      </c>
      <c r="P30" s="49">
        <v>0</v>
      </c>
      <c r="Q30" s="49">
        <v>0.15606060606060607</v>
      </c>
      <c r="R30" s="49">
        <v>0.26515151515151514</v>
      </c>
      <c r="S30" s="49">
        <v>0</v>
      </c>
      <c r="T30" s="49">
        <v>0</v>
      </c>
      <c r="U30" s="49">
        <v>0</v>
      </c>
    </row>
    <row r="31" spans="1:21" x14ac:dyDescent="0.25">
      <c r="A31" s="34">
        <v>29</v>
      </c>
      <c r="B31" s="42" t="s">
        <v>255</v>
      </c>
      <c r="C31" s="42" t="s">
        <v>23</v>
      </c>
      <c r="D31" s="50">
        <v>5</v>
      </c>
      <c r="E31" s="50">
        <v>2.2222219999999998E-3</v>
      </c>
      <c r="F31" s="50">
        <v>3.0555560000000001E-3</v>
      </c>
      <c r="G31" s="49">
        <v>0</v>
      </c>
      <c r="H31" s="49">
        <v>0</v>
      </c>
      <c r="I31" s="49">
        <v>0.3125</v>
      </c>
      <c r="J31" s="49">
        <v>0.14583333333333331</v>
      </c>
      <c r="K31" s="49">
        <v>0</v>
      </c>
      <c r="L31" s="49">
        <v>0</v>
      </c>
      <c r="M31" s="49">
        <v>0</v>
      </c>
      <c r="N31" s="49">
        <v>0.125</v>
      </c>
      <c r="O31" s="49">
        <v>0</v>
      </c>
      <c r="P31" s="49">
        <v>0.125</v>
      </c>
      <c r="Q31" s="49">
        <v>4.1666666666666664E-2</v>
      </c>
      <c r="R31" s="49">
        <v>0.25</v>
      </c>
      <c r="S31" s="49">
        <v>0</v>
      </c>
      <c r="T31" s="49">
        <v>0</v>
      </c>
      <c r="U31" s="49">
        <v>0</v>
      </c>
    </row>
    <row r="32" spans="1:21" x14ac:dyDescent="0.25">
      <c r="A32" s="34">
        <v>30</v>
      </c>
      <c r="B32" s="42" t="s">
        <v>27</v>
      </c>
      <c r="C32" s="42" t="s">
        <v>9</v>
      </c>
      <c r="D32" s="50">
        <v>5</v>
      </c>
      <c r="E32" s="50">
        <v>5.0000000000000001E-3</v>
      </c>
      <c r="F32" s="50">
        <v>1.3888889999999999E-2</v>
      </c>
      <c r="G32" s="49">
        <v>0</v>
      </c>
      <c r="H32" s="49">
        <v>0.14171122994652408</v>
      </c>
      <c r="I32" s="49">
        <v>0</v>
      </c>
      <c r="J32" s="49">
        <v>0.24832887700534761</v>
      </c>
      <c r="K32" s="49">
        <v>0.20320855614973263</v>
      </c>
      <c r="L32" s="49">
        <v>0.15207219251336901</v>
      </c>
      <c r="M32" s="49">
        <v>0</v>
      </c>
      <c r="N32" s="49">
        <v>0</v>
      </c>
      <c r="O32" s="49">
        <v>2.606951871657754E-2</v>
      </c>
      <c r="P32" s="49">
        <v>2.9411764705882353E-2</v>
      </c>
      <c r="Q32" s="49">
        <v>1.1363636363636364E-2</v>
      </c>
      <c r="R32" s="49">
        <v>7.0187165775401072E-2</v>
      </c>
      <c r="S32" s="49">
        <v>0.10294117647058823</v>
      </c>
      <c r="T32" s="49">
        <v>1.4705882352941176E-2</v>
      </c>
      <c r="U32" s="49">
        <v>0</v>
      </c>
    </row>
    <row r="33" spans="1:21" x14ac:dyDescent="0.25">
      <c r="A33" s="34">
        <v>31</v>
      </c>
      <c r="B33" s="42" t="s">
        <v>256</v>
      </c>
      <c r="C33" s="42" t="s">
        <v>9</v>
      </c>
      <c r="D33" s="50">
        <v>5</v>
      </c>
      <c r="E33" s="50">
        <v>1.1666670000000001E-2</v>
      </c>
      <c r="F33" s="50">
        <v>8.305556E-2</v>
      </c>
      <c r="G33" s="50">
        <v>0</v>
      </c>
      <c r="H33" s="50">
        <v>0.10159269999999999</v>
      </c>
      <c r="I33" s="50">
        <v>0.18921379999999999</v>
      </c>
      <c r="J33" s="50">
        <v>7.7238660000000001E-2</v>
      </c>
      <c r="K33" s="50">
        <v>0.1130158</v>
      </c>
      <c r="L33" s="50">
        <v>8.2569539999999997E-2</v>
      </c>
      <c r="M33" s="50">
        <v>3.1766790000000003E-2</v>
      </c>
      <c r="N33" s="50">
        <v>8.2161520000000002E-2</v>
      </c>
      <c r="O33" s="50">
        <v>8.0962629999999994E-2</v>
      </c>
      <c r="P33" s="50">
        <v>6.133483E-2</v>
      </c>
      <c r="Q33" s="50">
        <v>0.1012507</v>
      </c>
      <c r="R33" s="50">
        <v>4.075372E-2</v>
      </c>
      <c r="S33" s="50">
        <v>2.8948169999999999E-2</v>
      </c>
      <c r="T33" s="50">
        <v>9.1911760000000006E-3</v>
      </c>
      <c r="U33" s="50">
        <v>0</v>
      </c>
    </row>
    <row r="34" spans="1:21" x14ac:dyDescent="0.25">
      <c r="A34" s="34">
        <v>32</v>
      </c>
      <c r="B34" s="42" t="s">
        <v>28</v>
      </c>
      <c r="C34" s="42" t="s">
        <v>9</v>
      </c>
      <c r="D34" s="50">
        <v>5</v>
      </c>
      <c r="E34" s="50">
        <v>6.388889E-3</v>
      </c>
      <c r="F34" s="50">
        <v>1.2500000000000001E-2</v>
      </c>
      <c r="G34" s="50">
        <v>0</v>
      </c>
      <c r="H34" s="50">
        <v>0</v>
      </c>
      <c r="I34" s="50">
        <v>0.46478540000000002</v>
      </c>
      <c r="J34" s="50">
        <v>0.127801</v>
      </c>
      <c r="K34" s="50">
        <v>6.3461530000000002E-2</v>
      </c>
      <c r="L34" s="50">
        <v>4.5833329999999999E-2</v>
      </c>
      <c r="M34" s="50">
        <v>0</v>
      </c>
      <c r="N34" s="50">
        <v>9.6042359999999993E-2</v>
      </c>
      <c r="O34" s="50">
        <v>0</v>
      </c>
      <c r="P34" s="50">
        <v>0.12360649999999999</v>
      </c>
      <c r="Q34" s="50">
        <v>2.5000000000000001E-2</v>
      </c>
      <c r="R34" s="50">
        <v>4.0969899999999997E-2</v>
      </c>
      <c r="S34" s="50">
        <v>1.2500000000000001E-2</v>
      </c>
      <c r="T34" s="50">
        <v>0</v>
      </c>
      <c r="U34" s="50">
        <v>0</v>
      </c>
    </row>
    <row r="35" spans="1:21" x14ac:dyDescent="0.25">
      <c r="A35" s="34">
        <v>33</v>
      </c>
      <c r="B35" s="42" t="s">
        <v>29</v>
      </c>
      <c r="C35" s="42" t="s">
        <v>9</v>
      </c>
      <c r="D35" s="50">
        <v>5</v>
      </c>
      <c r="E35" s="50">
        <v>3.2222220000000003E-2</v>
      </c>
      <c r="F35" s="50">
        <v>6.4166669999999995E-2</v>
      </c>
      <c r="G35" s="49">
        <v>0</v>
      </c>
      <c r="H35" s="49">
        <v>6.6433699335998186E-2</v>
      </c>
      <c r="I35" s="49">
        <v>0.28225191156225637</v>
      </c>
      <c r="J35" s="49">
        <v>0.10413176648808833</v>
      </c>
      <c r="K35" s="49">
        <v>0.10969298900333384</v>
      </c>
      <c r="L35" s="49">
        <v>6.4293730960397616E-2</v>
      </c>
      <c r="M35" s="49">
        <v>5.3194783079840546E-2</v>
      </c>
      <c r="N35" s="49">
        <v>5.7376930221757806E-2</v>
      </c>
      <c r="O35" s="49">
        <v>9.7168316995903198E-2</v>
      </c>
      <c r="P35" s="49">
        <v>6.404009995964019E-2</v>
      </c>
      <c r="Q35" s="49">
        <v>4.7912416446899211E-2</v>
      </c>
      <c r="R35" s="49">
        <v>5.0416936192798259E-2</v>
      </c>
      <c r="S35" s="49">
        <v>3.0864197530864196E-3</v>
      </c>
      <c r="T35" s="49">
        <v>0</v>
      </c>
      <c r="U35" s="49">
        <v>0</v>
      </c>
    </row>
    <row r="36" spans="1:21" x14ac:dyDescent="0.25">
      <c r="A36" s="34">
        <v>34</v>
      </c>
      <c r="B36" s="42" t="s">
        <v>30</v>
      </c>
      <c r="C36" s="42" t="s">
        <v>9</v>
      </c>
      <c r="D36" s="50">
        <v>5</v>
      </c>
      <c r="E36" s="50">
        <v>2.1944439999999999E-2</v>
      </c>
      <c r="F36" s="50">
        <v>3.722222E-2</v>
      </c>
      <c r="G36" s="49">
        <v>0</v>
      </c>
      <c r="H36" s="49">
        <v>3.9335810303080906E-2</v>
      </c>
      <c r="I36" s="49">
        <v>0.27503447966627392</v>
      </c>
      <c r="J36" s="49">
        <v>0.18845495533105119</v>
      </c>
      <c r="K36" s="49">
        <v>0.13912081489521583</v>
      </c>
      <c r="L36" s="49">
        <v>9.226866927042264E-2</v>
      </c>
      <c r="M36" s="49">
        <v>6.8267419962335207E-2</v>
      </c>
      <c r="N36" s="49">
        <v>2.5423728813559324E-2</v>
      </c>
      <c r="O36" s="49">
        <v>0</v>
      </c>
      <c r="P36" s="49">
        <v>5.9984182646368497E-2</v>
      </c>
      <c r="Q36" s="49">
        <v>3.6056376573617953E-2</v>
      </c>
      <c r="R36" s="49">
        <v>3.7721218755701509E-2</v>
      </c>
      <c r="S36" s="49">
        <v>3.8332343782373005E-2</v>
      </c>
      <c r="T36" s="49">
        <v>0</v>
      </c>
      <c r="U36" s="49">
        <v>0</v>
      </c>
    </row>
    <row r="37" spans="1:21" x14ac:dyDescent="0.25">
      <c r="A37" s="34">
        <v>35</v>
      </c>
      <c r="B37" s="42" t="s">
        <v>31</v>
      </c>
      <c r="C37" s="42" t="s">
        <v>17</v>
      </c>
      <c r="D37" s="50">
        <v>5</v>
      </c>
      <c r="E37" s="50">
        <v>0.15666669999999999</v>
      </c>
      <c r="F37" s="50">
        <v>0.22750000000000001</v>
      </c>
      <c r="G37" s="49">
        <v>1.8010439600950411E-2</v>
      </c>
      <c r="H37" s="49">
        <v>4.427015063484499E-2</v>
      </c>
      <c r="I37" s="49">
        <v>0.14460570735733846</v>
      </c>
      <c r="J37" s="49">
        <v>0.11904001858275767</v>
      </c>
      <c r="K37" s="49">
        <v>9.2237399060814684E-2</v>
      </c>
      <c r="L37" s="49">
        <v>0.10102719059129586</v>
      </c>
      <c r="M37" s="49">
        <v>5.1901230363854162E-2</v>
      </c>
      <c r="N37" s="49">
        <v>6.8681947400246371E-2</v>
      </c>
      <c r="O37" s="49">
        <v>3.5605401299262845E-2</v>
      </c>
      <c r="P37" s="49">
        <v>7.8781430409506151E-2</v>
      </c>
      <c r="Q37" s="49">
        <v>4.8034132637229499E-2</v>
      </c>
      <c r="R37" s="49">
        <v>8.548798879761188E-2</v>
      </c>
      <c r="S37" s="49">
        <v>8.4107250291343152E-2</v>
      </c>
      <c r="T37" s="49">
        <v>2.8209712972943828E-2</v>
      </c>
      <c r="U37" s="49">
        <v>0</v>
      </c>
    </row>
    <row r="38" spans="1:21" x14ac:dyDescent="0.25">
      <c r="A38" s="34">
        <v>36</v>
      </c>
      <c r="B38" s="42" t="s">
        <v>33</v>
      </c>
      <c r="C38" s="42" t="s">
        <v>17</v>
      </c>
      <c r="D38" s="50">
        <v>5</v>
      </c>
      <c r="E38" s="50">
        <v>1.5277779999999999E-2</v>
      </c>
      <c r="F38" s="50">
        <v>5.3888890000000002E-2</v>
      </c>
      <c r="G38" s="49">
        <v>0</v>
      </c>
      <c r="H38" s="49">
        <v>0</v>
      </c>
      <c r="I38" s="49">
        <v>0.15998395181179642</v>
      </c>
      <c r="J38" s="49">
        <v>7.5985842983140969E-2</v>
      </c>
      <c r="K38" s="49">
        <v>0.11626609805058341</v>
      </c>
      <c r="L38" s="49">
        <v>9.3954857525560292E-2</v>
      </c>
      <c r="M38" s="49">
        <v>4.146266829865361E-2</v>
      </c>
      <c r="N38" s="49">
        <v>0</v>
      </c>
      <c r="O38" s="49">
        <v>4.556566732959888E-2</v>
      </c>
      <c r="P38" s="49">
        <v>0.12794512333928282</v>
      </c>
      <c r="Q38" s="49">
        <v>0.10437750080454637</v>
      </c>
      <c r="R38" s="49">
        <v>6.4851011209062975E-2</v>
      </c>
      <c r="S38" s="49">
        <v>0.16960727864777425</v>
      </c>
      <c r="T38" s="49">
        <v>0</v>
      </c>
      <c r="U38" s="49">
        <v>0</v>
      </c>
    </row>
    <row r="39" spans="1:21" x14ac:dyDescent="0.25">
      <c r="A39" s="34">
        <v>37</v>
      </c>
      <c r="B39" s="42" t="s">
        <v>34</v>
      </c>
      <c r="C39" s="42" t="s">
        <v>17</v>
      </c>
      <c r="D39" s="50">
        <v>5</v>
      </c>
      <c r="E39" s="50">
        <v>5.0000000000000001E-3</v>
      </c>
      <c r="F39" s="50">
        <v>6.1111109999999998E-3</v>
      </c>
      <c r="G39" s="49">
        <v>0</v>
      </c>
      <c r="H39" s="49">
        <v>0.19935897435897437</v>
      </c>
      <c r="I39" s="49">
        <v>0.19423076923076921</v>
      </c>
      <c r="J39" s="49">
        <v>5.9294871794871792E-2</v>
      </c>
      <c r="K39" s="49">
        <v>0.14935897435897438</v>
      </c>
      <c r="L39" s="49">
        <v>2.0833333333333332E-2</v>
      </c>
      <c r="M39" s="49">
        <v>0.19839743589743591</v>
      </c>
      <c r="N39" s="49">
        <v>0.05</v>
      </c>
      <c r="O39" s="49">
        <v>0</v>
      </c>
      <c r="P39" s="49">
        <v>6.9230769230769235E-2</v>
      </c>
      <c r="Q39" s="49">
        <v>2.0833333333333332E-2</v>
      </c>
      <c r="R39" s="49">
        <v>3.8461538461538464E-2</v>
      </c>
      <c r="S39" s="49">
        <v>0</v>
      </c>
      <c r="T39" s="49">
        <v>0</v>
      </c>
      <c r="U39" s="49">
        <v>0</v>
      </c>
    </row>
    <row r="40" spans="1:21" x14ac:dyDescent="0.25">
      <c r="A40" s="34">
        <v>38</v>
      </c>
      <c r="B40" s="42" t="s">
        <v>35</v>
      </c>
      <c r="C40" s="42" t="s">
        <v>17</v>
      </c>
      <c r="D40" s="50">
        <v>5</v>
      </c>
      <c r="E40" s="50">
        <v>7.9166669999999995E-2</v>
      </c>
      <c r="F40" s="50">
        <v>0.12944449999999999</v>
      </c>
      <c r="G40" s="49">
        <v>0</v>
      </c>
      <c r="H40" s="49">
        <v>7.0221786188854107E-2</v>
      </c>
      <c r="I40" s="49">
        <v>0.31794212512043685</v>
      </c>
      <c r="J40" s="49">
        <v>0.10476532864769877</v>
      </c>
      <c r="K40" s="49">
        <v>9.3155489173043199E-2</v>
      </c>
      <c r="L40" s="49">
        <v>6.757235345799753E-2</v>
      </c>
      <c r="M40" s="49">
        <v>7.6792578762921518E-2</v>
      </c>
      <c r="N40" s="49">
        <v>5.7558265834274321E-2</v>
      </c>
      <c r="O40" s="49">
        <v>5.7025423947158357E-2</v>
      </c>
      <c r="P40" s="49">
        <v>5.9920065834798399E-2</v>
      </c>
      <c r="Q40" s="49">
        <v>5.4486337249163928E-2</v>
      </c>
      <c r="R40" s="49">
        <v>2.6227890874231767E-2</v>
      </c>
      <c r="S40" s="49">
        <v>1.4332354909421283E-2</v>
      </c>
      <c r="T40" s="49">
        <v>0</v>
      </c>
      <c r="U40" s="49">
        <v>0</v>
      </c>
    </row>
    <row r="41" spans="1:21" x14ac:dyDescent="0.25">
      <c r="A41" s="34">
        <v>39</v>
      </c>
      <c r="B41" s="42" t="s">
        <v>257</v>
      </c>
      <c r="C41" s="42" t="s">
        <v>17</v>
      </c>
      <c r="D41" s="50">
        <v>5</v>
      </c>
      <c r="E41" s="50">
        <v>8.0555560000000002E-3</v>
      </c>
      <c r="F41" s="50">
        <v>1.2500000000000001E-2</v>
      </c>
      <c r="G41" s="49">
        <v>0</v>
      </c>
      <c r="H41" s="49">
        <v>0.21001552795031056</v>
      </c>
      <c r="I41" s="49">
        <v>0</v>
      </c>
      <c r="J41" s="49">
        <v>0.30926501035196685</v>
      </c>
      <c r="K41" s="49">
        <v>0.22608695652173916</v>
      </c>
      <c r="L41" s="49">
        <v>0.1076086956521739</v>
      </c>
      <c r="M41" s="49">
        <v>0</v>
      </c>
      <c r="N41" s="49">
        <v>2.5000000000000001E-2</v>
      </c>
      <c r="O41" s="49">
        <v>0</v>
      </c>
      <c r="P41" s="49">
        <v>3.7499999999999999E-2</v>
      </c>
      <c r="Q41" s="49">
        <v>0</v>
      </c>
      <c r="R41" s="49">
        <v>1.1904761904761904E-2</v>
      </c>
      <c r="S41" s="49">
        <v>7.2619047619047611E-2</v>
      </c>
      <c r="T41" s="49">
        <v>0</v>
      </c>
      <c r="U41" s="49">
        <v>0</v>
      </c>
    </row>
    <row r="42" spans="1:21" x14ac:dyDescent="0.25">
      <c r="A42" s="34">
        <v>40</v>
      </c>
      <c r="B42" s="42" t="s">
        <v>36</v>
      </c>
      <c r="C42" s="42" t="s">
        <v>17</v>
      </c>
      <c r="D42" s="50">
        <v>5</v>
      </c>
      <c r="E42" s="50">
        <v>0.24277779999999999</v>
      </c>
      <c r="F42" s="50">
        <v>0.35722219999999999</v>
      </c>
      <c r="G42" s="49">
        <v>1.8483608744696223E-2</v>
      </c>
      <c r="H42" s="49">
        <v>2.2222648018140355E-2</v>
      </c>
      <c r="I42" s="49">
        <v>7.9351539154190007E-2</v>
      </c>
      <c r="J42" s="49">
        <v>8.9970288917836608E-2</v>
      </c>
      <c r="K42" s="49">
        <v>8.5190554811778008E-2</v>
      </c>
      <c r="L42" s="49">
        <v>0.10847834295432104</v>
      </c>
      <c r="M42" s="49">
        <v>8.1069764805020955E-2</v>
      </c>
      <c r="N42" s="49">
        <v>5.1609203804531947E-2</v>
      </c>
      <c r="O42" s="49">
        <v>9.4840727713866271E-2</v>
      </c>
      <c r="P42" s="49">
        <v>6.2292395895223708E-2</v>
      </c>
      <c r="Q42" s="49">
        <v>9.2342448650245879E-2</v>
      </c>
      <c r="R42" s="49">
        <v>9.5577478982242545E-2</v>
      </c>
      <c r="S42" s="49">
        <v>7.8360028339933163E-2</v>
      </c>
      <c r="T42" s="49">
        <v>4.0210969207973291E-2</v>
      </c>
      <c r="U42" s="49">
        <v>0</v>
      </c>
    </row>
    <row r="43" spans="1:21" x14ac:dyDescent="0.25">
      <c r="A43" s="34">
        <v>41</v>
      </c>
      <c r="B43" s="42" t="s">
        <v>37</v>
      </c>
      <c r="C43" s="42" t="s">
        <v>17</v>
      </c>
      <c r="D43" s="50">
        <v>5</v>
      </c>
      <c r="E43" s="50">
        <v>1.4722219999999999E-2</v>
      </c>
      <c r="F43" s="50">
        <v>1.111111E-2</v>
      </c>
      <c r="G43" s="49">
        <v>0</v>
      </c>
      <c r="H43" s="49">
        <v>0</v>
      </c>
      <c r="I43" s="49">
        <v>2.5862068965517241E-2</v>
      </c>
      <c r="J43" s="49">
        <v>0.13118605532398636</v>
      </c>
      <c r="K43" s="49">
        <v>0.12802671466464569</v>
      </c>
      <c r="L43" s="49">
        <v>0.13067449791587724</v>
      </c>
      <c r="M43" s="49">
        <v>0</v>
      </c>
      <c r="N43" s="49">
        <v>9.2241379310344818E-2</v>
      </c>
      <c r="O43" s="49">
        <v>8.4478021978021983E-2</v>
      </c>
      <c r="P43" s="49">
        <v>5.5631868131868129E-2</v>
      </c>
      <c r="Q43" s="49">
        <v>3.5785335354300868E-2</v>
      </c>
      <c r="R43" s="49">
        <v>9.1109321712769989E-2</v>
      </c>
      <c r="S43" s="49">
        <v>0.18791682455475561</v>
      </c>
      <c r="T43" s="49">
        <v>3.7087912087912088E-2</v>
      </c>
      <c r="U43" s="49">
        <v>0</v>
      </c>
    </row>
    <row r="44" spans="1:21" x14ac:dyDescent="0.25">
      <c r="A44" s="34">
        <v>42</v>
      </c>
      <c r="B44" s="42" t="s">
        <v>38</v>
      </c>
      <c r="C44" s="42" t="s">
        <v>17</v>
      </c>
      <c r="D44" s="50">
        <v>5</v>
      </c>
      <c r="E44" s="50">
        <v>3.888889E-3</v>
      </c>
      <c r="F44" s="50">
        <v>6.388889E-3</v>
      </c>
      <c r="G44" s="49">
        <v>0</v>
      </c>
      <c r="H44" s="49">
        <v>0</v>
      </c>
      <c r="I44" s="49">
        <v>0.15259740259740259</v>
      </c>
      <c r="J44" s="49">
        <v>7.7672327672327679E-2</v>
      </c>
      <c r="K44" s="49">
        <v>0</v>
      </c>
      <c r="L44" s="49">
        <v>0.21565934065934067</v>
      </c>
      <c r="M44" s="49">
        <v>0</v>
      </c>
      <c r="N44" s="49">
        <v>8.3916083916083919E-2</v>
      </c>
      <c r="O44" s="49">
        <v>1.9230769230769232E-2</v>
      </c>
      <c r="P44" s="49">
        <v>4.5454545454545456E-2</v>
      </c>
      <c r="Q44" s="49">
        <v>6.8181818181818177E-2</v>
      </c>
      <c r="R44" s="49">
        <v>0.23472360972360973</v>
      </c>
      <c r="S44" s="49">
        <v>0</v>
      </c>
      <c r="T44" s="49">
        <v>0.10256410256410256</v>
      </c>
      <c r="U44" s="49">
        <v>0</v>
      </c>
    </row>
    <row r="45" spans="1:21" x14ac:dyDescent="0.25">
      <c r="A45" s="34">
        <v>43</v>
      </c>
      <c r="B45" s="42" t="s">
        <v>39</v>
      </c>
      <c r="C45" s="42" t="s">
        <v>17</v>
      </c>
      <c r="D45" s="50">
        <v>5</v>
      </c>
      <c r="E45" s="50">
        <v>9.9444439999999995E-2</v>
      </c>
      <c r="F45" s="50">
        <v>0.2458333</v>
      </c>
      <c r="G45" s="49">
        <v>0</v>
      </c>
      <c r="H45" s="49">
        <v>4.6663443121840467E-2</v>
      </c>
      <c r="I45" s="49">
        <v>0.15500024612663132</v>
      </c>
      <c r="J45" s="49">
        <v>9.5502388827267359E-2</v>
      </c>
      <c r="K45" s="49">
        <v>0.11279700227380789</v>
      </c>
      <c r="L45" s="49">
        <v>8.061805566606238E-2</v>
      </c>
      <c r="M45" s="49">
        <v>7.1108618830025047E-2</v>
      </c>
      <c r="N45" s="49">
        <v>6.7359644649102116E-2</v>
      </c>
      <c r="O45" s="49">
        <v>8.102717670807949E-2</v>
      </c>
      <c r="P45" s="49">
        <v>7.2000502177018463E-2</v>
      </c>
      <c r="Q45" s="49">
        <v>9.5334846757100217E-2</v>
      </c>
      <c r="R45" s="49">
        <v>6.3102240827782888E-2</v>
      </c>
      <c r="S45" s="49">
        <v>5.2817035145484012E-2</v>
      </c>
      <c r="T45" s="49">
        <v>6.6687988897983965E-3</v>
      </c>
      <c r="U45" s="49">
        <v>0</v>
      </c>
    </row>
    <row r="46" spans="1:21" x14ac:dyDescent="0.25">
      <c r="A46" s="34">
        <v>44</v>
      </c>
      <c r="B46" s="42" t="s">
        <v>258</v>
      </c>
      <c r="C46" s="42" t="s">
        <v>17</v>
      </c>
      <c r="D46" s="50">
        <v>5</v>
      </c>
      <c r="E46" s="50">
        <v>5.8333329999999996E-3</v>
      </c>
      <c r="F46" s="50">
        <v>1.7500000000000002E-2</v>
      </c>
      <c r="G46" s="49">
        <v>0</v>
      </c>
      <c r="H46" s="49">
        <v>5.800653594771242E-2</v>
      </c>
      <c r="I46" s="49">
        <v>0</v>
      </c>
      <c r="J46" s="49">
        <v>0.19511289364230541</v>
      </c>
      <c r="K46" s="49">
        <v>0.29979946524064172</v>
      </c>
      <c r="L46" s="49">
        <v>0.2470291146761735</v>
      </c>
      <c r="M46" s="49">
        <v>0</v>
      </c>
      <c r="N46" s="49">
        <v>0</v>
      </c>
      <c r="O46" s="49">
        <v>2.7777777777777776E-2</v>
      </c>
      <c r="P46" s="49">
        <v>0.13673499702911468</v>
      </c>
      <c r="Q46" s="49">
        <v>0</v>
      </c>
      <c r="R46" s="49">
        <v>6.9444444444444441E-3</v>
      </c>
      <c r="S46" s="49">
        <v>2.8594771241830064E-2</v>
      </c>
      <c r="T46" s="49">
        <v>0</v>
      </c>
      <c r="U46" s="49">
        <v>0</v>
      </c>
    </row>
    <row r="47" spans="1:21" x14ac:dyDescent="0.25">
      <c r="A47" s="34">
        <v>45</v>
      </c>
      <c r="B47" s="42" t="s">
        <v>40</v>
      </c>
      <c r="C47" s="42" t="s">
        <v>17</v>
      </c>
      <c r="D47" s="50">
        <v>5</v>
      </c>
      <c r="E47" s="50">
        <v>2.0833330000000001E-2</v>
      </c>
      <c r="F47" s="50">
        <v>3.1388890000000003E-2</v>
      </c>
      <c r="G47" s="49">
        <v>0</v>
      </c>
      <c r="H47" s="49">
        <v>7.5206398348813208E-2</v>
      </c>
      <c r="I47" s="49">
        <v>3.337848297213622E-2</v>
      </c>
      <c r="J47" s="49">
        <v>0.21533152734778124</v>
      </c>
      <c r="K47" s="49">
        <v>0.1093266253869969</v>
      </c>
      <c r="L47" s="49">
        <v>8.2381965944272453E-2</v>
      </c>
      <c r="M47" s="49">
        <v>3.4313725490196081E-2</v>
      </c>
      <c r="N47" s="49">
        <v>5.8952528379772953E-2</v>
      </c>
      <c r="O47" s="49">
        <v>8.4252450980392163E-2</v>
      </c>
      <c r="P47" s="49">
        <v>6.3225619195046434E-2</v>
      </c>
      <c r="Q47" s="49">
        <v>7.6286764705882359E-2</v>
      </c>
      <c r="R47" s="49">
        <v>8.786442208462332E-2</v>
      </c>
      <c r="S47" s="49">
        <v>7.9479489164086689E-2</v>
      </c>
      <c r="T47" s="49">
        <v>0</v>
      </c>
      <c r="U47" s="49">
        <v>0</v>
      </c>
    </row>
    <row r="48" spans="1:21" x14ac:dyDescent="0.25">
      <c r="A48" s="34">
        <v>46</v>
      </c>
      <c r="B48" s="42" t="s">
        <v>41</v>
      </c>
      <c r="C48" s="42" t="s">
        <v>17</v>
      </c>
      <c r="D48" s="50">
        <v>5</v>
      </c>
      <c r="E48" s="50">
        <v>1.5277779999999999E-2</v>
      </c>
      <c r="F48" s="50">
        <v>1.4444439999999999E-2</v>
      </c>
      <c r="G48" s="49">
        <v>0</v>
      </c>
      <c r="H48" s="49">
        <v>0</v>
      </c>
      <c r="I48" s="49">
        <v>0</v>
      </c>
      <c r="J48" s="49">
        <v>0.24569085757872944</v>
      </c>
      <c r="K48" s="49">
        <v>0.27927754168028768</v>
      </c>
      <c r="L48" s="49">
        <v>0</v>
      </c>
      <c r="M48" s="49">
        <v>0.2572229486760379</v>
      </c>
      <c r="N48" s="49">
        <v>0</v>
      </c>
      <c r="O48" s="49">
        <v>9.6372997711670474E-2</v>
      </c>
      <c r="P48" s="49">
        <v>0</v>
      </c>
      <c r="Q48" s="49">
        <v>3.8318077803203662E-2</v>
      </c>
      <c r="R48" s="49">
        <v>5.2511169227416367E-2</v>
      </c>
      <c r="S48" s="49">
        <v>3.0606407322654461E-2</v>
      </c>
      <c r="T48" s="49">
        <v>0</v>
      </c>
      <c r="U48" s="49">
        <v>0</v>
      </c>
    </row>
    <row r="49" spans="1:21" x14ac:dyDescent="0.25">
      <c r="A49" s="34">
        <v>47</v>
      </c>
      <c r="B49" s="42" t="s">
        <v>259</v>
      </c>
      <c r="C49" s="42" t="s">
        <v>17</v>
      </c>
      <c r="D49" s="50">
        <v>5</v>
      </c>
      <c r="E49" s="50">
        <v>4.305556E-2</v>
      </c>
      <c r="F49" s="50">
        <v>5.7777780000000001E-2</v>
      </c>
      <c r="G49" s="49">
        <v>0</v>
      </c>
      <c r="H49" s="49">
        <v>0</v>
      </c>
      <c r="I49" s="49">
        <v>0.2480675340577026</v>
      </c>
      <c r="J49" s="49">
        <v>0.10396473844507553</v>
      </c>
      <c r="K49" s="49">
        <v>0.12054150203728856</v>
      </c>
      <c r="L49" s="49">
        <v>0.13139932399061613</v>
      </c>
      <c r="M49" s="49">
        <v>0</v>
      </c>
      <c r="N49" s="49">
        <v>0</v>
      </c>
      <c r="O49" s="49">
        <v>5.2462752603202031E-2</v>
      </c>
      <c r="P49" s="49">
        <v>7.9600876651438446E-2</v>
      </c>
      <c r="Q49" s="49">
        <v>6.814048545087871E-2</v>
      </c>
      <c r="R49" s="49">
        <v>8.9876064946289663E-2</v>
      </c>
      <c r="S49" s="49">
        <v>3.8875684240852776E-2</v>
      </c>
      <c r="T49" s="49">
        <v>6.7071037576655557E-2</v>
      </c>
      <c r="U49" s="49">
        <v>0</v>
      </c>
    </row>
    <row r="50" spans="1:21" x14ac:dyDescent="0.25">
      <c r="A50" s="34">
        <v>48</v>
      </c>
      <c r="B50" s="42" t="s">
        <v>42</v>
      </c>
      <c r="C50" s="42" t="s">
        <v>17</v>
      </c>
      <c r="D50" s="50">
        <v>5</v>
      </c>
      <c r="E50" s="50">
        <v>1.4999999999999999E-2</v>
      </c>
      <c r="F50" s="50">
        <v>4.666667E-2</v>
      </c>
      <c r="G50" s="49">
        <v>0</v>
      </c>
      <c r="H50" s="49">
        <v>0.01</v>
      </c>
      <c r="I50" s="49">
        <v>0.10232646834477498</v>
      </c>
      <c r="J50" s="49">
        <v>6.0772311212814643E-2</v>
      </c>
      <c r="K50" s="49">
        <v>6.5402364607170096E-2</v>
      </c>
      <c r="L50" s="49">
        <v>0.15457665903890161</v>
      </c>
      <c r="M50" s="49">
        <v>4.7179633867276888E-2</v>
      </c>
      <c r="N50" s="49">
        <v>5.434782608695652E-3</v>
      </c>
      <c r="O50" s="49">
        <v>1.358695652173913E-2</v>
      </c>
      <c r="P50" s="49">
        <v>3.9647215865751331E-2</v>
      </c>
      <c r="Q50" s="49">
        <v>7.2435163996948895E-2</v>
      </c>
      <c r="R50" s="49">
        <v>0.23731693363844392</v>
      </c>
      <c r="S50" s="49">
        <v>0.17816361556064075</v>
      </c>
      <c r="T50" s="49">
        <v>1.3157894736842105E-2</v>
      </c>
      <c r="U50" s="49">
        <v>0</v>
      </c>
    </row>
    <row r="51" spans="1:21" x14ac:dyDescent="0.25">
      <c r="A51" s="34">
        <v>49</v>
      </c>
      <c r="B51" s="42" t="s">
        <v>43</v>
      </c>
      <c r="C51" s="42" t="s">
        <v>17</v>
      </c>
      <c r="D51" s="50">
        <v>5</v>
      </c>
      <c r="E51" s="50">
        <v>2.2777780000000001E-2</v>
      </c>
      <c r="F51" s="50">
        <v>2.3611110000000001E-2</v>
      </c>
      <c r="G51" s="49">
        <v>0</v>
      </c>
      <c r="H51" s="49">
        <v>0</v>
      </c>
      <c r="I51" s="49">
        <v>0.14655685550082104</v>
      </c>
      <c r="J51" s="49">
        <v>0.20239805692391899</v>
      </c>
      <c r="K51" s="49">
        <v>0.11845067049808429</v>
      </c>
      <c r="L51" s="49">
        <v>4.9384236453201967E-2</v>
      </c>
      <c r="M51" s="49">
        <v>0.10171986179529283</v>
      </c>
      <c r="N51" s="49">
        <v>8.6206896551724137E-3</v>
      </c>
      <c r="O51" s="49">
        <v>7.8972530103995631E-2</v>
      </c>
      <c r="P51" s="49">
        <v>5.4315476190476192E-2</v>
      </c>
      <c r="Q51" s="49">
        <v>8.1675903119868637E-2</v>
      </c>
      <c r="R51" s="49">
        <v>7.8813457854406133E-2</v>
      </c>
      <c r="S51" s="49">
        <v>4.176587301587302E-2</v>
      </c>
      <c r="T51" s="49">
        <v>3.7326388888888888E-2</v>
      </c>
      <c r="U51" s="49">
        <v>0</v>
      </c>
    </row>
    <row r="52" spans="1:21" x14ac:dyDescent="0.25">
      <c r="A52" s="34">
        <v>50</v>
      </c>
      <c r="B52" s="42" t="s">
        <v>260</v>
      </c>
      <c r="C52" s="42" t="s">
        <v>17</v>
      </c>
      <c r="D52" s="50">
        <v>5</v>
      </c>
      <c r="E52" s="50">
        <v>3.888889E-3</v>
      </c>
      <c r="F52" s="50">
        <v>2.4444440000000001E-2</v>
      </c>
      <c r="G52" s="49">
        <v>0</v>
      </c>
      <c r="H52" s="49">
        <v>0</v>
      </c>
      <c r="I52" s="49">
        <v>0.17703768308153617</v>
      </c>
      <c r="J52" s="49">
        <v>8.8659996924614612E-2</v>
      </c>
      <c r="K52" s="49">
        <v>8.2741081382385728E-2</v>
      </c>
      <c r="L52" s="49">
        <v>3.0448717948717948E-2</v>
      </c>
      <c r="M52" s="49">
        <v>5.9101458885941649E-2</v>
      </c>
      <c r="N52" s="49">
        <v>5.9360944527736131E-2</v>
      </c>
      <c r="O52" s="49">
        <v>4.1666666666666664E-2</v>
      </c>
      <c r="P52" s="49">
        <v>4.9331103678929768E-2</v>
      </c>
      <c r="Q52" s="49">
        <v>7.3463268365817097E-2</v>
      </c>
      <c r="R52" s="49">
        <v>0.10715555683696612</v>
      </c>
      <c r="S52" s="49">
        <v>0.23103352170068811</v>
      </c>
      <c r="T52" s="49">
        <v>0</v>
      </c>
      <c r="U52" s="49">
        <v>0</v>
      </c>
    </row>
    <row r="53" spans="1:21" x14ac:dyDescent="0.25">
      <c r="A53" s="34">
        <v>51</v>
      </c>
      <c r="B53" s="42" t="s">
        <v>261</v>
      </c>
      <c r="C53" s="42" t="s">
        <v>17</v>
      </c>
      <c r="D53" s="50">
        <v>5</v>
      </c>
      <c r="E53" s="50">
        <v>2.2777780000000001E-2</v>
      </c>
      <c r="F53" s="50">
        <v>4.8888889999999997E-2</v>
      </c>
      <c r="G53" s="49">
        <v>0</v>
      </c>
      <c r="H53" s="49">
        <v>0</v>
      </c>
      <c r="I53" s="49">
        <v>0.14300603999327136</v>
      </c>
      <c r="J53" s="49">
        <v>0.10888809453719669</v>
      </c>
      <c r="K53" s="49">
        <v>0.17281240800706507</v>
      </c>
      <c r="L53" s="49">
        <v>0.12145235817317801</v>
      </c>
      <c r="M53" s="49">
        <v>5.0139435005677281E-2</v>
      </c>
      <c r="N53" s="49">
        <v>0</v>
      </c>
      <c r="O53" s="49">
        <v>2.6796096345514948E-2</v>
      </c>
      <c r="P53" s="49">
        <v>0.11258857605450187</v>
      </c>
      <c r="Q53" s="49">
        <v>9.9969905168425924E-2</v>
      </c>
      <c r="R53" s="49">
        <v>4.1171306615080533E-2</v>
      </c>
      <c r="S53" s="49">
        <v>0.12005078010008831</v>
      </c>
      <c r="T53" s="49">
        <v>3.1250000000000002E-3</v>
      </c>
      <c r="U53" s="49">
        <v>0</v>
      </c>
    </row>
    <row r="54" spans="1:21" x14ac:dyDescent="0.25">
      <c r="A54" s="34">
        <v>52</v>
      </c>
      <c r="B54" s="42" t="s">
        <v>262</v>
      </c>
      <c r="C54" s="42" t="s">
        <v>17</v>
      </c>
      <c r="D54" s="50">
        <v>5</v>
      </c>
      <c r="E54" s="50">
        <v>5.6666670000000002E-2</v>
      </c>
      <c r="F54" s="50">
        <v>9.1666670000000006E-2</v>
      </c>
      <c r="G54" s="49">
        <v>0</v>
      </c>
      <c r="H54" s="49">
        <v>1.1310103963612735E-2</v>
      </c>
      <c r="I54" s="49">
        <v>0.15421556205328135</v>
      </c>
      <c r="J54" s="49">
        <v>0.16489782326185834</v>
      </c>
      <c r="K54" s="49">
        <v>0.10423278102664069</v>
      </c>
      <c r="L54" s="49">
        <v>0.1255898310591293</v>
      </c>
      <c r="M54" s="49">
        <v>1.7513157894736842E-2</v>
      </c>
      <c r="N54" s="49">
        <v>5.0182261208577002E-2</v>
      </c>
      <c r="O54" s="49">
        <v>4.870841455490578E-2</v>
      </c>
      <c r="P54" s="49">
        <v>8.7355100714749834E-2</v>
      </c>
      <c r="Q54" s="49">
        <v>4.9493989603638724E-2</v>
      </c>
      <c r="R54" s="49">
        <v>7.4644249512670569E-2</v>
      </c>
      <c r="S54" s="49">
        <v>9.9507147498375567E-2</v>
      </c>
      <c r="T54" s="49">
        <v>1.2349577647823261E-2</v>
      </c>
      <c r="U54" s="49">
        <v>0</v>
      </c>
    </row>
    <row r="55" spans="1:21" x14ac:dyDescent="0.25">
      <c r="A55" s="34">
        <v>53</v>
      </c>
      <c r="B55" s="42" t="s">
        <v>44</v>
      </c>
      <c r="C55" s="42" t="s">
        <v>46</v>
      </c>
      <c r="D55" s="50">
        <v>5</v>
      </c>
      <c r="E55" s="50">
        <v>2.805556E-2</v>
      </c>
      <c r="F55" s="50">
        <v>0.1216667</v>
      </c>
      <c r="G55" s="49">
        <v>0</v>
      </c>
      <c r="H55" s="49">
        <v>6.7992910402151323E-3</v>
      </c>
      <c r="I55" s="49">
        <v>5.7908433119734738E-2</v>
      </c>
      <c r="J55" s="49">
        <v>5.1248891826852057E-2</v>
      </c>
      <c r="K55" s="49">
        <v>4.3355453431522015E-2</v>
      </c>
      <c r="L55" s="49">
        <v>0.11037375756545843</v>
      </c>
      <c r="M55" s="49">
        <v>1.2376237623762376E-3</v>
      </c>
      <c r="N55" s="49">
        <v>2.7695418593349848E-2</v>
      </c>
      <c r="O55" s="49">
        <v>5.8194030785192342E-2</v>
      </c>
      <c r="P55" s="49">
        <v>0.27437198326878753</v>
      </c>
      <c r="Q55" s="49">
        <v>0.13657771603718638</v>
      </c>
      <c r="R55" s="49">
        <v>0.15045933793921398</v>
      </c>
      <c r="S55" s="49">
        <v>7.6827567580606299E-2</v>
      </c>
      <c r="T55" s="49">
        <v>4.9504950495049506E-3</v>
      </c>
      <c r="U55" s="49">
        <v>0</v>
      </c>
    </row>
    <row r="56" spans="1:21" x14ac:dyDescent="0.25">
      <c r="A56" s="34">
        <v>54</v>
      </c>
      <c r="B56" s="42" t="s">
        <v>45</v>
      </c>
      <c r="C56" s="42" t="s">
        <v>46</v>
      </c>
      <c r="D56" s="50">
        <v>5</v>
      </c>
      <c r="E56" s="50">
        <v>4.4444439999999997E-3</v>
      </c>
      <c r="F56" s="50">
        <v>1.138889E-2</v>
      </c>
      <c r="G56" s="49">
        <v>0</v>
      </c>
      <c r="H56" s="49">
        <v>8.3333333333333329E-2</v>
      </c>
      <c r="I56" s="49">
        <v>1.9230769230769232E-2</v>
      </c>
      <c r="J56" s="49">
        <v>2.6315789473684209E-2</v>
      </c>
      <c r="K56" s="49">
        <v>4.1666666666666664E-2</v>
      </c>
      <c r="L56" s="49">
        <v>0</v>
      </c>
      <c r="M56" s="49">
        <v>0</v>
      </c>
      <c r="N56" s="49">
        <v>0</v>
      </c>
      <c r="O56" s="49">
        <v>0.13815789473684209</v>
      </c>
      <c r="P56" s="49">
        <v>0</v>
      </c>
      <c r="Q56" s="49">
        <v>5.7692307692307696E-2</v>
      </c>
      <c r="R56" s="49">
        <v>0.56882591093117407</v>
      </c>
      <c r="S56" s="49">
        <v>6.4777327935222673E-2</v>
      </c>
      <c r="T56" s="49">
        <v>0</v>
      </c>
      <c r="U56" s="49">
        <v>0</v>
      </c>
    </row>
    <row r="57" spans="1:21" x14ac:dyDescent="0.25">
      <c r="A57" s="34">
        <v>55</v>
      </c>
      <c r="B57" s="42" t="s">
        <v>263</v>
      </c>
      <c r="C57" s="42" t="s">
        <v>46</v>
      </c>
      <c r="D57" s="50">
        <v>5</v>
      </c>
      <c r="E57" s="50">
        <v>3.333333E-3</v>
      </c>
      <c r="F57" s="50">
        <v>5.8333329999999996E-3</v>
      </c>
      <c r="G57" s="49">
        <v>0</v>
      </c>
      <c r="H57" s="49">
        <v>8.3333333333333329E-2</v>
      </c>
      <c r="I57" s="49">
        <v>0.11994949494949494</v>
      </c>
      <c r="J57" s="49">
        <v>6.4393939393939392E-2</v>
      </c>
      <c r="K57" s="49">
        <v>0</v>
      </c>
      <c r="L57" s="49">
        <v>0.15259740259740259</v>
      </c>
      <c r="M57" s="49">
        <v>0.15764790764790765</v>
      </c>
      <c r="N57" s="49">
        <v>0.15656565656565657</v>
      </c>
      <c r="O57" s="49">
        <v>0</v>
      </c>
      <c r="P57" s="49">
        <v>0</v>
      </c>
      <c r="Q57" s="49">
        <v>0</v>
      </c>
      <c r="R57" s="49">
        <v>0.26551226551226553</v>
      </c>
      <c r="S57" s="49">
        <v>0</v>
      </c>
      <c r="T57" s="49">
        <v>0</v>
      </c>
      <c r="U57" s="49">
        <v>0</v>
      </c>
    </row>
    <row r="58" spans="1:21" x14ac:dyDescent="0.25">
      <c r="A58" s="34">
        <v>56</v>
      </c>
      <c r="B58" s="42" t="s">
        <v>264</v>
      </c>
      <c r="C58" s="42" t="s">
        <v>46</v>
      </c>
      <c r="D58" s="50">
        <v>5</v>
      </c>
      <c r="E58" s="50">
        <v>0.2458333</v>
      </c>
      <c r="F58" s="50">
        <v>0.28722219999999998</v>
      </c>
      <c r="G58" s="49">
        <v>2.738568849083986E-2</v>
      </c>
      <c r="H58" s="49">
        <v>2.3851362898598752E-2</v>
      </c>
      <c r="I58" s="49">
        <v>0.10725623306731957</v>
      </c>
      <c r="J58" s="49">
        <v>0.11078839250375089</v>
      </c>
      <c r="K58" s="49">
        <v>9.0389361904498908E-2</v>
      </c>
      <c r="L58" s="49">
        <v>9.5315704169389698E-2</v>
      </c>
      <c r="M58" s="49">
        <v>8.5533889139459321E-2</v>
      </c>
      <c r="N58" s="49">
        <v>5.2558806067690839E-2</v>
      </c>
      <c r="O58" s="49">
        <v>5.4075222521884007E-2</v>
      </c>
      <c r="P58" s="49">
        <v>6.457943363923381E-2</v>
      </c>
      <c r="Q58" s="49">
        <v>8.7883814581971809E-2</v>
      </c>
      <c r="R58" s="49">
        <v>9.5561038957054284E-2</v>
      </c>
      <c r="S58" s="49">
        <v>6.0720721612159925E-2</v>
      </c>
      <c r="T58" s="49">
        <v>4.410033044614832E-2</v>
      </c>
      <c r="U58" s="49">
        <v>0</v>
      </c>
    </row>
    <row r="59" spans="1:21" x14ac:dyDescent="0.25">
      <c r="A59" s="34">
        <v>57</v>
      </c>
      <c r="B59" s="42" t="s">
        <v>47</v>
      </c>
      <c r="C59" s="42" t="s">
        <v>46</v>
      </c>
      <c r="D59" s="50">
        <v>5</v>
      </c>
      <c r="E59" s="50">
        <v>5.6944439999999999E-2</v>
      </c>
      <c r="F59" s="50">
        <v>9.0833339999999999E-2</v>
      </c>
      <c r="G59" s="49">
        <v>4.4239992054182907E-2</v>
      </c>
      <c r="H59" s="49">
        <v>3.2794446699390134E-2</v>
      </c>
      <c r="I59" s="49">
        <v>0.11559626735782663</v>
      </c>
      <c r="J59" s="49">
        <v>6.9113022368679028E-2</v>
      </c>
      <c r="K59" s="49">
        <v>4.0614197042504963E-2</v>
      </c>
      <c r="L59" s="49">
        <v>5.0521723726347438E-2</v>
      </c>
      <c r="M59" s="49">
        <v>2.5119165757999991E-2</v>
      </c>
      <c r="N59" s="49">
        <v>7.8372522091779362E-2</v>
      </c>
      <c r="O59" s="49">
        <v>6.8697328863954549E-2</v>
      </c>
      <c r="P59" s="49">
        <v>0.11284070700573405</v>
      </c>
      <c r="Q59" s="49">
        <v>4.7909471861144269E-2</v>
      </c>
      <c r="R59" s="49">
        <v>0.21121529724579405</v>
      </c>
      <c r="S59" s="49">
        <v>8.2081601993677741E-2</v>
      </c>
      <c r="T59" s="49">
        <v>2.0884255930984905E-2</v>
      </c>
      <c r="U59" s="49">
        <v>0</v>
      </c>
    </row>
    <row r="60" spans="1:21" x14ac:dyDescent="0.25">
      <c r="A60" s="34">
        <v>58</v>
      </c>
      <c r="B60" s="42" t="s">
        <v>265</v>
      </c>
      <c r="C60" s="42" t="s">
        <v>46</v>
      </c>
      <c r="D60" s="50">
        <v>5</v>
      </c>
      <c r="E60" s="50">
        <v>2.3888889999999999E-2</v>
      </c>
      <c r="F60" s="50">
        <v>2.9444439999999999E-2</v>
      </c>
      <c r="G60" s="49">
        <v>0</v>
      </c>
      <c r="H60" s="49">
        <v>0</v>
      </c>
      <c r="I60" s="49">
        <v>0.31006107133284833</v>
      </c>
      <c r="J60" s="49">
        <v>8.6539705938660644E-2</v>
      </c>
      <c r="K60" s="49">
        <v>0.10363412719684498</v>
      </c>
      <c r="L60" s="49">
        <v>9.6031990657426181E-2</v>
      </c>
      <c r="M60" s="49">
        <v>0</v>
      </c>
      <c r="N60" s="49">
        <v>0</v>
      </c>
      <c r="O60" s="49">
        <v>6.5634452655358583E-2</v>
      </c>
      <c r="P60" s="49">
        <v>8.041065206570433E-2</v>
      </c>
      <c r="Q60" s="49">
        <v>6.2128402955929099E-2</v>
      </c>
      <c r="R60" s="49">
        <v>7.8091090094574406E-2</v>
      </c>
      <c r="S60" s="49">
        <v>6.3021882298885779E-2</v>
      </c>
      <c r="T60" s="49">
        <v>5.4446624803767663E-2</v>
      </c>
      <c r="U60" s="49">
        <v>0</v>
      </c>
    </row>
    <row r="61" spans="1:21" x14ac:dyDescent="0.25">
      <c r="A61" s="34">
        <v>59</v>
      </c>
      <c r="B61" s="42" t="s">
        <v>48</v>
      </c>
      <c r="C61" s="42" t="s">
        <v>46</v>
      </c>
      <c r="D61" s="50">
        <v>5</v>
      </c>
      <c r="E61" s="50">
        <v>4.1666669999999998E-3</v>
      </c>
      <c r="F61" s="50">
        <v>1.3055560000000001E-2</v>
      </c>
      <c r="G61" s="49">
        <v>0</v>
      </c>
      <c r="H61" s="49">
        <v>4.1666666666666664E-2</v>
      </c>
      <c r="I61" s="49">
        <v>4.2483660130718956E-2</v>
      </c>
      <c r="J61" s="49">
        <v>4.1666666666666664E-2</v>
      </c>
      <c r="K61" s="49">
        <v>1.4705882352941176E-2</v>
      </c>
      <c r="L61" s="49">
        <v>0.11192810457516339</v>
      </c>
      <c r="M61" s="49">
        <v>4.2483660130718956E-2</v>
      </c>
      <c r="N61" s="49">
        <v>6.9444444444444448E-2</v>
      </c>
      <c r="O61" s="49">
        <v>0</v>
      </c>
      <c r="P61" s="49">
        <v>9.8856209150326807E-2</v>
      </c>
      <c r="Q61" s="49">
        <v>4.3300653594771241E-2</v>
      </c>
      <c r="R61" s="49">
        <v>0.46568627450980393</v>
      </c>
      <c r="S61" s="49">
        <v>2.7777777777777776E-2</v>
      </c>
      <c r="T61" s="49">
        <v>0</v>
      </c>
      <c r="U61" s="49">
        <v>0</v>
      </c>
    </row>
    <row r="62" spans="1:21" x14ac:dyDescent="0.25">
      <c r="A62" s="34">
        <v>60</v>
      </c>
      <c r="B62" s="43" t="s">
        <v>266</v>
      </c>
      <c r="C62" s="42" t="s">
        <v>46</v>
      </c>
      <c r="D62" s="50">
        <v>5</v>
      </c>
      <c r="E62" s="50">
        <v>2.2499999999999999E-2</v>
      </c>
      <c r="F62" s="50">
        <v>8.2222219999999999E-2</v>
      </c>
      <c r="G62" s="50">
        <v>0</v>
      </c>
      <c r="H62" s="50">
        <v>7.7433909999999995E-2</v>
      </c>
      <c r="I62" s="50">
        <v>0.15895970000000001</v>
      </c>
      <c r="J62" s="50">
        <v>8.6178089999999999E-2</v>
      </c>
      <c r="K62" s="50">
        <v>0.14829529999999999</v>
      </c>
      <c r="L62" s="50">
        <v>0.1088831</v>
      </c>
      <c r="M62" s="50">
        <v>4.0605420000000003E-2</v>
      </c>
      <c r="N62" s="50">
        <v>3.3239060000000001E-2</v>
      </c>
      <c r="O62" s="50">
        <v>7.8370659999999995E-2</v>
      </c>
      <c r="P62" s="50">
        <v>9.902801E-2</v>
      </c>
      <c r="Q62" s="50">
        <v>9.0125720000000006E-2</v>
      </c>
      <c r="R62" s="50">
        <v>2.568138E-2</v>
      </c>
      <c r="S62" s="50">
        <v>4.2202320000000001E-2</v>
      </c>
      <c r="T62" s="50">
        <v>1.0997410000000001E-2</v>
      </c>
      <c r="U62" s="50">
        <v>0</v>
      </c>
    </row>
    <row r="63" spans="1:21" x14ac:dyDescent="0.25">
      <c r="A63" s="34">
        <v>61</v>
      </c>
      <c r="B63" s="43" t="s">
        <v>267</v>
      </c>
      <c r="C63" s="42" t="s">
        <v>46</v>
      </c>
      <c r="D63" s="50">
        <v>5</v>
      </c>
      <c r="E63" s="50">
        <v>7.7777779999999999E-3</v>
      </c>
      <c r="F63" s="50">
        <v>0.01</v>
      </c>
      <c r="G63" s="50">
        <v>0</v>
      </c>
      <c r="H63" s="50">
        <v>5.6818180000000003E-2</v>
      </c>
      <c r="I63" s="50">
        <v>0.35524889999999998</v>
      </c>
      <c r="J63" s="50">
        <v>0.1207386</v>
      </c>
      <c r="K63" s="50">
        <v>5.2083329999999997E-2</v>
      </c>
      <c r="L63" s="50">
        <v>6.4732139999999994E-2</v>
      </c>
      <c r="M63" s="50">
        <v>0</v>
      </c>
      <c r="N63" s="50">
        <v>0.1267587</v>
      </c>
      <c r="O63" s="50">
        <v>0</v>
      </c>
      <c r="P63" s="50">
        <v>0.1309524</v>
      </c>
      <c r="Q63" s="50">
        <v>5.6209420000000003E-2</v>
      </c>
      <c r="R63" s="50">
        <v>1.5625E-2</v>
      </c>
      <c r="S63" s="50">
        <v>2.0833330000000001E-2</v>
      </c>
      <c r="T63" s="50">
        <v>0</v>
      </c>
      <c r="U63" s="50">
        <v>0</v>
      </c>
    </row>
    <row r="64" spans="1:21" x14ac:dyDescent="0.25">
      <c r="A64" s="34">
        <v>62</v>
      </c>
      <c r="B64" s="43" t="s">
        <v>49</v>
      </c>
      <c r="C64" s="42" t="s">
        <v>46</v>
      </c>
      <c r="D64" s="50">
        <v>5</v>
      </c>
      <c r="E64" s="50">
        <v>1.638889E-2</v>
      </c>
      <c r="F64" s="50">
        <v>1.8333329999999998E-2</v>
      </c>
      <c r="G64" s="49">
        <v>1.1904761904761904E-2</v>
      </c>
      <c r="H64" s="49">
        <v>1.5625E-2</v>
      </c>
      <c r="I64" s="49">
        <v>0.16137566137566137</v>
      </c>
      <c r="J64" s="49">
        <v>9.9950396825396817E-2</v>
      </c>
      <c r="K64" s="49">
        <v>0</v>
      </c>
      <c r="L64" s="49">
        <v>0.23838458994708994</v>
      </c>
      <c r="M64" s="49">
        <v>0</v>
      </c>
      <c r="N64" s="49">
        <v>0.1398396164021164</v>
      </c>
      <c r="O64" s="49">
        <v>0</v>
      </c>
      <c r="P64" s="49">
        <v>9.5072751322751309E-2</v>
      </c>
      <c r="Q64" s="49">
        <v>8.0646494708994709E-2</v>
      </c>
      <c r="R64" s="49">
        <v>9.2964616402116396E-2</v>
      </c>
      <c r="S64" s="49">
        <v>0</v>
      </c>
      <c r="T64" s="49">
        <v>6.4236111111111105E-2</v>
      </c>
      <c r="U64" s="49">
        <v>0</v>
      </c>
    </row>
    <row r="65" spans="1:3" x14ac:dyDescent="0.25">
      <c r="A65" s="34">
        <v>63</v>
      </c>
      <c r="B65" s="43" t="s">
        <v>268</v>
      </c>
      <c r="C65" s="42" t="s">
        <v>46</v>
      </c>
    </row>
    <row r="66" spans="1:3" x14ac:dyDescent="0.25">
      <c r="A66" s="34">
        <v>64</v>
      </c>
      <c r="B66" s="43" t="s">
        <v>50</v>
      </c>
      <c r="C66" s="42" t="s">
        <v>46</v>
      </c>
    </row>
    <row r="67" spans="1:3" x14ac:dyDescent="0.25">
      <c r="A67" s="34">
        <v>65</v>
      </c>
      <c r="B67" s="43" t="s">
        <v>52</v>
      </c>
      <c r="C67" s="42" t="s">
        <v>46</v>
      </c>
    </row>
    <row r="68" spans="1:3" x14ac:dyDescent="0.25">
      <c r="A68" s="34">
        <v>66</v>
      </c>
      <c r="B68" s="43" t="s">
        <v>53</v>
      </c>
      <c r="C68" s="42" t="s">
        <v>46</v>
      </c>
    </row>
    <row r="69" spans="1:3" x14ac:dyDescent="0.25">
      <c r="A69" s="34">
        <v>67</v>
      </c>
      <c r="B69" s="43" t="s">
        <v>54</v>
      </c>
      <c r="C69" s="42" t="s">
        <v>46</v>
      </c>
    </row>
    <row r="70" spans="1:3" x14ac:dyDescent="0.25">
      <c r="A70" s="34">
        <v>68</v>
      </c>
      <c r="B70" s="43" t="s">
        <v>55</v>
      </c>
      <c r="C70" s="42" t="s">
        <v>46</v>
      </c>
    </row>
    <row r="71" spans="1:3" x14ac:dyDescent="0.25">
      <c r="A71" s="34">
        <v>69</v>
      </c>
      <c r="B71" s="43" t="s">
        <v>269</v>
      </c>
      <c r="C71" s="42" t="s">
        <v>46</v>
      </c>
    </row>
    <row r="72" spans="1:3" x14ac:dyDescent="0.25">
      <c r="A72" s="34">
        <v>70</v>
      </c>
      <c r="B72" s="43" t="s">
        <v>270</v>
      </c>
      <c r="C72" s="42" t="s">
        <v>32</v>
      </c>
    </row>
    <row r="73" spans="1:3" x14ac:dyDescent="0.25">
      <c r="A73" s="34">
        <v>71</v>
      </c>
      <c r="B73" s="43" t="s">
        <v>271</v>
      </c>
      <c r="C73" s="42" t="s">
        <v>32</v>
      </c>
    </row>
    <row r="74" spans="1:3" x14ac:dyDescent="0.25">
      <c r="A74" s="34">
        <v>72</v>
      </c>
      <c r="B74" s="43" t="s">
        <v>272</v>
      </c>
      <c r="C74" s="42" t="s">
        <v>32</v>
      </c>
    </row>
    <row r="75" spans="1:3" x14ac:dyDescent="0.25">
      <c r="A75" s="34">
        <v>73</v>
      </c>
      <c r="B75" s="43" t="s">
        <v>273</v>
      </c>
      <c r="C75" s="42" t="s">
        <v>32</v>
      </c>
    </row>
    <row r="76" spans="1:3" x14ac:dyDescent="0.25">
      <c r="A76" s="34">
        <v>74</v>
      </c>
      <c r="B76" s="43" t="s">
        <v>274</v>
      </c>
      <c r="C76" s="42" t="s">
        <v>32</v>
      </c>
    </row>
    <row r="77" spans="1:3" x14ac:dyDescent="0.25">
      <c r="A77" s="34">
        <v>75</v>
      </c>
      <c r="B77" s="43" t="s">
        <v>275</v>
      </c>
      <c r="C77" s="42" t="s">
        <v>32</v>
      </c>
    </row>
    <row r="78" spans="1:3" x14ac:dyDescent="0.25">
      <c r="A78" s="34">
        <v>76</v>
      </c>
      <c r="B78" s="43" t="s">
        <v>56</v>
      </c>
      <c r="C78" s="42" t="s">
        <v>32</v>
      </c>
    </row>
    <row r="79" spans="1:3" x14ac:dyDescent="0.25">
      <c r="A79" s="34">
        <v>77</v>
      </c>
      <c r="B79" s="43" t="s">
        <v>276</v>
      </c>
      <c r="C79" s="42" t="s">
        <v>32</v>
      </c>
    </row>
    <row r="80" spans="1:3" x14ac:dyDescent="0.25">
      <c r="A80" s="34">
        <v>78</v>
      </c>
      <c r="B80" s="43" t="s">
        <v>277</v>
      </c>
      <c r="C80" s="42" t="s">
        <v>32</v>
      </c>
    </row>
    <row r="81" spans="1:3" x14ac:dyDescent="0.25">
      <c r="A81" s="34">
        <v>79</v>
      </c>
      <c r="B81" s="43" t="s">
        <v>278</v>
      </c>
      <c r="C81" s="42" t="s">
        <v>32</v>
      </c>
    </row>
    <row r="82" spans="1:3" x14ac:dyDescent="0.25">
      <c r="A82" s="34">
        <v>80</v>
      </c>
      <c r="B82" s="43" t="s">
        <v>57</v>
      </c>
      <c r="C82" s="42" t="s">
        <v>32</v>
      </c>
    </row>
    <row r="83" spans="1:3" x14ac:dyDescent="0.25">
      <c r="A83" s="34">
        <v>81</v>
      </c>
      <c r="B83" s="43" t="s">
        <v>279</v>
      </c>
      <c r="C83" s="42" t="s">
        <v>68</v>
      </c>
    </row>
    <row r="84" spans="1:3" x14ac:dyDescent="0.25">
      <c r="A84" s="34">
        <v>82</v>
      </c>
      <c r="B84" s="43" t="s">
        <v>59</v>
      </c>
      <c r="C84" s="42" t="s">
        <v>14</v>
      </c>
    </row>
    <row r="85" spans="1:3" x14ac:dyDescent="0.25">
      <c r="A85" s="34">
        <v>83</v>
      </c>
      <c r="B85" s="43" t="s">
        <v>280</v>
      </c>
      <c r="C85" s="42" t="s">
        <v>14</v>
      </c>
    </row>
    <row r="86" spans="1:3" x14ac:dyDescent="0.25">
      <c r="A86" s="34">
        <v>84</v>
      </c>
      <c r="B86" s="43" t="s">
        <v>281</v>
      </c>
      <c r="C86" s="42" t="s">
        <v>14</v>
      </c>
    </row>
    <row r="87" spans="1:3" x14ac:dyDescent="0.25">
      <c r="A87" s="34">
        <v>85</v>
      </c>
      <c r="B87" s="43" t="s">
        <v>60</v>
      </c>
      <c r="C87" s="42" t="s">
        <v>14</v>
      </c>
    </row>
    <row r="88" spans="1:3" x14ac:dyDescent="0.25">
      <c r="A88" s="34">
        <v>86</v>
      </c>
      <c r="B88" s="43" t="s">
        <v>61</v>
      </c>
      <c r="C88" s="42" t="s">
        <v>14</v>
      </c>
    </row>
    <row r="89" spans="1:3" x14ac:dyDescent="0.25">
      <c r="A89" s="34">
        <v>87</v>
      </c>
      <c r="B89" s="43" t="s">
        <v>62</v>
      </c>
      <c r="C89" s="42" t="s">
        <v>14</v>
      </c>
    </row>
    <row r="90" spans="1:3" x14ac:dyDescent="0.25">
      <c r="A90" s="34">
        <v>88</v>
      </c>
      <c r="B90" s="43" t="s">
        <v>63</v>
      </c>
      <c r="C90" s="42" t="s">
        <v>14</v>
      </c>
    </row>
    <row r="91" spans="1:3" x14ac:dyDescent="0.25">
      <c r="A91" s="34">
        <v>89</v>
      </c>
      <c r="B91" s="43" t="s">
        <v>64</v>
      </c>
      <c r="C91" s="42" t="s">
        <v>32</v>
      </c>
    </row>
    <row r="92" spans="1:3" x14ac:dyDescent="0.25">
      <c r="A92" s="34">
        <v>90</v>
      </c>
      <c r="B92" s="43" t="s">
        <v>282</v>
      </c>
      <c r="C92" s="42" t="s">
        <v>32</v>
      </c>
    </row>
    <row r="93" spans="1:3" x14ac:dyDescent="0.25">
      <c r="A93" s="34">
        <v>91</v>
      </c>
      <c r="B93" s="43" t="s">
        <v>283</v>
      </c>
      <c r="C93" s="42" t="s">
        <v>32</v>
      </c>
    </row>
    <row r="94" spans="1:3" x14ac:dyDescent="0.25">
      <c r="A94" s="34">
        <v>92</v>
      </c>
      <c r="B94" s="43" t="s">
        <v>284</v>
      </c>
      <c r="C94" s="42" t="s">
        <v>32</v>
      </c>
    </row>
    <row r="95" spans="1:3" x14ac:dyDescent="0.25">
      <c r="A95" s="34">
        <v>93</v>
      </c>
      <c r="B95" s="43" t="s">
        <v>65</v>
      </c>
      <c r="C95" s="42" t="s">
        <v>9</v>
      </c>
    </row>
    <row r="96" spans="1:3" x14ac:dyDescent="0.25">
      <c r="A96" s="34">
        <v>94</v>
      </c>
      <c r="B96" s="43" t="s">
        <v>66</v>
      </c>
      <c r="C96" s="42" t="s">
        <v>32</v>
      </c>
    </row>
    <row r="97" spans="1:3" x14ac:dyDescent="0.25">
      <c r="A97" s="34">
        <v>95</v>
      </c>
      <c r="B97" s="43" t="s">
        <v>67</v>
      </c>
      <c r="C97" s="42" t="s">
        <v>32</v>
      </c>
    </row>
    <row r="98" spans="1:3" x14ac:dyDescent="0.25">
      <c r="A98" s="34">
        <v>96</v>
      </c>
      <c r="B98" s="43" t="s">
        <v>285</v>
      </c>
      <c r="C98" s="42" t="s">
        <v>68</v>
      </c>
    </row>
    <row r="99" spans="1:3" x14ac:dyDescent="0.25">
      <c r="A99" s="34">
        <v>97</v>
      </c>
      <c r="B99" s="43" t="s">
        <v>69</v>
      </c>
      <c r="C99" s="42" t="s">
        <v>68</v>
      </c>
    </row>
    <row r="100" spans="1:3" x14ac:dyDescent="0.25">
      <c r="A100" s="34">
        <v>98</v>
      </c>
      <c r="B100" s="43" t="s">
        <v>286</v>
      </c>
      <c r="C100" s="42" t="s">
        <v>23</v>
      </c>
    </row>
    <row r="101" spans="1:3" x14ac:dyDescent="0.25">
      <c r="A101" s="34">
        <v>99</v>
      </c>
      <c r="B101" s="43" t="s">
        <v>287</v>
      </c>
      <c r="C101" s="42" t="s">
        <v>23</v>
      </c>
    </row>
    <row r="102" spans="1:3" x14ac:dyDescent="0.25">
      <c r="A102" s="34">
        <v>100</v>
      </c>
      <c r="B102" s="43" t="s">
        <v>70</v>
      </c>
      <c r="C102" s="42" t="s">
        <v>9</v>
      </c>
    </row>
    <row r="103" spans="1:3" x14ac:dyDescent="0.25">
      <c r="A103" s="34">
        <v>101</v>
      </c>
      <c r="B103" s="43" t="s">
        <v>71</v>
      </c>
      <c r="C103" s="42" t="s">
        <v>9</v>
      </c>
    </row>
    <row r="104" spans="1:3" x14ac:dyDescent="0.25">
      <c r="A104" s="34">
        <v>102</v>
      </c>
      <c r="B104" s="43" t="s">
        <v>72</v>
      </c>
      <c r="C104" s="42" t="s">
        <v>9</v>
      </c>
    </row>
    <row r="105" spans="1:3" x14ac:dyDescent="0.25">
      <c r="A105" s="34">
        <v>103</v>
      </c>
      <c r="B105" s="43" t="s">
        <v>288</v>
      </c>
      <c r="C105" s="42" t="s">
        <v>14</v>
      </c>
    </row>
    <row r="106" spans="1:3" x14ac:dyDescent="0.25">
      <c r="A106" s="34">
        <v>104</v>
      </c>
      <c r="B106" s="43" t="s">
        <v>289</v>
      </c>
      <c r="C106" s="42" t="s">
        <v>68</v>
      </c>
    </row>
    <row r="107" spans="1:3" x14ac:dyDescent="0.25">
      <c r="A107" s="34">
        <v>105</v>
      </c>
      <c r="B107" s="43" t="s">
        <v>290</v>
      </c>
      <c r="C107" s="42" t="s">
        <v>14</v>
      </c>
    </row>
    <row r="108" spans="1:3" x14ac:dyDescent="0.25">
      <c r="A108" s="34">
        <v>106</v>
      </c>
      <c r="B108" s="43" t="s">
        <v>291</v>
      </c>
      <c r="C108" s="42" t="s">
        <v>14</v>
      </c>
    </row>
    <row r="109" spans="1:3" x14ac:dyDescent="0.25">
      <c r="A109" s="34">
        <v>107</v>
      </c>
      <c r="B109" s="43" t="s">
        <v>292</v>
      </c>
      <c r="C109" s="42" t="s">
        <v>32</v>
      </c>
    </row>
    <row r="110" spans="1:3" x14ac:dyDescent="0.25">
      <c r="A110" s="34">
        <v>108</v>
      </c>
      <c r="B110" s="43" t="s">
        <v>648</v>
      </c>
      <c r="C110" s="42" t="s">
        <v>32</v>
      </c>
    </row>
    <row r="111" spans="1:3" x14ac:dyDescent="0.25">
      <c r="A111" s="34">
        <v>109</v>
      </c>
      <c r="B111" s="43" t="s">
        <v>293</v>
      </c>
      <c r="C111" s="42" t="s">
        <v>32</v>
      </c>
    </row>
    <row r="112" spans="1:3" x14ac:dyDescent="0.25">
      <c r="A112" s="34">
        <v>110</v>
      </c>
      <c r="B112" s="43" t="s">
        <v>294</v>
      </c>
      <c r="C112" s="42" t="s">
        <v>32</v>
      </c>
    </row>
    <row r="113" spans="1:3" x14ac:dyDescent="0.25">
      <c r="A113" s="34">
        <v>111</v>
      </c>
      <c r="B113" s="43" t="s">
        <v>73</v>
      </c>
      <c r="C113" s="42" t="s">
        <v>32</v>
      </c>
    </row>
    <row r="114" spans="1:3" x14ac:dyDescent="0.25">
      <c r="A114" s="34">
        <v>112</v>
      </c>
      <c r="B114" s="43" t="s">
        <v>295</v>
      </c>
      <c r="C114" s="42" t="s">
        <v>32</v>
      </c>
    </row>
    <row r="115" spans="1:3" x14ac:dyDescent="0.25">
      <c r="A115" s="34">
        <v>113</v>
      </c>
      <c r="B115" s="43" t="s">
        <v>296</v>
      </c>
      <c r="C115" s="42" t="s">
        <v>32</v>
      </c>
    </row>
    <row r="116" spans="1:3" x14ac:dyDescent="0.25">
      <c r="A116" s="34">
        <v>114</v>
      </c>
      <c r="B116" s="43" t="s">
        <v>297</v>
      </c>
      <c r="C116" s="42" t="s">
        <v>68</v>
      </c>
    </row>
    <row r="117" spans="1:3" x14ac:dyDescent="0.25">
      <c r="A117" s="34">
        <v>115</v>
      </c>
      <c r="B117" s="43" t="s">
        <v>74</v>
      </c>
      <c r="C117" s="42" t="s">
        <v>68</v>
      </c>
    </row>
    <row r="118" spans="1:3" x14ac:dyDescent="0.25">
      <c r="A118" s="34">
        <v>116</v>
      </c>
      <c r="B118" s="43" t="s">
        <v>75</v>
      </c>
      <c r="C118" s="42" t="s">
        <v>46</v>
      </c>
    </row>
    <row r="119" spans="1:3" x14ac:dyDescent="0.25">
      <c r="A119" s="34">
        <v>117</v>
      </c>
      <c r="B119" s="43" t="s">
        <v>298</v>
      </c>
      <c r="C119" s="42" t="s">
        <v>68</v>
      </c>
    </row>
    <row r="120" spans="1:3" x14ac:dyDescent="0.25">
      <c r="A120" s="34">
        <v>118</v>
      </c>
      <c r="B120" s="43" t="s">
        <v>299</v>
      </c>
      <c r="C120" s="42" t="s">
        <v>68</v>
      </c>
    </row>
    <row r="121" spans="1:3" x14ac:dyDescent="0.25">
      <c r="A121" s="34">
        <v>119</v>
      </c>
      <c r="B121" s="43" t="s">
        <v>165</v>
      </c>
      <c r="C121" s="42" t="s">
        <v>68</v>
      </c>
    </row>
    <row r="122" spans="1:3" x14ac:dyDescent="0.25">
      <c r="A122" s="34">
        <v>120</v>
      </c>
      <c r="B122" s="43" t="s">
        <v>300</v>
      </c>
      <c r="C122" s="42" t="s">
        <v>68</v>
      </c>
    </row>
    <row r="123" spans="1:3" x14ac:dyDescent="0.25">
      <c r="A123" s="34">
        <v>121</v>
      </c>
      <c r="B123" s="43" t="s">
        <v>76</v>
      </c>
      <c r="C123" s="42" t="s">
        <v>68</v>
      </c>
    </row>
    <row r="124" spans="1:3" x14ac:dyDescent="0.25">
      <c r="A124" s="34">
        <v>122</v>
      </c>
      <c r="B124" s="43" t="s">
        <v>77</v>
      </c>
      <c r="C124" s="42" t="s">
        <v>68</v>
      </c>
    </row>
    <row r="125" spans="1:3" x14ac:dyDescent="0.25">
      <c r="A125" s="34">
        <v>123</v>
      </c>
      <c r="B125" s="43" t="s">
        <v>301</v>
      </c>
      <c r="C125" s="42" t="s">
        <v>68</v>
      </c>
    </row>
    <row r="126" spans="1:3" x14ac:dyDescent="0.25">
      <c r="A126" s="34">
        <v>124</v>
      </c>
      <c r="B126" s="43" t="s">
        <v>78</v>
      </c>
      <c r="C126" s="42" t="s">
        <v>68</v>
      </c>
    </row>
    <row r="127" spans="1:3" x14ac:dyDescent="0.25">
      <c r="A127" s="34">
        <v>125</v>
      </c>
      <c r="B127" s="43" t="s">
        <v>79</v>
      </c>
      <c r="C127" s="42" t="s">
        <v>32</v>
      </c>
    </row>
    <row r="128" spans="1:3" x14ac:dyDescent="0.25">
      <c r="A128" s="34">
        <v>126</v>
      </c>
      <c r="B128" s="43" t="s">
        <v>303</v>
      </c>
      <c r="C128" s="42" t="s">
        <v>32</v>
      </c>
    </row>
    <row r="129" spans="1:3" x14ac:dyDescent="0.25">
      <c r="A129" s="34">
        <v>127</v>
      </c>
      <c r="B129" s="43" t="s">
        <v>80</v>
      </c>
      <c r="C129" s="42" t="s">
        <v>68</v>
      </c>
    </row>
    <row r="130" spans="1:3" x14ac:dyDescent="0.25">
      <c r="A130" s="34">
        <v>128</v>
      </c>
      <c r="B130" s="43" t="s">
        <v>304</v>
      </c>
      <c r="C130" s="42" t="s">
        <v>68</v>
      </c>
    </row>
    <row r="131" spans="1:3" x14ac:dyDescent="0.25">
      <c r="A131" s="34">
        <v>129</v>
      </c>
      <c r="B131" s="43" t="s">
        <v>81</v>
      </c>
      <c r="C131" s="42" t="s">
        <v>32</v>
      </c>
    </row>
    <row r="132" spans="1:3" x14ac:dyDescent="0.25">
      <c r="A132" s="34">
        <v>130</v>
      </c>
      <c r="B132" s="43" t="s">
        <v>305</v>
      </c>
      <c r="C132" s="42" t="s">
        <v>17</v>
      </c>
    </row>
    <row r="133" spans="1:3" x14ac:dyDescent="0.25">
      <c r="A133" s="34">
        <v>131</v>
      </c>
      <c r="B133" s="43" t="s">
        <v>306</v>
      </c>
      <c r="C133" s="42" t="s">
        <v>17</v>
      </c>
    </row>
    <row r="134" spans="1:3" x14ac:dyDescent="0.25">
      <c r="A134" s="34">
        <v>132</v>
      </c>
      <c r="B134" s="43" t="s">
        <v>307</v>
      </c>
      <c r="C134" s="42" t="s">
        <v>17</v>
      </c>
    </row>
    <row r="135" spans="1:3" x14ac:dyDescent="0.25">
      <c r="A135" s="34">
        <v>133</v>
      </c>
      <c r="B135" s="43" t="s">
        <v>82</v>
      </c>
      <c r="C135" s="42" t="s">
        <v>14</v>
      </c>
    </row>
    <row r="136" spans="1:3" x14ac:dyDescent="0.25">
      <c r="A136" s="34">
        <v>134</v>
      </c>
      <c r="B136" s="43" t="s">
        <v>308</v>
      </c>
      <c r="C136" s="42" t="s">
        <v>14</v>
      </c>
    </row>
    <row r="137" spans="1:3" x14ac:dyDescent="0.25">
      <c r="A137" s="34">
        <v>135</v>
      </c>
      <c r="B137" s="43" t="s">
        <v>83</v>
      </c>
      <c r="C137" s="42" t="s">
        <v>14</v>
      </c>
    </row>
    <row r="138" spans="1:3" x14ac:dyDescent="0.25">
      <c r="A138" s="34">
        <v>136</v>
      </c>
      <c r="B138" s="43" t="s">
        <v>84</v>
      </c>
      <c r="C138" s="42" t="s">
        <v>17</v>
      </c>
    </row>
    <row r="139" spans="1:3" x14ac:dyDescent="0.25">
      <c r="A139" s="34">
        <v>137</v>
      </c>
      <c r="B139" s="43" t="s">
        <v>309</v>
      </c>
      <c r="C139" s="42" t="s">
        <v>17</v>
      </c>
    </row>
    <row r="140" spans="1:3" x14ac:dyDescent="0.25">
      <c r="A140" s="34">
        <v>138</v>
      </c>
      <c r="B140" s="43" t="s">
        <v>310</v>
      </c>
      <c r="C140" s="42" t="s">
        <v>17</v>
      </c>
    </row>
    <row r="141" spans="1:3" x14ac:dyDescent="0.25">
      <c r="A141" s="34">
        <v>139</v>
      </c>
      <c r="B141" s="43" t="s">
        <v>311</v>
      </c>
      <c r="C141" s="42" t="s">
        <v>17</v>
      </c>
    </row>
    <row r="142" spans="1:3" x14ac:dyDescent="0.25">
      <c r="A142" s="34">
        <v>140</v>
      </c>
      <c r="B142" s="43" t="s">
        <v>312</v>
      </c>
      <c r="C142" s="42" t="s">
        <v>17</v>
      </c>
    </row>
    <row r="143" spans="1:3" x14ac:dyDescent="0.25">
      <c r="A143" s="34">
        <v>141</v>
      </c>
      <c r="B143" s="43" t="s">
        <v>313</v>
      </c>
      <c r="C143" s="42" t="s">
        <v>17</v>
      </c>
    </row>
    <row r="144" spans="1:3" x14ac:dyDescent="0.25">
      <c r="A144" s="34">
        <v>142</v>
      </c>
      <c r="B144" s="43" t="s">
        <v>314</v>
      </c>
      <c r="C144" s="42" t="s">
        <v>17</v>
      </c>
    </row>
    <row r="145" spans="1:3" x14ac:dyDescent="0.25">
      <c r="A145" s="34">
        <v>143</v>
      </c>
      <c r="B145" s="43" t="s">
        <v>85</v>
      </c>
      <c r="C145" s="42" t="s">
        <v>17</v>
      </c>
    </row>
    <row r="146" spans="1:3" x14ac:dyDescent="0.25">
      <c r="A146" s="34">
        <v>144</v>
      </c>
      <c r="B146" s="43" t="s">
        <v>86</v>
      </c>
      <c r="C146" s="42" t="s">
        <v>17</v>
      </c>
    </row>
    <row r="147" spans="1:3" x14ac:dyDescent="0.25">
      <c r="A147" s="34">
        <v>145</v>
      </c>
      <c r="B147" s="43" t="s">
        <v>87</v>
      </c>
      <c r="C147" s="42" t="s">
        <v>17</v>
      </c>
    </row>
    <row r="148" spans="1:3" x14ac:dyDescent="0.25">
      <c r="A148" s="34">
        <v>146</v>
      </c>
      <c r="B148" s="43" t="s">
        <v>315</v>
      </c>
      <c r="C148" s="42" t="s">
        <v>14</v>
      </c>
    </row>
    <row r="149" spans="1:3" x14ac:dyDescent="0.25">
      <c r="A149" s="34">
        <v>147</v>
      </c>
      <c r="B149" s="43" t="s">
        <v>316</v>
      </c>
      <c r="C149" s="42" t="s">
        <v>32</v>
      </c>
    </row>
    <row r="150" spans="1:3" x14ac:dyDescent="0.25">
      <c r="A150" s="34">
        <v>148</v>
      </c>
      <c r="B150" s="43" t="s">
        <v>88</v>
      </c>
      <c r="C150" s="42" t="s">
        <v>17</v>
      </c>
    </row>
    <row r="151" spans="1:3" x14ac:dyDescent="0.25">
      <c r="A151" s="34">
        <v>149</v>
      </c>
      <c r="B151" s="43" t="s">
        <v>89</v>
      </c>
      <c r="C151" s="42" t="s">
        <v>17</v>
      </c>
    </row>
    <row r="152" spans="1:3" x14ac:dyDescent="0.25">
      <c r="A152" s="34">
        <v>150</v>
      </c>
      <c r="B152" s="43" t="s">
        <v>317</v>
      </c>
      <c r="C152" s="42" t="s">
        <v>68</v>
      </c>
    </row>
    <row r="153" spans="1:3" x14ac:dyDescent="0.25">
      <c r="A153" s="34">
        <v>151</v>
      </c>
      <c r="B153" s="43" t="s">
        <v>91</v>
      </c>
      <c r="C153" s="42" t="s">
        <v>32</v>
      </c>
    </row>
    <row r="154" spans="1:3" x14ac:dyDescent="0.25">
      <c r="A154" s="34">
        <v>152</v>
      </c>
      <c r="B154" s="43" t="s">
        <v>318</v>
      </c>
      <c r="C154" s="42" t="s">
        <v>32</v>
      </c>
    </row>
    <row r="155" spans="1:3" x14ac:dyDescent="0.25">
      <c r="A155" s="34">
        <v>153</v>
      </c>
      <c r="B155" s="43" t="s">
        <v>319</v>
      </c>
      <c r="C155" s="42" t="s">
        <v>51</v>
      </c>
    </row>
    <row r="156" spans="1:3" x14ac:dyDescent="0.25">
      <c r="A156" s="34">
        <v>154</v>
      </c>
      <c r="B156" s="43" t="s">
        <v>94</v>
      </c>
      <c r="C156" s="42" t="s">
        <v>68</v>
      </c>
    </row>
    <row r="157" spans="1:3" x14ac:dyDescent="0.25">
      <c r="A157" s="34">
        <v>155</v>
      </c>
      <c r="B157" s="43" t="s">
        <v>320</v>
      </c>
      <c r="C157" s="42" t="s">
        <v>68</v>
      </c>
    </row>
    <row r="158" spans="1:3" x14ac:dyDescent="0.25">
      <c r="A158" s="34">
        <v>156</v>
      </c>
      <c r="B158" s="43" t="s">
        <v>321</v>
      </c>
      <c r="C158" s="42" t="s">
        <v>68</v>
      </c>
    </row>
    <row r="159" spans="1:3" x14ac:dyDescent="0.25">
      <c r="A159" s="34">
        <v>157</v>
      </c>
      <c r="B159" s="43" t="s">
        <v>95</v>
      </c>
      <c r="C159" s="42" t="s">
        <v>68</v>
      </c>
    </row>
    <row r="160" spans="1:3" x14ac:dyDescent="0.25">
      <c r="A160" s="34">
        <v>158</v>
      </c>
      <c r="B160" s="43" t="s">
        <v>322</v>
      </c>
      <c r="C160" s="42" t="s">
        <v>23</v>
      </c>
    </row>
    <row r="161" spans="1:3" x14ac:dyDescent="0.25">
      <c r="A161" s="34">
        <v>159</v>
      </c>
      <c r="B161" s="43" t="s">
        <v>98</v>
      </c>
      <c r="C161" s="42" t="s">
        <v>23</v>
      </c>
    </row>
    <row r="162" spans="1:3" x14ac:dyDescent="0.25">
      <c r="A162" s="34">
        <v>160</v>
      </c>
      <c r="B162" s="43" t="s">
        <v>323</v>
      </c>
      <c r="C162" s="42" t="s">
        <v>23</v>
      </c>
    </row>
    <row r="163" spans="1:3" x14ac:dyDescent="0.25">
      <c r="A163" s="34">
        <v>161</v>
      </c>
      <c r="B163" s="43" t="s">
        <v>90</v>
      </c>
      <c r="C163" s="42" t="s">
        <v>14</v>
      </c>
    </row>
    <row r="164" spans="1:3" x14ac:dyDescent="0.25">
      <c r="A164" s="34">
        <v>162</v>
      </c>
      <c r="B164" s="43" t="s">
        <v>100</v>
      </c>
      <c r="C164" s="42" t="s">
        <v>23</v>
      </c>
    </row>
    <row r="165" spans="1:3" x14ac:dyDescent="0.25">
      <c r="A165" s="34">
        <v>163</v>
      </c>
      <c r="B165" s="43" t="s">
        <v>101</v>
      </c>
      <c r="C165" s="42" t="s">
        <v>51</v>
      </c>
    </row>
    <row r="166" spans="1:3" x14ac:dyDescent="0.25">
      <c r="A166" s="34">
        <v>164</v>
      </c>
      <c r="B166" s="43" t="s">
        <v>102</v>
      </c>
      <c r="C166" s="42" t="s">
        <v>51</v>
      </c>
    </row>
    <row r="167" spans="1:3" x14ac:dyDescent="0.25">
      <c r="A167" s="34">
        <v>165</v>
      </c>
      <c r="B167" s="43" t="s">
        <v>103</v>
      </c>
      <c r="C167" s="42" t="s">
        <v>51</v>
      </c>
    </row>
    <row r="168" spans="1:3" x14ac:dyDescent="0.25">
      <c r="A168" s="34">
        <v>166</v>
      </c>
      <c r="B168" s="43" t="s">
        <v>324</v>
      </c>
      <c r="C168" s="42" t="s">
        <v>46</v>
      </c>
    </row>
    <row r="169" spans="1:3" x14ac:dyDescent="0.25">
      <c r="A169" s="34">
        <v>167</v>
      </c>
      <c r="B169" s="43" t="s">
        <v>104</v>
      </c>
      <c r="C169" s="42" t="s">
        <v>51</v>
      </c>
    </row>
    <row r="170" spans="1:3" x14ac:dyDescent="0.25">
      <c r="A170" s="34">
        <v>168</v>
      </c>
      <c r="B170" s="43" t="s">
        <v>105</v>
      </c>
      <c r="C170" s="42" t="s">
        <v>51</v>
      </c>
    </row>
    <row r="171" spans="1:3" x14ac:dyDescent="0.25">
      <c r="A171" s="34">
        <v>169</v>
      </c>
      <c r="B171" s="43" t="s">
        <v>106</v>
      </c>
      <c r="C171" s="42" t="s">
        <v>51</v>
      </c>
    </row>
    <row r="172" spans="1:3" x14ac:dyDescent="0.25">
      <c r="A172" s="34">
        <v>170</v>
      </c>
      <c r="B172" s="43" t="s">
        <v>107</v>
      </c>
      <c r="C172" s="42" t="s">
        <v>46</v>
      </c>
    </row>
    <row r="173" spans="1:3" x14ac:dyDescent="0.25">
      <c r="A173" s="34">
        <v>171</v>
      </c>
      <c r="B173" s="43" t="s">
        <v>108</v>
      </c>
      <c r="C173" s="42" t="s">
        <v>46</v>
      </c>
    </row>
    <row r="174" spans="1:3" x14ac:dyDescent="0.25">
      <c r="A174" s="34">
        <v>172</v>
      </c>
      <c r="B174" s="43" t="s">
        <v>109</v>
      </c>
      <c r="C174" s="42" t="s">
        <v>46</v>
      </c>
    </row>
    <row r="175" spans="1:3" x14ac:dyDescent="0.25">
      <c r="A175" s="34">
        <v>173</v>
      </c>
      <c r="B175" s="43" t="s">
        <v>325</v>
      </c>
      <c r="C175" s="42" t="s">
        <v>46</v>
      </c>
    </row>
    <row r="176" spans="1:3" x14ac:dyDescent="0.25">
      <c r="A176" s="34">
        <v>174</v>
      </c>
      <c r="B176" s="43" t="s">
        <v>326</v>
      </c>
      <c r="C176" s="42" t="s">
        <v>46</v>
      </c>
    </row>
    <row r="177" spans="1:3" x14ac:dyDescent="0.25">
      <c r="A177" s="34">
        <v>175</v>
      </c>
      <c r="B177" s="43" t="s">
        <v>327</v>
      </c>
      <c r="C177" s="42" t="s">
        <v>46</v>
      </c>
    </row>
    <row r="178" spans="1:3" x14ac:dyDescent="0.25">
      <c r="A178" s="34">
        <v>176</v>
      </c>
      <c r="B178" s="43" t="s">
        <v>111</v>
      </c>
      <c r="C178" s="42" t="s">
        <v>46</v>
      </c>
    </row>
    <row r="179" spans="1:3" x14ac:dyDescent="0.25">
      <c r="A179" s="34">
        <v>177</v>
      </c>
      <c r="B179" s="43" t="s">
        <v>92</v>
      </c>
      <c r="C179" s="42" t="s">
        <v>32</v>
      </c>
    </row>
    <row r="180" spans="1:3" x14ac:dyDescent="0.25">
      <c r="A180" s="34">
        <v>178</v>
      </c>
      <c r="B180" s="43" t="s">
        <v>93</v>
      </c>
      <c r="C180" s="42" t="s">
        <v>32</v>
      </c>
    </row>
    <row r="181" spans="1:3" x14ac:dyDescent="0.25">
      <c r="A181" s="34">
        <v>179</v>
      </c>
      <c r="B181" s="43" t="s">
        <v>328</v>
      </c>
      <c r="C181" s="42" t="s">
        <v>46</v>
      </c>
    </row>
    <row r="182" spans="1:3" x14ac:dyDescent="0.25">
      <c r="A182" s="34">
        <v>180</v>
      </c>
      <c r="B182" s="43" t="s">
        <v>329</v>
      </c>
      <c r="C182" s="42" t="s">
        <v>68</v>
      </c>
    </row>
    <row r="183" spans="1:3" x14ac:dyDescent="0.25">
      <c r="A183" s="34">
        <v>181</v>
      </c>
      <c r="B183" s="43" t="s">
        <v>96</v>
      </c>
      <c r="C183" s="42" t="s">
        <v>23</v>
      </c>
    </row>
    <row r="184" spans="1:3" x14ac:dyDescent="0.25">
      <c r="A184" s="34">
        <v>182</v>
      </c>
      <c r="B184" s="43" t="s">
        <v>97</v>
      </c>
      <c r="C184" s="42" t="s">
        <v>23</v>
      </c>
    </row>
    <row r="185" spans="1:3" x14ac:dyDescent="0.25">
      <c r="A185" s="34">
        <v>183</v>
      </c>
      <c r="B185" s="43" t="s">
        <v>330</v>
      </c>
      <c r="C185" s="42" t="s">
        <v>68</v>
      </c>
    </row>
    <row r="186" spans="1:3" x14ac:dyDescent="0.25">
      <c r="A186" s="34">
        <v>184</v>
      </c>
      <c r="B186" s="43" t="s">
        <v>112</v>
      </c>
      <c r="C186" s="42" t="s">
        <v>9</v>
      </c>
    </row>
    <row r="187" spans="1:3" x14ac:dyDescent="0.25">
      <c r="A187" s="34">
        <v>185</v>
      </c>
      <c r="B187" s="43" t="s">
        <v>331</v>
      </c>
      <c r="C187" s="42" t="s">
        <v>9</v>
      </c>
    </row>
    <row r="188" spans="1:3" x14ac:dyDescent="0.25">
      <c r="A188" s="34">
        <v>186</v>
      </c>
      <c r="B188" s="43" t="s">
        <v>332</v>
      </c>
      <c r="C188" s="42" t="s">
        <v>46</v>
      </c>
    </row>
    <row r="189" spans="1:3" x14ac:dyDescent="0.25">
      <c r="A189" s="34">
        <v>187</v>
      </c>
      <c r="B189" s="43" t="s">
        <v>113</v>
      </c>
      <c r="C189" s="42" t="s">
        <v>32</v>
      </c>
    </row>
    <row r="190" spans="1:3" x14ac:dyDescent="0.25">
      <c r="A190" s="34">
        <v>188</v>
      </c>
      <c r="B190" s="43" t="s">
        <v>333</v>
      </c>
      <c r="C190" s="42" t="s">
        <v>32</v>
      </c>
    </row>
    <row r="191" spans="1:3" x14ac:dyDescent="0.25">
      <c r="A191" s="34">
        <v>189</v>
      </c>
      <c r="B191" s="43" t="s">
        <v>114</v>
      </c>
      <c r="C191" s="42" t="s">
        <v>32</v>
      </c>
    </row>
    <row r="192" spans="1:3" x14ac:dyDescent="0.25">
      <c r="A192" s="34">
        <v>190</v>
      </c>
      <c r="B192" s="43" t="s">
        <v>115</v>
      </c>
      <c r="C192" s="42" t="s">
        <v>32</v>
      </c>
    </row>
    <row r="193" spans="1:3" x14ac:dyDescent="0.25">
      <c r="A193" s="34">
        <v>191</v>
      </c>
      <c r="B193" s="43" t="s">
        <v>334</v>
      </c>
      <c r="C193" s="42" t="s">
        <v>68</v>
      </c>
    </row>
    <row r="194" spans="1:3" x14ac:dyDescent="0.25">
      <c r="A194" s="34">
        <v>192</v>
      </c>
      <c r="B194" s="43" t="s">
        <v>335</v>
      </c>
      <c r="C194" s="42" t="s">
        <v>23</v>
      </c>
    </row>
    <row r="195" spans="1:3" x14ac:dyDescent="0.25">
      <c r="A195" s="34">
        <v>193</v>
      </c>
      <c r="B195" s="43" t="s">
        <v>116</v>
      </c>
      <c r="C195" s="42" t="s">
        <v>46</v>
      </c>
    </row>
    <row r="196" spans="1:3" x14ac:dyDescent="0.25">
      <c r="A196" s="34">
        <v>194</v>
      </c>
      <c r="B196" s="43" t="s">
        <v>336</v>
      </c>
      <c r="C196" s="42" t="s">
        <v>46</v>
      </c>
    </row>
    <row r="197" spans="1:3" x14ac:dyDescent="0.25">
      <c r="A197" s="34">
        <v>195</v>
      </c>
      <c r="B197" s="43" t="s">
        <v>117</v>
      </c>
      <c r="C197" s="42" t="s">
        <v>46</v>
      </c>
    </row>
    <row r="198" spans="1:3" x14ac:dyDescent="0.25">
      <c r="A198" s="34">
        <v>196</v>
      </c>
      <c r="B198" s="43" t="s">
        <v>337</v>
      </c>
      <c r="C198" s="42" t="s">
        <v>23</v>
      </c>
    </row>
    <row r="199" spans="1:3" x14ac:dyDescent="0.25">
      <c r="A199" s="34">
        <v>197</v>
      </c>
      <c r="B199" s="43" t="s">
        <v>338</v>
      </c>
      <c r="C199" s="42" t="s">
        <v>23</v>
      </c>
    </row>
    <row r="200" spans="1:3" x14ac:dyDescent="0.25">
      <c r="A200" s="34">
        <v>198</v>
      </c>
      <c r="B200" s="43" t="s">
        <v>339</v>
      </c>
      <c r="C200" s="42" t="s">
        <v>23</v>
      </c>
    </row>
    <row r="201" spans="1:3" x14ac:dyDescent="0.25">
      <c r="A201" s="34">
        <v>199</v>
      </c>
      <c r="B201" s="43" t="s">
        <v>118</v>
      </c>
      <c r="C201" s="42" t="s">
        <v>23</v>
      </c>
    </row>
    <row r="202" spans="1:3" x14ac:dyDescent="0.25">
      <c r="A202" s="34">
        <v>200</v>
      </c>
      <c r="B202" s="43" t="s">
        <v>119</v>
      </c>
      <c r="C202" s="42" t="s">
        <v>23</v>
      </c>
    </row>
    <row r="203" spans="1:3" x14ac:dyDescent="0.25">
      <c r="A203" s="34">
        <v>201</v>
      </c>
      <c r="B203" s="43" t="s">
        <v>340</v>
      </c>
      <c r="C203" s="42" t="s">
        <v>23</v>
      </c>
    </row>
    <row r="204" spans="1:3" x14ac:dyDescent="0.25">
      <c r="A204" s="34">
        <v>202</v>
      </c>
      <c r="B204" s="43" t="s">
        <v>120</v>
      </c>
      <c r="C204" s="42" t="s">
        <v>23</v>
      </c>
    </row>
    <row r="205" spans="1:3" x14ac:dyDescent="0.25">
      <c r="A205" s="34">
        <v>203</v>
      </c>
      <c r="B205" s="43" t="s">
        <v>341</v>
      </c>
      <c r="C205" s="42" t="s">
        <v>23</v>
      </c>
    </row>
    <row r="206" spans="1:3" x14ac:dyDescent="0.25">
      <c r="A206" s="34">
        <v>204</v>
      </c>
      <c r="B206" s="43" t="s">
        <v>342</v>
      </c>
      <c r="C206" s="42" t="s">
        <v>9</v>
      </c>
    </row>
    <row r="207" spans="1:3" x14ac:dyDescent="0.25">
      <c r="A207" s="34">
        <v>205</v>
      </c>
      <c r="B207" s="43" t="s">
        <v>343</v>
      </c>
      <c r="C207" s="42" t="s">
        <v>68</v>
      </c>
    </row>
    <row r="208" spans="1:3" x14ac:dyDescent="0.25">
      <c r="A208" s="34">
        <v>206</v>
      </c>
      <c r="B208" s="43" t="s">
        <v>344</v>
      </c>
      <c r="C208" s="42" t="s">
        <v>9</v>
      </c>
    </row>
    <row r="209" spans="1:3" x14ac:dyDescent="0.25">
      <c r="A209" s="34">
        <v>207</v>
      </c>
      <c r="B209" s="43" t="s">
        <v>345</v>
      </c>
      <c r="C209" s="42" t="s">
        <v>9</v>
      </c>
    </row>
    <row r="210" spans="1:3" x14ac:dyDescent="0.25">
      <c r="A210" s="34">
        <v>208</v>
      </c>
      <c r="B210" s="43" t="s">
        <v>121</v>
      </c>
      <c r="C210" s="42" t="s">
        <v>9</v>
      </c>
    </row>
    <row r="211" spans="1:3" x14ac:dyDescent="0.25">
      <c r="A211" s="34">
        <v>209</v>
      </c>
      <c r="B211" s="43" t="s">
        <v>346</v>
      </c>
      <c r="C211" s="42" t="s">
        <v>9</v>
      </c>
    </row>
    <row r="212" spans="1:3" x14ac:dyDescent="0.25">
      <c r="A212" s="34">
        <v>210</v>
      </c>
      <c r="B212" s="43" t="s">
        <v>347</v>
      </c>
      <c r="C212" s="42" t="s">
        <v>9</v>
      </c>
    </row>
    <row r="213" spans="1:3" x14ac:dyDescent="0.25">
      <c r="A213" s="34">
        <v>211</v>
      </c>
      <c r="B213" s="43" t="s">
        <v>122</v>
      </c>
      <c r="C213" s="42" t="s">
        <v>9</v>
      </c>
    </row>
    <row r="214" spans="1:3" x14ac:dyDescent="0.25">
      <c r="A214" s="34">
        <v>212</v>
      </c>
      <c r="B214" s="43" t="s">
        <v>123</v>
      </c>
      <c r="C214" s="42" t="s">
        <v>9</v>
      </c>
    </row>
    <row r="215" spans="1:3" x14ac:dyDescent="0.25">
      <c r="A215" s="34">
        <v>213</v>
      </c>
      <c r="B215" s="43" t="s">
        <v>124</v>
      </c>
      <c r="C215" s="42" t="s">
        <v>23</v>
      </c>
    </row>
    <row r="216" spans="1:3" x14ac:dyDescent="0.25">
      <c r="A216" s="34">
        <v>214</v>
      </c>
      <c r="B216" s="43" t="s">
        <v>348</v>
      </c>
      <c r="C216" s="42" t="s">
        <v>23</v>
      </c>
    </row>
    <row r="217" spans="1:3" x14ac:dyDescent="0.25">
      <c r="A217" s="34">
        <v>215</v>
      </c>
      <c r="B217" s="43" t="s">
        <v>349</v>
      </c>
      <c r="C217" s="42" t="s">
        <v>23</v>
      </c>
    </row>
    <row r="218" spans="1:3" x14ac:dyDescent="0.25">
      <c r="A218" s="34">
        <v>216</v>
      </c>
      <c r="B218" s="43" t="s">
        <v>125</v>
      </c>
      <c r="C218" s="42" t="s">
        <v>23</v>
      </c>
    </row>
    <row r="219" spans="1:3" x14ac:dyDescent="0.25">
      <c r="A219" s="34">
        <v>217</v>
      </c>
      <c r="B219" s="43" t="s">
        <v>350</v>
      </c>
      <c r="C219" s="42" t="s">
        <v>23</v>
      </c>
    </row>
    <row r="220" spans="1:3" x14ac:dyDescent="0.25">
      <c r="A220" s="34">
        <v>218</v>
      </c>
      <c r="B220" s="43" t="s">
        <v>351</v>
      </c>
      <c r="C220" s="42" t="s">
        <v>23</v>
      </c>
    </row>
    <row r="221" spans="1:3" x14ac:dyDescent="0.25">
      <c r="A221" s="34">
        <v>219</v>
      </c>
      <c r="B221" s="43" t="s">
        <v>126</v>
      </c>
      <c r="C221" s="42" t="s">
        <v>68</v>
      </c>
    </row>
    <row r="222" spans="1:3" x14ac:dyDescent="0.25">
      <c r="A222" s="34">
        <v>220</v>
      </c>
      <c r="B222" s="43" t="s">
        <v>352</v>
      </c>
      <c r="C222" s="42" t="s">
        <v>68</v>
      </c>
    </row>
    <row r="223" spans="1:3" x14ac:dyDescent="0.25">
      <c r="A223" s="34">
        <v>221</v>
      </c>
      <c r="B223" s="43" t="s">
        <v>353</v>
      </c>
      <c r="C223" s="42" t="s">
        <v>51</v>
      </c>
    </row>
    <row r="224" spans="1:3" x14ac:dyDescent="0.25">
      <c r="A224" s="34">
        <v>222</v>
      </c>
      <c r="B224" s="43" t="s">
        <v>354</v>
      </c>
      <c r="C224" s="42" t="s">
        <v>51</v>
      </c>
    </row>
    <row r="225" spans="1:3" x14ac:dyDescent="0.25">
      <c r="A225" s="34">
        <v>223</v>
      </c>
      <c r="B225" s="43" t="s">
        <v>166</v>
      </c>
      <c r="C225" s="42" t="s">
        <v>68</v>
      </c>
    </row>
    <row r="226" spans="1:3" x14ac:dyDescent="0.25">
      <c r="A226" s="34">
        <v>224</v>
      </c>
      <c r="B226" s="43" t="s">
        <v>355</v>
      </c>
      <c r="C226" s="42" t="s">
        <v>17</v>
      </c>
    </row>
    <row r="227" spans="1:3" x14ac:dyDescent="0.25">
      <c r="A227" s="34">
        <v>225</v>
      </c>
      <c r="B227" s="43" t="s">
        <v>356</v>
      </c>
      <c r="C227" s="42" t="s">
        <v>68</v>
      </c>
    </row>
    <row r="228" spans="1:3" x14ac:dyDescent="0.25">
      <c r="A228" s="34">
        <v>226</v>
      </c>
      <c r="B228" s="43" t="s">
        <v>357</v>
      </c>
      <c r="C228" s="42" t="s">
        <v>68</v>
      </c>
    </row>
    <row r="229" spans="1:3" x14ac:dyDescent="0.25">
      <c r="A229" s="34">
        <v>227</v>
      </c>
      <c r="B229" s="43" t="s">
        <v>358</v>
      </c>
      <c r="C229" s="42" t="s">
        <v>68</v>
      </c>
    </row>
    <row r="230" spans="1:3" x14ac:dyDescent="0.25">
      <c r="A230" s="34">
        <v>228</v>
      </c>
      <c r="B230" s="43" t="s">
        <v>127</v>
      </c>
      <c r="C230" s="42" t="s">
        <v>23</v>
      </c>
    </row>
    <row r="231" spans="1:3" x14ac:dyDescent="0.25">
      <c r="A231" s="34">
        <v>229</v>
      </c>
      <c r="B231" s="43" t="s">
        <v>128</v>
      </c>
      <c r="C231" s="42" t="s">
        <v>17</v>
      </c>
    </row>
    <row r="232" spans="1:3" x14ac:dyDescent="0.25">
      <c r="A232" s="34">
        <v>230</v>
      </c>
      <c r="B232" s="43" t="s">
        <v>359</v>
      </c>
      <c r="C232" s="42" t="s">
        <v>68</v>
      </c>
    </row>
    <row r="233" spans="1:3" x14ac:dyDescent="0.25">
      <c r="A233" s="34">
        <v>231</v>
      </c>
      <c r="B233" s="43" t="s">
        <v>360</v>
      </c>
      <c r="C233" s="42" t="s">
        <v>23</v>
      </c>
    </row>
    <row r="234" spans="1:3" x14ac:dyDescent="0.25">
      <c r="A234" s="34">
        <v>232</v>
      </c>
      <c r="B234" s="43" t="s">
        <v>129</v>
      </c>
      <c r="C234" s="42" t="s">
        <v>23</v>
      </c>
    </row>
    <row r="235" spans="1:3" x14ac:dyDescent="0.25">
      <c r="A235" s="34">
        <v>233</v>
      </c>
      <c r="B235" s="43" t="s">
        <v>361</v>
      </c>
      <c r="C235" s="42" t="s">
        <v>23</v>
      </c>
    </row>
    <row r="236" spans="1:3" x14ac:dyDescent="0.25">
      <c r="A236" s="34">
        <v>234</v>
      </c>
      <c r="B236" s="43" t="s">
        <v>362</v>
      </c>
      <c r="C236" s="42" t="s">
        <v>68</v>
      </c>
    </row>
    <row r="237" spans="1:3" x14ac:dyDescent="0.25">
      <c r="A237" s="34">
        <v>235</v>
      </c>
      <c r="B237" s="43" t="s">
        <v>363</v>
      </c>
      <c r="C237" s="42" t="s">
        <v>68</v>
      </c>
    </row>
    <row r="238" spans="1:3" x14ac:dyDescent="0.25">
      <c r="A238" s="34">
        <v>236</v>
      </c>
      <c r="B238" s="43" t="s">
        <v>130</v>
      </c>
      <c r="C238" s="42" t="s">
        <v>51</v>
      </c>
    </row>
    <row r="239" spans="1:3" x14ac:dyDescent="0.25">
      <c r="A239" s="34">
        <v>237</v>
      </c>
      <c r="B239" s="43" t="s">
        <v>364</v>
      </c>
      <c r="C239" s="42" t="s">
        <v>68</v>
      </c>
    </row>
    <row r="240" spans="1:3" x14ac:dyDescent="0.25">
      <c r="A240" s="34">
        <v>238</v>
      </c>
      <c r="B240" s="43" t="s">
        <v>131</v>
      </c>
      <c r="C240" s="42" t="s">
        <v>23</v>
      </c>
    </row>
    <row r="241" spans="1:3" x14ac:dyDescent="0.25">
      <c r="A241" s="34">
        <v>239</v>
      </c>
      <c r="B241" s="41" t="s">
        <v>365</v>
      </c>
      <c r="C241" s="42" t="s">
        <v>68</v>
      </c>
    </row>
    <row r="242" spans="1:3" x14ac:dyDescent="0.25">
      <c r="A242" s="34">
        <v>240</v>
      </c>
      <c r="B242" s="43" t="s">
        <v>366</v>
      </c>
      <c r="C242" s="42" t="s">
        <v>17</v>
      </c>
    </row>
    <row r="243" spans="1:3" x14ac:dyDescent="0.25">
      <c r="A243" s="34">
        <v>241</v>
      </c>
      <c r="B243" s="43" t="s">
        <v>132</v>
      </c>
      <c r="C243" s="42" t="s">
        <v>9</v>
      </c>
    </row>
    <row r="244" spans="1:3" x14ac:dyDescent="0.25">
      <c r="A244" s="34">
        <v>242</v>
      </c>
      <c r="B244" s="43" t="s">
        <v>367</v>
      </c>
      <c r="C244" s="42" t="s">
        <v>51</v>
      </c>
    </row>
    <row r="245" spans="1:3" x14ac:dyDescent="0.25">
      <c r="A245" s="34">
        <v>243</v>
      </c>
      <c r="B245" s="43" t="s">
        <v>368</v>
      </c>
      <c r="C245" s="42" t="s">
        <v>51</v>
      </c>
    </row>
    <row r="246" spans="1:3" x14ac:dyDescent="0.25">
      <c r="A246" s="34">
        <v>244</v>
      </c>
      <c r="B246" s="43" t="s">
        <v>133</v>
      </c>
      <c r="C246" s="42" t="s">
        <v>51</v>
      </c>
    </row>
    <row r="247" spans="1:3" x14ac:dyDescent="0.25">
      <c r="A247" s="34">
        <v>245</v>
      </c>
      <c r="B247" s="43" t="s">
        <v>369</v>
      </c>
      <c r="C247" s="42" t="s">
        <v>51</v>
      </c>
    </row>
    <row r="248" spans="1:3" x14ac:dyDescent="0.25">
      <c r="A248" s="34">
        <v>246</v>
      </c>
      <c r="B248" s="43" t="s">
        <v>370</v>
      </c>
      <c r="C248" s="42" t="s">
        <v>68</v>
      </c>
    </row>
    <row r="249" spans="1:3" x14ac:dyDescent="0.25">
      <c r="A249" s="34">
        <v>247</v>
      </c>
      <c r="B249" s="43" t="s">
        <v>134</v>
      </c>
      <c r="C249" s="42" t="s">
        <v>51</v>
      </c>
    </row>
    <row r="250" spans="1:3" x14ac:dyDescent="0.25">
      <c r="A250" s="34">
        <v>248</v>
      </c>
      <c r="B250" s="43" t="s">
        <v>371</v>
      </c>
      <c r="C250" s="42" t="s">
        <v>51</v>
      </c>
    </row>
    <row r="251" spans="1:3" x14ac:dyDescent="0.25">
      <c r="A251" s="34">
        <v>249</v>
      </c>
      <c r="B251" s="43" t="s">
        <v>372</v>
      </c>
      <c r="C251" s="42" t="s">
        <v>51</v>
      </c>
    </row>
    <row r="252" spans="1:3" x14ac:dyDescent="0.25">
      <c r="A252" s="34">
        <v>250</v>
      </c>
      <c r="B252" s="43" t="s">
        <v>373</v>
      </c>
      <c r="C252" s="42" t="s">
        <v>51</v>
      </c>
    </row>
    <row r="253" spans="1:3" x14ac:dyDescent="0.25">
      <c r="A253" s="34">
        <v>251</v>
      </c>
      <c r="B253" s="43" t="s">
        <v>164</v>
      </c>
      <c r="C253" s="42" t="s">
        <v>51</v>
      </c>
    </row>
    <row r="254" spans="1:3" x14ac:dyDescent="0.25">
      <c r="A254" s="34">
        <v>252</v>
      </c>
      <c r="B254" s="43" t="s">
        <v>374</v>
      </c>
      <c r="C254" s="42" t="s">
        <v>51</v>
      </c>
    </row>
    <row r="255" spans="1:3" x14ac:dyDescent="0.25">
      <c r="A255" s="34">
        <v>253</v>
      </c>
      <c r="B255" s="43" t="s">
        <v>375</v>
      </c>
      <c r="C255" s="42" t="s">
        <v>23</v>
      </c>
    </row>
    <row r="256" spans="1:3" x14ac:dyDescent="0.25">
      <c r="A256" s="34">
        <v>254</v>
      </c>
      <c r="B256" s="43" t="s">
        <v>136</v>
      </c>
      <c r="C256" s="42" t="s">
        <v>23</v>
      </c>
    </row>
    <row r="257" spans="1:3" x14ac:dyDescent="0.25">
      <c r="A257" s="34">
        <v>255</v>
      </c>
      <c r="B257" s="43" t="s">
        <v>137</v>
      </c>
      <c r="C257" s="42" t="s">
        <v>23</v>
      </c>
    </row>
    <row r="258" spans="1:3" x14ac:dyDescent="0.25">
      <c r="A258" s="34">
        <v>256</v>
      </c>
      <c r="B258" s="43" t="s">
        <v>376</v>
      </c>
      <c r="C258" s="42" t="s">
        <v>9</v>
      </c>
    </row>
    <row r="259" spans="1:3" x14ac:dyDescent="0.25">
      <c r="A259" s="34">
        <v>257</v>
      </c>
      <c r="B259" s="43" t="s">
        <v>377</v>
      </c>
      <c r="C259" s="42" t="s">
        <v>23</v>
      </c>
    </row>
    <row r="260" spans="1:3" x14ac:dyDescent="0.25">
      <c r="A260" s="34">
        <v>258</v>
      </c>
      <c r="B260" s="43" t="s">
        <v>378</v>
      </c>
      <c r="C260" s="42" t="s">
        <v>51</v>
      </c>
    </row>
    <row r="261" spans="1:3" x14ac:dyDescent="0.25">
      <c r="A261" s="34">
        <v>259</v>
      </c>
      <c r="B261" s="43" t="s">
        <v>138</v>
      </c>
      <c r="C261" s="42" t="s">
        <v>9</v>
      </c>
    </row>
    <row r="262" spans="1:3" x14ac:dyDescent="0.25">
      <c r="A262" s="34">
        <v>260</v>
      </c>
      <c r="B262" s="43" t="s">
        <v>379</v>
      </c>
      <c r="C262" s="42" t="s">
        <v>9</v>
      </c>
    </row>
    <row r="263" spans="1:3" x14ac:dyDescent="0.25">
      <c r="A263" s="34">
        <v>261</v>
      </c>
      <c r="B263" s="43" t="s">
        <v>139</v>
      </c>
      <c r="C263" s="42" t="s">
        <v>9</v>
      </c>
    </row>
    <row r="264" spans="1:3" x14ac:dyDescent="0.25">
      <c r="A264" s="34">
        <v>262</v>
      </c>
      <c r="B264" s="43" t="s">
        <v>140</v>
      </c>
      <c r="C264" s="42" t="s">
        <v>9</v>
      </c>
    </row>
    <row r="265" spans="1:3" x14ac:dyDescent="0.25">
      <c r="A265" s="34">
        <v>263</v>
      </c>
      <c r="B265" s="43" t="s">
        <v>380</v>
      </c>
      <c r="C265" s="42" t="s">
        <v>9</v>
      </c>
    </row>
    <row r="266" spans="1:3" x14ac:dyDescent="0.25">
      <c r="A266" s="34">
        <v>264</v>
      </c>
      <c r="B266" s="43" t="s">
        <v>381</v>
      </c>
      <c r="C266" s="42" t="s">
        <v>9</v>
      </c>
    </row>
    <row r="267" spans="1:3" x14ac:dyDescent="0.25">
      <c r="A267" s="34">
        <v>265</v>
      </c>
      <c r="B267" s="43" t="s">
        <v>141</v>
      </c>
      <c r="C267" s="42" t="s">
        <v>9</v>
      </c>
    </row>
    <row r="268" spans="1:3" x14ac:dyDescent="0.25">
      <c r="A268" s="34">
        <v>266</v>
      </c>
      <c r="B268" s="43" t="s">
        <v>142</v>
      </c>
      <c r="C268" s="42" t="s">
        <v>9</v>
      </c>
    </row>
    <row r="269" spans="1:3" x14ac:dyDescent="0.25">
      <c r="A269" s="34">
        <v>267</v>
      </c>
      <c r="B269" s="43" t="s">
        <v>382</v>
      </c>
      <c r="C269" s="42" t="s">
        <v>9</v>
      </c>
    </row>
    <row r="270" spans="1:3" x14ac:dyDescent="0.25">
      <c r="A270" s="34">
        <v>268</v>
      </c>
      <c r="B270" s="43" t="s">
        <v>383</v>
      </c>
      <c r="C270" s="42" t="s">
        <v>9</v>
      </c>
    </row>
    <row r="271" spans="1:3" x14ac:dyDescent="0.25">
      <c r="A271" s="34">
        <v>269</v>
      </c>
      <c r="B271" s="43" t="s">
        <v>143</v>
      </c>
      <c r="C271" s="42" t="s">
        <v>46</v>
      </c>
    </row>
    <row r="272" spans="1:3" x14ac:dyDescent="0.25">
      <c r="A272" s="34">
        <v>270</v>
      </c>
      <c r="B272" s="43" t="s">
        <v>384</v>
      </c>
      <c r="C272" s="42" t="s">
        <v>46</v>
      </c>
    </row>
    <row r="273" spans="1:3" x14ac:dyDescent="0.25">
      <c r="A273" s="34">
        <v>271</v>
      </c>
      <c r="B273" s="43" t="s">
        <v>144</v>
      </c>
      <c r="C273" s="42" t="s">
        <v>46</v>
      </c>
    </row>
    <row r="274" spans="1:3" x14ac:dyDescent="0.25">
      <c r="A274" s="34">
        <v>272</v>
      </c>
      <c r="B274" s="43" t="s">
        <v>145</v>
      </c>
      <c r="C274" s="42" t="s">
        <v>46</v>
      </c>
    </row>
    <row r="275" spans="1:3" x14ac:dyDescent="0.25">
      <c r="A275" s="34">
        <v>273</v>
      </c>
      <c r="B275" s="43" t="s">
        <v>146</v>
      </c>
      <c r="C275" s="42" t="s">
        <v>46</v>
      </c>
    </row>
    <row r="276" spans="1:3" x14ac:dyDescent="0.25">
      <c r="A276" s="34">
        <v>274</v>
      </c>
      <c r="B276" s="43" t="s">
        <v>147</v>
      </c>
      <c r="C276" s="42" t="s">
        <v>46</v>
      </c>
    </row>
    <row r="277" spans="1:3" x14ac:dyDescent="0.25">
      <c r="A277" s="34">
        <v>275</v>
      </c>
      <c r="B277" s="43" t="s">
        <v>385</v>
      </c>
      <c r="C277" s="42" t="s">
        <v>23</v>
      </c>
    </row>
    <row r="278" spans="1:3" x14ac:dyDescent="0.25">
      <c r="A278" s="34">
        <v>276</v>
      </c>
      <c r="B278" s="43" t="s">
        <v>148</v>
      </c>
      <c r="C278" s="42" t="s">
        <v>51</v>
      </c>
    </row>
    <row r="279" spans="1:3" x14ac:dyDescent="0.25">
      <c r="A279" s="34">
        <v>277</v>
      </c>
      <c r="B279" s="43" t="s">
        <v>149</v>
      </c>
      <c r="C279" s="42" t="s">
        <v>51</v>
      </c>
    </row>
    <row r="280" spans="1:3" x14ac:dyDescent="0.25">
      <c r="A280" s="34">
        <v>278</v>
      </c>
      <c r="B280" s="43" t="s">
        <v>386</v>
      </c>
      <c r="C280" s="42" t="s">
        <v>51</v>
      </c>
    </row>
    <row r="281" spans="1:3" x14ac:dyDescent="0.25">
      <c r="A281" s="34">
        <v>279</v>
      </c>
      <c r="B281" s="43" t="s">
        <v>387</v>
      </c>
      <c r="C281" s="42" t="s">
        <v>51</v>
      </c>
    </row>
    <row r="282" spans="1:3" x14ac:dyDescent="0.25">
      <c r="A282" s="34">
        <v>280</v>
      </c>
      <c r="B282" s="43" t="s">
        <v>151</v>
      </c>
      <c r="C282" s="42" t="s">
        <v>51</v>
      </c>
    </row>
    <row r="283" spans="1:3" x14ac:dyDescent="0.25">
      <c r="A283" s="34">
        <v>281</v>
      </c>
      <c r="B283" s="43" t="s">
        <v>152</v>
      </c>
      <c r="C283" s="42" t="s">
        <v>51</v>
      </c>
    </row>
    <row r="284" spans="1:3" x14ac:dyDescent="0.25">
      <c r="A284" s="34">
        <v>282</v>
      </c>
      <c r="B284" s="43" t="s">
        <v>153</v>
      </c>
      <c r="C284" s="42" t="s">
        <v>51</v>
      </c>
    </row>
    <row r="285" spans="1:3" x14ac:dyDescent="0.25">
      <c r="A285" s="34">
        <v>283</v>
      </c>
      <c r="B285" s="43" t="s">
        <v>154</v>
      </c>
      <c r="C285" s="42" t="s">
        <v>51</v>
      </c>
    </row>
    <row r="286" spans="1:3" x14ac:dyDescent="0.25">
      <c r="A286" s="34">
        <v>284</v>
      </c>
      <c r="B286" s="43" t="s">
        <v>155</v>
      </c>
      <c r="C286" s="42" t="s">
        <v>23</v>
      </c>
    </row>
    <row r="287" spans="1:3" x14ac:dyDescent="0.25">
      <c r="A287" s="34">
        <v>285</v>
      </c>
      <c r="B287" s="43" t="s">
        <v>156</v>
      </c>
      <c r="C287" s="42" t="s">
        <v>46</v>
      </c>
    </row>
    <row r="288" spans="1:3" x14ac:dyDescent="0.25">
      <c r="A288" s="34">
        <v>286</v>
      </c>
      <c r="B288" s="43" t="s">
        <v>157</v>
      </c>
      <c r="C288" s="42" t="s">
        <v>46</v>
      </c>
    </row>
    <row r="289" spans="1:3" x14ac:dyDescent="0.25">
      <c r="A289" s="34">
        <v>287</v>
      </c>
      <c r="B289" s="43" t="s">
        <v>158</v>
      </c>
      <c r="C289" s="42" t="s">
        <v>9</v>
      </c>
    </row>
    <row r="290" spans="1:3" x14ac:dyDescent="0.25">
      <c r="A290" s="34">
        <v>288</v>
      </c>
      <c r="B290" s="43" t="s">
        <v>388</v>
      </c>
      <c r="C290" s="42" t="s">
        <v>51</v>
      </c>
    </row>
    <row r="291" spans="1:3" x14ac:dyDescent="0.25">
      <c r="A291" s="34">
        <v>289</v>
      </c>
      <c r="B291" s="43" t="s">
        <v>159</v>
      </c>
      <c r="C291" s="42" t="s">
        <v>23</v>
      </c>
    </row>
    <row r="292" spans="1:3" x14ac:dyDescent="0.25">
      <c r="A292" s="34">
        <v>290</v>
      </c>
      <c r="B292" s="43" t="s">
        <v>160</v>
      </c>
      <c r="C292" s="42" t="s">
        <v>23</v>
      </c>
    </row>
    <row r="293" spans="1:3" x14ac:dyDescent="0.25">
      <c r="A293" s="34">
        <v>291</v>
      </c>
      <c r="B293" s="43" t="s">
        <v>161</v>
      </c>
      <c r="C293" s="42" t="s">
        <v>23</v>
      </c>
    </row>
    <row r="294" spans="1:3" x14ac:dyDescent="0.25">
      <c r="A294" s="34">
        <v>292</v>
      </c>
      <c r="B294" s="43" t="s">
        <v>162</v>
      </c>
      <c r="C294" s="42" t="s">
        <v>51</v>
      </c>
    </row>
    <row r="295" spans="1:3" x14ac:dyDescent="0.25">
      <c r="A295" s="34">
        <v>293</v>
      </c>
      <c r="B295" s="39" t="s">
        <v>163</v>
      </c>
      <c r="C295" s="42" t="s">
        <v>51</v>
      </c>
    </row>
    <row r="296" spans="1:3" x14ac:dyDescent="0.25">
      <c r="A296" s="34">
        <v>294</v>
      </c>
      <c r="B296" s="40" t="s">
        <v>389</v>
      </c>
      <c r="C296" s="42" t="s">
        <v>51</v>
      </c>
    </row>
    <row r="297" spans="1:3" x14ac:dyDescent="0.25">
      <c r="A297" s="34">
        <v>295</v>
      </c>
      <c r="B297" s="40" t="s">
        <v>167</v>
      </c>
      <c r="C297" s="42" t="s">
        <v>68</v>
      </c>
    </row>
    <row r="298" spans="1:3" x14ac:dyDescent="0.25">
      <c r="A298" s="34">
        <v>296</v>
      </c>
      <c r="B298" s="40" t="s">
        <v>168</v>
      </c>
      <c r="C298" s="42" t="s">
        <v>23</v>
      </c>
    </row>
    <row r="299" spans="1:3" x14ac:dyDescent="0.25">
      <c r="A299" s="34">
        <v>297</v>
      </c>
      <c r="B299" s="43" t="s">
        <v>390</v>
      </c>
      <c r="C299" s="42" t="s">
        <v>14</v>
      </c>
    </row>
    <row r="300" spans="1:3" x14ac:dyDescent="0.25">
      <c r="A300" s="34">
        <v>298</v>
      </c>
      <c r="B300" s="43" t="s">
        <v>391</v>
      </c>
      <c r="C300" s="42" t="s">
        <v>14</v>
      </c>
    </row>
    <row r="301" spans="1:3" x14ac:dyDescent="0.25">
      <c r="A301" s="34">
        <v>299</v>
      </c>
      <c r="B301" s="43" t="s">
        <v>392</v>
      </c>
      <c r="C301" s="42" t="s">
        <v>23</v>
      </c>
    </row>
    <row r="302" spans="1:3" x14ac:dyDescent="0.25">
      <c r="A302" s="34">
        <v>300</v>
      </c>
      <c r="B302" s="43" t="s">
        <v>169</v>
      </c>
      <c r="C302" s="42" t="s">
        <v>17</v>
      </c>
    </row>
    <row r="303" spans="1:3" x14ac:dyDescent="0.25">
      <c r="A303" s="34">
        <v>301</v>
      </c>
      <c r="B303" s="43" t="s">
        <v>393</v>
      </c>
      <c r="C303" s="42" t="s">
        <v>17</v>
      </c>
    </row>
    <row r="304" spans="1:3" x14ac:dyDescent="0.25">
      <c r="A304" s="34">
        <v>302</v>
      </c>
      <c r="B304" s="43" t="s">
        <v>170</v>
      </c>
      <c r="C304" s="42" t="s">
        <v>17</v>
      </c>
    </row>
    <row r="305" spans="1:3" x14ac:dyDescent="0.25">
      <c r="A305" s="34">
        <v>303</v>
      </c>
      <c r="B305" s="43" t="s">
        <v>171</v>
      </c>
      <c r="C305" s="42" t="s">
        <v>17</v>
      </c>
    </row>
    <row r="306" spans="1:3" x14ac:dyDescent="0.25">
      <c r="A306" s="34">
        <v>304</v>
      </c>
      <c r="B306" s="43" t="s">
        <v>172</v>
      </c>
      <c r="C306" s="42" t="s">
        <v>17</v>
      </c>
    </row>
    <row r="307" spans="1:3" x14ac:dyDescent="0.25">
      <c r="A307" s="34">
        <v>305</v>
      </c>
      <c r="B307" s="43" t="s">
        <v>173</v>
      </c>
      <c r="C307" s="42" t="s">
        <v>17</v>
      </c>
    </row>
    <row r="308" spans="1:3" x14ac:dyDescent="0.25">
      <c r="A308" s="34">
        <v>306</v>
      </c>
      <c r="B308" s="43" t="s">
        <v>174</v>
      </c>
      <c r="C308" s="42" t="s">
        <v>17</v>
      </c>
    </row>
    <row r="309" spans="1:3" x14ac:dyDescent="0.25">
      <c r="A309" s="34">
        <v>307</v>
      </c>
      <c r="B309" s="43" t="s">
        <v>175</v>
      </c>
      <c r="C309" s="42" t="s">
        <v>17</v>
      </c>
    </row>
    <row r="310" spans="1:3" x14ac:dyDescent="0.25">
      <c r="A310" s="34">
        <v>308</v>
      </c>
      <c r="B310" s="43" t="s">
        <v>176</v>
      </c>
      <c r="C310" s="42" t="s">
        <v>17</v>
      </c>
    </row>
    <row r="311" spans="1:3" x14ac:dyDescent="0.25">
      <c r="A311" s="34">
        <v>309</v>
      </c>
      <c r="B311" s="43" t="s">
        <v>177</v>
      </c>
      <c r="C311" s="42" t="s">
        <v>17</v>
      </c>
    </row>
    <row r="312" spans="1:3" x14ac:dyDescent="0.25">
      <c r="A312" s="34">
        <v>310</v>
      </c>
      <c r="B312" s="43" t="s">
        <v>394</v>
      </c>
      <c r="C312" s="42" t="s">
        <v>17</v>
      </c>
    </row>
    <row r="313" spans="1:3" x14ac:dyDescent="0.25">
      <c r="A313" s="34">
        <v>311</v>
      </c>
      <c r="B313" s="43" t="s">
        <v>178</v>
      </c>
      <c r="C313" s="42" t="s">
        <v>17</v>
      </c>
    </row>
    <row r="314" spans="1:3" x14ac:dyDescent="0.25">
      <c r="A314" s="34">
        <v>312</v>
      </c>
      <c r="B314" s="43" t="s">
        <v>179</v>
      </c>
      <c r="C314" s="42" t="s">
        <v>17</v>
      </c>
    </row>
    <row r="315" spans="1:3" x14ac:dyDescent="0.25">
      <c r="A315" s="34">
        <v>313</v>
      </c>
      <c r="B315" s="43" t="s">
        <v>180</v>
      </c>
      <c r="C315" s="42" t="s">
        <v>17</v>
      </c>
    </row>
    <row r="316" spans="1:3" x14ac:dyDescent="0.25">
      <c r="A316" s="34">
        <v>314</v>
      </c>
      <c r="B316" s="43" t="s">
        <v>181</v>
      </c>
      <c r="C316" s="42" t="s">
        <v>17</v>
      </c>
    </row>
    <row r="317" spans="1:3" x14ac:dyDescent="0.25">
      <c r="A317" s="34">
        <v>315</v>
      </c>
      <c r="B317" s="43" t="s">
        <v>395</v>
      </c>
      <c r="C317" s="42" t="s">
        <v>68</v>
      </c>
    </row>
    <row r="318" spans="1:3" x14ac:dyDescent="0.25">
      <c r="A318" s="34">
        <v>316</v>
      </c>
      <c r="B318" s="43" t="s">
        <v>182</v>
      </c>
      <c r="C318" s="42" t="s">
        <v>68</v>
      </c>
    </row>
    <row r="319" spans="1:3" x14ac:dyDescent="0.25">
      <c r="A319" s="34">
        <v>317</v>
      </c>
      <c r="B319" s="43" t="s">
        <v>183</v>
      </c>
      <c r="C319" s="42" t="s">
        <v>68</v>
      </c>
    </row>
    <row r="320" spans="1:3" x14ac:dyDescent="0.25">
      <c r="A320" s="34">
        <v>318</v>
      </c>
      <c r="B320" s="43" t="s">
        <v>184</v>
      </c>
      <c r="C320" s="42" t="s">
        <v>68</v>
      </c>
    </row>
    <row r="321" spans="1:3" x14ac:dyDescent="0.25">
      <c r="A321" s="34">
        <v>319</v>
      </c>
      <c r="B321" s="43" t="s">
        <v>396</v>
      </c>
      <c r="C321" s="42" t="s">
        <v>68</v>
      </c>
    </row>
    <row r="322" spans="1:3" x14ac:dyDescent="0.25">
      <c r="A322" s="34">
        <v>320</v>
      </c>
      <c r="B322" s="43" t="s">
        <v>185</v>
      </c>
      <c r="C322" s="42" t="s">
        <v>68</v>
      </c>
    </row>
    <row r="323" spans="1:3" x14ac:dyDescent="0.25">
      <c r="A323" s="34">
        <v>321</v>
      </c>
      <c r="B323" s="43" t="s">
        <v>186</v>
      </c>
      <c r="C323" s="42" t="s">
        <v>68</v>
      </c>
    </row>
    <row r="324" spans="1:3" x14ac:dyDescent="0.25">
      <c r="A324" s="34">
        <v>322</v>
      </c>
      <c r="B324" s="43" t="s">
        <v>397</v>
      </c>
      <c r="C324" s="42" t="s">
        <v>23</v>
      </c>
    </row>
    <row r="325" spans="1:3" x14ac:dyDescent="0.25">
      <c r="A325" s="34">
        <v>323</v>
      </c>
      <c r="B325" s="43" t="s">
        <v>187</v>
      </c>
      <c r="C325" s="42" t="s">
        <v>23</v>
      </c>
    </row>
    <row r="326" spans="1:3" x14ac:dyDescent="0.25">
      <c r="A326" s="34">
        <v>324</v>
      </c>
      <c r="B326" s="43" t="s">
        <v>398</v>
      </c>
      <c r="C326" s="42" t="s">
        <v>23</v>
      </c>
    </row>
    <row r="327" spans="1:3" x14ac:dyDescent="0.25">
      <c r="A327" s="34">
        <v>325</v>
      </c>
      <c r="B327" s="43" t="s">
        <v>399</v>
      </c>
      <c r="C327" s="42" t="s">
        <v>23</v>
      </c>
    </row>
    <row r="328" spans="1:3" x14ac:dyDescent="0.25">
      <c r="A328" s="34">
        <v>326</v>
      </c>
      <c r="B328" s="43" t="s">
        <v>400</v>
      </c>
      <c r="C328" s="42" t="s">
        <v>23</v>
      </c>
    </row>
    <row r="329" spans="1:3" x14ac:dyDescent="0.25">
      <c r="A329" s="34">
        <v>327</v>
      </c>
      <c r="B329" s="43" t="s">
        <v>401</v>
      </c>
      <c r="C329" s="42" t="s">
        <v>46</v>
      </c>
    </row>
    <row r="330" spans="1:3" x14ac:dyDescent="0.25">
      <c r="A330" s="34">
        <v>328</v>
      </c>
      <c r="B330" s="43" t="s">
        <v>402</v>
      </c>
      <c r="C330" s="42" t="s">
        <v>46</v>
      </c>
    </row>
    <row r="331" spans="1:3" x14ac:dyDescent="0.25">
      <c r="A331" s="34">
        <v>329</v>
      </c>
      <c r="B331" s="43" t="s">
        <v>188</v>
      </c>
      <c r="C331" s="42" t="s">
        <v>46</v>
      </c>
    </row>
    <row r="332" spans="1:3" x14ac:dyDescent="0.25">
      <c r="A332" s="34">
        <v>330</v>
      </c>
      <c r="B332" s="43" t="s">
        <v>403</v>
      </c>
      <c r="C332" s="42" t="s">
        <v>46</v>
      </c>
    </row>
    <row r="333" spans="1:3" x14ac:dyDescent="0.25">
      <c r="A333" s="34">
        <v>331</v>
      </c>
      <c r="B333" s="42" t="s">
        <v>189</v>
      </c>
      <c r="C333" s="42" t="s">
        <v>46</v>
      </c>
    </row>
    <row r="334" spans="1:3" x14ac:dyDescent="0.25">
      <c r="A334" s="34">
        <v>332</v>
      </c>
      <c r="B334" s="43" t="s">
        <v>404</v>
      </c>
      <c r="C334" s="42" t="s">
        <v>46</v>
      </c>
    </row>
    <row r="335" spans="1:3" x14ac:dyDescent="0.25">
      <c r="A335" s="34">
        <v>333</v>
      </c>
      <c r="B335" s="43" t="s">
        <v>190</v>
      </c>
      <c r="C335" s="42" t="s">
        <v>23</v>
      </c>
    </row>
    <row r="336" spans="1:3" x14ac:dyDescent="0.25">
      <c r="A336" s="34">
        <v>334</v>
      </c>
      <c r="B336" s="43" t="s">
        <v>405</v>
      </c>
      <c r="C336" s="42" t="s">
        <v>46</v>
      </c>
    </row>
    <row r="337" spans="1:3" x14ac:dyDescent="0.25">
      <c r="A337" s="34">
        <v>335</v>
      </c>
      <c r="B337" s="43" t="s">
        <v>191</v>
      </c>
      <c r="C337" s="42" t="s">
        <v>68</v>
      </c>
    </row>
    <row r="338" spans="1:3" x14ac:dyDescent="0.25">
      <c r="A338" s="34">
        <v>336</v>
      </c>
      <c r="B338" s="43" t="s">
        <v>406</v>
      </c>
      <c r="C338" s="42" t="s">
        <v>32</v>
      </c>
    </row>
    <row r="339" spans="1:3" x14ac:dyDescent="0.25">
      <c r="A339" s="34">
        <v>337</v>
      </c>
      <c r="B339" s="43" t="s">
        <v>407</v>
      </c>
      <c r="C339" s="42" t="s">
        <v>23</v>
      </c>
    </row>
    <row r="340" spans="1:3" x14ac:dyDescent="0.25">
      <c r="A340" s="34">
        <v>338</v>
      </c>
      <c r="B340" s="43" t="s">
        <v>408</v>
      </c>
      <c r="C340" s="42" t="s">
        <v>51</v>
      </c>
    </row>
    <row r="341" spans="1:3" x14ac:dyDescent="0.25">
      <c r="A341" s="34">
        <v>339</v>
      </c>
      <c r="B341" s="43" t="s">
        <v>409</v>
      </c>
      <c r="C341" s="42" t="s">
        <v>51</v>
      </c>
    </row>
    <row r="342" spans="1:3" x14ac:dyDescent="0.25">
      <c r="A342" s="34">
        <v>340</v>
      </c>
      <c r="B342" s="43" t="s">
        <v>410</v>
      </c>
      <c r="C342" s="42" t="s">
        <v>51</v>
      </c>
    </row>
    <row r="343" spans="1:3" x14ac:dyDescent="0.25">
      <c r="A343" s="34">
        <v>341</v>
      </c>
      <c r="B343" s="43" t="s">
        <v>192</v>
      </c>
      <c r="C343" s="42" t="s">
        <v>51</v>
      </c>
    </row>
    <row r="344" spans="1:3" x14ac:dyDescent="0.25">
      <c r="A344" s="34">
        <v>342</v>
      </c>
      <c r="B344" s="43" t="s">
        <v>193</v>
      </c>
      <c r="C344" s="42" t="s">
        <v>46</v>
      </c>
    </row>
    <row r="345" spans="1:3" x14ac:dyDescent="0.25">
      <c r="A345" s="34">
        <v>343</v>
      </c>
      <c r="B345" s="43" t="s">
        <v>194</v>
      </c>
      <c r="C345" s="42" t="s">
        <v>46</v>
      </c>
    </row>
    <row r="346" spans="1:3" x14ac:dyDescent="0.25">
      <c r="A346" s="34">
        <v>344</v>
      </c>
      <c r="B346" s="43" t="s">
        <v>411</v>
      </c>
      <c r="C346" s="42" t="s">
        <v>23</v>
      </c>
    </row>
    <row r="347" spans="1:3" x14ac:dyDescent="0.25">
      <c r="A347" s="34">
        <v>345</v>
      </c>
      <c r="B347" s="43" t="s">
        <v>412</v>
      </c>
      <c r="C347" s="42" t="s">
        <v>23</v>
      </c>
    </row>
    <row r="348" spans="1:3" x14ac:dyDescent="0.25">
      <c r="A348" s="34">
        <v>346</v>
      </c>
      <c r="B348" s="43" t="s">
        <v>413</v>
      </c>
      <c r="C348" s="42" t="s">
        <v>17</v>
      </c>
    </row>
    <row r="349" spans="1:3" x14ac:dyDescent="0.25">
      <c r="A349" s="34">
        <v>347</v>
      </c>
      <c r="B349" s="43" t="s">
        <v>414</v>
      </c>
      <c r="C349" s="42" t="s">
        <v>17</v>
      </c>
    </row>
    <row r="350" spans="1:3" x14ac:dyDescent="0.25">
      <c r="A350" s="34">
        <v>348</v>
      </c>
      <c r="B350" s="43" t="s">
        <v>415</v>
      </c>
      <c r="C350" s="42" t="s">
        <v>17</v>
      </c>
    </row>
    <row r="351" spans="1:3" x14ac:dyDescent="0.25">
      <c r="A351" s="34">
        <v>349</v>
      </c>
      <c r="B351" s="43" t="s">
        <v>58</v>
      </c>
      <c r="C351" s="42" t="s">
        <v>9</v>
      </c>
    </row>
    <row r="352" spans="1:3" x14ac:dyDescent="0.25">
      <c r="A352" s="34">
        <v>350</v>
      </c>
      <c r="B352" s="43" t="s">
        <v>195</v>
      </c>
      <c r="C352" s="42" t="s">
        <v>17</v>
      </c>
    </row>
    <row r="353" spans="1:3" x14ac:dyDescent="0.25">
      <c r="A353" s="34">
        <v>351</v>
      </c>
      <c r="B353" s="43" t="s">
        <v>196</v>
      </c>
      <c r="C353" s="42" t="s">
        <v>17</v>
      </c>
    </row>
    <row r="354" spans="1:3" x14ac:dyDescent="0.25">
      <c r="A354" s="34">
        <v>352</v>
      </c>
      <c r="B354" s="43" t="s">
        <v>197</v>
      </c>
      <c r="C354" s="42" t="s">
        <v>17</v>
      </c>
    </row>
    <row r="355" spans="1:3" x14ac:dyDescent="0.25">
      <c r="A355" s="34">
        <v>353</v>
      </c>
      <c r="B355" s="43" t="s">
        <v>416</v>
      </c>
      <c r="C355" s="42" t="s">
        <v>17</v>
      </c>
    </row>
    <row r="356" spans="1:3" x14ac:dyDescent="0.25">
      <c r="A356" s="34">
        <v>354</v>
      </c>
      <c r="B356" s="43" t="s">
        <v>417</v>
      </c>
      <c r="C356" s="42" t="s">
        <v>23</v>
      </c>
    </row>
    <row r="357" spans="1:3" x14ac:dyDescent="0.25">
      <c r="A357" s="34">
        <v>355</v>
      </c>
      <c r="B357" s="43" t="s">
        <v>418</v>
      </c>
      <c r="C357" s="42" t="s">
        <v>17</v>
      </c>
    </row>
    <row r="358" spans="1:3" x14ac:dyDescent="0.25">
      <c r="A358" s="34">
        <v>356</v>
      </c>
      <c r="B358" s="43" t="s">
        <v>198</v>
      </c>
      <c r="C358" s="42" t="s">
        <v>51</v>
      </c>
    </row>
    <row r="359" spans="1:3" x14ac:dyDescent="0.25">
      <c r="A359" s="34">
        <v>357</v>
      </c>
      <c r="B359" s="43" t="s">
        <v>419</v>
      </c>
      <c r="C359" s="42" t="s">
        <v>51</v>
      </c>
    </row>
    <row r="360" spans="1:3" x14ac:dyDescent="0.25">
      <c r="A360" s="34">
        <v>358</v>
      </c>
      <c r="B360" s="43" t="s">
        <v>420</v>
      </c>
      <c r="C360" s="42" t="s">
        <v>51</v>
      </c>
    </row>
    <row r="361" spans="1:3" x14ac:dyDescent="0.25">
      <c r="A361" s="34">
        <v>359</v>
      </c>
      <c r="B361" s="43" t="s">
        <v>421</v>
      </c>
      <c r="C361" s="42" t="s">
        <v>23</v>
      </c>
    </row>
    <row r="362" spans="1:3" x14ac:dyDescent="0.25">
      <c r="A362" s="34">
        <v>360</v>
      </c>
      <c r="B362" s="43" t="s">
        <v>199</v>
      </c>
      <c r="C362" s="42" t="s">
        <v>68</v>
      </c>
    </row>
    <row r="363" spans="1:3" x14ac:dyDescent="0.25">
      <c r="A363" s="34">
        <v>361</v>
      </c>
      <c r="B363" s="43" t="s">
        <v>422</v>
      </c>
      <c r="C363" s="42" t="s">
        <v>68</v>
      </c>
    </row>
    <row r="364" spans="1:3" x14ac:dyDescent="0.25">
      <c r="A364" s="34">
        <v>362</v>
      </c>
      <c r="B364" s="43" t="s">
        <v>423</v>
      </c>
      <c r="C364" s="42" t="s">
        <v>46</v>
      </c>
    </row>
    <row r="365" spans="1:3" x14ac:dyDescent="0.25">
      <c r="A365" s="34">
        <v>363</v>
      </c>
      <c r="B365" s="43" t="s">
        <v>200</v>
      </c>
      <c r="C365" s="42" t="s">
        <v>46</v>
      </c>
    </row>
    <row r="366" spans="1:3" x14ac:dyDescent="0.25">
      <c r="A366" s="34">
        <v>364</v>
      </c>
      <c r="B366" s="43" t="s">
        <v>424</v>
      </c>
      <c r="C366" s="42" t="s">
        <v>46</v>
      </c>
    </row>
    <row r="367" spans="1:3" x14ac:dyDescent="0.25">
      <c r="A367" s="34">
        <v>365</v>
      </c>
      <c r="B367" s="43" t="s">
        <v>425</v>
      </c>
      <c r="C367" s="42" t="s">
        <v>68</v>
      </c>
    </row>
    <row r="368" spans="1:3" x14ac:dyDescent="0.25">
      <c r="A368" s="34">
        <v>366</v>
      </c>
      <c r="B368" s="43" t="s">
        <v>201</v>
      </c>
      <c r="C368" s="42" t="s">
        <v>14</v>
      </c>
    </row>
    <row r="369" spans="1:3" x14ac:dyDescent="0.25">
      <c r="A369" s="34">
        <v>367</v>
      </c>
      <c r="B369" s="43" t="s">
        <v>202</v>
      </c>
      <c r="C369" s="42" t="s">
        <v>14</v>
      </c>
    </row>
    <row r="370" spans="1:3" x14ac:dyDescent="0.25">
      <c r="A370" s="34">
        <v>368</v>
      </c>
      <c r="B370" s="43" t="s">
        <v>426</v>
      </c>
      <c r="C370" s="42" t="s">
        <v>17</v>
      </c>
    </row>
    <row r="371" spans="1:3" x14ac:dyDescent="0.25">
      <c r="A371" s="34">
        <v>369</v>
      </c>
      <c r="B371" s="43" t="s">
        <v>427</v>
      </c>
      <c r="C371" s="42" t="s">
        <v>17</v>
      </c>
    </row>
    <row r="372" spans="1:3" x14ac:dyDescent="0.25">
      <c r="A372" s="34">
        <v>370</v>
      </c>
      <c r="B372" s="43" t="s">
        <v>428</v>
      </c>
      <c r="C372" s="42" t="s">
        <v>17</v>
      </c>
    </row>
    <row r="373" spans="1:3" x14ac:dyDescent="0.25">
      <c r="A373" s="34">
        <v>371</v>
      </c>
      <c r="B373" s="43" t="s">
        <v>429</v>
      </c>
      <c r="C373" s="42" t="s">
        <v>23</v>
      </c>
    </row>
    <row r="374" spans="1:3" x14ac:dyDescent="0.25">
      <c r="A374" s="34">
        <v>372</v>
      </c>
      <c r="B374" s="43" t="s">
        <v>430</v>
      </c>
      <c r="C374" s="42" t="s">
        <v>23</v>
      </c>
    </row>
    <row r="375" spans="1:3" x14ac:dyDescent="0.25">
      <c r="A375" s="34">
        <v>373</v>
      </c>
      <c r="B375" s="43" t="s">
        <v>431</v>
      </c>
      <c r="C375" s="42" t="s">
        <v>23</v>
      </c>
    </row>
    <row r="376" spans="1:3" x14ac:dyDescent="0.25">
      <c r="A376" s="34">
        <v>374</v>
      </c>
      <c r="B376" s="43" t="s">
        <v>432</v>
      </c>
      <c r="C376" s="42" t="s">
        <v>23</v>
      </c>
    </row>
    <row r="377" spans="1:3" x14ac:dyDescent="0.25">
      <c r="A377" s="34">
        <v>375</v>
      </c>
      <c r="B377" s="43" t="s">
        <v>433</v>
      </c>
      <c r="C377" s="42" t="s">
        <v>23</v>
      </c>
    </row>
    <row r="378" spans="1:3" x14ac:dyDescent="0.25">
      <c r="A378" s="34">
        <v>376</v>
      </c>
      <c r="B378" s="43" t="s">
        <v>434</v>
      </c>
      <c r="C378" s="42" t="s">
        <v>51</v>
      </c>
    </row>
    <row r="379" spans="1:3" x14ac:dyDescent="0.25">
      <c r="A379" s="34">
        <v>377</v>
      </c>
      <c r="B379" s="43" t="s">
        <v>435</v>
      </c>
      <c r="C379" s="42" t="s">
        <v>68</v>
      </c>
    </row>
    <row r="380" spans="1:3" x14ac:dyDescent="0.25">
      <c r="A380" s="34">
        <v>378</v>
      </c>
      <c r="B380" s="43" t="s">
        <v>436</v>
      </c>
      <c r="C380" s="42" t="s">
        <v>17</v>
      </c>
    </row>
    <row r="381" spans="1:3" x14ac:dyDescent="0.25">
      <c r="A381" s="34">
        <v>379</v>
      </c>
      <c r="B381" s="43" t="s">
        <v>437</v>
      </c>
      <c r="C381" s="42" t="s">
        <v>9</v>
      </c>
    </row>
    <row r="382" spans="1:3" x14ac:dyDescent="0.25">
      <c r="A382" s="34">
        <v>380</v>
      </c>
      <c r="B382" s="43" t="s">
        <v>438</v>
      </c>
      <c r="C382" s="42" t="s">
        <v>14</v>
      </c>
    </row>
    <row r="383" spans="1:3" x14ac:dyDescent="0.25">
      <c r="A383" s="34">
        <v>381</v>
      </c>
      <c r="B383" s="43" t="s">
        <v>439</v>
      </c>
      <c r="C383" s="42" t="s">
        <v>46</v>
      </c>
    </row>
    <row r="384" spans="1:3" x14ac:dyDescent="0.25">
      <c r="A384" s="34">
        <v>382</v>
      </c>
      <c r="B384" s="43" t="s">
        <v>440</v>
      </c>
      <c r="C384" s="42" t="s">
        <v>32</v>
      </c>
    </row>
    <row r="385" spans="1:3" x14ac:dyDescent="0.25">
      <c r="A385" s="34">
        <v>383</v>
      </c>
      <c r="B385" s="43" t="s">
        <v>441</v>
      </c>
      <c r="C385" s="42" t="s">
        <v>32</v>
      </c>
    </row>
    <row r="386" spans="1:3" x14ac:dyDescent="0.25">
      <c r="A386" s="34">
        <v>384</v>
      </c>
      <c r="B386" s="43" t="s">
        <v>442</v>
      </c>
      <c r="C386" s="42" t="s">
        <v>51</v>
      </c>
    </row>
    <row r="387" spans="1:3" x14ac:dyDescent="0.25">
      <c r="A387" s="34">
        <v>385</v>
      </c>
      <c r="B387" s="43" t="s">
        <v>443</v>
      </c>
      <c r="C387" s="42" t="s">
        <v>51</v>
      </c>
    </row>
    <row r="388" spans="1:3" x14ac:dyDescent="0.25">
      <c r="A388" s="34">
        <v>386</v>
      </c>
      <c r="B388" s="43" t="s">
        <v>444</v>
      </c>
      <c r="C388" s="42" t="s">
        <v>51</v>
      </c>
    </row>
    <row r="389" spans="1:3" x14ac:dyDescent="0.25">
      <c r="A389" s="34">
        <v>387</v>
      </c>
      <c r="B389" s="43" t="s">
        <v>150</v>
      </c>
      <c r="C389" s="42" t="s">
        <v>51</v>
      </c>
    </row>
    <row r="390" spans="1:3" x14ac:dyDescent="0.25">
      <c r="A390" s="34">
        <v>388</v>
      </c>
      <c r="B390" s="43" t="s">
        <v>445</v>
      </c>
      <c r="C390" s="42" t="s">
        <v>51</v>
      </c>
    </row>
    <row r="391" spans="1:3" x14ac:dyDescent="0.25">
      <c r="A391" s="34">
        <v>389</v>
      </c>
      <c r="B391" s="43" t="s">
        <v>446</v>
      </c>
      <c r="C391" s="42" t="s">
        <v>46</v>
      </c>
    </row>
    <row r="392" spans="1:3" x14ac:dyDescent="0.25">
      <c r="A392" s="34">
        <v>390</v>
      </c>
      <c r="B392" s="43" t="s">
        <v>447</v>
      </c>
      <c r="C392" s="42" t="s">
        <v>17</v>
      </c>
    </row>
    <row r="393" spans="1:3" x14ac:dyDescent="0.25">
      <c r="A393" s="34">
        <v>391</v>
      </c>
      <c r="B393" s="43" t="s">
        <v>448</v>
      </c>
      <c r="C393" s="42" t="s">
        <v>14</v>
      </c>
    </row>
    <row r="394" spans="1:3" x14ac:dyDescent="0.25">
      <c r="A394" s="34">
        <v>392</v>
      </c>
      <c r="B394" s="43" t="s">
        <v>449</v>
      </c>
      <c r="C394" s="42" t="s">
        <v>23</v>
      </c>
    </row>
    <row r="395" spans="1:3" x14ac:dyDescent="0.25">
      <c r="A395" s="34">
        <v>393</v>
      </c>
      <c r="B395" s="43" t="s">
        <v>450</v>
      </c>
      <c r="C395" s="42" t="s">
        <v>23</v>
      </c>
    </row>
    <row r="396" spans="1:3" x14ac:dyDescent="0.25">
      <c r="A396" s="34">
        <v>394</v>
      </c>
      <c r="B396" s="43" t="s">
        <v>451</v>
      </c>
      <c r="C396" s="42" t="s">
        <v>23</v>
      </c>
    </row>
    <row r="397" spans="1:3" x14ac:dyDescent="0.25">
      <c r="A397" s="34">
        <v>395</v>
      </c>
      <c r="B397" s="43" t="s">
        <v>452</v>
      </c>
      <c r="C397" s="42" t="s">
        <v>14</v>
      </c>
    </row>
    <row r="398" spans="1:3" x14ac:dyDescent="0.25">
      <c r="A398" s="34">
        <v>396</v>
      </c>
      <c r="B398" s="43" t="s">
        <v>453</v>
      </c>
      <c r="C398" s="42" t="s">
        <v>14</v>
      </c>
    </row>
    <row r="399" spans="1:3" x14ac:dyDescent="0.25">
      <c r="A399" s="34">
        <v>397</v>
      </c>
      <c r="B399" s="43" t="s">
        <v>454</v>
      </c>
      <c r="C399" s="42" t="s">
        <v>17</v>
      </c>
    </row>
    <row r="400" spans="1:3" x14ac:dyDescent="0.25">
      <c r="A400" s="34">
        <v>398</v>
      </c>
      <c r="B400" s="43" t="s">
        <v>455</v>
      </c>
      <c r="C400" s="42" t="s">
        <v>68</v>
      </c>
    </row>
    <row r="401" spans="1:3" x14ac:dyDescent="0.25">
      <c r="A401" s="34">
        <v>399</v>
      </c>
      <c r="B401" s="43" t="s">
        <v>456</v>
      </c>
      <c r="C401" s="42" t="s">
        <v>17</v>
      </c>
    </row>
    <row r="402" spans="1:3" x14ac:dyDescent="0.25">
      <c r="A402" s="34">
        <v>400</v>
      </c>
      <c r="B402" s="43" t="s">
        <v>457</v>
      </c>
      <c r="C402" s="42" t="s">
        <v>68</v>
      </c>
    </row>
    <row r="403" spans="1:3" x14ac:dyDescent="0.25">
      <c r="A403" s="34">
        <v>401</v>
      </c>
      <c r="B403" s="43" t="s">
        <v>458</v>
      </c>
      <c r="C403" s="42" t="s">
        <v>51</v>
      </c>
    </row>
    <row r="404" spans="1:3" x14ac:dyDescent="0.25">
      <c r="A404" s="34">
        <v>402</v>
      </c>
      <c r="B404" s="43" t="s">
        <v>459</v>
      </c>
      <c r="C404" s="42" t="s">
        <v>51</v>
      </c>
    </row>
    <row r="405" spans="1:3" x14ac:dyDescent="0.25">
      <c r="A405" s="34">
        <v>403</v>
      </c>
      <c r="B405" s="43" t="s">
        <v>99</v>
      </c>
      <c r="C405" s="42" t="s">
        <v>23</v>
      </c>
    </row>
    <row r="406" spans="1:3" x14ac:dyDescent="0.25">
      <c r="A406" s="34">
        <v>404</v>
      </c>
      <c r="B406" s="43" t="s">
        <v>460</v>
      </c>
      <c r="C406" s="42" t="s">
        <v>9</v>
      </c>
    </row>
    <row r="407" spans="1:3" x14ac:dyDescent="0.25">
      <c r="A407" s="34">
        <v>405</v>
      </c>
      <c r="B407" s="43" t="s">
        <v>461</v>
      </c>
      <c r="C407" s="42" t="s">
        <v>9</v>
      </c>
    </row>
    <row r="408" spans="1:3" x14ac:dyDescent="0.25">
      <c r="A408" s="34">
        <v>406</v>
      </c>
      <c r="B408" s="43" t="s">
        <v>462</v>
      </c>
      <c r="C408" s="42" t="s">
        <v>23</v>
      </c>
    </row>
    <row r="409" spans="1:3" x14ac:dyDescent="0.25">
      <c r="A409" s="34">
        <v>407</v>
      </c>
      <c r="B409" s="43" t="s">
        <v>463</v>
      </c>
      <c r="C409" s="42" t="s">
        <v>23</v>
      </c>
    </row>
    <row r="410" spans="1:3" x14ac:dyDescent="0.25">
      <c r="A410" s="34">
        <v>408</v>
      </c>
      <c r="B410" s="43" t="s">
        <v>464</v>
      </c>
      <c r="C410" s="42" t="s">
        <v>23</v>
      </c>
    </row>
    <row r="411" spans="1:3" x14ac:dyDescent="0.25">
      <c r="A411" s="34">
        <v>409</v>
      </c>
      <c r="B411" s="43" t="s">
        <v>465</v>
      </c>
      <c r="C411" s="42" t="s">
        <v>23</v>
      </c>
    </row>
    <row r="412" spans="1:3" x14ac:dyDescent="0.25">
      <c r="A412" s="34">
        <v>410</v>
      </c>
      <c r="B412" s="43" t="s">
        <v>466</v>
      </c>
      <c r="C412" s="42" t="s">
        <v>23</v>
      </c>
    </row>
    <row r="413" spans="1:3" x14ac:dyDescent="0.25">
      <c r="A413" s="34">
        <v>411</v>
      </c>
      <c r="B413" s="43" t="s">
        <v>467</v>
      </c>
      <c r="C413" s="42" t="s">
        <v>51</v>
      </c>
    </row>
    <row r="414" spans="1:3" x14ac:dyDescent="0.25">
      <c r="A414" s="34">
        <v>412</v>
      </c>
      <c r="B414" s="43" t="s">
        <v>468</v>
      </c>
      <c r="C414" s="42" t="s">
        <v>68</v>
      </c>
    </row>
    <row r="415" spans="1:3" x14ac:dyDescent="0.25">
      <c r="A415" s="34">
        <v>413</v>
      </c>
      <c r="B415" s="43" t="s">
        <v>469</v>
      </c>
      <c r="C415" s="42" t="s">
        <v>68</v>
      </c>
    </row>
    <row r="416" spans="1:3" x14ac:dyDescent="0.25">
      <c r="A416" s="34">
        <v>414</v>
      </c>
      <c r="B416" s="43" t="s">
        <v>470</v>
      </c>
      <c r="C416" s="42" t="s">
        <v>23</v>
      </c>
    </row>
    <row r="417" spans="1:3" x14ac:dyDescent="0.25">
      <c r="A417" s="34">
        <v>415</v>
      </c>
      <c r="B417" s="43" t="s">
        <v>471</v>
      </c>
      <c r="C417" s="42" t="s">
        <v>23</v>
      </c>
    </row>
    <row r="418" spans="1:3" x14ac:dyDescent="0.25">
      <c r="A418" s="34">
        <v>416</v>
      </c>
      <c r="B418" s="43" t="s">
        <v>472</v>
      </c>
      <c r="C418" s="42" t="s">
        <v>23</v>
      </c>
    </row>
    <row r="419" spans="1:3" x14ac:dyDescent="0.25">
      <c r="A419" s="34">
        <v>417</v>
      </c>
      <c r="B419" s="43" t="s">
        <v>473</v>
      </c>
      <c r="C419" s="42" t="s">
        <v>9</v>
      </c>
    </row>
    <row r="420" spans="1:3" x14ac:dyDescent="0.25">
      <c r="A420" s="34">
        <v>418</v>
      </c>
      <c r="B420" s="43" t="s">
        <v>474</v>
      </c>
      <c r="C420" s="42" t="s">
        <v>23</v>
      </c>
    </row>
    <row r="421" spans="1:3" x14ac:dyDescent="0.25">
      <c r="A421" s="34">
        <v>419</v>
      </c>
      <c r="B421" s="43" t="s">
        <v>475</v>
      </c>
      <c r="C421" s="42" t="s">
        <v>17</v>
      </c>
    </row>
    <row r="422" spans="1:3" x14ac:dyDescent="0.25">
      <c r="A422" s="34">
        <v>420</v>
      </c>
      <c r="B422" s="43" t="s">
        <v>476</v>
      </c>
      <c r="C422" s="42" t="s">
        <v>68</v>
      </c>
    </row>
    <row r="423" spans="1:3" x14ac:dyDescent="0.25">
      <c r="A423" s="34">
        <v>421</v>
      </c>
      <c r="B423" s="43" t="s">
        <v>477</v>
      </c>
      <c r="C423" s="42" t="s">
        <v>68</v>
      </c>
    </row>
    <row r="424" spans="1:3" x14ac:dyDescent="0.25">
      <c r="A424" s="34">
        <v>422</v>
      </c>
      <c r="B424" s="43" t="s">
        <v>478</v>
      </c>
      <c r="C424" s="42" t="s">
        <v>68</v>
      </c>
    </row>
    <row r="425" spans="1:3" x14ac:dyDescent="0.25">
      <c r="A425" s="34">
        <v>423</v>
      </c>
      <c r="B425" s="43" t="s">
        <v>479</v>
      </c>
      <c r="C425" s="42" t="s">
        <v>68</v>
      </c>
    </row>
    <row r="426" spans="1:3" x14ac:dyDescent="0.25">
      <c r="A426" s="34">
        <v>424</v>
      </c>
      <c r="B426" s="43" t="s">
        <v>480</v>
      </c>
      <c r="C426" s="42" t="s">
        <v>68</v>
      </c>
    </row>
    <row r="427" spans="1:3" x14ac:dyDescent="0.25">
      <c r="A427" s="34">
        <v>425</v>
      </c>
      <c r="B427" s="43" t="s">
        <v>481</v>
      </c>
      <c r="C427" s="42" t="s">
        <v>51</v>
      </c>
    </row>
    <row r="428" spans="1:3" x14ac:dyDescent="0.25">
      <c r="A428" s="34">
        <v>426</v>
      </c>
      <c r="B428" s="43" t="s">
        <v>482</v>
      </c>
      <c r="C428" s="42" t="s">
        <v>51</v>
      </c>
    </row>
    <row r="429" spans="1:3" x14ac:dyDescent="0.25">
      <c r="A429" s="34">
        <v>427</v>
      </c>
      <c r="B429" s="43" t="s">
        <v>483</v>
      </c>
      <c r="C429" s="42" t="s">
        <v>46</v>
      </c>
    </row>
    <row r="430" spans="1:3" x14ac:dyDescent="0.25">
      <c r="A430" s="34">
        <v>428</v>
      </c>
      <c r="B430" s="43" t="s">
        <v>484</v>
      </c>
      <c r="C430" s="42" t="s">
        <v>17</v>
      </c>
    </row>
    <row r="431" spans="1:3" x14ac:dyDescent="0.25">
      <c r="A431" s="34">
        <v>429</v>
      </c>
      <c r="B431" s="43" t="s">
        <v>485</v>
      </c>
      <c r="C431" s="42" t="s">
        <v>14</v>
      </c>
    </row>
    <row r="432" spans="1:3" x14ac:dyDescent="0.25">
      <c r="A432" s="34">
        <v>430</v>
      </c>
      <c r="B432" s="43" t="s">
        <v>486</v>
      </c>
      <c r="C432" s="42" t="s">
        <v>17</v>
      </c>
    </row>
    <row r="433" spans="1:3" x14ac:dyDescent="0.25">
      <c r="A433" s="34">
        <v>431</v>
      </c>
      <c r="B433" s="43" t="s">
        <v>487</v>
      </c>
      <c r="C433" s="42" t="s">
        <v>32</v>
      </c>
    </row>
    <row r="434" spans="1:3" x14ac:dyDescent="0.25">
      <c r="A434" s="34">
        <v>432</v>
      </c>
      <c r="B434" s="43" t="s">
        <v>488</v>
      </c>
      <c r="C434" s="42" t="s">
        <v>68</v>
      </c>
    </row>
    <row r="435" spans="1:3" x14ac:dyDescent="0.25">
      <c r="A435" s="34">
        <v>433</v>
      </c>
      <c r="B435" s="43" t="s">
        <v>489</v>
      </c>
      <c r="C435" s="42" t="s">
        <v>68</v>
      </c>
    </row>
    <row r="436" spans="1:3" x14ac:dyDescent="0.25">
      <c r="A436" s="34">
        <v>434</v>
      </c>
      <c r="B436" s="43" t="s">
        <v>633</v>
      </c>
      <c r="C436" s="42" t="s">
        <v>32</v>
      </c>
    </row>
    <row r="437" spans="1:3" x14ac:dyDescent="0.25">
      <c r="A437" s="34">
        <v>435</v>
      </c>
      <c r="B437" s="43" t="s">
        <v>634</v>
      </c>
      <c r="C437" s="42" t="s">
        <v>32</v>
      </c>
    </row>
    <row r="438" spans="1:3" x14ac:dyDescent="0.25">
      <c r="A438" s="34">
        <v>436</v>
      </c>
      <c r="B438" s="43" t="s">
        <v>635</v>
      </c>
      <c r="C438" s="42" t="s">
        <v>32</v>
      </c>
    </row>
    <row r="439" spans="1:3" x14ac:dyDescent="0.25">
      <c r="A439" s="34">
        <v>437</v>
      </c>
      <c r="B439" s="43" t="s">
        <v>636</v>
      </c>
      <c r="C439" s="42" t="s">
        <v>32</v>
      </c>
    </row>
    <row r="440" spans="1:3" x14ac:dyDescent="0.25">
      <c r="A440" s="34">
        <v>438</v>
      </c>
      <c r="B440" s="43" t="s">
        <v>637</v>
      </c>
      <c r="C440" s="42" t="s">
        <v>32</v>
      </c>
    </row>
    <row r="441" spans="1:3" x14ac:dyDescent="0.25">
      <c r="A441" s="34">
        <v>439</v>
      </c>
      <c r="B441" s="43" t="s">
        <v>638</v>
      </c>
      <c r="C441" s="42" t="s">
        <v>32</v>
      </c>
    </row>
    <row r="442" spans="1:3" x14ac:dyDescent="0.25">
      <c r="A442" s="34">
        <v>440</v>
      </c>
      <c r="B442" s="43" t="s">
        <v>639</v>
      </c>
      <c r="C442" s="42" t="s">
        <v>32</v>
      </c>
    </row>
    <row r="443" spans="1:3" x14ac:dyDescent="0.25">
      <c r="A443" s="34">
        <v>441</v>
      </c>
      <c r="B443" s="43" t="s">
        <v>645</v>
      </c>
      <c r="C443" s="42" t="s">
        <v>23</v>
      </c>
    </row>
    <row r="444" spans="1:3" x14ac:dyDescent="0.25">
      <c r="A444" s="34">
        <v>442</v>
      </c>
      <c r="B444" s="43" t="s">
        <v>649</v>
      </c>
      <c r="C444" s="42" t="s">
        <v>14</v>
      </c>
    </row>
    <row r="445" spans="1:3" x14ac:dyDescent="0.25">
      <c r="A445" s="34">
        <v>443</v>
      </c>
      <c r="B445" s="43" t="s">
        <v>647</v>
      </c>
      <c r="C445" s="42" t="s">
        <v>68</v>
      </c>
    </row>
    <row r="446" spans="1:3" x14ac:dyDescent="0.25">
      <c r="A446" s="34">
        <v>444</v>
      </c>
      <c r="B446" s="43" t="s">
        <v>650</v>
      </c>
      <c r="C446" s="42" t="s">
        <v>32</v>
      </c>
    </row>
    <row r="447" spans="1:3" x14ac:dyDescent="0.25">
      <c r="A447" s="34">
        <v>445</v>
      </c>
      <c r="B447" s="43" t="s">
        <v>302</v>
      </c>
      <c r="C447" s="42" t="s">
        <v>32</v>
      </c>
    </row>
  </sheetData>
  <dataValidations count="2">
    <dataValidation type="list" allowBlank="1" showInputMessage="1" showErrorMessage="1" sqref="C3:C431">
      <formula1>$AB$3:$AB$10</formula1>
    </dataValidation>
    <dataValidation type="list" allowBlank="1" showInputMessage="1" showErrorMessage="1" sqref="B241">
      <formula1>$R:$R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>
    <outlinePr summaryBelow="0"/>
  </sheetPr>
  <dimension ref="A1:U14188"/>
  <sheetViews>
    <sheetView tabSelected="1" topLeftCell="J3692" workbookViewId="0">
      <selection activeCell="N3701" sqref="N3701"/>
    </sheetView>
  </sheetViews>
  <sheetFormatPr defaultColWidth="9.140625" defaultRowHeight="15" x14ac:dyDescent="0.25"/>
  <cols>
    <col min="1" max="1" width="10.7109375" customWidth="1"/>
    <col min="2" max="2" width="55.85546875" customWidth="1"/>
    <col min="3" max="3" width="11" customWidth="1"/>
    <col min="4" max="4" width="11" style="35" customWidth="1"/>
    <col min="5" max="5" width="8.5703125" customWidth="1"/>
    <col min="6" max="6" width="11.7109375" bestFit="1" customWidth="1"/>
    <col min="8" max="8" width="10.85546875" customWidth="1"/>
    <col min="10" max="10" width="14" customWidth="1"/>
    <col min="11" max="11" width="12.28515625" customWidth="1"/>
    <col min="12" max="12" width="4.5703125" customWidth="1"/>
    <col min="13" max="13" width="4.42578125" customWidth="1"/>
    <col min="14" max="14" width="57.5703125" customWidth="1"/>
    <col min="15" max="16" width="11.5703125" customWidth="1"/>
    <col min="17" max="17" width="12.7109375" customWidth="1"/>
    <col min="18" max="18" width="37.7109375" customWidth="1"/>
    <col min="19" max="19" width="14.42578125" customWidth="1"/>
  </cols>
  <sheetData>
    <row r="1" spans="1:19" ht="15.75" thickBot="1" x14ac:dyDescent="0.3">
      <c r="A1" s="3">
        <f>COUNTA(A3:A1000)</f>
        <v>150</v>
      </c>
      <c r="B1" t="s">
        <v>5</v>
      </c>
      <c r="H1" s="5" t="s">
        <v>6</v>
      </c>
      <c r="J1" s="4" t="s">
        <v>7</v>
      </c>
      <c r="K1" s="3">
        <f>COUNTA(H3:H30000)</f>
        <v>14186</v>
      </c>
    </row>
    <row r="2" spans="1:19" ht="30.75" thickBot="1" x14ac:dyDescent="0.3">
      <c r="A2" s="16" t="s">
        <v>230</v>
      </c>
      <c r="B2" s="69" t="s">
        <v>231</v>
      </c>
      <c r="C2" s="18" t="s">
        <v>232</v>
      </c>
      <c r="D2" s="18" t="s">
        <v>690</v>
      </c>
      <c r="E2" s="10" t="s">
        <v>222</v>
      </c>
      <c r="F2" s="10" t="s">
        <v>223</v>
      </c>
      <c r="G2" s="19"/>
      <c r="H2" s="17" t="s">
        <v>230</v>
      </c>
      <c r="I2" s="17" t="s">
        <v>233</v>
      </c>
      <c r="J2" s="17" t="s">
        <v>234</v>
      </c>
      <c r="K2" s="17" t="s">
        <v>235</v>
      </c>
      <c r="L2" s="35"/>
      <c r="M2" s="19"/>
      <c r="N2" s="9" t="s">
        <v>236</v>
      </c>
      <c r="O2" s="9" t="s">
        <v>230</v>
      </c>
      <c r="P2" s="9" t="s">
        <v>237</v>
      </c>
      <c r="Q2" s="9" t="s">
        <v>238</v>
      </c>
      <c r="R2" s="9" t="s">
        <v>239</v>
      </c>
      <c r="S2" s="9" t="s">
        <v>240</v>
      </c>
    </row>
    <row r="3" spans="1:19" x14ac:dyDescent="0.25">
      <c r="A3" s="7">
        <v>1</v>
      </c>
      <c r="B3" s="67" t="s">
        <v>490</v>
      </c>
      <c r="C3" s="68" t="s">
        <v>203</v>
      </c>
      <c r="D3" s="68">
        <v>20</v>
      </c>
      <c r="E3" s="11" t="s">
        <v>208</v>
      </c>
      <c r="F3" s="11" t="s">
        <v>224</v>
      </c>
      <c r="H3">
        <v>1</v>
      </c>
      <c r="I3">
        <v>0</v>
      </c>
      <c r="J3">
        <v>115</v>
      </c>
      <c r="K3" t="b">
        <v>1</v>
      </c>
      <c r="N3" s="24" t="s">
        <v>490</v>
      </c>
      <c r="O3" s="2">
        <f>INDEX(Маршруты,MATCH(N3,$B$3:$B$498,0),1)</f>
        <v>1</v>
      </c>
      <c r="P3" s="27">
        <v>1</v>
      </c>
      <c r="Q3" s="2">
        <f>INDEX(Остановки,MATCH(R3,ИД_Остановки!$B$3:$B$467,0),1)</f>
        <v>441</v>
      </c>
      <c r="R3" s="45" t="s">
        <v>645</v>
      </c>
      <c r="S3" s="20"/>
    </row>
    <row r="4" spans="1:19" x14ac:dyDescent="0.25">
      <c r="A4" s="7">
        <v>2</v>
      </c>
      <c r="B4" s="61" t="s">
        <v>491</v>
      </c>
      <c r="C4" s="62" t="s">
        <v>203</v>
      </c>
      <c r="D4" s="68">
        <v>20</v>
      </c>
      <c r="E4" s="12" t="s">
        <v>207</v>
      </c>
      <c r="F4" s="12" t="s">
        <v>225</v>
      </c>
      <c r="H4">
        <v>1</v>
      </c>
      <c r="I4">
        <v>5</v>
      </c>
      <c r="J4">
        <v>115</v>
      </c>
      <c r="K4" t="b">
        <v>1</v>
      </c>
      <c r="N4" s="24" t="s">
        <v>490</v>
      </c>
      <c r="O4" s="2">
        <f>INDEX(Маршруты,MATCH(N4,$B$3:$B$498,0),1)</f>
        <v>1</v>
      </c>
      <c r="P4" s="27">
        <v>2</v>
      </c>
      <c r="Q4" s="2">
        <f>INDEX(Остановки,MATCH(R4,ИД_Остановки!$B$3:$B$467,0),1)</f>
        <v>23</v>
      </c>
      <c r="R4" s="45" t="s">
        <v>24</v>
      </c>
      <c r="S4" s="20">
        <v>0.67</v>
      </c>
    </row>
    <row r="5" spans="1:19" x14ac:dyDescent="0.25">
      <c r="A5" s="7">
        <v>3</v>
      </c>
      <c r="B5" s="63" t="s">
        <v>492</v>
      </c>
      <c r="C5" s="62" t="s">
        <v>203</v>
      </c>
      <c r="D5" s="68">
        <v>20</v>
      </c>
      <c r="E5" s="12" t="s">
        <v>203</v>
      </c>
      <c r="F5" s="12" t="s">
        <v>226</v>
      </c>
      <c r="H5">
        <v>1</v>
      </c>
      <c r="I5">
        <v>10</v>
      </c>
      <c r="J5">
        <v>115</v>
      </c>
      <c r="K5" t="b">
        <v>1</v>
      </c>
      <c r="N5" s="23" t="s">
        <v>490</v>
      </c>
      <c r="O5" s="2">
        <f>INDEX(Маршруты,MATCH(N5,$B$3:$B$498,0),1)</f>
        <v>1</v>
      </c>
      <c r="P5" s="27">
        <v>3</v>
      </c>
      <c r="Q5" s="2">
        <f>INDEX(Остановки,MATCH(R5,ИД_Остановки!$B$3:$B$467,0),1)</f>
        <v>24</v>
      </c>
      <c r="R5" s="45" t="s">
        <v>252</v>
      </c>
      <c r="S5" s="20">
        <v>0.57999999999999996</v>
      </c>
    </row>
    <row r="6" spans="1:19" ht="15.75" thickBot="1" x14ac:dyDescent="0.3">
      <c r="A6" s="7">
        <v>4</v>
      </c>
      <c r="B6" s="63" t="s">
        <v>493</v>
      </c>
      <c r="C6" s="62" t="s">
        <v>203</v>
      </c>
      <c r="D6" s="68">
        <v>20</v>
      </c>
      <c r="E6" s="13" t="s">
        <v>227</v>
      </c>
      <c r="F6" s="13" t="s">
        <v>228</v>
      </c>
      <c r="H6">
        <v>1</v>
      </c>
      <c r="I6">
        <v>15</v>
      </c>
      <c r="J6">
        <v>115</v>
      </c>
      <c r="K6" t="b">
        <v>1</v>
      </c>
      <c r="N6" s="24" t="s">
        <v>490</v>
      </c>
      <c r="O6" s="2">
        <f>INDEX(Маршруты,MATCH(N6,$B$3:$B$498,0),1)</f>
        <v>1</v>
      </c>
      <c r="P6" s="27">
        <v>4</v>
      </c>
      <c r="Q6" s="2">
        <f>INDEX(Остановки,MATCH(R6,ИД_Остановки!$B$3:$B$467,0),1)</f>
        <v>25</v>
      </c>
      <c r="R6" s="45" t="s">
        <v>612</v>
      </c>
      <c r="S6" s="20">
        <v>0.65</v>
      </c>
    </row>
    <row r="7" spans="1:19" x14ac:dyDescent="0.25">
      <c r="A7" s="7">
        <v>5</v>
      </c>
      <c r="B7" s="63" t="s">
        <v>494</v>
      </c>
      <c r="C7" s="62" t="s">
        <v>203</v>
      </c>
      <c r="D7" s="68">
        <v>20</v>
      </c>
      <c r="H7">
        <v>1</v>
      </c>
      <c r="I7">
        <v>20</v>
      </c>
      <c r="J7">
        <v>115</v>
      </c>
      <c r="K7" t="b">
        <v>1</v>
      </c>
      <c r="N7" s="24" t="s">
        <v>490</v>
      </c>
      <c r="O7" s="2">
        <f>INDEX(Маршруты,MATCH(N7,$B$3:$B$498,0),1)</f>
        <v>1</v>
      </c>
      <c r="P7" s="28">
        <v>5</v>
      </c>
      <c r="Q7" s="2">
        <f>INDEX(Остановки,MATCH(R7,ИД_Остановки!$B$3:$B$467,0),1)</f>
        <v>26</v>
      </c>
      <c r="R7" s="24" t="s">
        <v>254</v>
      </c>
      <c r="S7" s="21">
        <v>0.53</v>
      </c>
    </row>
    <row r="8" spans="1:19" x14ac:dyDescent="0.25">
      <c r="A8" s="7">
        <v>6</v>
      </c>
      <c r="B8" s="63" t="s">
        <v>495</v>
      </c>
      <c r="C8" s="62" t="s">
        <v>203</v>
      </c>
      <c r="D8" s="68">
        <v>20</v>
      </c>
      <c r="H8">
        <v>1</v>
      </c>
      <c r="I8">
        <v>25</v>
      </c>
      <c r="J8">
        <v>115</v>
      </c>
      <c r="K8" t="b">
        <v>1</v>
      </c>
      <c r="N8" s="23" t="s">
        <v>490</v>
      </c>
      <c r="O8" s="2">
        <f>INDEX(Маршруты,MATCH(N8,$B$3:$B$498,0),1)</f>
        <v>1</v>
      </c>
      <c r="P8" s="27">
        <v>6</v>
      </c>
      <c r="Q8" s="2">
        <f>INDEX(Остановки,MATCH(R8,ИД_Остановки!$B$3:$B$467,0),1)</f>
        <v>372</v>
      </c>
      <c r="R8" s="45" t="s">
        <v>430</v>
      </c>
      <c r="S8" s="20">
        <v>0.45</v>
      </c>
    </row>
    <row r="9" spans="1:19" x14ac:dyDescent="0.25">
      <c r="A9" s="7">
        <v>7</v>
      </c>
      <c r="B9" s="63" t="s">
        <v>496</v>
      </c>
      <c r="C9" s="62" t="s">
        <v>203</v>
      </c>
      <c r="D9" s="68">
        <v>25</v>
      </c>
      <c r="E9" s="33" t="s">
        <v>654</v>
      </c>
      <c r="H9">
        <v>1</v>
      </c>
      <c r="I9">
        <v>30</v>
      </c>
      <c r="J9">
        <v>115</v>
      </c>
      <c r="K9" t="b">
        <v>1</v>
      </c>
      <c r="N9" s="24" t="s">
        <v>490</v>
      </c>
      <c r="O9" s="2">
        <f>INDEX(Маршруты,MATCH(N9,$B$3:$B$498,0),1)</f>
        <v>1</v>
      </c>
      <c r="P9" s="27">
        <v>7</v>
      </c>
      <c r="Q9" s="2">
        <f>INDEX(Остановки,MATCH(R9,ИД_Остановки!$B$3:$B$467,0),1)</f>
        <v>27</v>
      </c>
      <c r="R9" s="45" t="s">
        <v>25</v>
      </c>
      <c r="S9" s="20">
        <v>0.52</v>
      </c>
    </row>
    <row r="10" spans="1:19" x14ac:dyDescent="0.25">
      <c r="A10" s="7">
        <v>8</v>
      </c>
      <c r="B10" s="63" t="s">
        <v>497</v>
      </c>
      <c r="C10" s="62" t="s">
        <v>203</v>
      </c>
      <c r="D10" s="68">
        <v>25</v>
      </c>
      <c r="E10" s="33" t="s">
        <v>691</v>
      </c>
      <c r="H10">
        <v>1</v>
      </c>
      <c r="I10">
        <v>35</v>
      </c>
      <c r="J10">
        <v>115</v>
      </c>
      <c r="K10" t="b">
        <v>1</v>
      </c>
      <c r="N10" s="24" t="s">
        <v>490</v>
      </c>
      <c r="O10" s="2">
        <f>INDEX(Маршруты,MATCH(N10,$B$3:$B$498,0),1)</f>
        <v>1</v>
      </c>
      <c r="P10" s="27">
        <v>8</v>
      </c>
      <c r="Q10" s="2">
        <f>INDEX(Остановки,MATCH(R10,ИД_Остановки!$B$3:$B$467,0),1)</f>
        <v>28</v>
      </c>
      <c r="R10" s="45" t="s">
        <v>26</v>
      </c>
      <c r="S10" s="20">
        <v>0.36</v>
      </c>
    </row>
    <row r="11" spans="1:19" x14ac:dyDescent="0.25">
      <c r="A11" s="7">
        <v>9</v>
      </c>
      <c r="B11" s="63" t="s">
        <v>498</v>
      </c>
      <c r="C11" s="62" t="s">
        <v>203</v>
      </c>
      <c r="D11" s="68">
        <v>25</v>
      </c>
      <c r="H11">
        <v>1</v>
      </c>
      <c r="I11">
        <v>40</v>
      </c>
      <c r="J11">
        <v>115</v>
      </c>
      <c r="K11" t="b">
        <v>1</v>
      </c>
      <c r="N11" s="24" t="s">
        <v>490</v>
      </c>
      <c r="O11" s="2">
        <f>INDEX(Маршруты,MATCH(N11,$B$3:$B$498,0),1)</f>
        <v>1</v>
      </c>
      <c r="P11" s="27">
        <v>9</v>
      </c>
      <c r="Q11" s="2">
        <f>INDEX(Остановки,MATCH(R11,ИД_Остановки!$B$3:$B$467,0),1)</f>
        <v>29</v>
      </c>
      <c r="R11" s="45" t="s">
        <v>255</v>
      </c>
      <c r="S11" s="20">
        <v>0.51</v>
      </c>
    </row>
    <row r="12" spans="1:19" x14ac:dyDescent="0.25">
      <c r="A12" s="7">
        <v>10</v>
      </c>
      <c r="B12" s="63" t="s">
        <v>499</v>
      </c>
      <c r="C12" s="62" t="s">
        <v>203</v>
      </c>
      <c r="D12" s="68">
        <v>25</v>
      </c>
      <c r="H12">
        <v>1</v>
      </c>
      <c r="I12">
        <v>45</v>
      </c>
      <c r="J12">
        <v>115</v>
      </c>
      <c r="K12" t="b">
        <v>1</v>
      </c>
      <c r="N12" s="23" t="s">
        <v>490</v>
      </c>
      <c r="O12" s="2">
        <f>INDEX(Маршруты,MATCH(N12,$B$3:$B$498,0),1)</f>
        <v>1</v>
      </c>
      <c r="P12" s="27">
        <v>10</v>
      </c>
      <c r="Q12" s="2">
        <f>INDEX(Остановки,MATCH(R12,ИД_Остановки!$B$3:$B$467,0),1)</f>
        <v>228</v>
      </c>
      <c r="R12" s="45" t="s">
        <v>127</v>
      </c>
      <c r="S12" s="20">
        <v>0.57999999999999996</v>
      </c>
    </row>
    <row r="13" spans="1:19" x14ac:dyDescent="0.25">
      <c r="A13" s="7">
        <v>11</v>
      </c>
      <c r="B13" s="63" t="s">
        <v>204</v>
      </c>
      <c r="C13" s="62" t="s">
        <v>203</v>
      </c>
      <c r="D13" s="68">
        <v>20</v>
      </c>
      <c r="E13" s="36"/>
      <c r="F13" s="36"/>
      <c r="H13">
        <v>1</v>
      </c>
      <c r="I13">
        <v>50</v>
      </c>
      <c r="J13">
        <v>115</v>
      </c>
      <c r="K13" t="b">
        <v>1</v>
      </c>
      <c r="N13" s="24" t="s">
        <v>490</v>
      </c>
      <c r="O13" s="2">
        <f>INDEX(Маршруты,MATCH(N13,$B$3:$B$498,0),1)</f>
        <v>1</v>
      </c>
      <c r="P13" s="27">
        <v>11</v>
      </c>
      <c r="Q13" s="2">
        <f>INDEX(Остановки,MATCH(R13,ИД_Остановки!$B$3:$B$467,0),1)</f>
        <v>30</v>
      </c>
      <c r="R13" s="45" t="s">
        <v>27</v>
      </c>
      <c r="S13" s="20">
        <v>0.56999999999999995</v>
      </c>
    </row>
    <row r="14" spans="1:19" x14ac:dyDescent="0.25">
      <c r="A14" s="7">
        <v>12</v>
      </c>
      <c r="B14" s="63" t="s">
        <v>205</v>
      </c>
      <c r="C14" s="62" t="s">
        <v>203</v>
      </c>
      <c r="D14" s="68">
        <v>20</v>
      </c>
      <c r="E14" s="36"/>
      <c r="F14" s="36"/>
      <c r="H14">
        <v>1</v>
      </c>
      <c r="I14">
        <v>55</v>
      </c>
      <c r="J14">
        <v>115</v>
      </c>
      <c r="K14" t="b">
        <v>1</v>
      </c>
      <c r="L14" s="19"/>
      <c r="N14" s="24" t="s">
        <v>490</v>
      </c>
      <c r="O14" s="2">
        <f>INDEX(Маршруты,MATCH(N14,$B$3:$B$498,0),1)</f>
        <v>1</v>
      </c>
      <c r="P14" s="27">
        <v>12</v>
      </c>
      <c r="Q14" s="2">
        <f>INDEX(Остановки,MATCH(R14,ИД_Остановки!$B$3:$B$467,0),1)</f>
        <v>3</v>
      </c>
      <c r="R14" s="45" t="s">
        <v>243</v>
      </c>
      <c r="S14" s="20">
        <v>0.56000000000000005</v>
      </c>
    </row>
    <row r="15" spans="1:19" x14ac:dyDescent="0.25">
      <c r="A15" s="7">
        <v>13</v>
      </c>
      <c r="B15" s="63" t="s">
        <v>206</v>
      </c>
      <c r="C15" s="62" t="s">
        <v>203</v>
      </c>
      <c r="D15" s="68">
        <v>20</v>
      </c>
      <c r="H15">
        <v>1</v>
      </c>
      <c r="I15">
        <v>60</v>
      </c>
      <c r="J15">
        <v>115</v>
      </c>
      <c r="K15" t="b">
        <v>1</v>
      </c>
      <c r="N15" s="24" t="s">
        <v>490</v>
      </c>
      <c r="O15" s="2">
        <f>INDEX(Маршруты,MATCH(N15,$B$3:$B$498,0),1)</f>
        <v>1</v>
      </c>
      <c r="P15" s="27">
        <v>13</v>
      </c>
      <c r="Q15" s="2">
        <f>INDEX(Остановки,MATCH(R15,ИД_Остановки!$B$3:$B$467,0),1)</f>
        <v>4</v>
      </c>
      <c r="R15" s="45" t="s">
        <v>244</v>
      </c>
      <c r="S15" s="20">
        <v>0.28000000000000003</v>
      </c>
    </row>
    <row r="16" spans="1:19" x14ac:dyDescent="0.25">
      <c r="A16" s="7">
        <v>14</v>
      </c>
      <c r="B16" s="63" t="s">
        <v>500</v>
      </c>
      <c r="C16" s="62" t="s">
        <v>203</v>
      </c>
      <c r="D16" s="68">
        <v>20</v>
      </c>
      <c r="H16">
        <v>1</v>
      </c>
      <c r="I16">
        <v>65</v>
      </c>
      <c r="J16">
        <v>115</v>
      </c>
      <c r="K16" t="b">
        <v>1</v>
      </c>
      <c r="N16" s="24" t="s">
        <v>490</v>
      </c>
      <c r="O16" s="2">
        <f>INDEX(Маршруты,MATCH(N16,$B$3:$B$498,0),1)</f>
        <v>1</v>
      </c>
      <c r="P16" s="27">
        <v>14</v>
      </c>
      <c r="Q16" s="2">
        <f>INDEX(Остановки,MATCH(R16,ИД_Остановки!$B$3:$B$467,0),1)</f>
        <v>5</v>
      </c>
      <c r="R16" s="24" t="s">
        <v>10</v>
      </c>
      <c r="S16" s="20">
        <v>0.26</v>
      </c>
    </row>
    <row r="17" spans="1:21" x14ac:dyDescent="0.25">
      <c r="A17" s="7">
        <v>15</v>
      </c>
      <c r="B17" s="63" t="s">
        <v>501</v>
      </c>
      <c r="C17" s="62" t="s">
        <v>207</v>
      </c>
      <c r="D17" s="68">
        <v>20</v>
      </c>
      <c r="H17">
        <v>1</v>
      </c>
      <c r="I17">
        <v>70</v>
      </c>
      <c r="J17">
        <v>115</v>
      </c>
      <c r="K17" t="b">
        <v>1</v>
      </c>
      <c r="N17" s="24" t="s">
        <v>490</v>
      </c>
      <c r="O17" s="2">
        <f>INDEX(Маршруты,MATCH(N17,$B$3:$B$498,0),1)</f>
        <v>1</v>
      </c>
      <c r="P17" s="27">
        <v>15</v>
      </c>
      <c r="Q17" s="2">
        <f>INDEX(Остановки,MATCH(R17,ИД_Остановки!$B$3:$B$467,0),1)</f>
        <v>6</v>
      </c>
      <c r="R17" s="45" t="s">
        <v>245</v>
      </c>
      <c r="S17" s="20">
        <v>0.53</v>
      </c>
    </row>
    <row r="18" spans="1:21" x14ac:dyDescent="0.25">
      <c r="A18" s="7">
        <v>16</v>
      </c>
      <c r="B18" s="63" t="s">
        <v>502</v>
      </c>
      <c r="C18" s="62" t="s">
        <v>207</v>
      </c>
      <c r="D18" s="68">
        <v>20</v>
      </c>
      <c r="H18">
        <v>1</v>
      </c>
      <c r="I18">
        <v>75</v>
      </c>
      <c r="J18">
        <v>115</v>
      </c>
      <c r="K18" t="b">
        <v>1</v>
      </c>
      <c r="N18" s="24" t="s">
        <v>490</v>
      </c>
      <c r="O18" s="2">
        <f>INDEX(Маршруты,MATCH(N18,$B$3:$B$498,0),1)</f>
        <v>1</v>
      </c>
      <c r="P18" s="27">
        <v>16</v>
      </c>
      <c r="Q18" s="2">
        <f>INDEX(Остановки,MATCH(R18,ИД_Остановки!$B$3:$B$467,0),1)</f>
        <v>7</v>
      </c>
      <c r="R18" s="45" t="s">
        <v>11</v>
      </c>
      <c r="S18" s="20">
        <v>0.52</v>
      </c>
    </row>
    <row r="19" spans="1:21" x14ac:dyDescent="0.25">
      <c r="A19" s="1">
        <v>17</v>
      </c>
      <c r="B19" s="63" t="s">
        <v>503</v>
      </c>
      <c r="C19" s="62" t="s">
        <v>207</v>
      </c>
      <c r="D19" s="68">
        <v>20</v>
      </c>
      <c r="H19">
        <v>1</v>
      </c>
      <c r="I19">
        <v>80</v>
      </c>
      <c r="J19">
        <v>115</v>
      </c>
      <c r="K19" t="b">
        <v>1</v>
      </c>
      <c r="N19" s="24" t="s">
        <v>490</v>
      </c>
      <c r="O19" s="2">
        <f>INDEX(Маршруты,MATCH(N19,$B$3:$B$498,0),1)</f>
        <v>1</v>
      </c>
      <c r="P19" s="27">
        <v>17</v>
      </c>
      <c r="Q19" s="2">
        <f>INDEX(Остановки,MATCH(R19,ИД_Остановки!$B$3:$B$467,0),1)</f>
        <v>8</v>
      </c>
      <c r="R19" s="45" t="s">
        <v>12</v>
      </c>
      <c r="S19" s="20">
        <v>0.32</v>
      </c>
    </row>
    <row r="20" spans="1:21" x14ac:dyDescent="0.25">
      <c r="A20" s="7">
        <v>18</v>
      </c>
      <c r="B20" s="63" t="s">
        <v>504</v>
      </c>
      <c r="C20" s="62" t="s">
        <v>207</v>
      </c>
      <c r="D20" s="68">
        <v>20</v>
      </c>
      <c r="H20">
        <v>1</v>
      </c>
      <c r="I20">
        <v>85</v>
      </c>
      <c r="J20">
        <v>115</v>
      </c>
      <c r="K20" t="b">
        <v>1</v>
      </c>
      <c r="N20" s="24" t="s">
        <v>490</v>
      </c>
      <c r="O20" s="2">
        <f>INDEX(Маршруты,MATCH(N20,$B$3:$B$498,0),1)</f>
        <v>1</v>
      </c>
      <c r="P20" s="27">
        <v>18</v>
      </c>
      <c r="Q20" s="2">
        <f>INDEX(Остановки,MATCH(R20,ИД_Остановки!$B$3:$B$467,0),1)</f>
        <v>9</v>
      </c>
      <c r="R20" s="45" t="s">
        <v>246</v>
      </c>
      <c r="S20" s="20">
        <v>0.55000000000000004</v>
      </c>
    </row>
    <row r="21" spans="1:21" x14ac:dyDescent="0.25">
      <c r="A21" s="1">
        <v>19</v>
      </c>
      <c r="B21" s="63" t="s">
        <v>505</v>
      </c>
      <c r="C21" s="62" t="s">
        <v>207</v>
      </c>
      <c r="D21" s="68">
        <v>20</v>
      </c>
      <c r="H21">
        <v>1</v>
      </c>
      <c r="I21">
        <v>90</v>
      </c>
      <c r="J21">
        <v>115</v>
      </c>
      <c r="K21" t="b">
        <v>1</v>
      </c>
      <c r="N21" s="24" t="s">
        <v>490</v>
      </c>
      <c r="O21" s="2">
        <f>INDEX(Маршруты,MATCH(N21,$B$3:$B$498,0),1)</f>
        <v>1</v>
      </c>
      <c r="P21" s="27">
        <v>19</v>
      </c>
      <c r="Q21" s="2">
        <f>INDEX(Остановки,MATCH(R21,ИД_Остановки!$B$3:$B$467,0),1)</f>
        <v>31</v>
      </c>
      <c r="R21" s="45" t="s">
        <v>256</v>
      </c>
      <c r="S21" s="20">
        <v>0.57999999999999996</v>
      </c>
    </row>
    <row r="22" spans="1:21" x14ac:dyDescent="0.25">
      <c r="A22" s="1">
        <v>20</v>
      </c>
      <c r="B22" s="63" t="s">
        <v>506</v>
      </c>
      <c r="C22" s="62" t="s">
        <v>207</v>
      </c>
      <c r="D22" s="68">
        <v>20</v>
      </c>
      <c r="H22">
        <v>1</v>
      </c>
      <c r="I22">
        <v>95</v>
      </c>
      <c r="J22">
        <v>115</v>
      </c>
      <c r="K22" t="b">
        <v>1</v>
      </c>
      <c r="N22" s="24" t="s">
        <v>490</v>
      </c>
      <c r="O22" s="2">
        <f>INDEX(Маршруты,MATCH(N22,$B$3:$B$498,0),1)</f>
        <v>1</v>
      </c>
      <c r="P22" s="27">
        <v>20</v>
      </c>
      <c r="Q22" s="2">
        <f>INDEX(Остановки,MATCH(R22,ИД_Остановки!$B$3:$B$467,0),1)</f>
        <v>102</v>
      </c>
      <c r="R22" s="45" t="s">
        <v>72</v>
      </c>
      <c r="S22" s="20">
        <v>0.28000000000000003</v>
      </c>
    </row>
    <row r="23" spans="1:21" x14ac:dyDescent="0.25">
      <c r="A23" s="7">
        <v>21</v>
      </c>
      <c r="B23" s="63" t="s">
        <v>507</v>
      </c>
      <c r="C23" s="62" t="s">
        <v>207</v>
      </c>
      <c r="D23" s="68">
        <v>20</v>
      </c>
      <c r="H23">
        <v>1</v>
      </c>
      <c r="I23">
        <v>100</v>
      </c>
      <c r="J23">
        <v>115</v>
      </c>
      <c r="K23" t="b">
        <v>1</v>
      </c>
      <c r="N23" s="24" t="s">
        <v>490</v>
      </c>
      <c r="O23" s="2">
        <f>INDEX(Маршруты,MATCH(N23,$B$3:$B$498,0),1)</f>
        <v>1</v>
      </c>
      <c r="P23" s="27">
        <v>21</v>
      </c>
      <c r="Q23" s="2">
        <f>INDEX(Остановки,MATCH(R23,ИД_Остановки!$B$3:$B$467,0),1)</f>
        <v>32</v>
      </c>
      <c r="R23" s="45" t="s">
        <v>28</v>
      </c>
      <c r="S23" s="20">
        <v>0.24</v>
      </c>
    </row>
    <row r="24" spans="1:21" x14ac:dyDescent="0.25">
      <c r="A24" s="7">
        <v>22</v>
      </c>
      <c r="B24" s="63" t="s">
        <v>508</v>
      </c>
      <c r="C24" s="62" t="s">
        <v>207</v>
      </c>
      <c r="D24" s="68">
        <v>20</v>
      </c>
      <c r="H24">
        <v>1</v>
      </c>
      <c r="I24">
        <v>105</v>
      </c>
      <c r="J24">
        <v>115</v>
      </c>
      <c r="K24" t="b">
        <v>1</v>
      </c>
      <c r="N24" s="24" t="s">
        <v>490</v>
      </c>
      <c r="O24" s="2">
        <f>INDEX(Маршруты,MATCH(N24,$B$3:$B$498,0),1)</f>
        <v>1</v>
      </c>
      <c r="P24" s="27">
        <v>22</v>
      </c>
      <c r="Q24" s="2">
        <f>INDEX(Остановки,MATCH(R24,ИД_Остановки!$B$3:$B$467,0),1)</f>
        <v>33</v>
      </c>
      <c r="R24" s="45" t="s">
        <v>29</v>
      </c>
      <c r="S24" s="20">
        <v>0.45</v>
      </c>
    </row>
    <row r="25" spans="1:21" x14ac:dyDescent="0.25">
      <c r="A25" s="7">
        <v>23</v>
      </c>
      <c r="B25" s="63" t="s">
        <v>509</v>
      </c>
      <c r="C25" s="62" t="s">
        <v>207</v>
      </c>
      <c r="D25" s="68">
        <v>20</v>
      </c>
      <c r="H25">
        <v>1</v>
      </c>
      <c r="I25">
        <v>110</v>
      </c>
      <c r="J25">
        <v>115</v>
      </c>
      <c r="K25" t="b">
        <v>1</v>
      </c>
      <c r="N25" s="23" t="s">
        <v>490</v>
      </c>
      <c r="O25" s="2">
        <f>INDEX(Маршруты,MATCH(N25,$B$3:$B$498,0),1)</f>
        <v>1</v>
      </c>
      <c r="P25" s="27">
        <v>23</v>
      </c>
      <c r="Q25" s="2">
        <f>INDEX(Остановки,MATCH(R25,ИД_Остановки!$B$3:$B$467,0),1)</f>
        <v>34</v>
      </c>
      <c r="R25" s="45" t="s">
        <v>613</v>
      </c>
      <c r="S25" s="20">
        <v>0.57999999999999996</v>
      </c>
    </row>
    <row r="26" spans="1:21" x14ac:dyDescent="0.25">
      <c r="A26" s="7">
        <v>24</v>
      </c>
      <c r="B26" s="63" t="s">
        <v>510</v>
      </c>
      <c r="C26" s="62" t="s">
        <v>207</v>
      </c>
      <c r="D26" s="68">
        <v>20</v>
      </c>
      <c r="H26">
        <v>1</v>
      </c>
      <c r="I26">
        <v>115</v>
      </c>
      <c r="J26">
        <v>115</v>
      </c>
      <c r="K26" t="b">
        <v>1</v>
      </c>
      <c r="N26" s="24" t="s">
        <v>491</v>
      </c>
      <c r="O26" s="2">
        <f>INDEX(Маршруты,MATCH(N26,$B$3:$B$498,0),1)</f>
        <v>2</v>
      </c>
      <c r="P26" s="27">
        <v>1</v>
      </c>
      <c r="Q26" s="2">
        <f>INDEX(Остановки,MATCH(R26,ИД_Остановки!$B$3:$B$467,0),1)</f>
        <v>34</v>
      </c>
      <c r="R26" s="45" t="s">
        <v>613</v>
      </c>
      <c r="S26" s="20"/>
    </row>
    <row r="27" spans="1:21" x14ac:dyDescent="0.25">
      <c r="A27" s="1">
        <v>25</v>
      </c>
      <c r="B27" s="63" t="s">
        <v>511</v>
      </c>
      <c r="C27" s="62" t="s">
        <v>207</v>
      </c>
      <c r="D27" s="68">
        <v>20</v>
      </c>
      <c r="H27">
        <v>1</v>
      </c>
      <c r="I27">
        <v>120</v>
      </c>
      <c r="J27">
        <v>115</v>
      </c>
      <c r="K27" t="b">
        <v>1</v>
      </c>
      <c r="N27" s="24" t="s">
        <v>491</v>
      </c>
      <c r="O27" s="2">
        <f>INDEX(Маршруты,MATCH(N27,$B$3:$B$498,0),1)</f>
        <v>2</v>
      </c>
      <c r="P27" s="27">
        <v>2</v>
      </c>
      <c r="Q27" s="2">
        <f>INDEX(Остановки,MATCH(R27,ИД_Остановки!$B$3:$B$467,0),1)</f>
        <v>33</v>
      </c>
      <c r="R27" s="45" t="s">
        <v>29</v>
      </c>
      <c r="S27" s="20">
        <v>0.57999999999999996</v>
      </c>
    </row>
    <row r="28" spans="1:21" x14ac:dyDescent="0.25">
      <c r="A28" s="1">
        <v>26</v>
      </c>
      <c r="B28" s="63" t="s">
        <v>512</v>
      </c>
      <c r="C28" s="62" t="s">
        <v>207</v>
      </c>
      <c r="D28" s="68">
        <v>20</v>
      </c>
      <c r="H28">
        <v>1</v>
      </c>
      <c r="I28">
        <v>125</v>
      </c>
      <c r="J28">
        <v>115</v>
      </c>
      <c r="K28" t="b">
        <v>1</v>
      </c>
      <c r="N28" s="24" t="s">
        <v>491</v>
      </c>
      <c r="O28" s="2">
        <f>INDEX(Маршруты,MATCH(N28,$B$3:$B$498,0),1)</f>
        <v>2</v>
      </c>
      <c r="P28" s="27">
        <v>3</v>
      </c>
      <c r="Q28" s="2">
        <f>INDEX(Остановки,MATCH(R28,ИД_Остановки!$B$3:$B$467,0),1)</f>
        <v>32</v>
      </c>
      <c r="R28" s="45" t="s">
        <v>28</v>
      </c>
      <c r="S28" s="20">
        <v>0.45</v>
      </c>
    </row>
    <row r="29" spans="1:21" x14ac:dyDescent="0.25">
      <c r="A29" s="7">
        <v>27</v>
      </c>
      <c r="B29" s="63" t="s">
        <v>513</v>
      </c>
      <c r="C29" s="62" t="s">
        <v>203</v>
      </c>
      <c r="D29" s="68">
        <v>20</v>
      </c>
      <c r="H29">
        <v>1</v>
      </c>
      <c r="I29">
        <v>130</v>
      </c>
      <c r="J29">
        <v>115</v>
      </c>
      <c r="K29" t="b">
        <v>1</v>
      </c>
      <c r="N29" s="24" t="s">
        <v>491</v>
      </c>
      <c r="O29" s="2">
        <f>INDEX(Маршруты,MATCH(N29,$B$3:$B$498,0),1)</f>
        <v>2</v>
      </c>
      <c r="P29" s="27">
        <v>4</v>
      </c>
      <c r="Q29" s="2">
        <f>INDEX(Остановки,MATCH(R29,ИД_Остановки!$B$3:$B$467,0),1)</f>
        <v>102</v>
      </c>
      <c r="R29" s="24" t="s">
        <v>72</v>
      </c>
      <c r="S29" s="20">
        <v>0.24</v>
      </c>
    </row>
    <row r="30" spans="1:21" x14ac:dyDescent="0.25">
      <c r="A30" s="7">
        <v>28</v>
      </c>
      <c r="B30" s="63" t="s">
        <v>514</v>
      </c>
      <c r="C30" s="62" t="s">
        <v>203</v>
      </c>
      <c r="D30" s="68">
        <v>20</v>
      </c>
      <c r="H30">
        <v>1</v>
      </c>
      <c r="I30">
        <v>135</v>
      </c>
      <c r="J30">
        <v>115</v>
      </c>
      <c r="K30" t="b">
        <v>1</v>
      </c>
      <c r="N30" s="24" t="s">
        <v>491</v>
      </c>
      <c r="O30" s="2">
        <f>INDEX(Маршруты,MATCH(N30,$B$3:$B$498,0),1)</f>
        <v>2</v>
      </c>
      <c r="P30" s="28">
        <v>5</v>
      </c>
      <c r="Q30" s="2">
        <f>INDEX(Остановки,MATCH(R30,ИД_Остановки!$B$3:$B$467,0),1)</f>
        <v>31</v>
      </c>
      <c r="R30" s="24" t="s">
        <v>256</v>
      </c>
      <c r="S30" s="20">
        <v>0.28000000000000003</v>
      </c>
    </row>
    <row r="31" spans="1:21" x14ac:dyDescent="0.25">
      <c r="A31">
        <v>29</v>
      </c>
      <c r="B31" s="64" t="s">
        <v>515</v>
      </c>
      <c r="C31" s="62" t="s">
        <v>203</v>
      </c>
      <c r="D31" s="68">
        <v>20</v>
      </c>
      <c r="H31">
        <v>1</v>
      </c>
      <c r="I31">
        <v>140</v>
      </c>
      <c r="J31">
        <v>115</v>
      </c>
      <c r="K31" t="b">
        <v>1</v>
      </c>
      <c r="N31" s="21" t="s">
        <v>491</v>
      </c>
      <c r="O31" s="2">
        <f>INDEX(Маршруты,MATCH(N31,$B$3:$B$498,0),1)</f>
        <v>2</v>
      </c>
      <c r="P31" s="27">
        <v>6</v>
      </c>
      <c r="Q31" s="2">
        <f>INDEX(Остановки,MATCH(R31,ИД_Остановки!$B$3:$B$467,0),1)</f>
        <v>9</v>
      </c>
      <c r="R31" s="45" t="s">
        <v>246</v>
      </c>
      <c r="S31" s="20">
        <v>0.57999999999999996</v>
      </c>
      <c r="T31" s="8"/>
      <c r="U31" s="8"/>
    </row>
    <row r="32" spans="1:21" x14ac:dyDescent="0.25">
      <c r="A32">
        <v>30</v>
      </c>
      <c r="B32" s="64" t="s">
        <v>516</v>
      </c>
      <c r="C32" s="62" t="s">
        <v>203</v>
      </c>
      <c r="D32" s="68">
        <v>20</v>
      </c>
      <c r="H32">
        <v>1</v>
      </c>
      <c r="I32">
        <v>145</v>
      </c>
      <c r="J32">
        <v>115</v>
      </c>
      <c r="K32" t="b">
        <v>1</v>
      </c>
      <c r="N32" s="24" t="s">
        <v>491</v>
      </c>
      <c r="O32" s="2">
        <f>INDEX(Маршруты,MATCH(N32,$B$3:$B$498,0),1)</f>
        <v>2</v>
      </c>
      <c r="P32" s="27">
        <v>7</v>
      </c>
      <c r="Q32" s="2">
        <f>INDEX(Остановки,MATCH(R32,ИД_Остановки!$B$3:$B$467,0),1)</f>
        <v>8</v>
      </c>
      <c r="R32" s="45" t="s">
        <v>12</v>
      </c>
      <c r="S32" s="20">
        <v>0.55000000000000004</v>
      </c>
      <c r="T32" s="8"/>
      <c r="U32" s="8"/>
    </row>
    <row r="33" spans="1:21" x14ac:dyDescent="0.25">
      <c r="A33" s="36">
        <v>31</v>
      </c>
      <c r="B33" s="64" t="s">
        <v>517</v>
      </c>
      <c r="C33" s="62" t="s">
        <v>203</v>
      </c>
      <c r="D33" s="68">
        <v>20</v>
      </c>
      <c r="E33" s="36"/>
      <c r="F33" s="36"/>
      <c r="H33">
        <v>1</v>
      </c>
      <c r="I33">
        <v>150</v>
      </c>
      <c r="J33">
        <v>115</v>
      </c>
      <c r="K33" t="b">
        <v>1</v>
      </c>
      <c r="N33" s="23" t="s">
        <v>491</v>
      </c>
      <c r="O33" s="2">
        <f>INDEX(Маршруты,MATCH(N33,$B$3:$B$498,0),1)</f>
        <v>2</v>
      </c>
      <c r="P33" s="27">
        <v>8</v>
      </c>
      <c r="Q33" s="2">
        <f>INDEX(Остановки,MATCH(R33,ИД_Остановки!$B$3:$B$467,0),1)</f>
        <v>7</v>
      </c>
      <c r="R33" s="45" t="s">
        <v>11</v>
      </c>
      <c r="S33" s="20">
        <v>0.32</v>
      </c>
      <c r="T33" s="8"/>
      <c r="U33" s="8"/>
    </row>
    <row r="34" spans="1:21" x14ac:dyDescent="0.25">
      <c r="A34" s="36">
        <v>32</v>
      </c>
      <c r="B34" s="64" t="s">
        <v>518</v>
      </c>
      <c r="C34" s="62" t="s">
        <v>203</v>
      </c>
      <c r="D34" s="68">
        <v>20</v>
      </c>
      <c r="E34" s="36"/>
      <c r="F34" s="36"/>
      <c r="H34">
        <v>1</v>
      </c>
      <c r="I34">
        <v>155</v>
      </c>
      <c r="J34">
        <v>115</v>
      </c>
      <c r="K34" t="b">
        <v>1</v>
      </c>
      <c r="N34" s="24" t="s">
        <v>491</v>
      </c>
      <c r="O34" s="2">
        <f>INDEX(Маршруты,MATCH(N34,$B$3:$B$498,0),1)</f>
        <v>2</v>
      </c>
      <c r="P34" s="28">
        <v>9</v>
      </c>
      <c r="Q34" s="2">
        <f>INDEX(Остановки,MATCH(R34,ИД_Остановки!$B$3:$B$467,0),1)</f>
        <v>6</v>
      </c>
      <c r="R34" s="24" t="s">
        <v>245</v>
      </c>
      <c r="S34" s="20">
        <v>0.52</v>
      </c>
      <c r="T34" s="8"/>
      <c r="U34" s="8"/>
    </row>
    <row r="35" spans="1:21" x14ac:dyDescent="0.25">
      <c r="A35" s="36">
        <v>33</v>
      </c>
      <c r="B35" s="64" t="s">
        <v>519</v>
      </c>
      <c r="C35" s="62" t="s">
        <v>203</v>
      </c>
      <c r="D35" s="68">
        <v>20</v>
      </c>
      <c r="H35">
        <v>1</v>
      </c>
      <c r="I35">
        <v>160</v>
      </c>
      <c r="J35">
        <v>115</v>
      </c>
      <c r="K35" t="b">
        <v>1</v>
      </c>
      <c r="N35" s="24" t="s">
        <v>491</v>
      </c>
      <c r="O35" s="2">
        <f>INDEX(Маршруты,MATCH(N35,$B$3:$B$498,0),1)</f>
        <v>2</v>
      </c>
      <c r="P35" s="27">
        <v>10</v>
      </c>
      <c r="Q35" s="2">
        <f>INDEX(Остановки,MATCH(R35,ИД_Остановки!$B$3:$B$467,0),1)</f>
        <v>5</v>
      </c>
      <c r="R35" s="45" t="s">
        <v>10</v>
      </c>
      <c r="S35" s="20">
        <v>0.53</v>
      </c>
      <c r="T35" s="8"/>
      <c r="U35" s="8"/>
    </row>
    <row r="36" spans="1:21" x14ac:dyDescent="0.25">
      <c r="A36" s="36">
        <v>34</v>
      </c>
      <c r="B36" s="64" t="s">
        <v>520</v>
      </c>
      <c r="C36" s="62" t="s">
        <v>203</v>
      </c>
      <c r="D36" s="68">
        <v>20</v>
      </c>
      <c r="H36">
        <v>1</v>
      </c>
      <c r="I36">
        <v>165</v>
      </c>
      <c r="J36">
        <v>115</v>
      </c>
      <c r="K36" t="b">
        <v>1</v>
      </c>
      <c r="N36" s="24" t="s">
        <v>491</v>
      </c>
      <c r="O36" s="2">
        <f>INDEX(Маршруты,MATCH(N36,$B$3:$B$498,0),1)</f>
        <v>2</v>
      </c>
      <c r="P36" s="27">
        <v>11</v>
      </c>
      <c r="Q36" s="2">
        <f>INDEX(Остановки,MATCH(R36,ИД_Остановки!$B$3:$B$467,0),1)</f>
        <v>4</v>
      </c>
      <c r="R36" s="45" t="s">
        <v>244</v>
      </c>
      <c r="S36" s="20">
        <v>0.26</v>
      </c>
    </row>
    <row r="37" spans="1:21" x14ac:dyDescent="0.25">
      <c r="A37" s="36">
        <v>35</v>
      </c>
      <c r="B37" s="64" t="s">
        <v>521</v>
      </c>
      <c r="C37" s="62" t="s">
        <v>203</v>
      </c>
      <c r="D37" s="68">
        <v>20</v>
      </c>
      <c r="H37">
        <v>1</v>
      </c>
      <c r="I37">
        <v>170</v>
      </c>
      <c r="J37">
        <v>115</v>
      </c>
      <c r="K37" t="b">
        <v>1</v>
      </c>
      <c r="N37" s="24" t="s">
        <v>491</v>
      </c>
      <c r="O37" s="2">
        <f>INDEX(Маршруты,MATCH(N37,$B$3:$B$498,0),1)</f>
        <v>2</v>
      </c>
      <c r="P37" s="28">
        <v>12</v>
      </c>
      <c r="Q37" s="2">
        <f>INDEX(Остановки,MATCH(R37,ИД_Остановки!$B$3:$B$467,0),1)</f>
        <v>3</v>
      </c>
      <c r="R37" s="24" t="s">
        <v>243</v>
      </c>
      <c r="S37" s="20">
        <v>0.28000000000000003</v>
      </c>
    </row>
    <row r="38" spans="1:21" x14ac:dyDescent="0.25">
      <c r="A38" s="36">
        <v>36</v>
      </c>
      <c r="B38" s="64" t="s">
        <v>522</v>
      </c>
      <c r="C38" s="62" t="s">
        <v>203</v>
      </c>
      <c r="D38" s="68">
        <v>20</v>
      </c>
      <c r="H38">
        <v>1</v>
      </c>
      <c r="I38">
        <v>175</v>
      </c>
      <c r="J38">
        <v>115</v>
      </c>
      <c r="K38" t="b">
        <v>1</v>
      </c>
      <c r="N38" s="24" t="s">
        <v>491</v>
      </c>
      <c r="O38" s="2">
        <f>INDEX(Маршруты,MATCH(N38,$B$3:$B$498,0),1)</f>
        <v>2</v>
      </c>
      <c r="P38" s="27">
        <v>13</v>
      </c>
      <c r="Q38" s="2">
        <f>INDEX(Остановки,MATCH(R38,ИД_Остановки!$B$3:$B$467,0),1)</f>
        <v>30</v>
      </c>
      <c r="R38" s="45" t="s">
        <v>27</v>
      </c>
      <c r="S38" s="20">
        <v>0.56000000000000005</v>
      </c>
      <c r="T38" s="8"/>
      <c r="U38" s="8"/>
    </row>
    <row r="39" spans="1:21" x14ac:dyDescent="0.25">
      <c r="A39">
        <v>37</v>
      </c>
      <c r="B39" s="64" t="s">
        <v>523</v>
      </c>
      <c r="C39" s="62" t="s">
        <v>208</v>
      </c>
      <c r="D39" s="68">
        <v>20</v>
      </c>
      <c r="H39">
        <v>1</v>
      </c>
      <c r="I39">
        <v>180</v>
      </c>
      <c r="J39">
        <v>115</v>
      </c>
      <c r="K39" t="b">
        <v>1</v>
      </c>
      <c r="N39" s="24" t="s">
        <v>491</v>
      </c>
      <c r="O39" s="2">
        <f>INDEX(Маршруты,MATCH(N39,$B$3:$B$498,0),1)</f>
        <v>2</v>
      </c>
      <c r="P39" s="27">
        <v>14</v>
      </c>
      <c r="Q39" s="2">
        <f>INDEX(Остановки,MATCH(R39,ИД_Остановки!$B$3:$B$467,0),1)</f>
        <v>228</v>
      </c>
      <c r="R39" s="45" t="s">
        <v>127</v>
      </c>
      <c r="S39" s="20">
        <v>0.56999999999999995</v>
      </c>
    </row>
    <row r="40" spans="1:21" x14ac:dyDescent="0.25">
      <c r="A40">
        <v>38</v>
      </c>
      <c r="B40" s="64" t="s">
        <v>524</v>
      </c>
      <c r="C40" s="62" t="s">
        <v>208</v>
      </c>
      <c r="D40" s="68">
        <v>20</v>
      </c>
      <c r="H40">
        <v>1</v>
      </c>
      <c r="I40">
        <v>185</v>
      </c>
      <c r="J40">
        <v>115</v>
      </c>
      <c r="K40" t="b">
        <v>1</v>
      </c>
      <c r="N40" s="24" t="s">
        <v>491</v>
      </c>
      <c r="O40" s="2">
        <f>INDEX(Маршруты,MATCH(N40,$B$3:$B$498,0),1)</f>
        <v>2</v>
      </c>
      <c r="P40" s="27">
        <v>15</v>
      </c>
      <c r="Q40" s="2">
        <f>INDEX(Остановки,MATCH(R40,ИД_Остановки!$B$3:$B$467,0),1)</f>
        <v>29</v>
      </c>
      <c r="R40" s="45" t="s">
        <v>255</v>
      </c>
      <c r="S40" s="20">
        <v>0.57999999999999996</v>
      </c>
    </row>
    <row r="41" spans="1:21" x14ac:dyDescent="0.25">
      <c r="A41">
        <v>39</v>
      </c>
      <c r="B41" s="64" t="s">
        <v>209</v>
      </c>
      <c r="C41" s="62" t="s">
        <v>208</v>
      </c>
      <c r="D41" s="68">
        <v>20</v>
      </c>
      <c r="H41">
        <v>1</v>
      </c>
      <c r="I41">
        <v>190</v>
      </c>
      <c r="J41">
        <v>115</v>
      </c>
      <c r="K41" t="b">
        <v>1</v>
      </c>
      <c r="N41" s="24" t="s">
        <v>491</v>
      </c>
      <c r="O41" s="2">
        <f>INDEX(Маршруты,MATCH(N41,$B$3:$B$498,0),1)</f>
        <v>2</v>
      </c>
      <c r="P41" s="27">
        <v>16</v>
      </c>
      <c r="Q41" s="2">
        <f>INDEX(Остановки,MATCH(R41,ИД_Остановки!$B$3:$B$467,0),1)</f>
        <v>28</v>
      </c>
      <c r="R41" s="45" t="s">
        <v>26</v>
      </c>
      <c r="S41" s="20">
        <v>0.51</v>
      </c>
    </row>
    <row r="42" spans="1:21" x14ac:dyDescent="0.25">
      <c r="A42">
        <v>40</v>
      </c>
      <c r="B42" s="64" t="s">
        <v>210</v>
      </c>
      <c r="C42" s="62" t="s">
        <v>208</v>
      </c>
      <c r="D42" s="68">
        <v>20</v>
      </c>
      <c r="H42">
        <v>1</v>
      </c>
      <c r="I42">
        <v>195</v>
      </c>
      <c r="J42">
        <v>115</v>
      </c>
      <c r="K42" t="b">
        <v>1</v>
      </c>
      <c r="N42" s="24" t="s">
        <v>491</v>
      </c>
      <c r="O42" s="2">
        <f>INDEX(Маршруты,MATCH(N42,$B$3:$B$498,0),1)</f>
        <v>2</v>
      </c>
      <c r="P42" s="27">
        <v>17</v>
      </c>
      <c r="Q42" s="2">
        <f>INDEX(Остановки,MATCH(R42,ИД_Остановки!$B$3:$B$467,0),1)</f>
        <v>27</v>
      </c>
      <c r="R42" s="45" t="s">
        <v>25</v>
      </c>
      <c r="S42" s="20">
        <v>0.36</v>
      </c>
    </row>
    <row r="43" spans="1:21" x14ac:dyDescent="0.25">
      <c r="A43" s="36">
        <v>41</v>
      </c>
      <c r="B43" s="64" t="s">
        <v>525</v>
      </c>
      <c r="C43" s="62" t="s">
        <v>208</v>
      </c>
      <c r="D43" s="68">
        <v>20</v>
      </c>
      <c r="H43">
        <v>1</v>
      </c>
      <c r="I43">
        <v>200</v>
      </c>
      <c r="J43">
        <v>115</v>
      </c>
      <c r="K43" t="b">
        <v>1</v>
      </c>
      <c r="N43" s="24" t="s">
        <v>491</v>
      </c>
      <c r="O43" s="2">
        <f>INDEX(Маршруты,MATCH(N43,$B$3:$B$498,0),1)</f>
        <v>2</v>
      </c>
      <c r="P43" s="27">
        <v>18</v>
      </c>
      <c r="Q43" s="2">
        <f>INDEX(Остановки,MATCH(R43,ИД_Остановки!$B$3:$B$467,0),1)</f>
        <v>372</v>
      </c>
      <c r="R43" s="45" t="s">
        <v>430</v>
      </c>
      <c r="S43" s="20">
        <v>0.52</v>
      </c>
    </row>
    <row r="44" spans="1:21" x14ac:dyDescent="0.25">
      <c r="A44" s="36">
        <v>42</v>
      </c>
      <c r="B44" s="64" t="s">
        <v>526</v>
      </c>
      <c r="C44" s="62" t="s">
        <v>208</v>
      </c>
      <c r="D44" s="68">
        <v>20</v>
      </c>
      <c r="H44">
        <v>1</v>
      </c>
      <c r="I44">
        <v>205</v>
      </c>
      <c r="J44">
        <v>115</v>
      </c>
      <c r="K44" t="b">
        <v>1</v>
      </c>
      <c r="N44" s="24" t="s">
        <v>491</v>
      </c>
      <c r="O44" s="2">
        <f>INDEX(Маршруты,MATCH(N44,$B$3:$B$498,0),1)</f>
        <v>2</v>
      </c>
      <c r="P44" s="27">
        <v>19</v>
      </c>
      <c r="Q44" s="2">
        <f>INDEX(Остановки,MATCH(R44,ИД_Остановки!$B$3:$B$467,0),1)</f>
        <v>26</v>
      </c>
      <c r="R44" s="45" t="s">
        <v>254</v>
      </c>
      <c r="S44" s="20">
        <v>0.45</v>
      </c>
    </row>
    <row r="45" spans="1:21" x14ac:dyDescent="0.25">
      <c r="A45">
        <v>43</v>
      </c>
      <c r="B45" s="64" t="s">
        <v>211</v>
      </c>
      <c r="C45" s="62" t="s">
        <v>208</v>
      </c>
      <c r="D45" s="68">
        <v>20</v>
      </c>
      <c r="H45">
        <v>1</v>
      </c>
      <c r="I45">
        <v>210</v>
      </c>
      <c r="J45">
        <v>115</v>
      </c>
      <c r="K45" t="b">
        <v>1</v>
      </c>
      <c r="N45" s="23" t="s">
        <v>491</v>
      </c>
      <c r="O45" s="2">
        <f>INDEX(Маршруты,MATCH(N45,$B$3:$B$498,0),1)</f>
        <v>2</v>
      </c>
      <c r="P45" s="27">
        <v>20</v>
      </c>
      <c r="Q45" s="2">
        <f>INDEX(Остановки,MATCH(R45,ИД_Остановки!$B$3:$B$467,0),1)</f>
        <v>25</v>
      </c>
      <c r="R45" s="45" t="s">
        <v>612</v>
      </c>
      <c r="S45" s="20">
        <v>0.53</v>
      </c>
    </row>
    <row r="46" spans="1:21" x14ac:dyDescent="0.25">
      <c r="A46">
        <v>44</v>
      </c>
      <c r="B46" s="65" t="s">
        <v>640</v>
      </c>
      <c r="C46" s="62" t="s">
        <v>208</v>
      </c>
      <c r="D46" s="68">
        <v>20</v>
      </c>
      <c r="H46">
        <v>1</v>
      </c>
      <c r="I46">
        <v>215</v>
      </c>
      <c r="J46">
        <v>115</v>
      </c>
      <c r="K46" t="b">
        <v>1</v>
      </c>
      <c r="N46" s="24" t="s">
        <v>491</v>
      </c>
      <c r="O46" s="2">
        <f>INDEX(Маршруты,MATCH(N46,$B$3:$B$498,0),1)</f>
        <v>2</v>
      </c>
      <c r="P46" s="27">
        <v>21</v>
      </c>
      <c r="Q46" s="2">
        <f>INDEX(Остановки,MATCH(R46,ИД_Остановки!$B$3:$B$467,0),1)</f>
        <v>24</v>
      </c>
      <c r="R46" s="45" t="s">
        <v>252</v>
      </c>
      <c r="S46" s="20">
        <v>0.65</v>
      </c>
    </row>
    <row r="47" spans="1:21" x14ac:dyDescent="0.25">
      <c r="A47">
        <v>45</v>
      </c>
      <c r="B47" s="64" t="s">
        <v>527</v>
      </c>
      <c r="C47" s="62" t="s">
        <v>208</v>
      </c>
      <c r="D47" s="68">
        <v>20</v>
      </c>
      <c r="H47">
        <v>1</v>
      </c>
      <c r="I47">
        <v>220</v>
      </c>
      <c r="J47">
        <v>115</v>
      </c>
      <c r="K47" t="b">
        <v>1</v>
      </c>
      <c r="N47" s="21" t="s">
        <v>491</v>
      </c>
      <c r="O47" s="2">
        <f>INDEX(Маршруты,MATCH(N47,$B$3:$B$498,0),1)</f>
        <v>2</v>
      </c>
      <c r="P47" s="27">
        <v>22</v>
      </c>
      <c r="Q47" s="2">
        <f>INDEX(Остановки,MATCH(R47,ИД_Остановки!$B$3:$B$467,0),1)</f>
        <v>23</v>
      </c>
      <c r="R47" s="45" t="s">
        <v>24</v>
      </c>
      <c r="S47" s="20">
        <v>0.57999999999999996</v>
      </c>
    </row>
    <row r="48" spans="1:21" x14ac:dyDescent="0.25">
      <c r="A48" s="35">
        <v>46</v>
      </c>
      <c r="B48" s="64" t="s">
        <v>212</v>
      </c>
      <c r="C48" s="62" t="s">
        <v>208</v>
      </c>
      <c r="D48" s="68">
        <v>20</v>
      </c>
      <c r="E48" s="35"/>
      <c r="F48" s="35"/>
      <c r="H48">
        <v>1</v>
      </c>
      <c r="I48">
        <v>225</v>
      </c>
      <c r="J48">
        <v>115</v>
      </c>
      <c r="K48" t="b">
        <v>1</v>
      </c>
      <c r="N48" s="24" t="s">
        <v>491</v>
      </c>
      <c r="O48" s="2">
        <f>INDEX(Маршруты,MATCH(N48,$B$3:$B$498,0),1)</f>
        <v>2</v>
      </c>
      <c r="P48" s="27">
        <v>23</v>
      </c>
      <c r="Q48" s="2">
        <f>INDEX(Остановки,MATCH(R48,ИД_Остановки!$B$3:$B$467,0),1)</f>
        <v>441</v>
      </c>
      <c r="R48" s="45" t="s">
        <v>645</v>
      </c>
      <c r="S48" s="20">
        <v>0.67</v>
      </c>
    </row>
    <row r="49" spans="1:19" x14ac:dyDescent="0.25">
      <c r="A49" s="35">
        <v>47</v>
      </c>
      <c r="B49" s="64" t="s">
        <v>213</v>
      </c>
      <c r="C49" s="62" t="s">
        <v>208</v>
      </c>
      <c r="D49" s="68">
        <v>20</v>
      </c>
      <c r="E49" s="35"/>
      <c r="F49" s="35"/>
      <c r="H49">
        <v>1</v>
      </c>
      <c r="I49">
        <v>230</v>
      </c>
      <c r="J49">
        <v>115</v>
      </c>
      <c r="K49" t="b">
        <v>1</v>
      </c>
      <c r="N49" s="24" t="s">
        <v>492</v>
      </c>
      <c r="O49" s="2">
        <f>INDEX(Маршруты,MATCH(N49,$B$3:$B$498,0),1)</f>
        <v>3</v>
      </c>
      <c r="P49" s="27">
        <v>1</v>
      </c>
      <c r="Q49" s="2">
        <f>INDEX(Остановки,MATCH(R49,ИД_Остановки!$B$3:$B$467,0),1)</f>
        <v>441</v>
      </c>
      <c r="R49" s="24" t="s">
        <v>645</v>
      </c>
      <c r="S49" s="20"/>
    </row>
    <row r="50" spans="1:19" x14ac:dyDescent="0.25">
      <c r="A50">
        <v>48</v>
      </c>
      <c r="B50" s="64" t="s">
        <v>528</v>
      </c>
      <c r="C50" s="62" t="s">
        <v>208</v>
      </c>
      <c r="D50" s="68">
        <v>20</v>
      </c>
      <c r="H50">
        <v>1</v>
      </c>
      <c r="I50">
        <v>235</v>
      </c>
      <c r="J50">
        <v>115</v>
      </c>
      <c r="K50" t="b">
        <v>1</v>
      </c>
      <c r="N50" s="24" t="s">
        <v>492</v>
      </c>
      <c r="O50" s="2">
        <f>INDEX(Маршруты,MATCH(N50,$B$3:$B$498,0),1)</f>
        <v>3</v>
      </c>
      <c r="P50" s="27">
        <v>2</v>
      </c>
      <c r="Q50" s="2">
        <f>INDEX(Остановки,MATCH(R50,ИД_Остановки!$B$3:$B$467,0),1)</f>
        <v>23</v>
      </c>
      <c r="R50" s="45" t="s">
        <v>24</v>
      </c>
      <c r="S50" s="20">
        <v>0.67</v>
      </c>
    </row>
    <row r="51" spans="1:19" x14ac:dyDescent="0.25">
      <c r="A51">
        <v>49</v>
      </c>
      <c r="B51" s="64" t="s">
        <v>529</v>
      </c>
      <c r="C51" s="62" t="s">
        <v>208</v>
      </c>
      <c r="D51" s="68">
        <v>20</v>
      </c>
      <c r="H51">
        <v>1</v>
      </c>
      <c r="I51">
        <v>240</v>
      </c>
      <c r="J51">
        <v>115</v>
      </c>
      <c r="K51" t="b">
        <v>1</v>
      </c>
      <c r="N51" s="24" t="s">
        <v>492</v>
      </c>
      <c r="O51" s="2">
        <f>INDEX(Маршруты,MATCH(N51,$B$3:$B$498,0),1)</f>
        <v>3</v>
      </c>
      <c r="P51" s="27">
        <v>3</v>
      </c>
      <c r="Q51" s="2">
        <f>INDEX(Остановки,MATCH(R51,ИД_Остановки!$B$3:$B$467,0),1)</f>
        <v>24</v>
      </c>
      <c r="R51" s="45" t="s">
        <v>252</v>
      </c>
      <c r="S51" s="20">
        <v>0.57999999999999996</v>
      </c>
    </row>
    <row r="52" spans="1:19" x14ac:dyDescent="0.25">
      <c r="A52">
        <v>50</v>
      </c>
      <c r="B52" s="64" t="s">
        <v>214</v>
      </c>
      <c r="C52" s="62" t="s">
        <v>208</v>
      </c>
      <c r="D52" s="68">
        <v>20</v>
      </c>
      <c r="H52">
        <v>1</v>
      </c>
      <c r="I52">
        <v>245</v>
      </c>
      <c r="J52">
        <v>115</v>
      </c>
      <c r="K52" t="b">
        <v>1</v>
      </c>
      <c r="N52" s="24" t="s">
        <v>492</v>
      </c>
      <c r="O52" s="2">
        <f>INDEX(Маршруты,MATCH(N52,$B$3:$B$498,0),1)</f>
        <v>3</v>
      </c>
      <c r="P52" s="27">
        <v>4</v>
      </c>
      <c r="Q52" s="2">
        <f>INDEX(Остановки,MATCH(R52,ИД_Остановки!$B$3:$B$467,0),1)</f>
        <v>25</v>
      </c>
      <c r="R52" s="45" t="s">
        <v>612</v>
      </c>
      <c r="S52" s="20">
        <v>0.65</v>
      </c>
    </row>
    <row r="53" spans="1:19" x14ac:dyDescent="0.25">
      <c r="A53">
        <v>51</v>
      </c>
      <c r="B53" s="64" t="s">
        <v>215</v>
      </c>
      <c r="C53" s="62" t="s">
        <v>208</v>
      </c>
      <c r="D53" s="68">
        <v>20</v>
      </c>
      <c r="H53">
        <v>1</v>
      </c>
      <c r="I53">
        <v>250</v>
      </c>
      <c r="J53">
        <v>115</v>
      </c>
      <c r="K53" t="b">
        <v>1</v>
      </c>
      <c r="N53" s="24" t="s">
        <v>492</v>
      </c>
      <c r="O53" s="2">
        <f>INDEX(Маршруты,MATCH(N53,$B$3:$B$498,0),1)</f>
        <v>3</v>
      </c>
      <c r="P53" s="27">
        <v>5</v>
      </c>
      <c r="Q53" s="2">
        <f>INDEX(Остановки,MATCH(R53,ИД_Остановки!$B$3:$B$467,0),1)</f>
        <v>26</v>
      </c>
      <c r="R53" s="45" t="s">
        <v>254</v>
      </c>
      <c r="S53" s="20">
        <v>0.53</v>
      </c>
    </row>
    <row r="54" spans="1:19" x14ac:dyDescent="0.25">
      <c r="A54">
        <v>52</v>
      </c>
      <c r="B54" s="64" t="s">
        <v>530</v>
      </c>
      <c r="C54" s="62" t="s">
        <v>208</v>
      </c>
      <c r="D54" s="68">
        <v>20</v>
      </c>
      <c r="H54">
        <v>1</v>
      </c>
      <c r="I54">
        <v>255</v>
      </c>
      <c r="J54">
        <v>115</v>
      </c>
      <c r="K54" t="b">
        <v>1</v>
      </c>
      <c r="N54" s="24" t="s">
        <v>492</v>
      </c>
      <c r="O54" s="2">
        <f>INDEX(Маршруты,MATCH(N54,$B$3:$B$498,0),1)</f>
        <v>3</v>
      </c>
      <c r="P54" s="27">
        <v>6</v>
      </c>
      <c r="Q54" s="2">
        <f>INDEX(Остановки,MATCH(R54,ИД_Остановки!$B$3:$B$467,0),1)</f>
        <v>372</v>
      </c>
      <c r="R54" s="45" t="s">
        <v>430</v>
      </c>
      <c r="S54" s="20">
        <v>0.45</v>
      </c>
    </row>
    <row r="55" spans="1:19" x14ac:dyDescent="0.25">
      <c r="A55">
        <v>53</v>
      </c>
      <c r="B55" s="64" t="s">
        <v>531</v>
      </c>
      <c r="C55" s="62" t="s">
        <v>208</v>
      </c>
      <c r="D55" s="68">
        <v>20</v>
      </c>
      <c r="H55">
        <v>1</v>
      </c>
      <c r="I55">
        <v>260</v>
      </c>
      <c r="J55">
        <v>115</v>
      </c>
      <c r="K55" t="b">
        <v>1</v>
      </c>
      <c r="N55" s="24" t="s">
        <v>492</v>
      </c>
      <c r="O55" s="2">
        <f>INDEX(Маршруты,MATCH(N55,$B$3:$B$498,0),1)</f>
        <v>3</v>
      </c>
      <c r="P55" s="27">
        <v>7</v>
      </c>
      <c r="Q55" s="2">
        <f>INDEX(Остановки,MATCH(R55,ИД_Остановки!$B$3:$B$467,0),1)</f>
        <v>27</v>
      </c>
      <c r="R55" s="24" t="s">
        <v>25</v>
      </c>
      <c r="S55" s="20">
        <v>0.52</v>
      </c>
    </row>
    <row r="56" spans="1:19" x14ac:dyDescent="0.25">
      <c r="A56">
        <v>54</v>
      </c>
      <c r="B56" s="64" t="s">
        <v>532</v>
      </c>
      <c r="C56" s="62" t="s">
        <v>208</v>
      </c>
      <c r="D56" s="68">
        <v>20</v>
      </c>
      <c r="H56">
        <v>1</v>
      </c>
      <c r="I56">
        <v>265</v>
      </c>
      <c r="J56">
        <v>115</v>
      </c>
      <c r="K56" t="b">
        <v>1</v>
      </c>
      <c r="N56" s="24" t="s">
        <v>492</v>
      </c>
      <c r="O56" s="2">
        <f>INDEX(Маршруты,MATCH(N56,$B$3:$B$498,0),1)</f>
        <v>3</v>
      </c>
      <c r="P56" s="27">
        <v>8</v>
      </c>
      <c r="Q56" s="2">
        <f>INDEX(Остановки,MATCH(R56,ИД_Остановки!$B$3:$B$467,0),1)</f>
        <v>28</v>
      </c>
      <c r="R56" s="45" t="s">
        <v>26</v>
      </c>
      <c r="S56" s="20">
        <v>0.36</v>
      </c>
    </row>
    <row r="57" spans="1:19" x14ac:dyDescent="0.25">
      <c r="A57">
        <v>55</v>
      </c>
      <c r="B57" s="64" t="s">
        <v>533</v>
      </c>
      <c r="C57" s="62" t="s">
        <v>208</v>
      </c>
      <c r="D57" s="68">
        <v>20</v>
      </c>
      <c r="H57">
        <v>1</v>
      </c>
      <c r="I57">
        <v>270</v>
      </c>
      <c r="J57">
        <v>115</v>
      </c>
      <c r="K57" t="b">
        <v>1</v>
      </c>
      <c r="N57" s="24" t="s">
        <v>492</v>
      </c>
      <c r="O57" s="2">
        <f>INDEX(Маршруты,MATCH(N57,$B$3:$B$498,0),1)</f>
        <v>3</v>
      </c>
      <c r="P57" s="27">
        <v>9</v>
      </c>
      <c r="Q57" s="2">
        <f>INDEX(Остановки,MATCH(R57,ИД_Остановки!$B$3:$B$467,0),1)</f>
        <v>29</v>
      </c>
      <c r="R57" s="45" t="s">
        <v>255</v>
      </c>
      <c r="S57" s="20">
        <v>0.51</v>
      </c>
    </row>
    <row r="58" spans="1:19" x14ac:dyDescent="0.25">
      <c r="A58">
        <v>56</v>
      </c>
      <c r="B58" s="64" t="s">
        <v>534</v>
      </c>
      <c r="C58" s="62" t="s">
        <v>208</v>
      </c>
      <c r="D58" s="68">
        <v>20</v>
      </c>
      <c r="H58">
        <v>1</v>
      </c>
      <c r="I58">
        <v>275</v>
      </c>
      <c r="J58">
        <v>115</v>
      </c>
      <c r="K58" t="b">
        <v>1</v>
      </c>
      <c r="N58" s="24" t="s">
        <v>492</v>
      </c>
      <c r="O58" s="2">
        <f>INDEX(Маршруты,MATCH(N58,$B$3:$B$498,0),1)</f>
        <v>3</v>
      </c>
      <c r="P58" s="27">
        <v>10</v>
      </c>
      <c r="Q58" s="2">
        <f>INDEX(Остановки,MATCH(R58,ИД_Остановки!$B$3:$B$467,0),1)</f>
        <v>228</v>
      </c>
      <c r="R58" s="45" t="s">
        <v>127</v>
      </c>
      <c r="S58" s="20">
        <v>0.57999999999999996</v>
      </c>
    </row>
    <row r="59" spans="1:19" x14ac:dyDescent="0.25">
      <c r="A59">
        <v>57</v>
      </c>
      <c r="B59" s="64" t="s">
        <v>535</v>
      </c>
      <c r="C59" s="62" t="s">
        <v>208</v>
      </c>
      <c r="D59" s="68">
        <v>20</v>
      </c>
      <c r="H59">
        <v>1</v>
      </c>
      <c r="I59">
        <v>280</v>
      </c>
      <c r="J59">
        <v>115</v>
      </c>
      <c r="K59" t="b">
        <v>1</v>
      </c>
      <c r="N59" s="23" t="s">
        <v>492</v>
      </c>
      <c r="O59" s="2">
        <f>INDEX(Маршруты,MATCH(N59,$B$3:$B$498,0),1)</f>
        <v>3</v>
      </c>
      <c r="P59" s="27">
        <v>11</v>
      </c>
      <c r="Q59" s="2">
        <f>INDEX(Остановки,MATCH(R59,ИД_Остановки!$B$3:$B$467,0),1)</f>
        <v>30</v>
      </c>
      <c r="R59" s="45" t="s">
        <v>27</v>
      </c>
      <c r="S59" s="20">
        <v>0.56999999999999995</v>
      </c>
    </row>
    <row r="60" spans="1:19" x14ac:dyDescent="0.25">
      <c r="A60">
        <v>58</v>
      </c>
      <c r="B60" s="64" t="s">
        <v>536</v>
      </c>
      <c r="C60" s="62" t="s">
        <v>208</v>
      </c>
      <c r="D60" s="68">
        <v>20</v>
      </c>
      <c r="H60">
        <v>1</v>
      </c>
      <c r="I60">
        <v>285</v>
      </c>
      <c r="J60">
        <v>115</v>
      </c>
      <c r="K60" t="b">
        <v>1</v>
      </c>
      <c r="N60" s="24" t="s">
        <v>492</v>
      </c>
      <c r="O60" s="2">
        <f>INDEX(Маршруты,MATCH(N60,$B$3:$B$498,0),1)</f>
        <v>3</v>
      </c>
      <c r="P60" s="27">
        <v>12</v>
      </c>
      <c r="Q60" s="2">
        <f>INDEX(Остановки,MATCH(R60,ИД_Остановки!$B$3:$B$467,0),1)</f>
        <v>3</v>
      </c>
      <c r="R60" s="45" t="s">
        <v>243</v>
      </c>
      <c r="S60" s="20">
        <v>0.56000000000000005</v>
      </c>
    </row>
    <row r="61" spans="1:19" x14ac:dyDescent="0.25">
      <c r="A61">
        <v>59</v>
      </c>
      <c r="B61" s="64" t="s">
        <v>537</v>
      </c>
      <c r="C61" s="62" t="s">
        <v>208</v>
      </c>
      <c r="D61" s="68">
        <v>20</v>
      </c>
      <c r="H61">
        <v>1</v>
      </c>
      <c r="I61">
        <v>290</v>
      </c>
      <c r="J61">
        <v>115</v>
      </c>
      <c r="K61" t="b">
        <v>1</v>
      </c>
      <c r="N61" s="24" t="s">
        <v>492</v>
      </c>
      <c r="O61" s="2">
        <f>INDEX(Маршруты,MATCH(N61,$B$3:$B$498,0),1)</f>
        <v>3</v>
      </c>
      <c r="P61" s="27">
        <v>13</v>
      </c>
      <c r="Q61" s="2">
        <f>INDEX(Остановки,MATCH(R61,ИД_Остановки!$B$3:$B$467,0),1)</f>
        <v>4</v>
      </c>
      <c r="R61" s="45" t="s">
        <v>244</v>
      </c>
      <c r="S61" s="20">
        <v>0.28000000000000003</v>
      </c>
    </row>
    <row r="62" spans="1:19" x14ac:dyDescent="0.25">
      <c r="A62">
        <v>60</v>
      </c>
      <c r="B62" s="64" t="s">
        <v>538</v>
      </c>
      <c r="C62" s="62" t="s">
        <v>208</v>
      </c>
      <c r="D62" s="68">
        <v>20</v>
      </c>
      <c r="H62">
        <v>1</v>
      </c>
      <c r="I62">
        <v>295</v>
      </c>
      <c r="J62">
        <v>115</v>
      </c>
      <c r="K62" t="b">
        <v>1</v>
      </c>
      <c r="N62" s="24" t="s">
        <v>492</v>
      </c>
      <c r="O62" s="2">
        <f>INDEX(Маршруты,MATCH(N62,$B$3:$B$498,0),1)</f>
        <v>3</v>
      </c>
      <c r="P62" s="28">
        <v>14</v>
      </c>
      <c r="Q62" s="2">
        <f>INDEX(Остановки,MATCH(R62,ИД_Остановки!$B$3:$B$467,0),1)</f>
        <v>5</v>
      </c>
      <c r="R62" s="24" t="s">
        <v>10</v>
      </c>
      <c r="S62" s="20">
        <v>0.26</v>
      </c>
    </row>
    <row r="63" spans="1:19" x14ac:dyDescent="0.25">
      <c r="A63">
        <v>61</v>
      </c>
      <c r="B63" s="64" t="s">
        <v>539</v>
      </c>
      <c r="C63" s="62" t="s">
        <v>208</v>
      </c>
      <c r="D63" s="68">
        <v>20</v>
      </c>
      <c r="H63">
        <v>1</v>
      </c>
      <c r="I63">
        <v>300</v>
      </c>
      <c r="J63">
        <v>115</v>
      </c>
      <c r="K63" t="b">
        <v>1</v>
      </c>
      <c r="N63" s="24" t="s">
        <v>492</v>
      </c>
      <c r="O63" s="2">
        <f>INDEX(Маршруты,MATCH(N63,$B$3:$B$498,0),1)</f>
        <v>3</v>
      </c>
      <c r="P63" s="27">
        <v>15</v>
      </c>
      <c r="Q63" s="2">
        <f>INDEX(Остановки,MATCH(R63,ИД_Остановки!$B$3:$B$467,0),1)</f>
        <v>6</v>
      </c>
      <c r="R63" s="45" t="s">
        <v>245</v>
      </c>
      <c r="S63" s="20">
        <v>0.53</v>
      </c>
    </row>
    <row r="64" spans="1:19" x14ac:dyDescent="0.25">
      <c r="A64" s="35">
        <v>62</v>
      </c>
      <c r="B64" s="64" t="s">
        <v>540</v>
      </c>
      <c r="C64" s="62" t="s">
        <v>208</v>
      </c>
      <c r="D64" s="68">
        <v>20</v>
      </c>
      <c r="E64" s="35"/>
      <c r="F64" s="35"/>
      <c r="H64">
        <v>1</v>
      </c>
      <c r="I64">
        <v>305</v>
      </c>
      <c r="J64">
        <v>115</v>
      </c>
      <c r="K64" t="b">
        <v>1</v>
      </c>
      <c r="N64" s="24" t="s">
        <v>492</v>
      </c>
      <c r="O64" s="2">
        <f>INDEX(Маршруты,MATCH(N64,$B$3:$B$498,0),1)</f>
        <v>3</v>
      </c>
      <c r="P64" s="27">
        <v>16</v>
      </c>
      <c r="Q64" s="2">
        <f>INDEX(Остановки,MATCH(R64,ИД_Остановки!$B$3:$B$467,0),1)</f>
        <v>7</v>
      </c>
      <c r="R64" s="45" t="s">
        <v>11</v>
      </c>
      <c r="S64" s="20">
        <v>0.52</v>
      </c>
    </row>
    <row r="65" spans="1:19" x14ac:dyDescent="0.25">
      <c r="A65">
        <v>63</v>
      </c>
      <c r="B65" s="64" t="s">
        <v>541</v>
      </c>
      <c r="C65" s="62" t="s">
        <v>208</v>
      </c>
      <c r="D65" s="68">
        <v>20</v>
      </c>
      <c r="H65">
        <v>1</v>
      </c>
      <c r="I65">
        <v>310</v>
      </c>
      <c r="J65">
        <v>115</v>
      </c>
      <c r="K65" t="b">
        <v>1</v>
      </c>
      <c r="N65" s="24" t="s">
        <v>492</v>
      </c>
      <c r="O65" s="2">
        <f>INDEX(Маршруты,MATCH(N65,$B$3:$B$498,0),1)</f>
        <v>3</v>
      </c>
      <c r="P65" s="28">
        <v>17</v>
      </c>
      <c r="Q65" s="2">
        <f>INDEX(Остановки,MATCH(R65,ИД_Остановки!$B$3:$B$467,0),1)</f>
        <v>8</v>
      </c>
      <c r="R65" s="24" t="s">
        <v>12</v>
      </c>
      <c r="S65" s="20">
        <v>0.32</v>
      </c>
    </row>
    <row r="66" spans="1:19" x14ac:dyDescent="0.25">
      <c r="A66" s="35">
        <v>64</v>
      </c>
      <c r="B66" s="64" t="s">
        <v>542</v>
      </c>
      <c r="C66" s="62" t="s">
        <v>208</v>
      </c>
      <c r="D66" s="68">
        <v>20</v>
      </c>
      <c r="E66" s="35"/>
      <c r="F66" s="35"/>
      <c r="H66">
        <v>1</v>
      </c>
      <c r="I66">
        <v>315</v>
      </c>
      <c r="J66">
        <v>115</v>
      </c>
      <c r="K66" t="b">
        <v>1</v>
      </c>
      <c r="N66" s="23" t="s">
        <v>492</v>
      </c>
      <c r="O66" s="2">
        <f>INDEX(Маршруты,MATCH(N66,$B$3:$B$498,0),1)</f>
        <v>3</v>
      </c>
      <c r="P66" s="27">
        <v>18</v>
      </c>
      <c r="Q66" s="2">
        <f>INDEX(Остановки,MATCH(R66,ИД_Остановки!$B$3:$B$467,0),1)</f>
        <v>9</v>
      </c>
      <c r="R66" s="45" t="s">
        <v>246</v>
      </c>
      <c r="S66" s="20">
        <v>0.55000000000000004</v>
      </c>
    </row>
    <row r="67" spans="1:19" x14ac:dyDescent="0.25">
      <c r="A67">
        <v>65</v>
      </c>
      <c r="B67" s="64" t="s">
        <v>543</v>
      </c>
      <c r="C67" s="62" t="s">
        <v>208</v>
      </c>
      <c r="D67" s="68">
        <v>20</v>
      </c>
      <c r="H67">
        <v>1</v>
      </c>
      <c r="I67">
        <v>320</v>
      </c>
      <c r="J67">
        <v>115</v>
      </c>
      <c r="K67" t="b">
        <v>1</v>
      </c>
      <c r="N67" s="23" t="s">
        <v>492</v>
      </c>
      <c r="O67" s="2">
        <f>INDEX(Маршруты,MATCH(N67,$B$3:$B$498,0),1)</f>
        <v>3</v>
      </c>
      <c r="P67" s="27">
        <v>19</v>
      </c>
      <c r="Q67" s="2">
        <f>INDEX(Остановки,MATCH(R67,ИД_Остановки!$B$3:$B$467,0),1)</f>
        <v>10</v>
      </c>
      <c r="R67" s="45" t="s">
        <v>247</v>
      </c>
      <c r="S67" s="20">
        <v>0.53</v>
      </c>
    </row>
    <row r="68" spans="1:19" x14ac:dyDescent="0.25">
      <c r="A68">
        <v>66</v>
      </c>
      <c r="B68" s="64" t="s">
        <v>641</v>
      </c>
      <c r="C68" s="62" t="s">
        <v>208</v>
      </c>
      <c r="D68" s="68">
        <v>20</v>
      </c>
      <c r="H68">
        <v>1</v>
      </c>
      <c r="I68">
        <v>325</v>
      </c>
      <c r="J68">
        <v>115</v>
      </c>
      <c r="K68" t="b">
        <v>1</v>
      </c>
      <c r="N68" s="23" t="s">
        <v>492</v>
      </c>
      <c r="O68" s="2">
        <f>INDEX(Маршруты,MATCH(N68,$B$3:$B$498,0),1)</f>
        <v>3</v>
      </c>
      <c r="P68" s="27">
        <v>20</v>
      </c>
      <c r="Q68" s="2">
        <f>INDEX(Остановки,MATCH(R68,ИД_Остановки!$B$3:$B$467,0),1)</f>
        <v>11</v>
      </c>
      <c r="R68" s="45" t="s">
        <v>248</v>
      </c>
      <c r="S68" s="20">
        <v>0.34</v>
      </c>
    </row>
    <row r="69" spans="1:19" x14ac:dyDescent="0.25">
      <c r="A69">
        <v>67</v>
      </c>
      <c r="B69" s="64" t="s">
        <v>642</v>
      </c>
      <c r="C69" s="62" t="s">
        <v>208</v>
      </c>
      <c r="D69" s="68">
        <v>20</v>
      </c>
      <c r="H69">
        <v>1</v>
      </c>
      <c r="I69">
        <v>330</v>
      </c>
      <c r="J69">
        <v>115</v>
      </c>
      <c r="K69" t="b">
        <v>1</v>
      </c>
      <c r="N69" s="24" t="s">
        <v>492</v>
      </c>
      <c r="O69" s="2">
        <f>INDEX(Маршруты,MATCH(N69,$B$3:$B$498,0),1)</f>
        <v>3</v>
      </c>
      <c r="P69" s="27">
        <v>21</v>
      </c>
      <c r="Q69" s="2">
        <f>INDEX(Остановки,MATCH(R69,ИД_Остановки!$B$3:$B$467,0),1)</f>
        <v>12</v>
      </c>
      <c r="R69" s="45" t="s">
        <v>13</v>
      </c>
      <c r="S69" s="20">
        <v>0.79</v>
      </c>
    </row>
    <row r="70" spans="1:19" x14ac:dyDescent="0.25">
      <c r="A70">
        <v>68</v>
      </c>
      <c r="B70" s="64" t="s">
        <v>544</v>
      </c>
      <c r="C70" s="62" t="s">
        <v>208</v>
      </c>
      <c r="D70" s="68">
        <v>20</v>
      </c>
      <c r="H70">
        <v>1</v>
      </c>
      <c r="I70">
        <v>335</v>
      </c>
      <c r="J70">
        <v>115</v>
      </c>
      <c r="K70" t="b">
        <v>1</v>
      </c>
      <c r="N70" s="24" t="s">
        <v>492</v>
      </c>
      <c r="O70" s="2">
        <f>INDEX(Маршруты,MATCH(N70,$B$3:$B$498,0),1)</f>
        <v>3</v>
      </c>
      <c r="P70" s="27">
        <v>22</v>
      </c>
      <c r="Q70" s="2">
        <f>INDEX(Остановки,MATCH(R70,ИД_Остановки!$B$3:$B$467,0),1)</f>
        <v>13</v>
      </c>
      <c r="R70" s="45" t="s">
        <v>249</v>
      </c>
      <c r="S70" s="20">
        <v>0.41</v>
      </c>
    </row>
    <row r="71" spans="1:19" x14ac:dyDescent="0.25">
      <c r="A71">
        <v>69</v>
      </c>
      <c r="B71" s="64" t="s">
        <v>216</v>
      </c>
      <c r="C71" s="62" t="s">
        <v>208</v>
      </c>
      <c r="D71" s="68">
        <v>20</v>
      </c>
      <c r="H71">
        <v>1</v>
      </c>
      <c r="I71">
        <v>340</v>
      </c>
      <c r="J71">
        <v>115</v>
      </c>
      <c r="K71" t="b">
        <v>1</v>
      </c>
      <c r="N71" s="24" t="s">
        <v>492</v>
      </c>
      <c r="O71" s="2">
        <f>INDEX(Маршруты,MATCH(N71,$B$3:$B$498,0),1)</f>
        <v>3</v>
      </c>
      <c r="P71" s="27">
        <v>23</v>
      </c>
      <c r="Q71" s="2">
        <f>INDEX(Остановки,MATCH(R71,ИД_Остановки!$B$3:$B$467,0),1)</f>
        <v>14</v>
      </c>
      <c r="R71" s="45" t="s">
        <v>250</v>
      </c>
      <c r="S71" s="20">
        <v>0.41</v>
      </c>
    </row>
    <row r="72" spans="1:19" x14ac:dyDescent="0.25">
      <c r="A72">
        <v>70</v>
      </c>
      <c r="B72" s="64" t="s">
        <v>545</v>
      </c>
      <c r="C72" s="62" t="s">
        <v>208</v>
      </c>
      <c r="D72" s="68">
        <v>20</v>
      </c>
      <c r="H72">
        <v>1</v>
      </c>
      <c r="I72">
        <v>345</v>
      </c>
      <c r="J72">
        <v>115</v>
      </c>
      <c r="K72" t="b">
        <v>1</v>
      </c>
      <c r="N72" s="24" t="s">
        <v>492</v>
      </c>
      <c r="O72" s="2">
        <f>INDEX(Маршруты,MATCH(N72,$B$3:$B$498,0),1)</f>
        <v>3</v>
      </c>
      <c r="P72" s="27">
        <v>24</v>
      </c>
      <c r="Q72" s="2">
        <f>INDEX(Остановки,MATCH(R72,ИД_Остановки!$B$3:$B$467,0),1)</f>
        <v>15</v>
      </c>
      <c r="R72" s="45" t="s">
        <v>15</v>
      </c>
      <c r="S72" s="20">
        <v>0.45</v>
      </c>
    </row>
    <row r="73" spans="1:19" x14ac:dyDescent="0.25">
      <c r="A73">
        <v>71</v>
      </c>
      <c r="B73" s="64" t="s">
        <v>546</v>
      </c>
      <c r="C73" s="62" t="s">
        <v>208</v>
      </c>
      <c r="D73" s="68">
        <v>20</v>
      </c>
      <c r="H73">
        <v>1</v>
      </c>
      <c r="I73">
        <v>350</v>
      </c>
      <c r="J73">
        <v>115</v>
      </c>
      <c r="K73" t="b">
        <v>1</v>
      </c>
      <c r="N73" s="24" t="s">
        <v>493</v>
      </c>
      <c r="O73" s="2">
        <f>INDEX(Маршруты,MATCH(N73,$B$3:$B$498,0),1)</f>
        <v>4</v>
      </c>
      <c r="P73" s="27">
        <v>1</v>
      </c>
      <c r="Q73" s="2">
        <f>INDEX(Остановки,MATCH(R73,ИД_Остановки!$B$3:$B$467,0),1)</f>
        <v>15</v>
      </c>
      <c r="R73" s="45" t="s">
        <v>15</v>
      </c>
      <c r="S73" s="20"/>
    </row>
    <row r="74" spans="1:19" x14ac:dyDescent="0.25">
      <c r="A74">
        <v>72</v>
      </c>
      <c r="B74" s="64" t="s">
        <v>547</v>
      </c>
      <c r="C74" s="62" t="s">
        <v>208</v>
      </c>
      <c r="D74" s="68">
        <v>20</v>
      </c>
      <c r="H74">
        <v>1</v>
      </c>
      <c r="I74">
        <v>355</v>
      </c>
      <c r="J74">
        <v>115</v>
      </c>
      <c r="K74" t="b">
        <v>1</v>
      </c>
      <c r="N74" s="24" t="s">
        <v>493</v>
      </c>
      <c r="O74" s="2">
        <f>INDEX(Маршруты,MATCH(N74,$B$3:$B$498,0),1)</f>
        <v>4</v>
      </c>
      <c r="P74" s="27">
        <v>2</v>
      </c>
      <c r="Q74" s="2">
        <f>INDEX(Остановки,MATCH(R74,ИД_Остановки!$B$3:$B$467,0),1)</f>
        <v>14</v>
      </c>
      <c r="R74" s="24" t="s">
        <v>250</v>
      </c>
      <c r="S74" s="20">
        <v>0.45</v>
      </c>
    </row>
    <row r="75" spans="1:19" x14ac:dyDescent="0.25">
      <c r="A75">
        <v>73</v>
      </c>
      <c r="B75" s="64" t="s">
        <v>548</v>
      </c>
      <c r="C75" s="62" t="s">
        <v>208</v>
      </c>
      <c r="D75" s="68">
        <v>20</v>
      </c>
      <c r="H75">
        <v>1</v>
      </c>
      <c r="I75">
        <v>360</v>
      </c>
      <c r="J75">
        <v>115</v>
      </c>
      <c r="K75" t="b">
        <v>1</v>
      </c>
      <c r="N75" s="24" t="s">
        <v>493</v>
      </c>
      <c r="O75" s="2">
        <f>INDEX(Маршруты,MATCH(N75,$B$3:$B$498,0),1)</f>
        <v>4</v>
      </c>
      <c r="P75" s="27">
        <v>3</v>
      </c>
      <c r="Q75" s="2">
        <f>INDEX(Остановки,MATCH(R75,ИД_Остановки!$B$3:$B$467,0),1)</f>
        <v>13</v>
      </c>
      <c r="R75" s="45" t="s">
        <v>249</v>
      </c>
      <c r="S75" s="20">
        <v>0.41</v>
      </c>
    </row>
    <row r="76" spans="1:19" x14ac:dyDescent="0.25">
      <c r="A76">
        <v>74</v>
      </c>
      <c r="B76" s="64" t="s">
        <v>549</v>
      </c>
      <c r="C76" s="62" t="s">
        <v>208</v>
      </c>
      <c r="D76" s="68">
        <v>20</v>
      </c>
      <c r="H76">
        <v>1</v>
      </c>
      <c r="I76">
        <v>365</v>
      </c>
      <c r="J76">
        <v>115</v>
      </c>
      <c r="K76" t="b">
        <v>1</v>
      </c>
      <c r="N76" s="24" t="s">
        <v>493</v>
      </c>
      <c r="O76" s="2">
        <f>INDEX(Маршруты,MATCH(N76,$B$3:$B$498,0),1)</f>
        <v>4</v>
      </c>
      <c r="P76" s="27">
        <v>4</v>
      </c>
      <c r="Q76" s="2">
        <f>INDEX(Остановки,MATCH(R76,ИД_Остановки!$B$3:$B$467,0),1)</f>
        <v>12</v>
      </c>
      <c r="R76" s="45" t="s">
        <v>13</v>
      </c>
      <c r="S76" s="20">
        <v>0.41</v>
      </c>
    </row>
    <row r="77" spans="1:19" x14ac:dyDescent="0.25">
      <c r="A77" s="35">
        <v>75</v>
      </c>
      <c r="B77" s="64" t="s">
        <v>550</v>
      </c>
      <c r="C77" s="62" t="s">
        <v>208</v>
      </c>
      <c r="D77" s="68">
        <v>20</v>
      </c>
      <c r="H77">
        <v>1</v>
      </c>
      <c r="I77">
        <v>370</v>
      </c>
      <c r="J77">
        <v>115</v>
      </c>
      <c r="K77" t="b">
        <v>1</v>
      </c>
      <c r="N77" s="24" t="s">
        <v>493</v>
      </c>
      <c r="O77" s="2">
        <f>INDEX(Маршруты,MATCH(N77,$B$3:$B$498,0),1)</f>
        <v>4</v>
      </c>
      <c r="P77" s="28">
        <v>5</v>
      </c>
      <c r="Q77" s="2">
        <f>INDEX(Остановки,MATCH(R77,ИД_Остановки!$B$3:$B$467,0),1)</f>
        <v>11</v>
      </c>
      <c r="R77" s="24" t="s">
        <v>248</v>
      </c>
      <c r="S77" s="20">
        <v>0.79</v>
      </c>
    </row>
    <row r="78" spans="1:19" x14ac:dyDescent="0.25">
      <c r="A78" s="35">
        <v>76</v>
      </c>
      <c r="B78" s="64" t="s">
        <v>551</v>
      </c>
      <c r="C78" s="62" t="s">
        <v>208</v>
      </c>
      <c r="D78" s="68">
        <v>20</v>
      </c>
      <c r="H78">
        <v>1</v>
      </c>
      <c r="I78">
        <v>375</v>
      </c>
      <c r="J78">
        <v>115</v>
      </c>
      <c r="K78" t="b">
        <v>1</v>
      </c>
      <c r="N78" s="24" t="s">
        <v>493</v>
      </c>
      <c r="O78" s="2">
        <f>INDEX(Маршруты,MATCH(N78,$B$3:$B$498,0),1)</f>
        <v>4</v>
      </c>
      <c r="P78" s="28">
        <v>6</v>
      </c>
      <c r="Q78" s="2">
        <f>INDEX(Остановки,MATCH(R78,ИД_Остановки!$B$3:$B$467,0),1)</f>
        <v>10</v>
      </c>
      <c r="R78" s="24" t="s">
        <v>247</v>
      </c>
      <c r="S78" s="20">
        <v>0.34</v>
      </c>
    </row>
    <row r="79" spans="1:19" x14ac:dyDescent="0.25">
      <c r="A79">
        <v>77</v>
      </c>
      <c r="B79" s="64" t="s">
        <v>552</v>
      </c>
      <c r="C79" s="62" t="s">
        <v>208</v>
      </c>
      <c r="D79" s="68">
        <v>20</v>
      </c>
      <c r="H79">
        <v>1</v>
      </c>
      <c r="I79">
        <v>380</v>
      </c>
      <c r="J79">
        <v>115</v>
      </c>
      <c r="K79" t="b">
        <v>1</v>
      </c>
      <c r="N79" s="24" t="s">
        <v>493</v>
      </c>
      <c r="O79" s="2">
        <f>INDEX(Маршруты,MATCH(N79,$B$3:$B$498,0),1)</f>
        <v>4</v>
      </c>
      <c r="P79" s="27">
        <v>7</v>
      </c>
      <c r="Q79" s="2">
        <f>INDEX(Остановки,MATCH(R79,ИД_Остановки!$B$3:$B$467,0),1)</f>
        <v>9</v>
      </c>
      <c r="R79" s="45" t="s">
        <v>246</v>
      </c>
      <c r="S79" s="20">
        <v>0.53</v>
      </c>
    </row>
    <row r="80" spans="1:19" x14ac:dyDescent="0.25">
      <c r="A80">
        <v>78</v>
      </c>
      <c r="B80" s="64" t="s">
        <v>553</v>
      </c>
      <c r="C80" s="62" t="s">
        <v>208</v>
      </c>
      <c r="D80" s="68">
        <v>20</v>
      </c>
      <c r="H80">
        <v>1</v>
      </c>
      <c r="I80">
        <v>385</v>
      </c>
      <c r="J80">
        <v>115</v>
      </c>
      <c r="K80" t="b">
        <v>1</v>
      </c>
      <c r="N80" s="24" t="s">
        <v>493</v>
      </c>
      <c r="O80" s="2">
        <f>INDEX(Маршруты,MATCH(N80,$B$3:$B$498,0),1)</f>
        <v>4</v>
      </c>
      <c r="P80" s="27">
        <v>8</v>
      </c>
      <c r="Q80" s="2">
        <f>INDEX(Остановки,MATCH(R80,ИД_Остановки!$B$3:$B$467,0),1)</f>
        <v>8</v>
      </c>
      <c r="R80" s="45" t="s">
        <v>12</v>
      </c>
      <c r="S80" s="20">
        <v>0.55000000000000004</v>
      </c>
    </row>
    <row r="81" spans="1:19" x14ac:dyDescent="0.25">
      <c r="A81">
        <v>79</v>
      </c>
      <c r="B81" s="64" t="s">
        <v>554</v>
      </c>
      <c r="C81" s="62" t="s">
        <v>208</v>
      </c>
      <c r="D81" s="68">
        <v>20</v>
      </c>
      <c r="H81">
        <v>1</v>
      </c>
      <c r="I81">
        <v>390</v>
      </c>
      <c r="J81">
        <v>115</v>
      </c>
      <c r="K81" t="b">
        <v>1</v>
      </c>
      <c r="N81" s="24" t="s">
        <v>493</v>
      </c>
      <c r="O81" s="2">
        <f>INDEX(Маршруты,MATCH(N81,$B$3:$B$498,0),1)</f>
        <v>4</v>
      </c>
      <c r="P81" s="27">
        <v>9</v>
      </c>
      <c r="Q81" s="2">
        <f>INDEX(Остановки,MATCH(R81,ИД_Остановки!$B$3:$B$467,0),1)</f>
        <v>7</v>
      </c>
      <c r="R81" s="45" t="s">
        <v>11</v>
      </c>
      <c r="S81" s="20">
        <v>0.32</v>
      </c>
    </row>
    <row r="82" spans="1:19" x14ac:dyDescent="0.25">
      <c r="A82">
        <v>80</v>
      </c>
      <c r="B82" s="64" t="s">
        <v>555</v>
      </c>
      <c r="C82" s="62" t="s">
        <v>208</v>
      </c>
      <c r="D82" s="68">
        <v>20</v>
      </c>
      <c r="H82">
        <v>1</v>
      </c>
      <c r="I82">
        <v>395</v>
      </c>
      <c r="J82">
        <v>115</v>
      </c>
      <c r="K82" t="b">
        <v>1</v>
      </c>
      <c r="N82" s="24" t="s">
        <v>493</v>
      </c>
      <c r="O82" s="2">
        <f>INDEX(Маршруты,MATCH(N82,$B$3:$B$498,0),1)</f>
        <v>4</v>
      </c>
      <c r="P82" s="27">
        <v>10</v>
      </c>
      <c r="Q82" s="2">
        <f>INDEX(Остановки,MATCH(R82,ИД_Остановки!$B$3:$B$467,0),1)</f>
        <v>6</v>
      </c>
      <c r="R82" s="45" t="s">
        <v>245</v>
      </c>
      <c r="S82" s="20">
        <v>0.52</v>
      </c>
    </row>
    <row r="83" spans="1:19" x14ac:dyDescent="0.25">
      <c r="A83">
        <v>81</v>
      </c>
      <c r="B83" s="64" t="s">
        <v>556</v>
      </c>
      <c r="C83" s="62" t="s">
        <v>208</v>
      </c>
      <c r="D83" s="68">
        <v>20</v>
      </c>
      <c r="H83">
        <v>1</v>
      </c>
      <c r="I83">
        <v>400</v>
      </c>
      <c r="J83">
        <v>115</v>
      </c>
      <c r="K83" t="b">
        <v>1</v>
      </c>
      <c r="N83" s="24" t="s">
        <v>493</v>
      </c>
      <c r="O83" s="2">
        <f>INDEX(Маршруты,MATCH(N83,$B$3:$B$498,0),1)</f>
        <v>4</v>
      </c>
      <c r="P83" s="27">
        <v>11</v>
      </c>
      <c r="Q83" s="2">
        <f>INDEX(Остановки,MATCH(R83,ИД_Остановки!$B$3:$B$467,0),1)</f>
        <v>5</v>
      </c>
      <c r="R83" s="45" t="s">
        <v>10</v>
      </c>
      <c r="S83" s="20">
        <v>0.53</v>
      </c>
    </row>
    <row r="84" spans="1:19" x14ac:dyDescent="0.25">
      <c r="A84">
        <v>82</v>
      </c>
      <c r="B84" s="64" t="s">
        <v>557</v>
      </c>
      <c r="C84" s="62" t="s">
        <v>208</v>
      </c>
      <c r="D84" s="68">
        <v>20</v>
      </c>
      <c r="H84">
        <v>1</v>
      </c>
      <c r="I84">
        <v>405</v>
      </c>
      <c r="J84">
        <v>115</v>
      </c>
      <c r="K84" t="b">
        <v>1</v>
      </c>
      <c r="N84" s="24" t="s">
        <v>493</v>
      </c>
      <c r="O84" s="2">
        <f>INDEX(Маршруты,MATCH(N84,$B$3:$B$498,0),1)</f>
        <v>4</v>
      </c>
      <c r="P84" s="27">
        <v>12</v>
      </c>
      <c r="Q84" s="2">
        <f>INDEX(Остановки,MATCH(R84,ИД_Остановки!$B$3:$B$467,0),1)</f>
        <v>4</v>
      </c>
      <c r="R84" s="45" t="s">
        <v>244</v>
      </c>
      <c r="S84" s="20">
        <v>0.26</v>
      </c>
    </row>
    <row r="85" spans="1:19" x14ac:dyDescent="0.25">
      <c r="A85">
        <v>83</v>
      </c>
      <c r="B85" s="64" t="s">
        <v>558</v>
      </c>
      <c r="C85" s="62" t="s">
        <v>208</v>
      </c>
      <c r="D85" s="68">
        <v>20</v>
      </c>
      <c r="H85">
        <v>1</v>
      </c>
      <c r="I85">
        <v>410</v>
      </c>
      <c r="J85">
        <v>115</v>
      </c>
      <c r="K85" t="b">
        <v>1</v>
      </c>
      <c r="N85" s="23" t="s">
        <v>493</v>
      </c>
      <c r="O85" s="2">
        <f>INDEX(Маршруты,MATCH(N85,$B$3:$B$498,0),1)</f>
        <v>4</v>
      </c>
      <c r="P85" s="27">
        <v>13</v>
      </c>
      <c r="Q85" s="2">
        <f>INDEX(Остановки,MATCH(R85,ИД_Остановки!$B$3:$B$467,0),1)</f>
        <v>3</v>
      </c>
      <c r="R85" s="45" t="s">
        <v>243</v>
      </c>
      <c r="S85" s="20">
        <v>0.28000000000000003</v>
      </c>
    </row>
    <row r="86" spans="1:19" x14ac:dyDescent="0.25">
      <c r="A86">
        <v>84</v>
      </c>
      <c r="B86" s="64" t="s">
        <v>559</v>
      </c>
      <c r="C86" s="62" t="s">
        <v>208</v>
      </c>
      <c r="D86" s="68">
        <v>20</v>
      </c>
      <c r="H86">
        <v>1</v>
      </c>
      <c r="I86">
        <v>415</v>
      </c>
      <c r="J86">
        <v>115</v>
      </c>
      <c r="K86" t="b">
        <v>1</v>
      </c>
      <c r="N86" s="24" t="s">
        <v>493</v>
      </c>
      <c r="O86" s="2">
        <f>INDEX(Маршруты,MATCH(N86,$B$3:$B$498,0),1)</f>
        <v>4</v>
      </c>
      <c r="P86" s="27">
        <v>14</v>
      </c>
      <c r="Q86" s="2">
        <f>INDEX(Остановки,MATCH(R86,ИД_Остановки!$B$3:$B$467,0),1)</f>
        <v>30</v>
      </c>
      <c r="R86" s="45" t="s">
        <v>27</v>
      </c>
      <c r="S86" s="20">
        <v>0.56000000000000005</v>
      </c>
    </row>
    <row r="87" spans="1:19" x14ac:dyDescent="0.25">
      <c r="A87">
        <v>85</v>
      </c>
      <c r="B87" s="64" t="s">
        <v>560</v>
      </c>
      <c r="C87" s="62" t="s">
        <v>208</v>
      </c>
      <c r="D87" s="68">
        <v>20</v>
      </c>
      <c r="H87">
        <v>1</v>
      </c>
      <c r="I87">
        <v>420</v>
      </c>
      <c r="J87">
        <v>115</v>
      </c>
      <c r="K87" t="b">
        <v>1</v>
      </c>
      <c r="N87" s="24" t="s">
        <v>493</v>
      </c>
      <c r="O87" s="2">
        <f>INDEX(Маршруты,MATCH(N87,$B$3:$B$498,0),1)</f>
        <v>4</v>
      </c>
      <c r="P87" s="27">
        <v>15</v>
      </c>
      <c r="Q87" s="2">
        <f>INDEX(Остановки,MATCH(R87,ИД_Остановки!$B$3:$B$467,0),1)</f>
        <v>228</v>
      </c>
      <c r="R87" s="45" t="s">
        <v>127</v>
      </c>
      <c r="S87" s="20">
        <v>0.56999999999999995</v>
      </c>
    </row>
    <row r="88" spans="1:19" x14ac:dyDescent="0.25">
      <c r="A88">
        <v>86</v>
      </c>
      <c r="B88" s="64" t="s">
        <v>561</v>
      </c>
      <c r="C88" s="62" t="s">
        <v>208</v>
      </c>
      <c r="D88" s="68">
        <v>20</v>
      </c>
      <c r="H88">
        <v>1</v>
      </c>
      <c r="I88">
        <v>425</v>
      </c>
      <c r="J88">
        <v>115</v>
      </c>
      <c r="K88" t="b">
        <v>1</v>
      </c>
      <c r="N88" s="24" t="s">
        <v>493</v>
      </c>
      <c r="O88" s="2">
        <f>INDEX(Маршруты,MATCH(N88,$B$3:$B$498,0),1)</f>
        <v>4</v>
      </c>
      <c r="P88" s="27">
        <v>16</v>
      </c>
      <c r="Q88" s="2">
        <f>INDEX(Остановки,MATCH(R88,ИД_Остановки!$B$3:$B$467,0),1)</f>
        <v>29</v>
      </c>
      <c r="R88" s="45" t="s">
        <v>255</v>
      </c>
      <c r="S88" s="20">
        <v>0.57999999999999996</v>
      </c>
    </row>
    <row r="89" spans="1:19" x14ac:dyDescent="0.25">
      <c r="A89">
        <v>87</v>
      </c>
      <c r="B89" s="64" t="s">
        <v>562</v>
      </c>
      <c r="C89" s="62" t="s">
        <v>208</v>
      </c>
      <c r="D89" s="68">
        <v>20</v>
      </c>
      <c r="H89">
        <v>1</v>
      </c>
      <c r="I89">
        <v>430</v>
      </c>
      <c r="J89">
        <v>115</v>
      </c>
      <c r="K89" t="b">
        <v>1</v>
      </c>
      <c r="N89" s="24" t="s">
        <v>493</v>
      </c>
      <c r="O89" s="2">
        <f>INDEX(Маршруты,MATCH(N89,$B$3:$B$498,0),1)</f>
        <v>4</v>
      </c>
      <c r="P89" s="27">
        <v>17</v>
      </c>
      <c r="Q89" s="2">
        <f>INDEX(Остановки,MATCH(R89,ИД_Остановки!$B$3:$B$467,0),1)</f>
        <v>28</v>
      </c>
      <c r="R89" s="45" t="s">
        <v>26</v>
      </c>
      <c r="S89" s="20">
        <v>0.51</v>
      </c>
    </row>
    <row r="90" spans="1:19" x14ac:dyDescent="0.25">
      <c r="A90">
        <v>88</v>
      </c>
      <c r="B90" s="64" t="s">
        <v>563</v>
      </c>
      <c r="C90" s="62" t="s">
        <v>208</v>
      </c>
      <c r="D90" s="68">
        <v>20</v>
      </c>
      <c r="H90">
        <v>1</v>
      </c>
      <c r="I90">
        <v>435</v>
      </c>
      <c r="J90">
        <v>115</v>
      </c>
      <c r="K90" t="b">
        <v>1</v>
      </c>
      <c r="N90" s="24" t="s">
        <v>493</v>
      </c>
      <c r="O90" s="2">
        <f>INDEX(Маршруты,MATCH(N90,$B$3:$B$498,0),1)</f>
        <v>4</v>
      </c>
      <c r="P90" s="27">
        <v>18</v>
      </c>
      <c r="Q90" s="2">
        <f>INDEX(Остановки,MATCH(R90,ИД_Остановки!$B$3:$B$467,0),1)</f>
        <v>27</v>
      </c>
      <c r="R90" s="45" t="s">
        <v>25</v>
      </c>
      <c r="S90" s="20">
        <v>0.36</v>
      </c>
    </row>
    <row r="91" spans="1:19" x14ac:dyDescent="0.25">
      <c r="A91" s="36">
        <v>89</v>
      </c>
      <c r="B91" s="64" t="s">
        <v>564</v>
      </c>
      <c r="C91" s="62" t="s">
        <v>208</v>
      </c>
      <c r="D91" s="68">
        <v>20</v>
      </c>
      <c r="H91">
        <v>1</v>
      </c>
      <c r="I91">
        <v>440</v>
      </c>
      <c r="J91">
        <v>115</v>
      </c>
      <c r="K91" t="b">
        <v>1</v>
      </c>
      <c r="N91" s="24" t="s">
        <v>493</v>
      </c>
      <c r="O91" s="2">
        <f>INDEX(Маршруты,MATCH(N91,$B$3:$B$498,0),1)</f>
        <v>4</v>
      </c>
      <c r="P91" s="28">
        <v>19</v>
      </c>
      <c r="Q91" s="2">
        <f>INDEX(Остановки,MATCH(R91,ИД_Остановки!$B$3:$B$467,0),1)</f>
        <v>372</v>
      </c>
      <c r="R91" s="24" t="s">
        <v>430</v>
      </c>
      <c r="S91" s="20">
        <v>0.52</v>
      </c>
    </row>
    <row r="92" spans="1:19" x14ac:dyDescent="0.25">
      <c r="A92" s="36">
        <v>90</v>
      </c>
      <c r="B92" s="64" t="s">
        <v>565</v>
      </c>
      <c r="C92" s="62" t="s">
        <v>208</v>
      </c>
      <c r="D92" s="68">
        <v>20</v>
      </c>
      <c r="H92">
        <v>1</v>
      </c>
      <c r="I92">
        <v>445</v>
      </c>
      <c r="J92">
        <v>115</v>
      </c>
      <c r="K92" t="b">
        <v>1</v>
      </c>
      <c r="N92" s="24" t="s">
        <v>493</v>
      </c>
      <c r="O92" s="2">
        <f>INDEX(Маршруты,MATCH(N92,$B$3:$B$498,0),1)</f>
        <v>4</v>
      </c>
      <c r="P92" s="27">
        <v>20</v>
      </c>
      <c r="Q92" s="2">
        <f>INDEX(Остановки,MATCH(R92,ИД_Остановки!$B$3:$B$467,0),1)</f>
        <v>26</v>
      </c>
      <c r="R92" s="45" t="s">
        <v>254</v>
      </c>
      <c r="S92" s="20">
        <v>0.45</v>
      </c>
    </row>
    <row r="93" spans="1:19" x14ac:dyDescent="0.25">
      <c r="A93" s="36">
        <v>91</v>
      </c>
      <c r="B93" s="64" t="s">
        <v>217</v>
      </c>
      <c r="C93" s="62" t="s">
        <v>208</v>
      </c>
      <c r="D93" s="68">
        <v>20</v>
      </c>
      <c r="H93">
        <v>1</v>
      </c>
      <c r="I93">
        <v>450</v>
      </c>
      <c r="J93">
        <v>115</v>
      </c>
      <c r="K93" t="b">
        <v>1</v>
      </c>
      <c r="N93" s="24" t="s">
        <v>493</v>
      </c>
      <c r="O93" s="2">
        <f>INDEX(Маршруты,MATCH(N93,$B$3:$B$498,0),1)</f>
        <v>4</v>
      </c>
      <c r="P93" s="27">
        <v>21</v>
      </c>
      <c r="Q93" s="2">
        <f>INDEX(Остановки,MATCH(R93,ИД_Остановки!$B$3:$B$467,0),1)</f>
        <v>25</v>
      </c>
      <c r="R93" s="45" t="s">
        <v>612</v>
      </c>
      <c r="S93" s="20">
        <v>0.53</v>
      </c>
    </row>
    <row r="94" spans="1:19" x14ac:dyDescent="0.25">
      <c r="A94" s="36">
        <v>92</v>
      </c>
      <c r="B94" s="64" t="s">
        <v>566</v>
      </c>
      <c r="C94" s="62" t="s">
        <v>208</v>
      </c>
      <c r="D94" s="68">
        <v>20</v>
      </c>
      <c r="H94">
        <v>1</v>
      </c>
      <c r="I94">
        <v>455</v>
      </c>
      <c r="J94">
        <v>115</v>
      </c>
      <c r="K94" t="b">
        <v>1</v>
      </c>
      <c r="N94" s="24" t="s">
        <v>493</v>
      </c>
      <c r="O94" s="2">
        <f>INDEX(Маршруты,MATCH(N94,$B$3:$B$498,0),1)</f>
        <v>4</v>
      </c>
      <c r="P94" s="27">
        <v>22</v>
      </c>
      <c r="Q94" s="2">
        <f>INDEX(Остановки,MATCH(R94,ИД_Остановки!$B$3:$B$467,0),1)</f>
        <v>24</v>
      </c>
      <c r="R94" s="45" t="s">
        <v>252</v>
      </c>
      <c r="S94" s="20">
        <v>0.65</v>
      </c>
    </row>
    <row r="95" spans="1:19" x14ac:dyDescent="0.25">
      <c r="A95" s="36">
        <v>93</v>
      </c>
      <c r="B95" s="64" t="s">
        <v>567</v>
      </c>
      <c r="C95" s="62" t="s">
        <v>208</v>
      </c>
      <c r="D95" s="68">
        <v>20</v>
      </c>
      <c r="H95">
        <v>1</v>
      </c>
      <c r="I95">
        <v>460</v>
      </c>
      <c r="J95">
        <v>115</v>
      </c>
      <c r="K95" t="b">
        <v>1</v>
      </c>
      <c r="N95" s="24" t="s">
        <v>493</v>
      </c>
      <c r="O95" s="2">
        <f>INDEX(Маршруты,MATCH(N95,$B$3:$B$498,0),1)</f>
        <v>4</v>
      </c>
      <c r="P95" s="27">
        <v>23</v>
      </c>
      <c r="Q95" s="2">
        <f>INDEX(Остановки,MATCH(R95,ИД_Остановки!$B$3:$B$467,0),1)</f>
        <v>23</v>
      </c>
      <c r="R95" s="45" t="s">
        <v>24</v>
      </c>
      <c r="S95" s="20">
        <v>0.57999999999999996</v>
      </c>
    </row>
    <row r="96" spans="1:19" x14ac:dyDescent="0.25">
      <c r="A96" s="36">
        <v>94</v>
      </c>
      <c r="B96" s="64" t="s">
        <v>568</v>
      </c>
      <c r="C96" s="62" t="s">
        <v>208</v>
      </c>
      <c r="D96" s="68">
        <v>20</v>
      </c>
      <c r="H96">
        <v>1</v>
      </c>
      <c r="I96">
        <v>465</v>
      </c>
      <c r="J96">
        <v>115</v>
      </c>
      <c r="K96" t="b">
        <v>1</v>
      </c>
      <c r="N96" s="24" t="s">
        <v>493</v>
      </c>
      <c r="O96" s="2">
        <f>INDEX(Маршруты,MATCH(N96,$B$3:$B$498,0),1)</f>
        <v>4</v>
      </c>
      <c r="P96" s="27">
        <v>24</v>
      </c>
      <c r="Q96" s="2">
        <f>INDEX(Остановки,MATCH(R96,ИД_Остановки!$B$3:$B$467,0),1)</f>
        <v>441</v>
      </c>
      <c r="R96" s="45" t="s">
        <v>645</v>
      </c>
      <c r="S96" s="20">
        <v>0.67</v>
      </c>
    </row>
    <row r="97" spans="1:19" x14ac:dyDescent="0.25">
      <c r="A97">
        <v>95</v>
      </c>
      <c r="B97" s="64" t="s">
        <v>569</v>
      </c>
      <c r="C97" s="62" t="s">
        <v>208</v>
      </c>
      <c r="D97" s="68">
        <v>20</v>
      </c>
      <c r="H97">
        <v>1</v>
      </c>
      <c r="I97">
        <v>470</v>
      </c>
      <c r="J97">
        <v>115</v>
      </c>
      <c r="K97" t="b">
        <v>1</v>
      </c>
      <c r="N97" s="24" t="s">
        <v>494</v>
      </c>
      <c r="O97" s="2">
        <f>INDEX(Маршруты,MATCH(N97,$B$3:$B$498,0),1)</f>
        <v>5</v>
      </c>
      <c r="P97" s="27">
        <v>1</v>
      </c>
      <c r="Q97" s="2">
        <f>INDEX(Остановки,MATCH(R97,ИД_Остановки!$B$3:$B$467,0),1)</f>
        <v>6</v>
      </c>
      <c r="R97" s="24" t="s">
        <v>245</v>
      </c>
      <c r="S97" s="20"/>
    </row>
    <row r="98" spans="1:19" x14ac:dyDescent="0.25">
      <c r="A98">
        <v>96</v>
      </c>
      <c r="B98" s="64" t="s">
        <v>570</v>
      </c>
      <c r="C98" s="62" t="s">
        <v>208</v>
      </c>
      <c r="D98" s="68">
        <v>20</v>
      </c>
      <c r="H98">
        <v>1</v>
      </c>
      <c r="I98">
        <v>475</v>
      </c>
      <c r="J98">
        <v>115</v>
      </c>
      <c r="K98" t="b">
        <v>1</v>
      </c>
      <c r="N98" s="24" t="s">
        <v>494</v>
      </c>
      <c r="O98" s="2">
        <f>INDEX(Маршруты,MATCH(N98,$B$3:$B$498,0),1)</f>
        <v>5</v>
      </c>
      <c r="P98" s="27">
        <v>2</v>
      </c>
      <c r="Q98" s="2">
        <f>INDEX(Остановки,MATCH(R98,ИД_Остановки!$B$3:$B$467,0),1)</f>
        <v>7</v>
      </c>
      <c r="R98" s="45" t="s">
        <v>11</v>
      </c>
      <c r="S98" s="20">
        <v>0.52</v>
      </c>
    </row>
    <row r="99" spans="1:19" x14ac:dyDescent="0.25">
      <c r="A99">
        <v>97</v>
      </c>
      <c r="B99" s="64" t="s">
        <v>218</v>
      </c>
      <c r="C99" s="62" t="s">
        <v>208</v>
      </c>
      <c r="D99" s="68">
        <v>20</v>
      </c>
      <c r="H99">
        <v>1</v>
      </c>
      <c r="I99">
        <v>480</v>
      </c>
      <c r="J99">
        <v>115</v>
      </c>
      <c r="K99" t="b">
        <v>1</v>
      </c>
      <c r="N99" s="24" t="s">
        <v>494</v>
      </c>
      <c r="O99" s="2">
        <f>INDEX(Маршруты,MATCH(N99,$B$3:$B$498,0),1)</f>
        <v>5</v>
      </c>
      <c r="P99" s="27">
        <v>3</v>
      </c>
      <c r="Q99" s="2">
        <f>INDEX(Остановки,MATCH(R99,ИД_Остановки!$B$3:$B$467,0),1)</f>
        <v>8</v>
      </c>
      <c r="R99" s="45" t="s">
        <v>12</v>
      </c>
      <c r="S99" s="20">
        <v>0.32</v>
      </c>
    </row>
    <row r="100" spans="1:19" x14ac:dyDescent="0.25">
      <c r="A100">
        <v>98</v>
      </c>
      <c r="B100" s="64" t="s">
        <v>571</v>
      </c>
      <c r="C100" s="62" t="s">
        <v>208</v>
      </c>
      <c r="D100" s="68">
        <v>20</v>
      </c>
      <c r="H100">
        <v>1</v>
      </c>
      <c r="I100">
        <v>485</v>
      </c>
      <c r="J100">
        <v>115</v>
      </c>
      <c r="K100" t="b">
        <v>1</v>
      </c>
      <c r="N100" s="24" t="s">
        <v>494</v>
      </c>
      <c r="O100" s="2">
        <f>INDEX(Маршруты,MATCH(N100,$B$3:$B$498,0),1)</f>
        <v>5</v>
      </c>
      <c r="P100" s="27">
        <v>4</v>
      </c>
      <c r="Q100" s="2">
        <f>INDEX(Остановки,MATCH(R100,ИД_Остановки!$B$3:$B$467,0),1)</f>
        <v>9</v>
      </c>
      <c r="R100" s="45" t="s">
        <v>246</v>
      </c>
      <c r="S100" s="20">
        <v>0.55000000000000004</v>
      </c>
    </row>
    <row r="101" spans="1:19" x14ac:dyDescent="0.25">
      <c r="A101">
        <v>99</v>
      </c>
      <c r="B101" s="64" t="s">
        <v>219</v>
      </c>
      <c r="C101" s="62" t="s">
        <v>208</v>
      </c>
      <c r="D101" s="68">
        <v>20</v>
      </c>
      <c r="H101">
        <v>1</v>
      </c>
      <c r="I101">
        <v>490</v>
      </c>
      <c r="J101">
        <v>115</v>
      </c>
      <c r="K101" t="b">
        <v>1</v>
      </c>
      <c r="N101" s="24" t="s">
        <v>494</v>
      </c>
      <c r="O101" s="2">
        <f>INDEX(Маршруты,MATCH(N101,$B$3:$B$498,0),1)</f>
        <v>5</v>
      </c>
      <c r="P101" s="27">
        <v>5</v>
      </c>
      <c r="Q101" s="2">
        <f>INDEX(Остановки,MATCH(R101,ИД_Остановки!$B$3:$B$467,0),1)</f>
        <v>10</v>
      </c>
      <c r="R101" s="45" t="s">
        <v>247</v>
      </c>
      <c r="S101" s="20">
        <v>0.53</v>
      </c>
    </row>
    <row r="102" spans="1:19" x14ac:dyDescent="0.25">
      <c r="A102" s="35">
        <v>100</v>
      </c>
      <c r="B102" s="64" t="s">
        <v>572</v>
      </c>
      <c r="C102" s="62" t="s">
        <v>208</v>
      </c>
      <c r="D102" s="68">
        <v>20</v>
      </c>
      <c r="H102">
        <v>1</v>
      </c>
      <c r="I102">
        <v>495</v>
      </c>
      <c r="J102">
        <v>115</v>
      </c>
      <c r="K102" t="b">
        <v>1</v>
      </c>
      <c r="N102" s="23" t="s">
        <v>494</v>
      </c>
      <c r="O102" s="2">
        <f>INDEX(Маршруты,MATCH(N102,$B$3:$B$498,0),1)</f>
        <v>5</v>
      </c>
      <c r="P102" s="27">
        <v>6</v>
      </c>
      <c r="Q102" s="2">
        <f>INDEX(Остановки,MATCH(R102,ИД_Остановки!$B$3:$B$467,0),1)</f>
        <v>11</v>
      </c>
      <c r="R102" s="45" t="s">
        <v>248</v>
      </c>
      <c r="S102" s="20">
        <v>0.34</v>
      </c>
    </row>
    <row r="103" spans="1:19" x14ac:dyDescent="0.25">
      <c r="A103" s="35">
        <v>101</v>
      </c>
      <c r="B103" s="65" t="s">
        <v>643</v>
      </c>
      <c r="C103" s="62" t="s">
        <v>208</v>
      </c>
      <c r="D103" s="68">
        <v>20</v>
      </c>
      <c r="H103">
        <v>1</v>
      </c>
      <c r="I103">
        <v>500</v>
      </c>
      <c r="J103">
        <v>115</v>
      </c>
      <c r="K103" t="b">
        <v>1</v>
      </c>
      <c r="N103" s="24" t="s">
        <v>494</v>
      </c>
      <c r="O103" s="2">
        <f>INDEX(Маршруты,MATCH(N103,$B$3:$B$498,0),1)</f>
        <v>5</v>
      </c>
      <c r="P103" s="27">
        <v>7</v>
      </c>
      <c r="Q103" s="2">
        <f>INDEX(Остановки,MATCH(R103,ИД_Остановки!$B$3:$B$467,0),1)</f>
        <v>12</v>
      </c>
      <c r="R103" s="45" t="s">
        <v>13</v>
      </c>
      <c r="S103" s="20">
        <v>0.79</v>
      </c>
    </row>
    <row r="104" spans="1:19" x14ac:dyDescent="0.25">
      <c r="A104">
        <v>102</v>
      </c>
      <c r="B104" s="65" t="s">
        <v>644</v>
      </c>
      <c r="C104" s="62" t="s">
        <v>208</v>
      </c>
      <c r="D104" s="68">
        <v>20</v>
      </c>
      <c r="H104">
        <v>1</v>
      </c>
      <c r="I104">
        <v>505</v>
      </c>
      <c r="J104">
        <v>115</v>
      </c>
      <c r="K104" t="b">
        <v>1</v>
      </c>
      <c r="N104" s="24" t="s">
        <v>494</v>
      </c>
      <c r="O104" s="2">
        <f>INDEX(Маршруты,MATCH(N104,$B$3:$B$498,0),1)</f>
        <v>5</v>
      </c>
      <c r="P104" s="28">
        <v>8</v>
      </c>
      <c r="Q104" s="2">
        <f>INDEX(Остановки,MATCH(R104,ИД_Остановки!$B$3:$B$467,0),1)</f>
        <v>13</v>
      </c>
      <c r="R104" s="24" t="s">
        <v>249</v>
      </c>
      <c r="S104" s="20">
        <v>0.41</v>
      </c>
    </row>
    <row r="105" spans="1:19" x14ac:dyDescent="0.25">
      <c r="A105">
        <v>103</v>
      </c>
      <c r="B105" s="64" t="s">
        <v>573</v>
      </c>
      <c r="C105" s="62" t="s">
        <v>208</v>
      </c>
      <c r="D105" s="68">
        <v>20</v>
      </c>
      <c r="H105">
        <v>1</v>
      </c>
      <c r="I105">
        <v>510</v>
      </c>
      <c r="J105">
        <v>115</v>
      </c>
      <c r="K105" t="b">
        <v>1</v>
      </c>
      <c r="N105" s="24" t="s">
        <v>494</v>
      </c>
      <c r="O105" s="2">
        <f>INDEX(Маршруты,MATCH(N105,$B$3:$B$498,0),1)</f>
        <v>5</v>
      </c>
      <c r="P105" s="27">
        <v>9</v>
      </c>
      <c r="Q105" s="2">
        <f>INDEX(Остановки,MATCH(R105,ИД_Остановки!$B$3:$B$467,0),1)</f>
        <v>21</v>
      </c>
      <c r="R105" s="45" t="s">
        <v>21</v>
      </c>
      <c r="S105" s="20">
        <v>0.51</v>
      </c>
    </row>
    <row r="106" spans="1:19" x14ac:dyDescent="0.25">
      <c r="A106">
        <v>104</v>
      </c>
      <c r="B106" s="64" t="s">
        <v>574</v>
      </c>
      <c r="C106" s="62" t="s">
        <v>208</v>
      </c>
      <c r="D106" s="68">
        <v>20</v>
      </c>
      <c r="H106">
        <v>1</v>
      </c>
      <c r="I106">
        <v>515</v>
      </c>
      <c r="J106">
        <v>115</v>
      </c>
      <c r="K106" t="b">
        <v>1</v>
      </c>
      <c r="N106" s="24" t="s">
        <v>494</v>
      </c>
      <c r="O106" s="2">
        <f>INDEX(Маршруты,MATCH(N106,$B$3:$B$498,0),1)</f>
        <v>5</v>
      </c>
      <c r="P106" s="27">
        <v>10</v>
      </c>
      <c r="Q106" s="2">
        <f>INDEX(Остановки,MATCH(R106,ИД_Остановки!$B$3:$B$467,0),1)</f>
        <v>52</v>
      </c>
      <c r="R106" s="45" t="s">
        <v>262</v>
      </c>
      <c r="S106" s="20">
        <v>0.79</v>
      </c>
    </row>
    <row r="107" spans="1:19" x14ac:dyDescent="0.25">
      <c r="A107">
        <v>105</v>
      </c>
      <c r="B107" s="64" t="s">
        <v>575</v>
      </c>
      <c r="C107" s="62" t="s">
        <v>208</v>
      </c>
      <c r="D107" s="68">
        <v>20</v>
      </c>
      <c r="H107">
        <v>1</v>
      </c>
      <c r="I107">
        <v>520</v>
      </c>
      <c r="J107">
        <v>115</v>
      </c>
      <c r="K107" t="b">
        <v>1</v>
      </c>
      <c r="N107" s="24" t="s">
        <v>494</v>
      </c>
      <c r="O107" s="2">
        <f>INDEX(Маршруты,MATCH(N107,$B$3:$B$498,0),1)</f>
        <v>5</v>
      </c>
      <c r="P107" s="27">
        <v>11</v>
      </c>
      <c r="Q107" s="2">
        <f>INDEX(Остановки,MATCH(R107,ИД_Остановки!$B$3:$B$467,0),1)</f>
        <v>132</v>
      </c>
      <c r="R107" s="24" t="s">
        <v>307</v>
      </c>
      <c r="S107" s="20">
        <v>0.51</v>
      </c>
    </row>
    <row r="108" spans="1:19" x14ac:dyDescent="0.25">
      <c r="A108">
        <v>106</v>
      </c>
      <c r="B108" s="64" t="s">
        <v>576</v>
      </c>
      <c r="C108" s="62" t="s">
        <v>208</v>
      </c>
      <c r="D108" s="68">
        <v>20</v>
      </c>
      <c r="H108">
        <v>1</v>
      </c>
      <c r="I108">
        <v>525</v>
      </c>
      <c r="J108">
        <v>115</v>
      </c>
      <c r="K108" t="b">
        <v>1</v>
      </c>
      <c r="N108" s="24" t="s">
        <v>494</v>
      </c>
      <c r="O108" s="2">
        <f>INDEX(Маршруты,MATCH(N108,$B$3:$B$498,0),1)</f>
        <v>5</v>
      </c>
      <c r="P108" s="27">
        <v>12</v>
      </c>
      <c r="Q108" s="2">
        <f>INDEX(Остановки,MATCH(R108,ИД_Остановки!$B$3:$B$467,0),1)</f>
        <v>51</v>
      </c>
      <c r="R108" s="45" t="s">
        <v>261</v>
      </c>
      <c r="S108" s="20">
        <v>0.53</v>
      </c>
    </row>
    <row r="109" spans="1:19" x14ac:dyDescent="0.25">
      <c r="A109">
        <v>107</v>
      </c>
      <c r="B109" s="64" t="s">
        <v>577</v>
      </c>
      <c r="C109" s="62" t="s">
        <v>208</v>
      </c>
      <c r="D109" s="68">
        <v>20</v>
      </c>
      <c r="H109">
        <v>1</v>
      </c>
      <c r="I109">
        <v>530</v>
      </c>
      <c r="J109">
        <v>115</v>
      </c>
      <c r="K109" t="b">
        <v>1</v>
      </c>
      <c r="N109" s="24" t="s">
        <v>494</v>
      </c>
      <c r="O109" s="2">
        <f>INDEX(Маршруты,MATCH(N109,$B$3:$B$498,0),1)</f>
        <v>5</v>
      </c>
      <c r="P109" s="27">
        <v>13</v>
      </c>
      <c r="Q109" s="2">
        <f>INDEX(Остановки,MATCH(R109,ИД_Остановки!$B$3:$B$467,0),1)</f>
        <v>50</v>
      </c>
      <c r="R109" s="45" t="s">
        <v>260</v>
      </c>
      <c r="S109" s="20">
        <v>0.39</v>
      </c>
    </row>
    <row r="110" spans="1:19" x14ac:dyDescent="0.25">
      <c r="A110">
        <v>108</v>
      </c>
      <c r="B110" s="64" t="s">
        <v>578</v>
      </c>
      <c r="C110" s="62" t="s">
        <v>208</v>
      </c>
      <c r="D110" s="68">
        <v>20</v>
      </c>
      <c r="H110">
        <v>1</v>
      </c>
      <c r="I110">
        <v>535</v>
      </c>
      <c r="J110">
        <v>115</v>
      </c>
      <c r="K110" t="b">
        <v>1</v>
      </c>
      <c r="N110" s="23" t="s">
        <v>494</v>
      </c>
      <c r="O110" s="2">
        <f>INDEX(Маршруты,MATCH(N110,$B$3:$B$498,0),1)</f>
        <v>5</v>
      </c>
      <c r="P110" s="27">
        <v>14</v>
      </c>
      <c r="Q110" s="2">
        <f>INDEX(Остановки,MATCH(R110,ИД_Остановки!$B$3:$B$467,0),1)</f>
        <v>49</v>
      </c>
      <c r="R110" s="45" t="s">
        <v>43</v>
      </c>
      <c r="S110" s="20">
        <v>0.52</v>
      </c>
    </row>
    <row r="111" spans="1:19" x14ac:dyDescent="0.25">
      <c r="A111">
        <v>109</v>
      </c>
      <c r="B111" s="64" t="s">
        <v>579</v>
      </c>
      <c r="C111" s="62" t="s">
        <v>208</v>
      </c>
      <c r="D111" s="68">
        <v>20</v>
      </c>
      <c r="H111">
        <v>1</v>
      </c>
      <c r="I111">
        <v>540</v>
      </c>
      <c r="J111">
        <v>115</v>
      </c>
      <c r="K111" t="b">
        <v>1</v>
      </c>
      <c r="N111" s="24" t="s">
        <v>494</v>
      </c>
      <c r="O111" s="2">
        <f>INDEX(Маршруты,MATCH(N111,$B$3:$B$498,0),1)</f>
        <v>5</v>
      </c>
      <c r="P111" s="27">
        <v>15</v>
      </c>
      <c r="Q111" s="2">
        <f>INDEX(Остановки,MATCH(R111,ИД_Остановки!$B$3:$B$467,0),1)</f>
        <v>48</v>
      </c>
      <c r="R111" s="45" t="s">
        <v>42</v>
      </c>
      <c r="S111" s="20">
        <v>0.52</v>
      </c>
    </row>
    <row r="112" spans="1:19" x14ac:dyDescent="0.25">
      <c r="A112">
        <v>110</v>
      </c>
      <c r="B112" s="64" t="s">
        <v>580</v>
      </c>
      <c r="C112" s="62" t="s">
        <v>208</v>
      </c>
      <c r="D112" s="68">
        <v>20</v>
      </c>
      <c r="H112">
        <v>1</v>
      </c>
      <c r="I112">
        <v>545</v>
      </c>
      <c r="J112">
        <v>115</v>
      </c>
      <c r="K112" t="b">
        <v>1</v>
      </c>
      <c r="N112" s="24" t="s">
        <v>494</v>
      </c>
      <c r="O112" s="2">
        <f>INDEX(Маршруты,MATCH(N112,$B$3:$B$498,0),1)</f>
        <v>5</v>
      </c>
      <c r="P112" s="28">
        <v>16</v>
      </c>
      <c r="Q112" s="2">
        <f>INDEX(Остановки,MATCH(R112,ИД_Остановки!$B$3:$B$467,0),1)</f>
        <v>47</v>
      </c>
      <c r="R112" s="24" t="s">
        <v>259</v>
      </c>
      <c r="S112" s="21">
        <v>0.82</v>
      </c>
    </row>
    <row r="113" spans="1:19" x14ac:dyDescent="0.25">
      <c r="A113">
        <v>111</v>
      </c>
      <c r="B113" s="64" t="s">
        <v>581</v>
      </c>
      <c r="C113" s="62" t="s">
        <v>208</v>
      </c>
      <c r="D113" s="68">
        <v>20</v>
      </c>
      <c r="H113">
        <v>1</v>
      </c>
      <c r="I113">
        <v>550</v>
      </c>
      <c r="J113">
        <v>115</v>
      </c>
      <c r="K113" t="b">
        <v>1</v>
      </c>
      <c r="N113" s="24" t="s">
        <v>494</v>
      </c>
      <c r="O113" s="2">
        <f>INDEX(Маршруты,MATCH(N113,$B$3:$B$498,0),1)</f>
        <v>5</v>
      </c>
      <c r="P113" s="27">
        <v>17</v>
      </c>
      <c r="Q113" s="2">
        <f>INDEX(Остановки,MATCH(R113,ИД_Остановки!$B$3:$B$467,0),1)</f>
        <v>46</v>
      </c>
      <c r="R113" s="45" t="s">
        <v>41</v>
      </c>
      <c r="S113" s="20">
        <v>0.5</v>
      </c>
    </row>
    <row r="114" spans="1:19" x14ac:dyDescent="0.25">
      <c r="A114">
        <v>112</v>
      </c>
      <c r="B114" s="64" t="s">
        <v>582</v>
      </c>
      <c r="C114" s="62" t="s">
        <v>208</v>
      </c>
      <c r="D114" s="68">
        <v>20</v>
      </c>
      <c r="H114">
        <v>1</v>
      </c>
      <c r="I114">
        <v>555</v>
      </c>
      <c r="J114">
        <v>115</v>
      </c>
      <c r="K114" t="b">
        <v>1</v>
      </c>
      <c r="N114" s="24" t="s">
        <v>494</v>
      </c>
      <c r="O114" s="2">
        <f>INDEX(Маршруты,MATCH(N114,$B$3:$B$498,0),1)</f>
        <v>5</v>
      </c>
      <c r="P114" s="27">
        <v>18</v>
      </c>
      <c r="Q114" s="2">
        <f>INDEX(Остановки,MATCH(R114,ИД_Остановки!$B$3:$B$467,0),1)</f>
        <v>45</v>
      </c>
      <c r="R114" s="45" t="s">
        <v>40</v>
      </c>
      <c r="S114" s="20">
        <v>0.45</v>
      </c>
    </row>
    <row r="115" spans="1:19" x14ac:dyDescent="0.25">
      <c r="A115">
        <v>113</v>
      </c>
      <c r="B115" s="64" t="s">
        <v>583</v>
      </c>
      <c r="C115" s="62" t="s">
        <v>208</v>
      </c>
      <c r="D115" s="68">
        <v>20</v>
      </c>
      <c r="H115">
        <v>1</v>
      </c>
      <c r="I115">
        <v>560</v>
      </c>
      <c r="J115">
        <v>115</v>
      </c>
      <c r="K115" t="b">
        <v>1</v>
      </c>
      <c r="N115" s="24" t="s">
        <v>494</v>
      </c>
      <c r="O115" s="2">
        <f>INDEX(Маршруты,MATCH(N115,$B$3:$B$498,0),1)</f>
        <v>5</v>
      </c>
      <c r="P115" s="28">
        <v>19</v>
      </c>
      <c r="Q115" s="2">
        <f>INDEX(Остановки,MATCH(R115,ИД_Остановки!$B$3:$B$467,0),1)</f>
        <v>44</v>
      </c>
      <c r="R115" s="24" t="s">
        <v>258</v>
      </c>
      <c r="S115" s="20">
        <v>0.39</v>
      </c>
    </row>
    <row r="116" spans="1:19" x14ac:dyDescent="0.25">
      <c r="A116">
        <v>114</v>
      </c>
      <c r="B116" s="64" t="s">
        <v>584</v>
      </c>
      <c r="C116" s="62" t="s">
        <v>208</v>
      </c>
      <c r="D116" s="68">
        <v>20</v>
      </c>
      <c r="H116">
        <v>1</v>
      </c>
      <c r="I116">
        <v>565</v>
      </c>
      <c r="J116">
        <v>115</v>
      </c>
      <c r="K116" t="b">
        <v>1</v>
      </c>
      <c r="N116" s="24" t="s">
        <v>494</v>
      </c>
      <c r="O116" s="2">
        <f>INDEX(Маршруты,MATCH(N116,$B$3:$B$498,0),1)</f>
        <v>5</v>
      </c>
      <c r="P116" s="27">
        <v>20</v>
      </c>
      <c r="Q116" s="2">
        <f>INDEX(Остановки,MATCH(R116,ИД_Остановки!$B$3:$B$467,0),1)</f>
        <v>43</v>
      </c>
      <c r="R116" s="45" t="s">
        <v>39</v>
      </c>
      <c r="S116" s="20">
        <v>0.69</v>
      </c>
    </row>
    <row r="117" spans="1:19" x14ac:dyDescent="0.25">
      <c r="A117">
        <v>115</v>
      </c>
      <c r="B117" s="64" t="s">
        <v>585</v>
      </c>
      <c r="C117" s="62" t="s">
        <v>208</v>
      </c>
      <c r="D117" s="68">
        <v>20</v>
      </c>
      <c r="H117">
        <v>1</v>
      </c>
      <c r="I117">
        <v>570</v>
      </c>
      <c r="J117">
        <v>115</v>
      </c>
      <c r="K117" t="b">
        <v>1</v>
      </c>
      <c r="N117" s="24" t="s">
        <v>494</v>
      </c>
      <c r="O117" s="2">
        <f>INDEX(Маршруты,MATCH(N117,$B$3:$B$498,0),1)</f>
        <v>5</v>
      </c>
      <c r="P117" s="27">
        <v>21</v>
      </c>
      <c r="Q117" s="2">
        <f>INDEX(Остановки,MATCH(R117,ИД_Остановки!$B$3:$B$467,0),1)</f>
        <v>42</v>
      </c>
      <c r="R117" s="45" t="s">
        <v>38</v>
      </c>
      <c r="S117" s="20">
        <v>0.37</v>
      </c>
    </row>
    <row r="118" spans="1:19" x14ac:dyDescent="0.25">
      <c r="A118">
        <v>116</v>
      </c>
      <c r="B118" s="64" t="s">
        <v>586</v>
      </c>
      <c r="C118" s="62" t="s">
        <v>208</v>
      </c>
      <c r="D118" s="68">
        <v>20</v>
      </c>
      <c r="H118">
        <v>1</v>
      </c>
      <c r="I118">
        <v>575</v>
      </c>
      <c r="J118">
        <v>115</v>
      </c>
      <c r="K118" t="b">
        <v>1</v>
      </c>
      <c r="N118" s="24" t="s">
        <v>494</v>
      </c>
      <c r="O118" s="2">
        <f>INDEX(Маршруты,MATCH(N118,$B$3:$B$498,0),1)</f>
        <v>5</v>
      </c>
      <c r="P118" s="27">
        <v>22</v>
      </c>
      <c r="Q118" s="2">
        <f>INDEX(Остановки,MATCH(R118,ИД_Остановки!$B$3:$B$467,0),1)</f>
        <v>41</v>
      </c>
      <c r="R118" s="45" t="s">
        <v>37</v>
      </c>
      <c r="S118" s="20">
        <v>0.48</v>
      </c>
    </row>
    <row r="119" spans="1:19" x14ac:dyDescent="0.25">
      <c r="A119">
        <v>117</v>
      </c>
      <c r="B119" s="64" t="s">
        <v>587</v>
      </c>
      <c r="C119" s="62" t="s">
        <v>208</v>
      </c>
      <c r="D119" s="68">
        <v>20</v>
      </c>
      <c r="H119">
        <v>1</v>
      </c>
      <c r="I119">
        <v>580</v>
      </c>
      <c r="J119">
        <v>115</v>
      </c>
      <c r="K119" t="b">
        <v>1</v>
      </c>
      <c r="N119" s="24" t="s">
        <v>494</v>
      </c>
      <c r="O119" s="2">
        <f>INDEX(Маршруты,MATCH(N119,$B$3:$B$498,0),1)</f>
        <v>5</v>
      </c>
      <c r="P119" s="27">
        <v>23</v>
      </c>
      <c r="Q119" s="2">
        <f>INDEX(Остановки,MATCH(R119,ИД_Остановки!$B$3:$B$467,0),1)</f>
        <v>40</v>
      </c>
      <c r="R119" s="45" t="s">
        <v>36</v>
      </c>
      <c r="S119" s="20">
        <v>0.23</v>
      </c>
    </row>
    <row r="120" spans="1:19" x14ac:dyDescent="0.25">
      <c r="A120">
        <v>118</v>
      </c>
      <c r="B120" s="64" t="s">
        <v>588</v>
      </c>
      <c r="C120" s="62" t="s">
        <v>208</v>
      </c>
      <c r="D120" s="68">
        <v>20</v>
      </c>
      <c r="H120">
        <v>1</v>
      </c>
      <c r="I120">
        <v>585</v>
      </c>
      <c r="J120">
        <v>115</v>
      </c>
      <c r="K120" t="b">
        <v>1</v>
      </c>
      <c r="N120" s="24" t="s">
        <v>494</v>
      </c>
      <c r="O120" s="2">
        <f>INDEX(Маршруты,MATCH(N120,$B$3:$B$498,0),1)</f>
        <v>5</v>
      </c>
      <c r="P120" s="27">
        <v>24</v>
      </c>
      <c r="Q120" s="2">
        <f>INDEX(Остановки,MATCH(R120,ИД_Остановки!$B$3:$B$467,0),1)</f>
        <v>39</v>
      </c>
      <c r="R120" s="45" t="s">
        <v>257</v>
      </c>
      <c r="S120" s="20">
        <v>0.31</v>
      </c>
    </row>
    <row r="121" spans="1:19" x14ac:dyDescent="0.25">
      <c r="A121">
        <v>119</v>
      </c>
      <c r="B121" s="64" t="s">
        <v>589</v>
      </c>
      <c r="C121" s="62" t="s">
        <v>208</v>
      </c>
      <c r="D121" s="68">
        <v>20</v>
      </c>
      <c r="H121">
        <v>1</v>
      </c>
      <c r="I121">
        <v>590</v>
      </c>
      <c r="J121">
        <v>115</v>
      </c>
      <c r="K121" t="b">
        <v>1</v>
      </c>
      <c r="N121" s="24" t="s">
        <v>494</v>
      </c>
      <c r="O121" s="2">
        <f>INDEX(Маршруты,MATCH(N121,$B$3:$B$498,0),1)</f>
        <v>5</v>
      </c>
      <c r="P121" s="27">
        <v>25</v>
      </c>
      <c r="Q121" s="2">
        <f>INDEX(Остановки,MATCH(R121,ИД_Остановки!$B$3:$B$467,0),1)</f>
        <v>38</v>
      </c>
      <c r="R121" s="45" t="s">
        <v>35</v>
      </c>
      <c r="S121" s="20">
        <v>0.49</v>
      </c>
    </row>
    <row r="122" spans="1:19" x14ac:dyDescent="0.25">
      <c r="A122">
        <v>120</v>
      </c>
      <c r="B122" s="64" t="s">
        <v>590</v>
      </c>
      <c r="C122" s="62" t="s">
        <v>208</v>
      </c>
      <c r="D122" s="68">
        <v>20</v>
      </c>
      <c r="H122">
        <v>1</v>
      </c>
      <c r="I122">
        <v>595</v>
      </c>
      <c r="J122">
        <v>115</v>
      </c>
      <c r="K122" t="b">
        <v>1</v>
      </c>
      <c r="N122" s="24" t="s">
        <v>494</v>
      </c>
      <c r="O122" s="2">
        <f>INDEX(Маршруты,MATCH(N122,$B$3:$B$498,0),1)</f>
        <v>5</v>
      </c>
      <c r="P122" s="27">
        <v>26</v>
      </c>
      <c r="Q122" s="2">
        <f>INDEX(Остановки,MATCH(R122,ИД_Остановки!$B$3:$B$467,0),1)</f>
        <v>37</v>
      </c>
      <c r="R122" s="45" t="s">
        <v>34</v>
      </c>
      <c r="S122" s="20">
        <v>0.56999999999999995</v>
      </c>
    </row>
    <row r="123" spans="1:19" x14ac:dyDescent="0.25">
      <c r="A123">
        <v>121</v>
      </c>
      <c r="B123" s="64" t="s">
        <v>220</v>
      </c>
      <c r="C123" s="62" t="s">
        <v>208</v>
      </c>
      <c r="D123" s="68">
        <v>20</v>
      </c>
      <c r="H123">
        <v>1</v>
      </c>
      <c r="I123">
        <v>600</v>
      </c>
      <c r="J123">
        <v>115</v>
      </c>
      <c r="K123" t="b">
        <v>1</v>
      </c>
      <c r="N123" s="24" t="s">
        <v>494</v>
      </c>
      <c r="O123" s="2">
        <f>INDEX(Маршруты,MATCH(N123,$B$3:$B$498,0),1)</f>
        <v>5</v>
      </c>
      <c r="P123" s="28">
        <v>27</v>
      </c>
      <c r="Q123" s="2">
        <f>INDEX(Остановки,MATCH(R123,ИД_Остановки!$B$3:$B$467,0),1)</f>
        <v>36</v>
      </c>
      <c r="R123" s="24" t="s">
        <v>33</v>
      </c>
      <c r="S123" s="20">
        <v>0.57999999999999996</v>
      </c>
    </row>
    <row r="124" spans="1:19" x14ac:dyDescent="0.25">
      <c r="A124">
        <v>122</v>
      </c>
      <c r="B124" s="64" t="s">
        <v>591</v>
      </c>
      <c r="C124" s="62" t="s">
        <v>208</v>
      </c>
      <c r="D124" s="68">
        <v>20</v>
      </c>
      <c r="H124">
        <v>1</v>
      </c>
      <c r="I124">
        <v>605</v>
      </c>
      <c r="J124">
        <v>115</v>
      </c>
      <c r="K124" t="b">
        <v>1</v>
      </c>
      <c r="N124" s="24" t="s">
        <v>494</v>
      </c>
      <c r="O124" s="2">
        <f>INDEX(Маршруты,MATCH(N124,$B$3:$B$498,0),1)</f>
        <v>5</v>
      </c>
      <c r="P124" s="27">
        <v>28</v>
      </c>
      <c r="Q124" s="2">
        <f>INDEX(Остановки,MATCH(R124,ИД_Остановки!$B$3:$B$467,0),1)</f>
        <v>35</v>
      </c>
      <c r="R124" s="45" t="s">
        <v>31</v>
      </c>
      <c r="S124" s="20">
        <v>0.7</v>
      </c>
    </row>
    <row r="125" spans="1:19" x14ac:dyDescent="0.25">
      <c r="A125">
        <v>123</v>
      </c>
      <c r="B125" s="64" t="s">
        <v>592</v>
      </c>
      <c r="C125" s="62" t="s">
        <v>208</v>
      </c>
      <c r="D125" s="68">
        <v>20</v>
      </c>
      <c r="H125">
        <v>1</v>
      </c>
      <c r="I125">
        <v>610</v>
      </c>
      <c r="J125">
        <v>115</v>
      </c>
      <c r="K125" t="b">
        <v>1</v>
      </c>
      <c r="N125" s="24" t="s">
        <v>495</v>
      </c>
      <c r="O125" s="2">
        <f>INDEX(Маршруты,MATCH(N125,$B$3:$B$498,0),1)</f>
        <v>6</v>
      </c>
      <c r="P125" s="27">
        <v>1</v>
      </c>
      <c r="Q125" s="2">
        <f>INDEX(Остановки,MATCH(R125,ИД_Остановки!$B$3:$B$467,0),1)</f>
        <v>35</v>
      </c>
      <c r="R125" s="45" t="s">
        <v>31</v>
      </c>
      <c r="S125" s="20"/>
    </row>
    <row r="126" spans="1:19" x14ac:dyDescent="0.25">
      <c r="A126">
        <v>124</v>
      </c>
      <c r="B126" s="64" t="s">
        <v>593</v>
      </c>
      <c r="C126" s="62" t="s">
        <v>208</v>
      </c>
      <c r="D126" s="68">
        <v>20</v>
      </c>
      <c r="H126">
        <v>1</v>
      </c>
      <c r="I126">
        <v>615</v>
      </c>
      <c r="J126">
        <v>115</v>
      </c>
      <c r="K126" t="b">
        <v>1</v>
      </c>
      <c r="N126" s="24" t="s">
        <v>495</v>
      </c>
      <c r="O126" s="2">
        <f>INDEX(Маршруты,MATCH(N126,$B$3:$B$498,0),1)</f>
        <v>6</v>
      </c>
      <c r="P126" s="27">
        <v>2</v>
      </c>
      <c r="Q126" s="2">
        <f>INDEX(Остановки,MATCH(R126,ИД_Остановки!$B$3:$B$467,0),1)</f>
        <v>36</v>
      </c>
      <c r="R126" s="45" t="s">
        <v>33</v>
      </c>
      <c r="S126" s="20">
        <v>0.7</v>
      </c>
    </row>
    <row r="127" spans="1:19" x14ac:dyDescent="0.25">
      <c r="A127">
        <v>125</v>
      </c>
      <c r="B127" s="66" t="s">
        <v>623</v>
      </c>
      <c r="C127" s="62" t="s">
        <v>208</v>
      </c>
      <c r="D127" s="68">
        <v>20</v>
      </c>
      <c r="H127">
        <v>1</v>
      </c>
      <c r="I127">
        <v>620</v>
      </c>
      <c r="J127">
        <v>115</v>
      </c>
      <c r="K127" t="b">
        <v>1</v>
      </c>
      <c r="N127" s="24" t="s">
        <v>495</v>
      </c>
      <c r="O127" s="2">
        <f>INDEX(Маршруты,MATCH(N127,$B$3:$B$498,0),1)</f>
        <v>6</v>
      </c>
      <c r="P127" s="28">
        <v>3</v>
      </c>
      <c r="Q127" s="2">
        <f>INDEX(Остановки,MATCH(R127,ИД_Остановки!$B$3:$B$467,0),1)</f>
        <v>37</v>
      </c>
      <c r="R127" s="24" t="s">
        <v>34</v>
      </c>
      <c r="S127" s="20">
        <v>0.57999999999999996</v>
      </c>
    </row>
    <row r="128" spans="1:19" x14ac:dyDescent="0.25">
      <c r="A128">
        <v>126</v>
      </c>
      <c r="B128" s="66" t="s">
        <v>624</v>
      </c>
      <c r="C128" s="62" t="s">
        <v>208</v>
      </c>
      <c r="D128" s="68">
        <v>20</v>
      </c>
      <c r="H128">
        <v>1</v>
      </c>
      <c r="I128">
        <v>625</v>
      </c>
      <c r="J128">
        <v>115</v>
      </c>
      <c r="K128" t="b">
        <v>1</v>
      </c>
      <c r="N128" s="24" t="s">
        <v>495</v>
      </c>
      <c r="O128" s="2">
        <f>INDEX(Маршруты,MATCH(N128,$B$3:$B$498,0),1)</f>
        <v>6</v>
      </c>
      <c r="P128" s="27">
        <v>4</v>
      </c>
      <c r="Q128" s="2">
        <f>INDEX(Остановки,MATCH(R128,ИД_Остановки!$B$3:$B$467,0),1)</f>
        <v>38</v>
      </c>
      <c r="R128" s="45" t="s">
        <v>35</v>
      </c>
      <c r="S128" s="20">
        <v>0.56999999999999995</v>
      </c>
    </row>
    <row r="129" spans="1:19" x14ac:dyDescent="0.25">
      <c r="A129">
        <v>127</v>
      </c>
      <c r="B129" s="64" t="s">
        <v>594</v>
      </c>
      <c r="C129" s="62" t="s">
        <v>208</v>
      </c>
      <c r="D129" s="68">
        <v>20</v>
      </c>
      <c r="H129">
        <v>1</v>
      </c>
      <c r="I129">
        <v>630</v>
      </c>
      <c r="J129">
        <v>115</v>
      </c>
      <c r="K129" t="b">
        <v>1</v>
      </c>
      <c r="N129" s="24" t="s">
        <v>495</v>
      </c>
      <c r="O129" s="2">
        <f>INDEX(Маршруты,MATCH(N129,$B$3:$B$498,0),1)</f>
        <v>6</v>
      </c>
      <c r="P129" s="27">
        <v>5</v>
      </c>
      <c r="Q129" s="2">
        <f>INDEX(Остановки,MATCH(R129,ИД_Остановки!$B$3:$B$467,0),1)</f>
        <v>39</v>
      </c>
      <c r="R129" s="45" t="s">
        <v>257</v>
      </c>
      <c r="S129" s="20">
        <v>0.49</v>
      </c>
    </row>
    <row r="130" spans="1:19" x14ac:dyDescent="0.25">
      <c r="A130">
        <v>128</v>
      </c>
      <c r="B130" s="64" t="s">
        <v>595</v>
      </c>
      <c r="C130" s="62" t="s">
        <v>208</v>
      </c>
      <c r="D130" s="68">
        <v>20</v>
      </c>
      <c r="H130">
        <v>1</v>
      </c>
      <c r="I130">
        <v>635</v>
      </c>
      <c r="J130">
        <v>115</v>
      </c>
      <c r="K130" t="b">
        <v>1</v>
      </c>
      <c r="N130" s="24" t="s">
        <v>495</v>
      </c>
      <c r="O130" s="2">
        <f>INDEX(Маршруты,MATCH(N130,$B$3:$B$498,0),1)</f>
        <v>6</v>
      </c>
      <c r="P130" s="27">
        <v>6</v>
      </c>
      <c r="Q130" s="2">
        <f>INDEX(Остановки,MATCH(R130,ИД_Остановки!$B$3:$B$467,0),1)</f>
        <v>40</v>
      </c>
      <c r="R130" s="24" t="s">
        <v>36</v>
      </c>
      <c r="S130" s="20">
        <v>0.31</v>
      </c>
    </row>
    <row r="131" spans="1:19" x14ac:dyDescent="0.25">
      <c r="A131">
        <v>129</v>
      </c>
      <c r="B131" s="64" t="s">
        <v>596</v>
      </c>
      <c r="C131" s="62" t="s">
        <v>208</v>
      </c>
      <c r="D131" s="68">
        <v>20</v>
      </c>
      <c r="H131">
        <v>1</v>
      </c>
      <c r="I131">
        <v>640</v>
      </c>
      <c r="J131">
        <v>115</v>
      </c>
      <c r="K131" t="b">
        <v>1</v>
      </c>
      <c r="N131" s="24" t="s">
        <v>495</v>
      </c>
      <c r="O131" s="2">
        <f>INDEX(Маршруты,MATCH(N131,$B$3:$B$498,0),1)</f>
        <v>6</v>
      </c>
      <c r="P131" s="27">
        <v>7</v>
      </c>
      <c r="Q131" s="2">
        <f>INDEX(Остановки,MATCH(R131,ИД_Остановки!$B$3:$B$467,0),1)</f>
        <v>41</v>
      </c>
      <c r="R131" s="45" t="s">
        <v>37</v>
      </c>
      <c r="S131" s="20">
        <v>0.23</v>
      </c>
    </row>
    <row r="132" spans="1:19" x14ac:dyDescent="0.25">
      <c r="A132">
        <v>130</v>
      </c>
      <c r="B132" s="64" t="s">
        <v>597</v>
      </c>
      <c r="C132" s="62" t="s">
        <v>208</v>
      </c>
      <c r="D132" s="68">
        <v>20</v>
      </c>
      <c r="H132">
        <v>1</v>
      </c>
      <c r="I132">
        <v>645</v>
      </c>
      <c r="J132">
        <v>115</v>
      </c>
      <c r="K132" t="b">
        <v>1</v>
      </c>
      <c r="N132" s="24" t="s">
        <v>495</v>
      </c>
      <c r="O132" s="2">
        <f>INDEX(Маршруты,MATCH(N132,$B$3:$B$498,0),1)</f>
        <v>6</v>
      </c>
      <c r="P132" s="27">
        <v>8</v>
      </c>
      <c r="Q132" s="2">
        <f>INDEX(Остановки,MATCH(R132,ИД_Остановки!$B$3:$B$467,0),1)</f>
        <v>42</v>
      </c>
      <c r="R132" s="45" t="s">
        <v>38</v>
      </c>
      <c r="S132" s="20">
        <v>0.48</v>
      </c>
    </row>
    <row r="133" spans="1:19" x14ac:dyDescent="0.25">
      <c r="A133">
        <v>131</v>
      </c>
      <c r="B133" s="64" t="s">
        <v>598</v>
      </c>
      <c r="C133" s="62" t="s">
        <v>208</v>
      </c>
      <c r="D133" s="68">
        <v>20</v>
      </c>
      <c r="H133">
        <v>1</v>
      </c>
      <c r="I133">
        <v>650</v>
      </c>
      <c r="J133">
        <v>115</v>
      </c>
      <c r="K133" t="b">
        <v>1</v>
      </c>
      <c r="N133" s="24" t="s">
        <v>495</v>
      </c>
      <c r="O133" s="2">
        <f>INDEX(Маршруты,MATCH(N133,$B$3:$B$498,0),1)</f>
        <v>6</v>
      </c>
      <c r="P133" s="27">
        <v>9</v>
      </c>
      <c r="Q133" s="2">
        <f>INDEX(Остановки,MATCH(R133,ИД_Остановки!$B$3:$B$467,0),1)</f>
        <v>43</v>
      </c>
      <c r="R133" s="45" t="s">
        <v>39</v>
      </c>
      <c r="S133" s="20">
        <v>0.37</v>
      </c>
    </row>
    <row r="134" spans="1:19" x14ac:dyDescent="0.25">
      <c r="A134">
        <v>132</v>
      </c>
      <c r="B134" s="64" t="s">
        <v>599</v>
      </c>
      <c r="C134" s="62" t="s">
        <v>208</v>
      </c>
      <c r="D134" s="68">
        <v>20</v>
      </c>
      <c r="H134">
        <v>1</v>
      </c>
      <c r="I134">
        <v>655</v>
      </c>
      <c r="J134">
        <v>115</v>
      </c>
      <c r="K134" t="b">
        <v>1</v>
      </c>
      <c r="N134" s="24" t="s">
        <v>495</v>
      </c>
      <c r="O134" s="2">
        <f>INDEX(Маршруты,MATCH(N134,$B$3:$B$498,0),1)</f>
        <v>6</v>
      </c>
      <c r="P134" s="27">
        <v>10</v>
      </c>
      <c r="Q134" s="2">
        <f>INDEX(Остановки,MATCH(R134,ИД_Остановки!$B$3:$B$467,0),1)</f>
        <v>44</v>
      </c>
      <c r="R134" s="45" t="s">
        <v>258</v>
      </c>
      <c r="S134" s="20">
        <v>0.69</v>
      </c>
    </row>
    <row r="135" spans="1:19" x14ac:dyDescent="0.25">
      <c r="A135">
        <v>133</v>
      </c>
      <c r="B135" s="64" t="s">
        <v>600</v>
      </c>
      <c r="C135" s="62" t="s">
        <v>208</v>
      </c>
      <c r="D135" s="68">
        <v>20</v>
      </c>
      <c r="H135">
        <v>1</v>
      </c>
      <c r="I135">
        <v>660</v>
      </c>
      <c r="J135">
        <v>115</v>
      </c>
      <c r="K135" t="b">
        <v>1</v>
      </c>
      <c r="N135" s="24" t="s">
        <v>495</v>
      </c>
      <c r="O135" s="2">
        <f>INDEX(Маршруты,MATCH(N135,$B$3:$B$498,0),1)</f>
        <v>6</v>
      </c>
      <c r="P135" s="27">
        <v>11</v>
      </c>
      <c r="Q135" s="2">
        <f>INDEX(Остановки,MATCH(R135,ИД_Остановки!$B$3:$B$467,0),1)</f>
        <v>45</v>
      </c>
      <c r="R135" s="45" t="s">
        <v>40</v>
      </c>
      <c r="S135" s="20">
        <v>0.39</v>
      </c>
    </row>
    <row r="136" spans="1:19" x14ac:dyDescent="0.25">
      <c r="A136">
        <v>134</v>
      </c>
      <c r="B136" s="64" t="s">
        <v>601</v>
      </c>
      <c r="C136" s="62" t="s">
        <v>208</v>
      </c>
      <c r="D136" s="68">
        <v>20</v>
      </c>
      <c r="H136">
        <v>1</v>
      </c>
      <c r="I136">
        <v>665</v>
      </c>
      <c r="J136">
        <v>115</v>
      </c>
      <c r="K136" t="b">
        <v>1</v>
      </c>
      <c r="N136" s="24" t="s">
        <v>495</v>
      </c>
      <c r="O136" s="2">
        <f>INDEX(Маршруты,MATCH(N136,$B$3:$B$498,0),1)</f>
        <v>6</v>
      </c>
      <c r="P136" s="27">
        <v>12</v>
      </c>
      <c r="Q136" s="2">
        <f>INDEX(Остановки,MATCH(R136,ИД_Остановки!$B$3:$B$467,0),1)</f>
        <v>46</v>
      </c>
      <c r="R136" s="24" t="s">
        <v>41</v>
      </c>
      <c r="S136" s="20">
        <v>0.45</v>
      </c>
    </row>
    <row r="137" spans="1:19" x14ac:dyDescent="0.25">
      <c r="A137" s="35">
        <v>135</v>
      </c>
      <c r="B137" s="64" t="s">
        <v>602</v>
      </c>
      <c r="C137" s="62" t="s">
        <v>208</v>
      </c>
      <c r="D137" s="68">
        <v>20</v>
      </c>
      <c r="H137">
        <v>1</v>
      </c>
      <c r="I137">
        <v>670</v>
      </c>
      <c r="J137">
        <v>115</v>
      </c>
      <c r="K137" t="b">
        <v>1</v>
      </c>
      <c r="N137" s="24" t="s">
        <v>495</v>
      </c>
      <c r="O137" s="2">
        <f>INDEX(Маршруты,MATCH(N137,$B$3:$B$498,0),1)</f>
        <v>6</v>
      </c>
      <c r="P137" s="27">
        <v>13</v>
      </c>
      <c r="Q137" s="2">
        <f>INDEX(Остановки,MATCH(R137,ИД_Остановки!$B$3:$B$467,0),1)</f>
        <v>47</v>
      </c>
      <c r="R137" s="45" t="s">
        <v>259</v>
      </c>
      <c r="S137" s="20">
        <v>0.5</v>
      </c>
    </row>
    <row r="138" spans="1:19" x14ac:dyDescent="0.25">
      <c r="A138" s="35">
        <v>136</v>
      </c>
      <c r="B138" s="64" t="s">
        <v>603</v>
      </c>
      <c r="C138" s="62" t="s">
        <v>208</v>
      </c>
      <c r="D138" s="68">
        <v>20</v>
      </c>
      <c r="H138">
        <v>1</v>
      </c>
      <c r="I138">
        <v>675</v>
      </c>
      <c r="J138">
        <v>115</v>
      </c>
      <c r="K138" t="b">
        <v>1</v>
      </c>
      <c r="N138" s="24" t="s">
        <v>495</v>
      </c>
      <c r="O138" s="2">
        <f>INDEX(Маршруты,MATCH(N138,$B$3:$B$498,0),1)</f>
        <v>6</v>
      </c>
      <c r="P138" s="27">
        <v>14</v>
      </c>
      <c r="Q138" s="2">
        <f>INDEX(Остановки,MATCH(R138,ИД_Остановки!$B$3:$B$467,0),1)</f>
        <v>48</v>
      </c>
      <c r="R138" s="45" t="s">
        <v>42</v>
      </c>
      <c r="S138" s="20">
        <v>0.82</v>
      </c>
    </row>
    <row r="139" spans="1:19" x14ac:dyDescent="0.25">
      <c r="A139">
        <v>137</v>
      </c>
      <c r="B139" s="64" t="s">
        <v>221</v>
      </c>
      <c r="C139" s="62" t="s">
        <v>208</v>
      </c>
      <c r="D139" s="68">
        <v>20</v>
      </c>
      <c r="H139">
        <v>1</v>
      </c>
      <c r="I139">
        <v>680</v>
      </c>
      <c r="J139">
        <v>115</v>
      </c>
      <c r="K139" t="b">
        <v>1</v>
      </c>
      <c r="N139" s="24" t="s">
        <v>495</v>
      </c>
      <c r="O139" s="2">
        <f>INDEX(Маршруты,MATCH(N139,$B$3:$B$498,0),1)</f>
        <v>6</v>
      </c>
      <c r="P139" s="27">
        <v>15</v>
      </c>
      <c r="Q139" s="2">
        <f>INDEX(Остановки,MATCH(R139,ИД_Остановки!$B$3:$B$467,0),1)</f>
        <v>49</v>
      </c>
      <c r="R139" s="45" t="s">
        <v>43</v>
      </c>
      <c r="S139" s="20">
        <v>0.52</v>
      </c>
    </row>
    <row r="140" spans="1:19" x14ac:dyDescent="0.25">
      <c r="A140">
        <v>138</v>
      </c>
      <c r="B140" s="64" t="s">
        <v>604</v>
      </c>
      <c r="C140" s="62" t="s">
        <v>208</v>
      </c>
      <c r="D140" s="68">
        <v>20</v>
      </c>
      <c r="H140">
        <v>1</v>
      </c>
      <c r="I140">
        <v>685</v>
      </c>
      <c r="J140">
        <v>115</v>
      </c>
      <c r="K140" t="b">
        <v>1</v>
      </c>
      <c r="N140" s="23" t="s">
        <v>495</v>
      </c>
      <c r="O140" s="2">
        <f>INDEX(Маршруты,MATCH(N140,$B$3:$B$498,0),1)</f>
        <v>6</v>
      </c>
      <c r="P140" s="27">
        <v>16</v>
      </c>
      <c r="Q140" s="2">
        <f>INDEX(Остановки,MATCH(R140,ИД_Остановки!$B$3:$B$467,0),1)</f>
        <v>50</v>
      </c>
      <c r="R140" s="45" t="s">
        <v>260</v>
      </c>
      <c r="S140" s="20">
        <v>0.52</v>
      </c>
    </row>
    <row r="141" spans="1:19" x14ac:dyDescent="0.25">
      <c r="A141">
        <v>139</v>
      </c>
      <c r="B141" s="64" t="s">
        <v>605</v>
      </c>
      <c r="C141" s="62" t="s">
        <v>208</v>
      </c>
      <c r="D141" s="68">
        <v>20</v>
      </c>
      <c r="H141">
        <v>1</v>
      </c>
      <c r="I141">
        <v>690</v>
      </c>
      <c r="J141">
        <v>115</v>
      </c>
      <c r="K141" t="b">
        <v>1</v>
      </c>
      <c r="N141" s="24" t="s">
        <v>495</v>
      </c>
      <c r="O141" s="2">
        <f>INDEX(Маршруты,MATCH(N141,$B$3:$B$498,0),1)</f>
        <v>6</v>
      </c>
      <c r="P141" s="28">
        <v>17</v>
      </c>
      <c r="Q141" s="2">
        <f>INDEX(Остановки,MATCH(R141,ИД_Остановки!$B$3:$B$467,0),1)</f>
        <v>51</v>
      </c>
      <c r="R141" s="24" t="s">
        <v>261</v>
      </c>
      <c r="S141" s="20">
        <v>0.39</v>
      </c>
    </row>
    <row r="142" spans="1:19" x14ac:dyDescent="0.25">
      <c r="A142">
        <v>140</v>
      </c>
      <c r="B142" s="64" t="s">
        <v>606</v>
      </c>
      <c r="C142" s="62" t="s">
        <v>208</v>
      </c>
      <c r="D142" s="68">
        <v>20</v>
      </c>
      <c r="H142">
        <v>1</v>
      </c>
      <c r="I142">
        <v>695</v>
      </c>
      <c r="J142">
        <v>115</v>
      </c>
      <c r="K142" t="b">
        <v>1</v>
      </c>
      <c r="N142" s="24" t="s">
        <v>495</v>
      </c>
      <c r="O142" s="2">
        <f>INDEX(Маршруты,MATCH(N142,$B$3:$B$498,0),1)</f>
        <v>6</v>
      </c>
      <c r="P142" s="27">
        <v>18</v>
      </c>
      <c r="Q142" s="2">
        <f>INDEX(Остановки,MATCH(R142,ИД_Остановки!$B$3:$B$467,0),1)</f>
        <v>132</v>
      </c>
      <c r="R142" s="45" t="s">
        <v>307</v>
      </c>
      <c r="S142" s="20">
        <v>0.53</v>
      </c>
    </row>
    <row r="143" spans="1:19" x14ac:dyDescent="0.25">
      <c r="A143">
        <v>141</v>
      </c>
      <c r="B143" s="64" t="s">
        <v>607</v>
      </c>
      <c r="C143" s="62" t="s">
        <v>208</v>
      </c>
      <c r="D143" s="68">
        <v>20</v>
      </c>
      <c r="H143">
        <v>1</v>
      </c>
      <c r="I143">
        <v>700</v>
      </c>
      <c r="J143">
        <v>115</v>
      </c>
      <c r="K143" t="b">
        <v>1</v>
      </c>
      <c r="N143" s="24" t="s">
        <v>495</v>
      </c>
      <c r="O143" s="2">
        <f>INDEX(Маршруты,MATCH(N143,$B$3:$B$498,0),1)</f>
        <v>6</v>
      </c>
      <c r="P143" s="27">
        <v>19</v>
      </c>
      <c r="Q143" s="2">
        <f>INDEX(Остановки,MATCH(R143,ИД_Остановки!$B$3:$B$467,0),1)</f>
        <v>52</v>
      </c>
      <c r="R143" s="45" t="s">
        <v>262</v>
      </c>
      <c r="S143" s="20">
        <v>0.51</v>
      </c>
    </row>
    <row r="144" spans="1:19" x14ac:dyDescent="0.25">
      <c r="A144">
        <v>142</v>
      </c>
      <c r="B144" s="64" t="s">
        <v>608</v>
      </c>
      <c r="C144" s="62" t="s">
        <v>208</v>
      </c>
      <c r="D144" s="68">
        <v>20</v>
      </c>
      <c r="H144">
        <v>1</v>
      </c>
      <c r="I144">
        <v>705</v>
      </c>
      <c r="J144">
        <v>115</v>
      </c>
      <c r="K144" t="b">
        <v>1</v>
      </c>
      <c r="N144" s="24" t="s">
        <v>495</v>
      </c>
      <c r="O144" s="2">
        <f>INDEX(Маршруты,MATCH(N144,$B$3:$B$498,0),1)</f>
        <v>6</v>
      </c>
      <c r="P144" s="27">
        <v>20</v>
      </c>
      <c r="Q144" s="2">
        <f>INDEX(Остановки,MATCH(R144,ИД_Остановки!$B$3:$B$467,0),1)</f>
        <v>21</v>
      </c>
      <c r="R144" s="45" t="s">
        <v>21</v>
      </c>
      <c r="S144" s="20">
        <v>0.79</v>
      </c>
    </row>
    <row r="145" spans="1:19" x14ac:dyDescent="0.25">
      <c r="A145" s="36">
        <v>143</v>
      </c>
      <c r="B145" s="64" t="s">
        <v>609</v>
      </c>
      <c r="C145" s="62" t="s">
        <v>203</v>
      </c>
      <c r="D145" s="68">
        <v>20</v>
      </c>
      <c r="H145">
        <v>1</v>
      </c>
      <c r="I145">
        <v>710</v>
      </c>
      <c r="J145">
        <v>115</v>
      </c>
      <c r="K145" t="b">
        <v>1</v>
      </c>
      <c r="N145" s="24" t="s">
        <v>495</v>
      </c>
      <c r="O145" s="2">
        <f>INDEX(Маршруты,MATCH(N145,$B$3:$B$498,0),1)</f>
        <v>6</v>
      </c>
      <c r="P145" s="27">
        <v>21</v>
      </c>
      <c r="Q145" s="2">
        <f>INDEX(Остановки,MATCH(R145,ИД_Остановки!$B$3:$B$467,0),1)</f>
        <v>13</v>
      </c>
      <c r="R145" s="45" t="s">
        <v>249</v>
      </c>
      <c r="S145" s="20">
        <v>0.51</v>
      </c>
    </row>
    <row r="146" spans="1:19" x14ac:dyDescent="0.25">
      <c r="A146" s="36">
        <v>144</v>
      </c>
      <c r="B146" s="64" t="s">
        <v>610</v>
      </c>
      <c r="C146" s="62" t="s">
        <v>203</v>
      </c>
      <c r="D146" s="68">
        <v>20</v>
      </c>
      <c r="H146">
        <v>1</v>
      </c>
      <c r="I146">
        <v>715</v>
      </c>
      <c r="J146">
        <v>115</v>
      </c>
      <c r="K146" t="b">
        <v>1</v>
      </c>
      <c r="N146" s="24" t="s">
        <v>495</v>
      </c>
      <c r="O146" s="2">
        <f>INDEX(Маршруты,MATCH(N146,$B$3:$B$498,0),1)</f>
        <v>6</v>
      </c>
      <c r="P146" s="27">
        <v>22</v>
      </c>
      <c r="Q146" s="2">
        <f>INDEX(Остановки,MATCH(R146,ИД_Остановки!$B$3:$B$467,0),1)</f>
        <v>12</v>
      </c>
      <c r="R146" s="45" t="s">
        <v>13</v>
      </c>
      <c r="S146" s="20">
        <v>0.41</v>
      </c>
    </row>
    <row r="147" spans="1:19" x14ac:dyDescent="0.25">
      <c r="A147" s="35">
        <v>145</v>
      </c>
      <c r="B147" s="64" t="s">
        <v>611</v>
      </c>
      <c r="C147" s="62" t="s">
        <v>208</v>
      </c>
      <c r="D147" s="68">
        <v>20</v>
      </c>
      <c r="H147">
        <v>1</v>
      </c>
      <c r="I147">
        <v>720</v>
      </c>
      <c r="J147">
        <v>115</v>
      </c>
      <c r="K147" t="b">
        <v>1</v>
      </c>
      <c r="N147" s="24" t="s">
        <v>495</v>
      </c>
      <c r="O147" s="2">
        <f>INDEX(Маршруты,MATCH(N147,$B$3:$B$498,0),1)</f>
        <v>6</v>
      </c>
      <c r="P147" s="27">
        <v>23</v>
      </c>
      <c r="Q147" s="2">
        <f>INDEX(Остановки,MATCH(R147,ИД_Остановки!$B$3:$B$467,0),1)</f>
        <v>11</v>
      </c>
      <c r="R147" s="45" t="s">
        <v>248</v>
      </c>
      <c r="S147" s="20">
        <v>0.79</v>
      </c>
    </row>
    <row r="148" spans="1:19" x14ac:dyDescent="0.25">
      <c r="A148" s="35">
        <v>146</v>
      </c>
      <c r="B148" s="64" t="s">
        <v>651</v>
      </c>
      <c r="C148" s="62" t="s">
        <v>208</v>
      </c>
      <c r="D148" s="68">
        <v>20</v>
      </c>
      <c r="H148">
        <v>1</v>
      </c>
      <c r="I148">
        <v>725</v>
      </c>
      <c r="J148">
        <v>115</v>
      </c>
      <c r="K148" t="b">
        <v>1</v>
      </c>
      <c r="N148" s="24" t="s">
        <v>495</v>
      </c>
      <c r="O148" s="2">
        <f>INDEX(Маршруты,MATCH(N148,$B$3:$B$498,0),1)</f>
        <v>6</v>
      </c>
      <c r="P148" s="27">
        <v>24</v>
      </c>
      <c r="Q148" s="2">
        <f>INDEX(Остановки,MATCH(R148,ИД_Остановки!$B$3:$B$467,0),1)</f>
        <v>10</v>
      </c>
      <c r="R148" s="24" t="s">
        <v>247</v>
      </c>
      <c r="S148" s="20">
        <v>0.34</v>
      </c>
    </row>
    <row r="149" spans="1:19" x14ac:dyDescent="0.25">
      <c r="A149" s="72">
        <v>147</v>
      </c>
      <c r="B149" s="71" t="s">
        <v>692</v>
      </c>
      <c r="C149" s="71" t="s">
        <v>207</v>
      </c>
      <c r="D149" s="35">
        <v>20</v>
      </c>
      <c r="H149">
        <v>1</v>
      </c>
      <c r="I149">
        <v>730</v>
      </c>
      <c r="J149">
        <v>115</v>
      </c>
      <c r="K149" t="b">
        <v>1</v>
      </c>
      <c r="N149" s="24" t="s">
        <v>495</v>
      </c>
      <c r="O149" s="2">
        <f>INDEX(Маршруты,MATCH(N149,$B$3:$B$498,0),1)</f>
        <v>6</v>
      </c>
      <c r="P149" s="27">
        <v>25</v>
      </c>
      <c r="Q149" s="2">
        <f>INDEX(Остановки,MATCH(R149,ИД_Остановки!$B$3:$B$467,0),1)</f>
        <v>9</v>
      </c>
      <c r="R149" s="45" t="s">
        <v>246</v>
      </c>
      <c r="S149" s="20">
        <v>0.53</v>
      </c>
    </row>
    <row r="150" spans="1:19" x14ac:dyDescent="0.25">
      <c r="A150" s="72">
        <v>148</v>
      </c>
      <c r="B150" s="71" t="s">
        <v>693</v>
      </c>
      <c r="C150" s="71" t="s">
        <v>207</v>
      </c>
      <c r="D150" s="35">
        <v>20</v>
      </c>
      <c r="H150">
        <v>1</v>
      </c>
      <c r="I150">
        <v>735</v>
      </c>
      <c r="J150">
        <v>115</v>
      </c>
      <c r="K150" t="b">
        <v>1</v>
      </c>
      <c r="N150" s="24" t="s">
        <v>495</v>
      </c>
      <c r="O150" s="2">
        <f>INDEX(Маршруты,MATCH(N150,$B$3:$B$498,0),1)</f>
        <v>6</v>
      </c>
      <c r="P150" s="27">
        <v>26</v>
      </c>
      <c r="Q150" s="2">
        <f>INDEX(Остановки,MATCH(R150,ИД_Остановки!$B$3:$B$467,0),1)</f>
        <v>8</v>
      </c>
      <c r="R150" s="45" t="s">
        <v>12</v>
      </c>
      <c r="S150" s="20">
        <v>0.55000000000000004</v>
      </c>
    </row>
    <row r="151" spans="1:19" x14ac:dyDescent="0.25">
      <c r="A151" s="72">
        <v>149</v>
      </c>
      <c r="B151" s="71" t="s">
        <v>694</v>
      </c>
      <c r="C151" s="71" t="s">
        <v>207</v>
      </c>
      <c r="D151" s="35">
        <v>20</v>
      </c>
      <c r="H151">
        <v>1</v>
      </c>
      <c r="I151">
        <v>740</v>
      </c>
      <c r="J151">
        <v>115</v>
      </c>
      <c r="K151" t="b">
        <v>1</v>
      </c>
      <c r="N151" s="24" t="s">
        <v>495</v>
      </c>
      <c r="O151" s="2">
        <f>INDEX(Маршруты,MATCH(N151,$B$3:$B$498,0),1)</f>
        <v>6</v>
      </c>
      <c r="P151" s="27">
        <v>27</v>
      </c>
      <c r="Q151" s="2">
        <f>INDEX(Остановки,MATCH(R151,ИД_Остановки!$B$3:$B$467,0),1)</f>
        <v>7</v>
      </c>
      <c r="R151" s="45" t="s">
        <v>11</v>
      </c>
      <c r="S151" s="20">
        <v>0.32</v>
      </c>
    </row>
    <row r="152" spans="1:19" x14ac:dyDescent="0.25">
      <c r="A152" s="72">
        <v>150</v>
      </c>
      <c r="B152" s="71" t="s">
        <v>695</v>
      </c>
      <c r="C152" s="71" t="s">
        <v>207</v>
      </c>
      <c r="D152" s="35">
        <v>20</v>
      </c>
      <c r="H152">
        <v>1</v>
      </c>
      <c r="I152">
        <v>745</v>
      </c>
      <c r="J152">
        <v>115</v>
      </c>
      <c r="K152" t="b">
        <v>1</v>
      </c>
      <c r="N152" s="24" t="s">
        <v>495</v>
      </c>
      <c r="O152" s="2">
        <f>INDEX(Маршруты,MATCH(N152,$B$3:$B$498,0),1)</f>
        <v>6</v>
      </c>
      <c r="P152" s="27">
        <v>28</v>
      </c>
      <c r="Q152" s="2">
        <f>INDEX(Остановки,MATCH(R152,ИД_Остановки!$B$3:$B$467,0),1)</f>
        <v>6</v>
      </c>
      <c r="R152" s="24" t="s">
        <v>245</v>
      </c>
      <c r="S152" s="20">
        <v>0.52</v>
      </c>
    </row>
    <row r="153" spans="1:19" x14ac:dyDescent="0.25">
      <c r="H153">
        <v>1</v>
      </c>
      <c r="I153">
        <v>750</v>
      </c>
      <c r="J153">
        <v>115</v>
      </c>
      <c r="K153" t="b">
        <v>1</v>
      </c>
      <c r="N153" s="21" t="s">
        <v>496</v>
      </c>
      <c r="O153" s="2">
        <f>INDEX(Маршруты,MATCH(N153,$B$3:$B$498,0),1)</f>
        <v>7</v>
      </c>
      <c r="P153" s="27">
        <v>1</v>
      </c>
      <c r="Q153" s="2">
        <f>INDEX(Остановки,MATCH(R153,ИД_Остановки!$B$3:$B$467,0),1)</f>
        <v>128</v>
      </c>
      <c r="R153" s="45" t="s">
        <v>304</v>
      </c>
      <c r="S153" s="20"/>
    </row>
    <row r="154" spans="1:19" x14ac:dyDescent="0.25">
      <c r="H154">
        <v>1</v>
      </c>
      <c r="I154">
        <v>755</v>
      </c>
      <c r="J154">
        <v>115</v>
      </c>
      <c r="K154" t="b">
        <v>1</v>
      </c>
      <c r="N154" s="21" t="s">
        <v>496</v>
      </c>
      <c r="O154" s="2">
        <f>INDEX(Маршруты,MATCH(N154,$B$3:$B$498,0),1)</f>
        <v>7</v>
      </c>
      <c r="P154" s="27">
        <v>2</v>
      </c>
      <c r="Q154" s="2">
        <f>INDEX(Остановки,MATCH(R154,ИД_Остановки!$B$3:$B$467,0),1)</f>
        <v>127</v>
      </c>
      <c r="R154" s="45" t="s">
        <v>80</v>
      </c>
      <c r="S154" s="20">
        <v>0.6</v>
      </c>
    </row>
    <row r="155" spans="1:19" x14ac:dyDescent="0.25">
      <c r="H155">
        <v>1</v>
      </c>
      <c r="I155">
        <v>760</v>
      </c>
      <c r="J155">
        <v>115</v>
      </c>
      <c r="K155" t="b">
        <v>1</v>
      </c>
      <c r="N155" s="24" t="s">
        <v>496</v>
      </c>
      <c r="O155" s="2">
        <f>INDEX(Маршруты,MATCH(N155,$B$3:$B$498,0),1)</f>
        <v>7</v>
      </c>
      <c r="P155" s="27">
        <v>3</v>
      </c>
      <c r="Q155" s="2">
        <f>INDEX(Остановки,MATCH(R155,ИД_Остановки!$B$3:$B$467,0),1)</f>
        <v>95</v>
      </c>
      <c r="R155" s="45" t="s">
        <v>67</v>
      </c>
      <c r="S155" s="20">
        <v>0.74</v>
      </c>
    </row>
    <row r="156" spans="1:19" x14ac:dyDescent="0.25">
      <c r="H156">
        <v>1</v>
      </c>
      <c r="I156">
        <v>765</v>
      </c>
      <c r="J156">
        <v>115</v>
      </c>
      <c r="K156" t="b">
        <v>1</v>
      </c>
      <c r="N156" s="24" t="s">
        <v>496</v>
      </c>
      <c r="O156" s="2">
        <f>INDEX(Маршруты,MATCH(N156,$B$3:$B$498,0),1)</f>
        <v>7</v>
      </c>
      <c r="P156" s="27">
        <v>4</v>
      </c>
      <c r="Q156" s="2">
        <f>INDEX(Остановки,MATCH(R156,ИД_Остановки!$B$3:$B$467,0),1)</f>
        <v>94</v>
      </c>
      <c r="R156" s="45" t="s">
        <v>66</v>
      </c>
      <c r="S156" s="20">
        <v>0.84</v>
      </c>
    </row>
    <row r="157" spans="1:19" x14ac:dyDescent="0.25">
      <c r="H157">
        <v>1</v>
      </c>
      <c r="I157">
        <v>770</v>
      </c>
      <c r="J157">
        <v>115</v>
      </c>
      <c r="K157" t="b">
        <v>1</v>
      </c>
      <c r="N157" s="24" t="s">
        <v>496</v>
      </c>
      <c r="O157" s="2">
        <f>INDEX(Маршруты,MATCH(N157,$B$3:$B$498,0),1)</f>
        <v>7</v>
      </c>
      <c r="P157" s="27">
        <v>5</v>
      </c>
      <c r="Q157" s="2">
        <f>INDEX(Остановки,MATCH(R157,ИД_Остановки!$B$3:$B$467,0),1)</f>
        <v>445</v>
      </c>
      <c r="R157" s="45" t="s">
        <v>302</v>
      </c>
      <c r="S157" s="20">
        <v>0.8</v>
      </c>
    </row>
    <row r="158" spans="1:19" x14ac:dyDescent="0.25">
      <c r="H158">
        <v>1</v>
      </c>
      <c r="I158">
        <v>775</v>
      </c>
      <c r="J158">
        <v>115</v>
      </c>
      <c r="K158" t="b">
        <v>1</v>
      </c>
      <c r="N158" s="24" t="s">
        <v>496</v>
      </c>
      <c r="O158" s="2">
        <f>INDEX(Маршруты,MATCH(N158,$B$3:$B$498,0),1)</f>
        <v>7</v>
      </c>
      <c r="P158" s="27">
        <v>6</v>
      </c>
      <c r="Q158" s="2">
        <f>INDEX(Остановки,MATCH(R158,ИД_Остановки!$B$3:$B$467,0),1)</f>
        <v>125</v>
      </c>
      <c r="R158" s="45" t="s">
        <v>79</v>
      </c>
      <c r="S158" s="20">
        <v>0.48</v>
      </c>
    </row>
    <row r="159" spans="1:19" x14ac:dyDescent="0.25">
      <c r="H159">
        <v>1</v>
      </c>
      <c r="I159">
        <v>780</v>
      </c>
      <c r="J159">
        <v>115</v>
      </c>
      <c r="K159" t="b">
        <v>1</v>
      </c>
      <c r="N159" s="24" t="s">
        <v>496</v>
      </c>
      <c r="O159" s="2">
        <f>INDEX(Маршруты,MATCH(N159,$B$3:$B$498,0),1)</f>
        <v>7</v>
      </c>
      <c r="P159" s="27">
        <v>7</v>
      </c>
      <c r="Q159" s="2">
        <f>INDEX(Остановки,MATCH(R159,ИД_Остановки!$B$3:$B$467,0),1)</f>
        <v>80</v>
      </c>
      <c r="R159" s="45" t="s">
        <v>57</v>
      </c>
      <c r="S159" s="20">
        <v>0.44</v>
      </c>
    </row>
    <row r="160" spans="1:19" x14ac:dyDescent="0.25">
      <c r="H160">
        <v>1</v>
      </c>
      <c r="I160">
        <v>785</v>
      </c>
      <c r="J160">
        <v>115</v>
      </c>
      <c r="K160" t="b">
        <v>1</v>
      </c>
      <c r="N160" s="23" t="s">
        <v>496</v>
      </c>
      <c r="O160" s="2">
        <f>INDEX(Маршруты,MATCH(N160,$B$3:$B$498,0),1)</f>
        <v>7</v>
      </c>
      <c r="P160" s="27">
        <v>8</v>
      </c>
      <c r="Q160" s="2">
        <f>INDEX(Остановки,MATCH(R160,ИД_Остановки!$B$3:$B$467,0),1)</f>
        <v>92</v>
      </c>
      <c r="R160" s="45" t="s">
        <v>284</v>
      </c>
      <c r="S160" s="20">
        <v>0.79</v>
      </c>
    </row>
    <row r="161" spans="8:19" x14ac:dyDescent="0.25">
      <c r="H161">
        <v>1</v>
      </c>
      <c r="I161">
        <v>790</v>
      </c>
      <c r="J161">
        <v>115</v>
      </c>
      <c r="K161" t="b">
        <v>1</v>
      </c>
      <c r="N161" s="24" t="s">
        <v>496</v>
      </c>
      <c r="O161" s="2">
        <f>INDEX(Маршруты,MATCH(N161,$B$3:$B$498,0),1)</f>
        <v>7</v>
      </c>
      <c r="P161" s="27">
        <v>9</v>
      </c>
      <c r="Q161" s="2">
        <f>INDEX(Остановки,MATCH(R161,ИД_Остановки!$B$3:$B$467,0),1)</f>
        <v>91</v>
      </c>
      <c r="R161" s="45" t="s">
        <v>283</v>
      </c>
      <c r="S161" s="20">
        <v>1.03</v>
      </c>
    </row>
    <row r="162" spans="8:19" x14ac:dyDescent="0.25">
      <c r="H162">
        <v>1</v>
      </c>
      <c r="I162">
        <v>795</v>
      </c>
      <c r="J162">
        <v>115</v>
      </c>
      <c r="K162" t="b">
        <v>1</v>
      </c>
      <c r="N162" s="24" t="s">
        <v>496</v>
      </c>
      <c r="O162" s="2">
        <f>INDEX(Маршруты,MATCH(N162,$B$3:$B$498,0),1)</f>
        <v>7</v>
      </c>
      <c r="P162" s="27">
        <v>10</v>
      </c>
      <c r="Q162" s="2">
        <f>INDEX(Остановки,MATCH(R162,ИД_Остановки!$B$3:$B$467,0),1)</f>
        <v>90</v>
      </c>
      <c r="R162" s="45" t="s">
        <v>282</v>
      </c>
      <c r="S162" s="20">
        <v>0.74</v>
      </c>
    </row>
    <row r="163" spans="8:19" x14ac:dyDescent="0.25">
      <c r="H163">
        <v>1</v>
      </c>
      <c r="I163">
        <v>800</v>
      </c>
      <c r="J163">
        <v>115</v>
      </c>
      <c r="K163" t="b">
        <v>1</v>
      </c>
      <c r="N163" s="24" t="s">
        <v>496</v>
      </c>
      <c r="O163" s="2">
        <f>INDEX(Маршруты,MATCH(N163,$B$3:$B$498,0),1)</f>
        <v>7</v>
      </c>
      <c r="P163" s="27">
        <v>11</v>
      </c>
      <c r="Q163" s="2">
        <f>INDEX(Остановки,MATCH(R163,ИД_Остановки!$B$3:$B$467,0),1)</f>
        <v>89</v>
      </c>
      <c r="R163" s="45" t="s">
        <v>64</v>
      </c>
      <c r="S163" s="20">
        <v>0.54</v>
      </c>
    </row>
    <row r="164" spans="8:19" x14ac:dyDescent="0.25">
      <c r="H164">
        <v>1</v>
      </c>
      <c r="I164">
        <v>805</v>
      </c>
      <c r="J164">
        <v>115</v>
      </c>
      <c r="K164" t="b">
        <v>1</v>
      </c>
      <c r="N164" s="24" t="s">
        <v>496</v>
      </c>
      <c r="O164" s="2">
        <f>INDEX(Маршруты,MATCH(N164,$B$3:$B$498,0),1)</f>
        <v>7</v>
      </c>
      <c r="P164" s="27">
        <v>12</v>
      </c>
      <c r="Q164" s="2">
        <f>INDEX(Остановки,MATCH(R164,ИД_Остановки!$B$3:$B$467,0),1)</f>
        <v>88</v>
      </c>
      <c r="R164" s="45" t="s">
        <v>63</v>
      </c>
      <c r="S164" s="20">
        <v>0.79</v>
      </c>
    </row>
    <row r="165" spans="8:19" x14ac:dyDescent="0.25">
      <c r="H165">
        <v>1</v>
      </c>
      <c r="I165">
        <v>810</v>
      </c>
      <c r="J165">
        <v>115</v>
      </c>
      <c r="K165" t="b">
        <v>1</v>
      </c>
      <c r="N165" s="23" t="s">
        <v>496</v>
      </c>
      <c r="O165" s="2">
        <f>INDEX(Маршруты,MATCH(N165,$B$3:$B$498,0),1)</f>
        <v>7</v>
      </c>
      <c r="P165" s="27">
        <v>13</v>
      </c>
      <c r="Q165" s="2">
        <f>INDEX(Остановки,MATCH(R165,ИД_Остановки!$B$3:$B$467,0),1)</f>
        <v>87</v>
      </c>
      <c r="R165" s="45" t="s">
        <v>62</v>
      </c>
      <c r="S165" s="20">
        <v>0.45</v>
      </c>
    </row>
    <row r="166" spans="8:19" x14ac:dyDescent="0.25">
      <c r="H166">
        <v>1</v>
      </c>
      <c r="I166">
        <v>815</v>
      </c>
      <c r="J166">
        <v>115</v>
      </c>
      <c r="K166" t="b">
        <v>1</v>
      </c>
      <c r="N166" s="24" t="s">
        <v>496</v>
      </c>
      <c r="O166" s="2">
        <f>INDEX(Маршруты,MATCH(N166,$B$3:$B$498,0),1)</f>
        <v>7</v>
      </c>
      <c r="P166" s="27">
        <v>14</v>
      </c>
      <c r="Q166" s="2">
        <f>INDEX(Остановки,MATCH(R166,ИД_Остановки!$B$3:$B$467,0),1)</f>
        <v>86</v>
      </c>
      <c r="R166" s="45" t="s">
        <v>61</v>
      </c>
      <c r="S166" s="20">
        <v>0.75</v>
      </c>
    </row>
    <row r="167" spans="8:19" x14ac:dyDescent="0.25">
      <c r="H167">
        <v>1</v>
      </c>
      <c r="I167">
        <v>820</v>
      </c>
      <c r="J167">
        <v>115</v>
      </c>
      <c r="K167" t="b">
        <v>1</v>
      </c>
      <c r="N167" s="24" t="s">
        <v>496</v>
      </c>
      <c r="O167" s="2">
        <f>INDEX(Маршруты,MATCH(N167,$B$3:$B$498,0),1)</f>
        <v>7</v>
      </c>
      <c r="P167" s="27">
        <v>15</v>
      </c>
      <c r="Q167" s="2">
        <f>INDEX(Остановки,MATCH(R167,ИД_Остановки!$B$3:$B$467,0),1)</f>
        <v>85</v>
      </c>
      <c r="R167" s="45" t="s">
        <v>60</v>
      </c>
      <c r="S167" s="20">
        <v>0.31</v>
      </c>
    </row>
    <row r="168" spans="8:19" x14ac:dyDescent="0.25">
      <c r="H168">
        <v>1</v>
      </c>
      <c r="I168">
        <v>825</v>
      </c>
      <c r="J168">
        <v>115</v>
      </c>
      <c r="K168" t="b">
        <v>1</v>
      </c>
      <c r="N168" s="24" t="s">
        <v>496</v>
      </c>
      <c r="O168" s="2">
        <f>INDEX(Маршруты,MATCH(N168,$B$3:$B$498,0),1)</f>
        <v>7</v>
      </c>
      <c r="P168" s="27">
        <v>16</v>
      </c>
      <c r="Q168" s="2">
        <f>INDEX(Остановки,MATCH(R168,ИД_Остановки!$B$3:$B$467,0),1)</f>
        <v>84</v>
      </c>
      <c r="R168" s="45" t="s">
        <v>281</v>
      </c>
      <c r="S168" s="20">
        <v>1.2</v>
      </c>
    </row>
    <row r="169" spans="8:19" x14ac:dyDescent="0.25">
      <c r="H169">
        <v>1</v>
      </c>
      <c r="I169">
        <v>830</v>
      </c>
      <c r="J169">
        <v>115</v>
      </c>
      <c r="K169" t="b">
        <v>1</v>
      </c>
      <c r="N169" s="24" t="s">
        <v>496</v>
      </c>
      <c r="O169" s="2">
        <f>INDEX(Маршруты,MATCH(N169,$B$3:$B$498,0),1)</f>
        <v>7</v>
      </c>
      <c r="P169" s="27">
        <v>17</v>
      </c>
      <c r="Q169" s="2">
        <f>INDEX(Остановки,MATCH(R169,ИД_Остановки!$B$3:$B$467,0),1)</f>
        <v>83</v>
      </c>
      <c r="R169" s="45" t="s">
        <v>280</v>
      </c>
      <c r="S169" s="20">
        <v>1.2</v>
      </c>
    </row>
    <row r="170" spans="8:19" x14ac:dyDescent="0.25">
      <c r="H170">
        <v>1</v>
      </c>
      <c r="I170">
        <v>835</v>
      </c>
      <c r="J170">
        <v>115</v>
      </c>
      <c r="K170" t="b">
        <v>1</v>
      </c>
      <c r="N170" s="24" t="s">
        <v>496</v>
      </c>
      <c r="O170" s="2">
        <f>INDEX(Маршруты,MATCH(N170,$B$3:$B$498,0),1)</f>
        <v>7</v>
      </c>
      <c r="P170" s="28">
        <v>18</v>
      </c>
      <c r="Q170" s="2">
        <f>INDEX(Остановки,MATCH(R170,ИД_Остановки!$B$3:$B$467,0),1)</f>
        <v>82</v>
      </c>
      <c r="R170" s="24" t="s">
        <v>59</v>
      </c>
      <c r="S170" s="20">
        <v>1</v>
      </c>
    </row>
    <row r="171" spans="8:19" x14ac:dyDescent="0.25">
      <c r="H171">
        <v>1</v>
      </c>
      <c r="I171">
        <v>840</v>
      </c>
      <c r="J171">
        <v>115</v>
      </c>
      <c r="K171" t="b">
        <v>1</v>
      </c>
      <c r="N171" s="23" t="s">
        <v>496</v>
      </c>
      <c r="O171" s="2">
        <f>INDEX(Маршруты,MATCH(N171,$B$3:$B$498,0),1)</f>
        <v>7</v>
      </c>
      <c r="P171" s="27">
        <v>19</v>
      </c>
      <c r="Q171" s="2">
        <f>INDEX(Остановки,MATCH(R171,ИД_Остановки!$B$3:$B$467,0),1)</f>
        <v>93</v>
      </c>
      <c r="R171" s="45" t="s">
        <v>65</v>
      </c>
      <c r="S171" s="20">
        <v>0.52</v>
      </c>
    </row>
    <row r="172" spans="8:19" x14ac:dyDescent="0.25">
      <c r="H172">
        <v>1</v>
      </c>
      <c r="I172">
        <v>845</v>
      </c>
      <c r="J172">
        <v>115</v>
      </c>
      <c r="K172" t="b">
        <v>1</v>
      </c>
      <c r="N172" s="24" t="s">
        <v>497</v>
      </c>
      <c r="O172" s="2">
        <f>INDEX(Маршруты,MATCH(N172,$B$3:$B$498,0),1)</f>
        <v>8</v>
      </c>
      <c r="P172" s="27">
        <v>1</v>
      </c>
      <c r="Q172" s="2">
        <f>INDEX(Остановки,MATCH(R172,ИД_Остановки!$B$3:$B$467,0),1)</f>
        <v>93</v>
      </c>
      <c r="R172" s="45" t="s">
        <v>65</v>
      </c>
      <c r="S172" s="20"/>
    </row>
    <row r="173" spans="8:19" x14ac:dyDescent="0.25">
      <c r="H173">
        <v>1</v>
      </c>
      <c r="I173">
        <v>850</v>
      </c>
      <c r="J173">
        <v>115</v>
      </c>
      <c r="K173" t="b">
        <v>1</v>
      </c>
      <c r="N173" s="24" t="s">
        <v>497</v>
      </c>
      <c r="O173" s="2">
        <f>INDEX(Маршруты,MATCH(N173,$B$3:$B$498,0),1)</f>
        <v>8</v>
      </c>
      <c r="P173" s="27">
        <v>2</v>
      </c>
      <c r="Q173" s="2">
        <f>INDEX(Остановки,MATCH(R173,ИД_Остановки!$B$3:$B$467,0),1)</f>
        <v>82</v>
      </c>
      <c r="R173" s="45" t="s">
        <v>59</v>
      </c>
      <c r="S173" s="20">
        <v>0.52</v>
      </c>
    </row>
    <row r="174" spans="8:19" x14ac:dyDescent="0.25">
      <c r="H174">
        <v>1</v>
      </c>
      <c r="I174">
        <v>855</v>
      </c>
      <c r="J174">
        <v>115</v>
      </c>
      <c r="K174" t="b">
        <v>1</v>
      </c>
      <c r="N174" s="24" t="s">
        <v>497</v>
      </c>
      <c r="O174" s="2">
        <f>INDEX(Маршруты,MATCH(N174,$B$3:$B$498,0),1)</f>
        <v>8</v>
      </c>
      <c r="P174" s="27">
        <v>3</v>
      </c>
      <c r="Q174" s="2">
        <f>INDEX(Остановки,MATCH(R174,ИД_Остановки!$B$3:$B$467,0),1)</f>
        <v>83</v>
      </c>
      <c r="R174" s="24" t="s">
        <v>280</v>
      </c>
      <c r="S174" s="20">
        <v>1</v>
      </c>
    </row>
    <row r="175" spans="8:19" x14ac:dyDescent="0.25">
      <c r="H175">
        <v>1</v>
      </c>
      <c r="I175">
        <v>860</v>
      </c>
      <c r="J175">
        <v>115</v>
      </c>
      <c r="K175" t="b">
        <v>1</v>
      </c>
      <c r="N175" s="24" t="s">
        <v>497</v>
      </c>
      <c r="O175" s="2">
        <f>INDEX(Маршруты,MATCH(N175,$B$3:$B$498,0),1)</f>
        <v>8</v>
      </c>
      <c r="P175" s="27">
        <v>4</v>
      </c>
      <c r="Q175" s="2">
        <f>INDEX(Остановки,MATCH(R175,ИД_Остановки!$B$3:$B$467,0),1)</f>
        <v>84</v>
      </c>
      <c r="R175" s="45" t="s">
        <v>281</v>
      </c>
      <c r="S175" s="20">
        <v>1.2</v>
      </c>
    </row>
    <row r="176" spans="8:19" x14ac:dyDescent="0.25">
      <c r="H176">
        <v>1</v>
      </c>
      <c r="I176">
        <v>865</v>
      </c>
      <c r="J176">
        <v>115</v>
      </c>
      <c r="K176" t="b">
        <v>1</v>
      </c>
      <c r="N176" s="24" t="s">
        <v>497</v>
      </c>
      <c r="O176" s="2">
        <f>INDEX(Маршруты,MATCH(N176,$B$3:$B$498,0),1)</f>
        <v>8</v>
      </c>
      <c r="P176" s="27">
        <v>5</v>
      </c>
      <c r="Q176" s="2">
        <f>INDEX(Остановки,MATCH(R176,ИД_Остановки!$B$3:$B$467,0),1)</f>
        <v>85</v>
      </c>
      <c r="R176" s="45" t="s">
        <v>60</v>
      </c>
      <c r="S176" s="20">
        <v>1.2</v>
      </c>
    </row>
    <row r="177" spans="8:19" x14ac:dyDescent="0.25">
      <c r="H177">
        <v>1</v>
      </c>
      <c r="I177">
        <v>870</v>
      </c>
      <c r="J177">
        <v>115</v>
      </c>
      <c r="K177" t="b">
        <v>1</v>
      </c>
      <c r="N177" s="23" t="s">
        <v>497</v>
      </c>
      <c r="O177" s="2">
        <f>INDEX(Маршруты,MATCH(N177,$B$3:$B$498,0),1)</f>
        <v>8</v>
      </c>
      <c r="P177" s="27">
        <v>6</v>
      </c>
      <c r="Q177" s="2">
        <f>INDEX(Остановки,MATCH(R177,ИД_Остановки!$B$3:$B$467,0),1)</f>
        <v>86</v>
      </c>
      <c r="R177" s="45" t="s">
        <v>61</v>
      </c>
      <c r="S177" s="20">
        <v>0.31</v>
      </c>
    </row>
    <row r="178" spans="8:19" x14ac:dyDescent="0.25">
      <c r="H178">
        <v>1</v>
      </c>
      <c r="I178">
        <v>875</v>
      </c>
      <c r="J178">
        <v>115</v>
      </c>
      <c r="K178" t="b">
        <v>1</v>
      </c>
      <c r="N178" s="24" t="s">
        <v>497</v>
      </c>
      <c r="O178" s="2">
        <f>INDEX(Маршруты,MATCH(N178,$B$3:$B$498,0),1)</f>
        <v>8</v>
      </c>
      <c r="P178" s="27">
        <v>7</v>
      </c>
      <c r="Q178" s="2">
        <f>INDEX(Остановки,MATCH(R178,ИД_Остановки!$B$3:$B$467,0),1)</f>
        <v>87</v>
      </c>
      <c r="R178" s="24" t="s">
        <v>62</v>
      </c>
      <c r="S178" s="20">
        <v>0.75</v>
      </c>
    </row>
    <row r="179" spans="8:19" x14ac:dyDescent="0.25">
      <c r="H179">
        <v>1</v>
      </c>
      <c r="I179">
        <v>880</v>
      </c>
      <c r="J179">
        <v>115</v>
      </c>
      <c r="K179" t="b">
        <v>1</v>
      </c>
      <c r="N179" s="24" t="s">
        <v>497</v>
      </c>
      <c r="O179" s="2">
        <f>INDEX(Маршруты,MATCH(N179,$B$3:$B$498,0),1)</f>
        <v>8</v>
      </c>
      <c r="P179" s="27">
        <v>8</v>
      </c>
      <c r="Q179" s="2">
        <f>INDEX(Остановки,MATCH(R179,ИД_Остановки!$B$3:$B$467,0),1)</f>
        <v>88</v>
      </c>
      <c r="R179" s="45" t="s">
        <v>63</v>
      </c>
      <c r="S179" s="20">
        <v>0.45</v>
      </c>
    </row>
    <row r="180" spans="8:19" x14ac:dyDescent="0.25">
      <c r="H180">
        <v>1</v>
      </c>
      <c r="I180">
        <v>885</v>
      </c>
      <c r="J180">
        <v>115</v>
      </c>
      <c r="K180" t="b">
        <v>1</v>
      </c>
      <c r="N180" s="23" t="s">
        <v>497</v>
      </c>
      <c r="O180" s="2">
        <f>INDEX(Маршруты,MATCH(N180,$B$3:$B$498,0),1)</f>
        <v>8</v>
      </c>
      <c r="P180" s="27">
        <v>9</v>
      </c>
      <c r="Q180" s="2">
        <f>INDEX(Остановки,MATCH(R180,ИД_Остановки!$B$3:$B$467,0),1)</f>
        <v>89</v>
      </c>
      <c r="R180" s="45" t="s">
        <v>64</v>
      </c>
      <c r="S180" s="20">
        <v>0.79</v>
      </c>
    </row>
    <row r="181" spans="8:19" x14ac:dyDescent="0.25">
      <c r="H181">
        <v>1</v>
      </c>
      <c r="I181">
        <v>890</v>
      </c>
      <c r="J181">
        <v>115</v>
      </c>
      <c r="K181" t="b">
        <v>1</v>
      </c>
      <c r="N181" s="24" t="s">
        <v>497</v>
      </c>
      <c r="O181" s="2">
        <f>INDEX(Маршруты,MATCH(N181,$B$3:$B$498,0),1)</f>
        <v>8</v>
      </c>
      <c r="P181" s="27">
        <v>10</v>
      </c>
      <c r="Q181" s="2">
        <f>INDEX(Остановки,MATCH(R181,ИД_Остановки!$B$3:$B$467,0),1)</f>
        <v>90</v>
      </c>
      <c r="R181" s="45" t="s">
        <v>282</v>
      </c>
      <c r="S181" s="20">
        <v>0.54</v>
      </c>
    </row>
    <row r="182" spans="8:19" x14ac:dyDescent="0.25">
      <c r="H182">
        <v>1</v>
      </c>
      <c r="I182">
        <v>895</v>
      </c>
      <c r="J182">
        <v>115</v>
      </c>
      <c r="K182" t="b">
        <v>1</v>
      </c>
      <c r="N182" s="24" t="s">
        <v>497</v>
      </c>
      <c r="O182" s="2">
        <f>INDEX(Маршруты,MATCH(N182,$B$3:$B$498,0),1)</f>
        <v>8</v>
      </c>
      <c r="P182" s="27">
        <v>11</v>
      </c>
      <c r="Q182" s="2">
        <f>INDEX(Остановки,MATCH(R182,ИД_Остановки!$B$3:$B$467,0),1)</f>
        <v>91</v>
      </c>
      <c r="R182" s="45" t="s">
        <v>283</v>
      </c>
      <c r="S182" s="20">
        <v>0.74</v>
      </c>
    </row>
    <row r="183" spans="8:19" x14ac:dyDescent="0.25">
      <c r="H183">
        <v>1</v>
      </c>
      <c r="I183">
        <v>900</v>
      </c>
      <c r="J183">
        <v>115</v>
      </c>
      <c r="K183" t="b">
        <v>1</v>
      </c>
      <c r="N183" s="24" t="s">
        <v>497</v>
      </c>
      <c r="O183" s="2">
        <f>INDEX(Маршруты,MATCH(N183,$B$3:$B$498,0),1)</f>
        <v>8</v>
      </c>
      <c r="P183" s="27">
        <v>12</v>
      </c>
      <c r="Q183" s="2">
        <f>INDEX(Остановки,MATCH(R183,ИД_Остановки!$B$3:$B$467,0),1)</f>
        <v>92</v>
      </c>
      <c r="R183" s="45" t="s">
        <v>284</v>
      </c>
      <c r="S183" s="20">
        <v>1.03</v>
      </c>
    </row>
    <row r="184" spans="8:19" x14ac:dyDescent="0.25">
      <c r="H184">
        <v>1</v>
      </c>
      <c r="I184">
        <v>905</v>
      </c>
      <c r="J184">
        <v>115</v>
      </c>
      <c r="K184" t="b">
        <v>1</v>
      </c>
      <c r="N184" s="24" t="s">
        <v>497</v>
      </c>
      <c r="O184" s="2">
        <f>INDEX(Маршруты,MATCH(N184,$B$3:$B$498,0),1)</f>
        <v>8</v>
      </c>
      <c r="P184" s="27">
        <v>13</v>
      </c>
      <c r="Q184" s="2">
        <f>INDEX(Остановки,MATCH(R184,ИД_Остановки!$B$3:$B$467,0),1)</f>
        <v>80</v>
      </c>
      <c r="R184" s="45" t="s">
        <v>57</v>
      </c>
      <c r="S184" s="20">
        <v>0.79</v>
      </c>
    </row>
    <row r="185" spans="8:19" x14ac:dyDescent="0.25">
      <c r="H185">
        <v>1</v>
      </c>
      <c r="I185">
        <v>910</v>
      </c>
      <c r="J185">
        <v>115</v>
      </c>
      <c r="K185" t="b">
        <v>1</v>
      </c>
      <c r="N185" s="24" t="s">
        <v>497</v>
      </c>
      <c r="O185" s="2">
        <f>INDEX(Маршруты,MATCH(N185,$B$3:$B$498,0),1)</f>
        <v>8</v>
      </c>
      <c r="P185" s="27">
        <v>14</v>
      </c>
      <c r="Q185" s="2">
        <f>INDEX(Остановки,MATCH(R185,ИД_Остановки!$B$3:$B$467,0),1)</f>
        <v>125</v>
      </c>
      <c r="R185" s="45" t="s">
        <v>79</v>
      </c>
      <c r="S185" s="20">
        <v>0.44</v>
      </c>
    </row>
    <row r="186" spans="8:19" x14ac:dyDescent="0.25">
      <c r="H186">
        <v>1</v>
      </c>
      <c r="I186">
        <v>915</v>
      </c>
      <c r="J186">
        <v>115</v>
      </c>
      <c r="K186" t="b">
        <v>1</v>
      </c>
      <c r="N186" s="24" t="s">
        <v>497</v>
      </c>
      <c r="O186" s="2">
        <f>INDEX(Маршруты,MATCH(N186,$B$3:$B$498,0),1)</f>
        <v>8</v>
      </c>
      <c r="P186" s="27">
        <v>15</v>
      </c>
      <c r="Q186" s="2">
        <f>INDEX(Остановки,MATCH(R186,ИД_Остановки!$B$3:$B$467,0),1)</f>
        <v>445</v>
      </c>
      <c r="R186" s="45" t="s">
        <v>302</v>
      </c>
      <c r="S186" s="20">
        <v>0.48</v>
      </c>
    </row>
    <row r="187" spans="8:19" x14ac:dyDescent="0.25">
      <c r="H187">
        <v>1</v>
      </c>
      <c r="I187">
        <v>920</v>
      </c>
      <c r="J187">
        <v>115</v>
      </c>
      <c r="K187" t="b">
        <v>1</v>
      </c>
      <c r="N187" s="23" t="s">
        <v>497</v>
      </c>
      <c r="O187" s="2">
        <f>INDEX(Маршруты,MATCH(N187,$B$3:$B$498,0),1)</f>
        <v>8</v>
      </c>
      <c r="P187" s="27">
        <v>16</v>
      </c>
      <c r="Q187" s="2">
        <f>INDEX(Остановки,MATCH(R187,ИД_Остановки!$B$3:$B$467,0),1)</f>
        <v>94</v>
      </c>
      <c r="R187" s="45" t="s">
        <v>66</v>
      </c>
      <c r="S187" s="20">
        <v>0.8</v>
      </c>
    </row>
    <row r="188" spans="8:19" x14ac:dyDescent="0.25">
      <c r="H188">
        <v>1</v>
      </c>
      <c r="I188">
        <v>925</v>
      </c>
      <c r="J188">
        <v>115</v>
      </c>
      <c r="K188" t="b">
        <v>1</v>
      </c>
      <c r="N188" s="24" t="s">
        <v>497</v>
      </c>
      <c r="O188" s="2">
        <f>INDEX(Маршруты,MATCH(N188,$B$3:$B$498,0),1)</f>
        <v>8</v>
      </c>
      <c r="P188" s="27">
        <v>17</v>
      </c>
      <c r="Q188" s="2">
        <f>INDEX(Остановки,MATCH(R188,ИД_Остановки!$B$3:$B$467,0),1)</f>
        <v>95</v>
      </c>
      <c r="R188" s="24" t="s">
        <v>67</v>
      </c>
      <c r="S188" s="20">
        <v>0.84</v>
      </c>
    </row>
    <row r="189" spans="8:19" x14ac:dyDescent="0.25">
      <c r="H189">
        <v>1</v>
      </c>
      <c r="I189">
        <v>930</v>
      </c>
      <c r="J189">
        <v>115</v>
      </c>
      <c r="K189" t="b">
        <v>1</v>
      </c>
      <c r="N189" s="24" t="s">
        <v>497</v>
      </c>
      <c r="O189" s="2">
        <f>INDEX(Маршруты,MATCH(N189,$B$3:$B$498,0),1)</f>
        <v>8</v>
      </c>
      <c r="P189" s="27">
        <v>18</v>
      </c>
      <c r="Q189" s="2">
        <f>INDEX(Остановки,MATCH(R189,ИД_Остановки!$B$3:$B$467,0),1)</f>
        <v>127</v>
      </c>
      <c r="R189" s="45" t="s">
        <v>80</v>
      </c>
      <c r="S189" s="20">
        <v>0.74</v>
      </c>
    </row>
    <row r="190" spans="8:19" x14ac:dyDescent="0.25">
      <c r="H190">
        <v>1</v>
      </c>
      <c r="I190">
        <v>935</v>
      </c>
      <c r="J190">
        <v>115</v>
      </c>
      <c r="K190" t="b">
        <v>1</v>
      </c>
      <c r="N190" s="24" t="s">
        <v>497</v>
      </c>
      <c r="O190" s="2">
        <f>INDEX(Маршруты,MATCH(N190,$B$3:$B$498,0),1)</f>
        <v>8</v>
      </c>
      <c r="P190" s="28">
        <v>19</v>
      </c>
      <c r="Q190" s="2">
        <f>INDEX(Остановки,MATCH(R190,ИД_Остановки!$B$3:$B$467,0),1)</f>
        <v>128</v>
      </c>
      <c r="R190" s="24" t="s">
        <v>304</v>
      </c>
      <c r="S190" s="20">
        <v>0.6</v>
      </c>
    </row>
    <row r="191" spans="8:19" x14ac:dyDescent="0.25">
      <c r="H191">
        <v>1</v>
      </c>
      <c r="I191">
        <v>940</v>
      </c>
      <c r="J191">
        <v>115</v>
      </c>
      <c r="K191" t="b">
        <v>1</v>
      </c>
      <c r="N191" s="24" t="s">
        <v>498</v>
      </c>
      <c r="O191" s="2">
        <f>INDEX(Маршруты,MATCH(N191,$B$3:$B$498,0),1)</f>
        <v>9</v>
      </c>
      <c r="P191" s="28">
        <v>1</v>
      </c>
      <c r="Q191" s="2">
        <f>INDEX(Остановки,MATCH(R191,ИД_Остановки!$B$3:$B$467,0),1)</f>
        <v>80</v>
      </c>
      <c r="R191" s="24" t="s">
        <v>57</v>
      </c>
      <c r="S191" s="20"/>
    </row>
    <row r="192" spans="8:19" x14ac:dyDescent="0.25">
      <c r="H192">
        <v>1</v>
      </c>
      <c r="I192">
        <v>945</v>
      </c>
      <c r="J192">
        <v>115</v>
      </c>
      <c r="K192" t="b">
        <v>1</v>
      </c>
      <c r="N192" s="24" t="s">
        <v>498</v>
      </c>
      <c r="O192" s="2">
        <f>INDEX(Маршруты,MATCH(N192,$B$3:$B$498,0),1)</f>
        <v>9</v>
      </c>
      <c r="P192" s="27">
        <v>2</v>
      </c>
      <c r="Q192" s="2">
        <f>INDEX(Остановки,MATCH(R192,ИД_Остановки!$B$3:$B$467,0),1)</f>
        <v>92</v>
      </c>
      <c r="R192" s="45" t="s">
        <v>284</v>
      </c>
      <c r="S192" s="20">
        <v>0.79</v>
      </c>
    </row>
    <row r="193" spans="8:19" x14ac:dyDescent="0.25">
      <c r="H193">
        <v>1</v>
      </c>
      <c r="I193">
        <v>950</v>
      </c>
      <c r="J193">
        <v>115</v>
      </c>
      <c r="K193" t="b">
        <v>1</v>
      </c>
      <c r="N193" s="24" t="s">
        <v>498</v>
      </c>
      <c r="O193" s="2">
        <f>INDEX(Маршруты,MATCH(N193,$B$3:$B$498,0),1)</f>
        <v>9</v>
      </c>
      <c r="P193" s="27">
        <v>3</v>
      </c>
      <c r="Q193" s="2">
        <f>INDEX(Остановки,MATCH(R193,ИД_Остановки!$B$3:$B$467,0),1)</f>
        <v>91</v>
      </c>
      <c r="R193" s="45" t="s">
        <v>283</v>
      </c>
      <c r="S193" s="20">
        <v>1.03</v>
      </c>
    </row>
    <row r="194" spans="8:19" x14ac:dyDescent="0.25">
      <c r="H194">
        <v>1</v>
      </c>
      <c r="I194">
        <v>955</v>
      </c>
      <c r="J194">
        <v>115</v>
      </c>
      <c r="K194" t="b">
        <v>1</v>
      </c>
      <c r="N194" s="24" t="s">
        <v>498</v>
      </c>
      <c r="O194" s="2">
        <f>INDEX(Маршруты,MATCH(N194,$B$3:$B$498,0),1)</f>
        <v>9</v>
      </c>
      <c r="P194" s="27">
        <v>4</v>
      </c>
      <c r="Q194" s="2">
        <f>INDEX(Остановки,MATCH(R194,ИД_Остановки!$B$3:$B$467,0),1)</f>
        <v>90</v>
      </c>
      <c r="R194" s="45" t="s">
        <v>282</v>
      </c>
      <c r="S194" s="20">
        <v>0.74</v>
      </c>
    </row>
    <row r="195" spans="8:19" x14ac:dyDescent="0.25">
      <c r="H195">
        <v>2</v>
      </c>
      <c r="I195">
        <v>0</v>
      </c>
      <c r="J195">
        <v>115</v>
      </c>
      <c r="K195" t="b">
        <v>1</v>
      </c>
      <c r="N195" s="24" t="s">
        <v>498</v>
      </c>
      <c r="O195" s="2">
        <f>INDEX(Маршруты,MATCH(N195,$B$3:$B$498,0),1)</f>
        <v>9</v>
      </c>
      <c r="P195" s="27">
        <v>5</v>
      </c>
      <c r="Q195" s="2">
        <f>INDEX(Остановки,MATCH(R195,ИД_Остановки!$B$3:$B$467,0),1)</f>
        <v>89</v>
      </c>
      <c r="R195" s="45" t="s">
        <v>64</v>
      </c>
      <c r="S195" s="20">
        <v>0.54</v>
      </c>
    </row>
    <row r="196" spans="8:19" x14ac:dyDescent="0.25">
      <c r="H196">
        <v>2</v>
      </c>
      <c r="I196">
        <v>5</v>
      </c>
      <c r="J196">
        <v>115</v>
      </c>
      <c r="K196" t="b">
        <v>1</v>
      </c>
      <c r="N196" s="24" t="s">
        <v>498</v>
      </c>
      <c r="O196" s="2">
        <f>INDEX(Маршруты,MATCH(N196,$B$3:$B$498,0),1)</f>
        <v>9</v>
      </c>
      <c r="P196" s="27">
        <v>6</v>
      </c>
      <c r="Q196" s="2">
        <f>INDEX(Остановки,MATCH(R196,ИД_Остановки!$B$3:$B$467,0),1)</f>
        <v>88</v>
      </c>
      <c r="R196" s="45" t="s">
        <v>63</v>
      </c>
      <c r="S196" s="20">
        <v>0.79</v>
      </c>
    </row>
    <row r="197" spans="8:19" x14ac:dyDescent="0.25">
      <c r="H197">
        <v>2</v>
      </c>
      <c r="I197">
        <v>10</v>
      </c>
      <c r="J197">
        <v>115</v>
      </c>
      <c r="K197" t="b">
        <v>1</v>
      </c>
      <c r="N197" s="23" t="s">
        <v>498</v>
      </c>
      <c r="O197" s="2">
        <f>INDEX(Маршруты,MATCH(N197,$B$3:$B$498,0),1)</f>
        <v>9</v>
      </c>
      <c r="P197" s="27">
        <v>7</v>
      </c>
      <c r="Q197" s="2">
        <f>INDEX(Остановки,MATCH(R197,ИД_Остановки!$B$3:$B$467,0),1)</f>
        <v>87</v>
      </c>
      <c r="R197" s="45" t="s">
        <v>62</v>
      </c>
      <c r="S197" s="20">
        <v>0.45</v>
      </c>
    </row>
    <row r="198" spans="8:19" x14ac:dyDescent="0.25">
      <c r="H198">
        <v>2</v>
      </c>
      <c r="I198">
        <v>15</v>
      </c>
      <c r="J198">
        <v>115</v>
      </c>
      <c r="K198" t="b">
        <v>1</v>
      </c>
      <c r="N198" s="24" t="s">
        <v>498</v>
      </c>
      <c r="O198" s="2">
        <f>INDEX(Маршруты,MATCH(N198,$B$3:$B$498,0),1)</f>
        <v>9</v>
      </c>
      <c r="P198" s="27">
        <v>8</v>
      </c>
      <c r="Q198" s="2">
        <f>INDEX(Остановки,MATCH(R198,ИД_Остановки!$B$3:$B$467,0),1)</f>
        <v>86</v>
      </c>
      <c r="R198" s="45" t="s">
        <v>61</v>
      </c>
      <c r="S198" s="20">
        <v>0.75</v>
      </c>
    </row>
    <row r="199" spans="8:19" x14ac:dyDescent="0.25">
      <c r="H199">
        <v>2</v>
      </c>
      <c r="I199">
        <v>20</v>
      </c>
      <c r="J199">
        <v>115</v>
      </c>
      <c r="K199" t="b">
        <v>1</v>
      </c>
      <c r="N199" s="24" t="s">
        <v>498</v>
      </c>
      <c r="O199" s="2">
        <f>INDEX(Маршруты,MATCH(N199,$B$3:$B$498,0),1)</f>
        <v>9</v>
      </c>
      <c r="P199" s="27">
        <v>9</v>
      </c>
      <c r="Q199" s="2">
        <f>INDEX(Остановки,MATCH(R199,ИД_Остановки!$B$3:$B$467,0),1)</f>
        <v>85</v>
      </c>
      <c r="R199" s="45" t="s">
        <v>60</v>
      </c>
      <c r="S199" s="20">
        <v>0.31</v>
      </c>
    </row>
    <row r="200" spans="8:19" x14ac:dyDescent="0.25">
      <c r="H200">
        <v>2</v>
      </c>
      <c r="I200">
        <v>25</v>
      </c>
      <c r="J200">
        <v>115</v>
      </c>
      <c r="K200" t="b">
        <v>1</v>
      </c>
      <c r="N200" s="24" t="s">
        <v>498</v>
      </c>
      <c r="O200" s="2">
        <f>INDEX(Маршруты,MATCH(N200,$B$3:$B$498,0),1)</f>
        <v>9</v>
      </c>
      <c r="P200" s="27">
        <v>10</v>
      </c>
      <c r="Q200" s="2">
        <f>INDEX(Остановки,MATCH(R200,ИД_Остановки!$B$3:$B$467,0),1)</f>
        <v>84</v>
      </c>
      <c r="R200" s="45" t="s">
        <v>281</v>
      </c>
      <c r="S200" s="20">
        <v>1.2</v>
      </c>
    </row>
    <row r="201" spans="8:19" x14ac:dyDescent="0.25">
      <c r="H201">
        <v>2</v>
      </c>
      <c r="I201">
        <v>30</v>
      </c>
      <c r="J201">
        <v>115</v>
      </c>
      <c r="K201" t="b">
        <v>1</v>
      </c>
      <c r="N201" s="24" t="s">
        <v>498</v>
      </c>
      <c r="O201" s="2">
        <f>INDEX(Маршруты,MATCH(N201,$B$3:$B$498,0),1)</f>
        <v>9</v>
      </c>
      <c r="P201" s="27">
        <v>11</v>
      </c>
      <c r="Q201" s="2">
        <f>INDEX(Остановки,MATCH(R201,ИД_Остановки!$B$3:$B$467,0),1)</f>
        <v>83</v>
      </c>
      <c r="R201" s="45" t="s">
        <v>280</v>
      </c>
      <c r="S201" s="20">
        <v>1.2</v>
      </c>
    </row>
    <row r="202" spans="8:19" x14ac:dyDescent="0.25">
      <c r="H202">
        <v>2</v>
      </c>
      <c r="I202">
        <v>35</v>
      </c>
      <c r="J202">
        <v>115</v>
      </c>
      <c r="K202" t="b">
        <v>1</v>
      </c>
      <c r="N202" s="24" t="s">
        <v>498</v>
      </c>
      <c r="O202" s="2">
        <f>INDEX(Маршруты,MATCH(N202,$B$3:$B$498,0),1)</f>
        <v>9</v>
      </c>
      <c r="P202" s="27">
        <v>12</v>
      </c>
      <c r="Q202" s="2">
        <f>INDEX(Остановки,MATCH(R202,ИД_Остановки!$B$3:$B$467,0),1)</f>
        <v>82</v>
      </c>
      <c r="R202" s="45" t="s">
        <v>59</v>
      </c>
      <c r="S202" s="20">
        <v>1</v>
      </c>
    </row>
    <row r="203" spans="8:19" x14ac:dyDescent="0.25">
      <c r="H203">
        <v>2</v>
      </c>
      <c r="I203">
        <v>40</v>
      </c>
      <c r="J203">
        <v>115</v>
      </c>
      <c r="K203" t="b">
        <v>1</v>
      </c>
      <c r="N203" s="24" t="s">
        <v>498</v>
      </c>
      <c r="O203" s="2">
        <f>INDEX(Маршруты,MATCH(N203,$B$3:$B$498,0),1)</f>
        <v>9</v>
      </c>
      <c r="P203" s="27">
        <v>13</v>
      </c>
      <c r="Q203" s="2">
        <f>INDEX(Остановки,MATCH(R203,ИД_Остановки!$B$3:$B$467,0),1)</f>
        <v>33</v>
      </c>
      <c r="R203" s="45" t="s">
        <v>29</v>
      </c>
      <c r="S203" s="20">
        <v>1</v>
      </c>
    </row>
    <row r="204" spans="8:19" x14ac:dyDescent="0.25">
      <c r="H204">
        <v>2</v>
      </c>
      <c r="I204">
        <v>45</v>
      </c>
      <c r="J204">
        <v>115</v>
      </c>
      <c r="K204" t="b">
        <v>1</v>
      </c>
      <c r="N204" s="21" t="s">
        <v>498</v>
      </c>
      <c r="O204" s="2">
        <f>INDEX(Маршруты,MATCH(N204,$B$3:$B$498,0),1)</f>
        <v>9</v>
      </c>
      <c r="P204" s="27">
        <v>14</v>
      </c>
      <c r="Q204" s="2">
        <f>INDEX(Остановки,MATCH(R204,ИД_Остановки!$B$3:$B$467,0),1)</f>
        <v>349</v>
      </c>
      <c r="R204" s="45" t="s">
        <v>58</v>
      </c>
      <c r="S204" s="20">
        <v>1.1000000000000001</v>
      </c>
    </row>
    <row r="205" spans="8:19" x14ac:dyDescent="0.25">
      <c r="H205">
        <v>2</v>
      </c>
      <c r="I205">
        <v>50</v>
      </c>
      <c r="J205">
        <v>115</v>
      </c>
      <c r="K205" t="b">
        <v>1</v>
      </c>
      <c r="N205" s="24" t="s">
        <v>498</v>
      </c>
      <c r="O205" s="2">
        <f>INDEX(Маршруты,MATCH(N205,$B$3:$B$498,0),1)</f>
        <v>9</v>
      </c>
      <c r="P205" s="27">
        <v>15</v>
      </c>
      <c r="Q205" s="2">
        <f>INDEX(Остановки,MATCH(R205,ИД_Остановки!$B$3:$B$467,0),1)</f>
        <v>372</v>
      </c>
      <c r="R205" s="45" t="s">
        <v>430</v>
      </c>
      <c r="S205" s="20">
        <v>1.68</v>
      </c>
    </row>
    <row r="206" spans="8:19" x14ac:dyDescent="0.25">
      <c r="H206">
        <v>2</v>
      </c>
      <c r="I206">
        <v>55</v>
      </c>
      <c r="J206">
        <v>115</v>
      </c>
      <c r="K206" t="b">
        <v>1</v>
      </c>
      <c r="N206" s="24" t="s">
        <v>499</v>
      </c>
      <c r="O206" s="2">
        <f>INDEX(Маршруты,MATCH(N206,$B$3:$B$498,0),1)</f>
        <v>10</v>
      </c>
      <c r="P206" s="27">
        <v>1</v>
      </c>
      <c r="Q206" s="2">
        <f>INDEX(Остановки,MATCH(R206,ИД_Остановки!$B$3:$B$467,0),1)</f>
        <v>372</v>
      </c>
      <c r="R206" s="45" t="s">
        <v>430</v>
      </c>
      <c r="S206" s="20"/>
    </row>
    <row r="207" spans="8:19" x14ac:dyDescent="0.25">
      <c r="H207">
        <v>2</v>
      </c>
      <c r="I207">
        <v>60</v>
      </c>
      <c r="J207">
        <v>115</v>
      </c>
      <c r="K207" t="b">
        <v>1</v>
      </c>
      <c r="N207" s="24" t="s">
        <v>499</v>
      </c>
      <c r="O207" s="2">
        <f>INDEX(Маршруты,MATCH(N207,$B$3:$B$498,0),1)</f>
        <v>10</v>
      </c>
      <c r="P207" s="27">
        <v>2</v>
      </c>
      <c r="Q207" s="2">
        <f>INDEX(Остановки,MATCH(R207,ИД_Остановки!$B$3:$B$467,0),1)</f>
        <v>349</v>
      </c>
      <c r="R207" s="45" t="s">
        <v>58</v>
      </c>
      <c r="S207" s="20">
        <v>1.68</v>
      </c>
    </row>
    <row r="208" spans="8:19" x14ac:dyDescent="0.25">
      <c r="H208">
        <v>2</v>
      </c>
      <c r="I208">
        <v>65</v>
      </c>
      <c r="J208">
        <v>115</v>
      </c>
      <c r="K208" t="b">
        <v>1</v>
      </c>
      <c r="N208" s="24" t="s">
        <v>499</v>
      </c>
      <c r="O208" s="2">
        <f>INDEX(Маршруты,MATCH(N208,$B$3:$B$498,0),1)</f>
        <v>10</v>
      </c>
      <c r="P208" s="27">
        <v>3</v>
      </c>
      <c r="Q208" s="2">
        <f>INDEX(Остановки,MATCH(R208,ИД_Остановки!$B$3:$B$467,0),1)</f>
        <v>33</v>
      </c>
      <c r="R208" s="45" t="s">
        <v>29</v>
      </c>
      <c r="S208" s="20">
        <v>1.1000000000000001</v>
      </c>
    </row>
    <row r="209" spans="8:19" x14ac:dyDescent="0.25">
      <c r="H209">
        <v>2</v>
      </c>
      <c r="I209">
        <v>70</v>
      </c>
      <c r="J209">
        <v>115</v>
      </c>
      <c r="K209" t="b">
        <v>1</v>
      </c>
      <c r="N209" s="24" t="s">
        <v>499</v>
      </c>
      <c r="O209" s="2">
        <f>INDEX(Маршруты,MATCH(N209,$B$3:$B$498,0),1)</f>
        <v>10</v>
      </c>
      <c r="P209" s="27">
        <v>4</v>
      </c>
      <c r="Q209" s="2">
        <f>INDEX(Остановки,MATCH(R209,ИД_Остановки!$B$3:$B$467,0),1)</f>
        <v>82</v>
      </c>
      <c r="R209" s="45" t="s">
        <v>59</v>
      </c>
      <c r="S209" s="20">
        <v>1</v>
      </c>
    </row>
    <row r="210" spans="8:19" x14ac:dyDescent="0.25">
      <c r="H210">
        <v>2</v>
      </c>
      <c r="I210">
        <v>75</v>
      </c>
      <c r="J210">
        <v>115</v>
      </c>
      <c r="K210" t="b">
        <v>1</v>
      </c>
      <c r="N210" s="24" t="s">
        <v>499</v>
      </c>
      <c r="O210" s="2">
        <f>INDEX(Маршруты,MATCH(N210,$B$3:$B$498,0),1)</f>
        <v>10</v>
      </c>
      <c r="P210" s="28">
        <v>5</v>
      </c>
      <c r="Q210" s="2">
        <f>INDEX(Остановки,MATCH(R210,ИД_Остановки!$B$3:$B$467,0),1)</f>
        <v>83</v>
      </c>
      <c r="R210" s="24" t="s">
        <v>280</v>
      </c>
      <c r="S210" s="20">
        <v>1</v>
      </c>
    </row>
    <row r="211" spans="8:19" x14ac:dyDescent="0.25">
      <c r="H211">
        <v>2</v>
      </c>
      <c r="I211">
        <v>80</v>
      </c>
      <c r="J211">
        <v>115</v>
      </c>
      <c r="K211" t="b">
        <v>1</v>
      </c>
      <c r="N211" s="23" t="s">
        <v>499</v>
      </c>
      <c r="O211" s="2">
        <f>INDEX(Маршруты,MATCH(N211,$B$3:$B$498,0),1)</f>
        <v>10</v>
      </c>
      <c r="P211" s="27">
        <v>6</v>
      </c>
      <c r="Q211" s="2">
        <f>INDEX(Остановки,MATCH(R211,ИД_Остановки!$B$3:$B$467,0),1)</f>
        <v>84</v>
      </c>
      <c r="R211" s="45" t="s">
        <v>281</v>
      </c>
      <c r="S211" s="20">
        <v>1.2</v>
      </c>
    </row>
    <row r="212" spans="8:19" x14ac:dyDescent="0.25">
      <c r="H212">
        <v>2</v>
      </c>
      <c r="I212">
        <v>85</v>
      </c>
      <c r="J212">
        <v>115</v>
      </c>
      <c r="K212" t="b">
        <v>1</v>
      </c>
      <c r="N212" s="24" t="s">
        <v>499</v>
      </c>
      <c r="O212" s="2">
        <f>INDEX(Маршруты,MATCH(N212,$B$3:$B$498,0),1)</f>
        <v>10</v>
      </c>
      <c r="P212" s="27">
        <v>7</v>
      </c>
      <c r="Q212" s="2">
        <f>INDEX(Остановки,MATCH(R212,ИД_Остановки!$B$3:$B$467,0),1)</f>
        <v>85</v>
      </c>
      <c r="R212" s="45" t="s">
        <v>60</v>
      </c>
      <c r="S212" s="20">
        <v>1.2</v>
      </c>
    </row>
    <row r="213" spans="8:19" x14ac:dyDescent="0.25">
      <c r="H213">
        <v>2</v>
      </c>
      <c r="I213">
        <v>90</v>
      </c>
      <c r="J213">
        <v>115</v>
      </c>
      <c r="K213" t="b">
        <v>1</v>
      </c>
      <c r="N213" s="24" t="s">
        <v>499</v>
      </c>
      <c r="O213" s="2">
        <f>INDEX(Маршруты,MATCH(N213,$B$3:$B$498,0),1)</f>
        <v>10</v>
      </c>
      <c r="P213" s="28">
        <v>8</v>
      </c>
      <c r="Q213" s="2">
        <f>INDEX(Остановки,MATCH(R213,ИД_Остановки!$B$3:$B$467,0),1)</f>
        <v>86</v>
      </c>
      <c r="R213" s="24" t="s">
        <v>61</v>
      </c>
      <c r="S213" s="20">
        <v>0.31</v>
      </c>
    </row>
    <row r="214" spans="8:19" x14ac:dyDescent="0.25">
      <c r="H214">
        <v>2</v>
      </c>
      <c r="I214">
        <v>95</v>
      </c>
      <c r="J214">
        <v>115</v>
      </c>
      <c r="K214" t="b">
        <v>1</v>
      </c>
      <c r="N214" s="24" t="s">
        <v>499</v>
      </c>
      <c r="O214" s="2">
        <f>INDEX(Маршруты,MATCH(N214,$B$3:$B$498,0),1)</f>
        <v>10</v>
      </c>
      <c r="P214" s="27">
        <v>9</v>
      </c>
      <c r="Q214" s="2">
        <f>INDEX(Остановки,MATCH(R214,ИД_Остановки!$B$3:$B$467,0),1)</f>
        <v>87</v>
      </c>
      <c r="R214" s="45" t="s">
        <v>62</v>
      </c>
      <c r="S214" s="20">
        <v>0.75</v>
      </c>
    </row>
    <row r="215" spans="8:19" x14ac:dyDescent="0.25">
      <c r="H215">
        <v>2</v>
      </c>
      <c r="I215">
        <v>100</v>
      </c>
      <c r="J215">
        <v>115</v>
      </c>
      <c r="K215" t="b">
        <v>1</v>
      </c>
      <c r="N215" s="24" t="s">
        <v>499</v>
      </c>
      <c r="O215" s="2">
        <f>INDEX(Маршруты,MATCH(N215,$B$3:$B$498,0),1)</f>
        <v>10</v>
      </c>
      <c r="P215" s="27">
        <v>10</v>
      </c>
      <c r="Q215" s="2">
        <f>INDEX(Остановки,MATCH(R215,ИД_Остановки!$B$3:$B$467,0),1)</f>
        <v>88</v>
      </c>
      <c r="R215" s="45" t="s">
        <v>63</v>
      </c>
      <c r="S215" s="20">
        <v>0.45</v>
      </c>
    </row>
    <row r="216" spans="8:19" x14ac:dyDescent="0.25">
      <c r="H216">
        <v>2</v>
      </c>
      <c r="I216">
        <v>105</v>
      </c>
      <c r="J216">
        <v>115</v>
      </c>
      <c r="K216" t="b">
        <v>1</v>
      </c>
      <c r="N216" s="24" t="s">
        <v>499</v>
      </c>
      <c r="O216" s="2">
        <f>INDEX(Маршруты,MATCH(N216,$B$3:$B$498,0),1)</f>
        <v>10</v>
      </c>
      <c r="P216" s="27">
        <v>11</v>
      </c>
      <c r="Q216" s="2">
        <f>INDEX(Остановки,MATCH(R216,ИД_Остановки!$B$3:$B$467,0),1)</f>
        <v>89</v>
      </c>
      <c r="R216" s="45" t="s">
        <v>64</v>
      </c>
      <c r="S216" s="20">
        <v>0.79</v>
      </c>
    </row>
    <row r="217" spans="8:19" x14ac:dyDescent="0.25">
      <c r="H217">
        <v>2</v>
      </c>
      <c r="I217">
        <v>110</v>
      </c>
      <c r="J217">
        <v>115</v>
      </c>
      <c r="K217" t="b">
        <v>1</v>
      </c>
      <c r="N217" s="24" t="s">
        <v>499</v>
      </c>
      <c r="O217" s="2">
        <f>INDEX(Маршруты,MATCH(N217,$B$3:$B$498,0),1)</f>
        <v>10</v>
      </c>
      <c r="P217" s="27">
        <v>12</v>
      </c>
      <c r="Q217" s="2">
        <f>INDEX(Остановки,MATCH(R217,ИД_Остановки!$B$3:$B$467,0),1)</f>
        <v>90</v>
      </c>
      <c r="R217" s="45" t="s">
        <v>282</v>
      </c>
      <c r="S217" s="20">
        <v>0.54</v>
      </c>
    </row>
    <row r="218" spans="8:19" x14ac:dyDescent="0.25">
      <c r="H218">
        <v>2</v>
      </c>
      <c r="I218">
        <v>115</v>
      </c>
      <c r="J218">
        <v>115</v>
      </c>
      <c r="K218" t="b">
        <v>1</v>
      </c>
      <c r="N218" s="24" t="s">
        <v>499</v>
      </c>
      <c r="O218" s="2">
        <f>INDEX(Маршруты,MATCH(N218,$B$3:$B$498,0),1)</f>
        <v>10</v>
      </c>
      <c r="P218" s="27">
        <v>13</v>
      </c>
      <c r="Q218" s="2">
        <f>INDEX(Остановки,MATCH(R218,ИД_Остановки!$B$3:$B$467,0),1)</f>
        <v>91</v>
      </c>
      <c r="R218" s="24" t="s">
        <v>283</v>
      </c>
      <c r="S218" s="20">
        <v>0.74</v>
      </c>
    </row>
    <row r="219" spans="8:19" x14ac:dyDescent="0.25">
      <c r="H219">
        <v>2</v>
      </c>
      <c r="I219">
        <v>120</v>
      </c>
      <c r="J219">
        <v>115</v>
      </c>
      <c r="K219" t="b">
        <v>1</v>
      </c>
      <c r="N219" s="24" t="s">
        <v>499</v>
      </c>
      <c r="O219" s="2">
        <f>INDEX(Маршруты,MATCH(N219,$B$3:$B$498,0),1)</f>
        <v>10</v>
      </c>
      <c r="P219" s="27">
        <v>14</v>
      </c>
      <c r="Q219" s="2">
        <f>INDEX(Остановки,MATCH(R219,ИД_Остановки!$B$3:$B$467,0),1)</f>
        <v>92</v>
      </c>
      <c r="R219" s="45" t="s">
        <v>284</v>
      </c>
      <c r="S219" s="20">
        <v>1.03</v>
      </c>
    </row>
    <row r="220" spans="8:19" x14ac:dyDescent="0.25">
      <c r="H220">
        <v>2</v>
      </c>
      <c r="I220">
        <v>125</v>
      </c>
      <c r="J220">
        <v>115</v>
      </c>
      <c r="K220" t="b">
        <v>1</v>
      </c>
      <c r="N220" s="24" t="s">
        <v>499</v>
      </c>
      <c r="O220" s="2">
        <f>INDEX(Маршруты,MATCH(N220,$B$3:$B$498,0),1)</f>
        <v>10</v>
      </c>
      <c r="P220" s="27">
        <v>15</v>
      </c>
      <c r="Q220" s="2">
        <f>INDEX(Остановки,MATCH(R220,ИД_Остановки!$B$3:$B$467,0),1)</f>
        <v>80</v>
      </c>
      <c r="R220" s="45" t="s">
        <v>57</v>
      </c>
      <c r="S220" s="20">
        <v>0.79</v>
      </c>
    </row>
    <row r="221" spans="8:19" x14ac:dyDescent="0.25">
      <c r="H221">
        <v>2</v>
      </c>
      <c r="I221">
        <v>130</v>
      </c>
      <c r="J221">
        <v>115</v>
      </c>
      <c r="K221" t="b">
        <v>1</v>
      </c>
      <c r="N221" s="24" t="s">
        <v>204</v>
      </c>
      <c r="O221" s="2">
        <f>INDEX(Маршруты,MATCH(N221,$B$3:$B$498,0),1)</f>
        <v>11</v>
      </c>
      <c r="P221" s="27">
        <v>1</v>
      </c>
      <c r="Q221" s="2">
        <f>INDEX(Остановки,MATCH(R221,ИД_Остановки!$B$3:$B$467,0),1)</f>
        <v>15</v>
      </c>
      <c r="R221" s="45" t="s">
        <v>15</v>
      </c>
      <c r="S221" s="20"/>
    </row>
    <row r="222" spans="8:19" x14ac:dyDescent="0.25">
      <c r="H222">
        <v>2</v>
      </c>
      <c r="I222">
        <v>135</v>
      </c>
      <c r="J222">
        <v>115</v>
      </c>
      <c r="K222" t="b">
        <v>1</v>
      </c>
      <c r="N222" s="24" t="s">
        <v>204</v>
      </c>
      <c r="O222" s="2">
        <f>INDEX(Маршруты,MATCH(N222,$B$3:$B$498,0),1)</f>
        <v>11</v>
      </c>
      <c r="P222" s="27">
        <v>2</v>
      </c>
      <c r="Q222" s="2">
        <f>INDEX(Остановки,MATCH(R222,ИД_Остановки!$B$3:$B$467,0),1)</f>
        <v>14</v>
      </c>
      <c r="R222" s="45" t="s">
        <v>250</v>
      </c>
      <c r="S222" s="20">
        <v>0.45</v>
      </c>
    </row>
    <row r="223" spans="8:19" x14ac:dyDescent="0.25">
      <c r="H223">
        <v>2</v>
      </c>
      <c r="I223">
        <v>140</v>
      </c>
      <c r="J223">
        <v>115</v>
      </c>
      <c r="K223" t="b">
        <v>1</v>
      </c>
      <c r="N223" s="24" t="s">
        <v>204</v>
      </c>
      <c r="O223" s="2">
        <f>INDEX(Маршруты,MATCH(N223,$B$3:$B$498,0),1)</f>
        <v>11</v>
      </c>
      <c r="P223" s="27">
        <v>3</v>
      </c>
      <c r="Q223" s="2">
        <f>INDEX(Остановки,MATCH(R223,ИД_Остановки!$B$3:$B$467,0),1)</f>
        <v>13</v>
      </c>
      <c r="R223" s="45" t="s">
        <v>249</v>
      </c>
      <c r="S223" s="20">
        <v>0.41</v>
      </c>
    </row>
    <row r="224" spans="8:19" x14ac:dyDescent="0.25">
      <c r="H224">
        <v>2</v>
      </c>
      <c r="I224">
        <v>145</v>
      </c>
      <c r="J224">
        <v>115</v>
      </c>
      <c r="K224" t="b">
        <v>1</v>
      </c>
      <c r="N224" s="24" t="s">
        <v>204</v>
      </c>
      <c r="O224" s="2">
        <f>INDEX(Маршруты,MATCH(N224,$B$3:$B$498,0),1)</f>
        <v>11</v>
      </c>
      <c r="P224" s="27">
        <v>4</v>
      </c>
      <c r="Q224" s="2">
        <f>INDEX(Остановки,MATCH(R224,ИД_Остановки!$B$3:$B$467,0),1)</f>
        <v>12</v>
      </c>
      <c r="R224" s="45" t="s">
        <v>13</v>
      </c>
      <c r="S224" s="20">
        <v>0.41</v>
      </c>
    </row>
    <row r="225" spans="8:19" x14ac:dyDescent="0.25">
      <c r="H225">
        <v>2</v>
      </c>
      <c r="I225">
        <v>150</v>
      </c>
      <c r="J225">
        <v>115</v>
      </c>
      <c r="K225" t="b">
        <v>1</v>
      </c>
      <c r="N225" s="24" t="s">
        <v>204</v>
      </c>
      <c r="O225" s="2">
        <f>INDEX(Маршруты,MATCH(N225,$B$3:$B$498,0),1)</f>
        <v>11</v>
      </c>
      <c r="P225" s="27">
        <v>5</v>
      </c>
      <c r="Q225" s="2">
        <f>INDEX(Остановки,MATCH(R225,ИД_Остановки!$B$3:$B$467,0),1)</f>
        <v>11</v>
      </c>
      <c r="R225" s="45" t="s">
        <v>248</v>
      </c>
      <c r="S225" s="20">
        <v>0.79</v>
      </c>
    </row>
    <row r="226" spans="8:19" x14ac:dyDescent="0.25">
      <c r="H226">
        <v>2</v>
      </c>
      <c r="I226">
        <v>155</v>
      </c>
      <c r="J226">
        <v>115</v>
      </c>
      <c r="K226" t="b">
        <v>1</v>
      </c>
      <c r="N226" s="24" t="s">
        <v>204</v>
      </c>
      <c r="O226" s="2">
        <f>INDEX(Маршруты,MATCH(N226,$B$3:$B$498,0),1)</f>
        <v>11</v>
      </c>
      <c r="P226" s="27">
        <v>6</v>
      </c>
      <c r="Q226" s="2">
        <f>INDEX(Остановки,MATCH(R226,ИД_Остановки!$B$3:$B$467,0),1)</f>
        <v>10</v>
      </c>
      <c r="R226" s="24" t="s">
        <v>247</v>
      </c>
      <c r="S226" s="20">
        <v>0.34</v>
      </c>
    </row>
    <row r="227" spans="8:19" x14ac:dyDescent="0.25">
      <c r="H227">
        <v>2</v>
      </c>
      <c r="I227">
        <v>160</v>
      </c>
      <c r="J227">
        <v>115</v>
      </c>
      <c r="K227" t="b">
        <v>1</v>
      </c>
      <c r="N227" s="24" t="s">
        <v>204</v>
      </c>
      <c r="O227" s="2">
        <f>INDEX(Маршруты,MATCH(N227,$B$3:$B$498,0),1)</f>
        <v>11</v>
      </c>
      <c r="P227" s="27">
        <v>7</v>
      </c>
      <c r="Q227" s="2">
        <f>INDEX(Остановки,MATCH(R227,ИД_Остановки!$B$3:$B$467,0),1)</f>
        <v>9</v>
      </c>
      <c r="R227" s="45" t="s">
        <v>246</v>
      </c>
      <c r="S227" s="20">
        <v>0.53</v>
      </c>
    </row>
    <row r="228" spans="8:19" x14ac:dyDescent="0.25">
      <c r="H228">
        <v>2</v>
      </c>
      <c r="I228">
        <v>165</v>
      </c>
      <c r="J228">
        <v>115</v>
      </c>
      <c r="K228" t="b">
        <v>1</v>
      </c>
      <c r="N228" s="24" t="s">
        <v>204</v>
      </c>
      <c r="O228" s="2">
        <f>INDEX(Маршруты,MATCH(N228,$B$3:$B$498,0),1)</f>
        <v>11</v>
      </c>
      <c r="P228" s="27">
        <v>8</v>
      </c>
      <c r="Q228" s="2">
        <f>INDEX(Остановки,MATCH(R228,ИД_Остановки!$B$3:$B$467,0),1)</f>
        <v>8</v>
      </c>
      <c r="R228" s="45" t="s">
        <v>12</v>
      </c>
      <c r="S228" s="20">
        <v>0.55000000000000004</v>
      </c>
    </row>
    <row r="229" spans="8:19" x14ac:dyDescent="0.25">
      <c r="H229">
        <v>2</v>
      </c>
      <c r="I229">
        <v>170</v>
      </c>
      <c r="J229">
        <v>115</v>
      </c>
      <c r="K229" t="b">
        <v>1</v>
      </c>
      <c r="N229" s="24" t="s">
        <v>204</v>
      </c>
      <c r="O229" s="2">
        <f>INDEX(Маршруты,MATCH(N229,$B$3:$B$498,0),1)</f>
        <v>11</v>
      </c>
      <c r="P229" s="27">
        <v>9</v>
      </c>
      <c r="Q229" s="2">
        <f>INDEX(Остановки,MATCH(R229,ИД_Остановки!$B$3:$B$467,0),1)</f>
        <v>7</v>
      </c>
      <c r="R229" s="45" t="s">
        <v>11</v>
      </c>
      <c r="S229" s="20">
        <v>0.32</v>
      </c>
    </row>
    <row r="230" spans="8:19" x14ac:dyDescent="0.25">
      <c r="H230">
        <v>2</v>
      </c>
      <c r="I230">
        <v>175</v>
      </c>
      <c r="J230">
        <v>115</v>
      </c>
      <c r="K230" t="b">
        <v>1</v>
      </c>
      <c r="N230" s="24" t="s">
        <v>204</v>
      </c>
      <c r="O230" s="2">
        <f>INDEX(Маршруты,MATCH(N230,$B$3:$B$498,0),1)</f>
        <v>11</v>
      </c>
      <c r="P230" s="27">
        <v>10</v>
      </c>
      <c r="Q230" s="2">
        <f>INDEX(Остановки,MATCH(R230,ИД_Остановки!$B$3:$B$467,0),1)</f>
        <v>6</v>
      </c>
      <c r="R230" s="45" t="s">
        <v>245</v>
      </c>
      <c r="S230" s="20">
        <v>0.52</v>
      </c>
    </row>
    <row r="231" spans="8:19" x14ac:dyDescent="0.25">
      <c r="H231">
        <v>2</v>
      </c>
      <c r="I231">
        <v>180</v>
      </c>
      <c r="J231">
        <v>115</v>
      </c>
      <c r="K231" t="b">
        <v>1</v>
      </c>
      <c r="N231" s="24" t="s">
        <v>204</v>
      </c>
      <c r="O231" s="2">
        <f>INDEX(Маршруты,MATCH(N231,$B$3:$B$498,0),1)</f>
        <v>11</v>
      </c>
      <c r="P231" s="27">
        <v>11</v>
      </c>
      <c r="Q231" s="2">
        <f>INDEX(Остановки,MATCH(R231,ИД_Остановки!$B$3:$B$467,0),1)</f>
        <v>5</v>
      </c>
      <c r="R231" s="45" t="s">
        <v>10</v>
      </c>
      <c r="S231" s="20">
        <v>0.53</v>
      </c>
    </row>
    <row r="232" spans="8:19" x14ac:dyDescent="0.25">
      <c r="H232">
        <v>2</v>
      </c>
      <c r="I232">
        <v>185</v>
      </c>
      <c r="J232">
        <v>115</v>
      </c>
      <c r="K232" t="b">
        <v>1</v>
      </c>
      <c r="N232" s="24" t="s">
        <v>204</v>
      </c>
      <c r="O232" s="2">
        <f>INDEX(Маршруты,MATCH(N232,$B$3:$B$498,0),1)</f>
        <v>11</v>
      </c>
      <c r="P232" s="27">
        <v>12</v>
      </c>
      <c r="Q232" s="2">
        <f>INDEX(Остановки,MATCH(R232,ИД_Остановки!$B$3:$B$467,0),1)</f>
        <v>4</v>
      </c>
      <c r="R232" s="45" t="s">
        <v>244</v>
      </c>
      <c r="S232" s="20">
        <v>0.26</v>
      </c>
    </row>
    <row r="233" spans="8:19" x14ac:dyDescent="0.25">
      <c r="H233">
        <v>2</v>
      </c>
      <c r="I233">
        <v>190</v>
      </c>
      <c r="J233">
        <v>115</v>
      </c>
      <c r="K233" t="b">
        <v>1</v>
      </c>
      <c r="N233" s="24" t="s">
        <v>204</v>
      </c>
      <c r="O233" s="2">
        <f>INDEX(Маршруты,MATCH(N233,$B$3:$B$498,0),1)</f>
        <v>11</v>
      </c>
      <c r="P233" s="27">
        <v>13</v>
      </c>
      <c r="Q233" s="2">
        <f>INDEX(Остановки,MATCH(R233,ИД_Остановки!$B$3:$B$467,0),1)</f>
        <v>3</v>
      </c>
      <c r="R233" s="45" t="s">
        <v>243</v>
      </c>
      <c r="S233" s="20">
        <v>0.28000000000000003</v>
      </c>
    </row>
    <row r="234" spans="8:19" x14ac:dyDescent="0.25">
      <c r="H234">
        <v>2</v>
      </c>
      <c r="I234">
        <v>195</v>
      </c>
      <c r="J234">
        <v>115</v>
      </c>
      <c r="K234" t="b">
        <v>1</v>
      </c>
      <c r="N234" s="24" t="s">
        <v>204</v>
      </c>
      <c r="O234" s="2">
        <f>INDEX(Маршруты,MATCH(N234,$B$3:$B$498,0),1)</f>
        <v>11</v>
      </c>
      <c r="P234" s="27">
        <v>14</v>
      </c>
      <c r="Q234" s="2">
        <f>INDEX(Остановки,MATCH(R234,ИД_Остановки!$B$3:$B$467,0),1)</f>
        <v>2</v>
      </c>
      <c r="R234" s="45" t="s">
        <v>242</v>
      </c>
      <c r="S234" s="20">
        <v>0.39</v>
      </c>
    </row>
    <row r="235" spans="8:19" x14ac:dyDescent="0.25">
      <c r="H235">
        <v>2</v>
      </c>
      <c r="I235">
        <v>200</v>
      </c>
      <c r="J235">
        <v>115</v>
      </c>
      <c r="K235" t="b">
        <v>1</v>
      </c>
      <c r="N235" s="24" t="s">
        <v>204</v>
      </c>
      <c r="O235" s="2">
        <f>INDEX(Маршруты,MATCH(N235,$B$3:$B$498,0),1)</f>
        <v>11</v>
      </c>
      <c r="P235" s="27">
        <v>15</v>
      </c>
      <c r="Q235" s="2">
        <f>INDEX(Остановки,MATCH(R235,ИД_Остановки!$B$3:$B$467,0),1)</f>
        <v>1</v>
      </c>
      <c r="R235" s="45" t="s">
        <v>241</v>
      </c>
      <c r="S235" s="20">
        <v>0.24</v>
      </c>
    </row>
    <row r="236" spans="8:19" x14ac:dyDescent="0.25">
      <c r="H236">
        <v>2</v>
      </c>
      <c r="I236">
        <v>205</v>
      </c>
      <c r="J236">
        <v>115</v>
      </c>
      <c r="K236" t="b">
        <v>1</v>
      </c>
      <c r="N236" s="24" t="s">
        <v>205</v>
      </c>
      <c r="O236" s="2">
        <f>INDEX(Маршруты,MATCH(N236,$B$3:$B$498,0),1)</f>
        <v>12</v>
      </c>
      <c r="P236" s="27">
        <v>1</v>
      </c>
      <c r="Q236" s="2">
        <f>INDEX(Остановки,MATCH(R236,ИД_Остановки!$B$3:$B$467,0),1)</f>
        <v>1</v>
      </c>
      <c r="R236" s="45" t="s">
        <v>241</v>
      </c>
      <c r="S236" s="20"/>
    </row>
    <row r="237" spans="8:19" x14ac:dyDescent="0.25">
      <c r="H237">
        <v>2</v>
      </c>
      <c r="I237">
        <v>210</v>
      </c>
      <c r="J237">
        <v>115</v>
      </c>
      <c r="K237" t="b">
        <v>1</v>
      </c>
      <c r="N237" s="24" t="s">
        <v>205</v>
      </c>
      <c r="O237" s="2">
        <f>INDEX(Маршруты,MATCH(N237,$B$3:$B$498,0),1)</f>
        <v>12</v>
      </c>
      <c r="P237" s="27">
        <v>2</v>
      </c>
      <c r="Q237" s="2">
        <f>INDEX(Остановки,MATCH(R237,ИД_Остановки!$B$3:$B$467,0),1)</f>
        <v>2</v>
      </c>
      <c r="R237" s="45" t="s">
        <v>242</v>
      </c>
      <c r="S237" s="20">
        <v>0.24</v>
      </c>
    </row>
    <row r="238" spans="8:19" x14ac:dyDescent="0.25">
      <c r="H238">
        <v>2</v>
      </c>
      <c r="I238">
        <v>215</v>
      </c>
      <c r="J238">
        <v>115</v>
      </c>
      <c r="K238" t="b">
        <v>1</v>
      </c>
      <c r="N238" s="23" t="s">
        <v>205</v>
      </c>
      <c r="O238" s="2">
        <f>INDEX(Маршруты,MATCH(N238,$B$3:$B$498,0),1)</f>
        <v>12</v>
      </c>
      <c r="P238" s="27">
        <v>3</v>
      </c>
      <c r="Q238" s="2">
        <f>INDEX(Остановки,MATCH(R238,ИД_Остановки!$B$3:$B$467,0),1)</f>
        <v>3</v>
      </c>
      <c r="R238" s="45" t="s">
        <v>243</v>
      </c>
      <c r="S238" s="20">
        <v>0.39</v>
      </c>
    </row>
    <row r="239" spans="8:19" x14ac:dyDescent="0.25">
      <c r="H239">
        <v>2</v>
      </c>
      <c r="I239">
        <v>220</v>
      </c>
      <c r="J239">
        <v>115</v>
      </c>
      <c r="K239" t="b">
        <v>1</v>
      </c>
      <c r="N239" s="24" t="s">
        <v>205</v>
      </c>
      <c r="O239" s="2">
        <f>INDEX(Маршруты,MATCH(N239,$B$3:$B$498,0),1)</f>
        <v>12</v>
      </c>
      <c r="P239" s="27">
        <v>4</v>
      </c>
      <c r="Q239" s="2">
        <f>INDEX(Остановки,MATCH(R239,ИД_Остановки!$B$3:$B$467,0),1)</f>
        <v>4</v>
      </c>
      <c r="R239" s="45" t="s">
        <v>244</v>
      </c>
      <c r="S239" s="20">
        <v>0.28000000000000003</v>
      </c>
    </row>
    <row r="240" spans="8:19" x14ac:dyDescent="0.25">
      <c r="H240">
        <v>2</v>
      </c>
      <c r="I240">
        <v>225</v>
      </c>
      <c r="J240">
        <v>115</v>
      </c>
      <c r="K240" t="b">
        <v>1</v>
      </c>
      <c r="N240" s="24" t="s">
        <v>205</v>
      </c>
      <c r="O240" s="2">
        <f>INDEX(Маршруты,MATCH(N240,$B$3:$B$498,0),1)</f>
        <v>12</v>
      </c>
      <c r="P240" s="27">
        <v>5</v>
      </c>
      <c r="Q240" s="2">
        <f>INDEX(Остановки,MATCH(R240,ИД_Остановки!$B$3:$B$467,0),1)</f>
        <v>5</v>
      </c>
      <c r="R240" s="45" t="s">
        <v>10</v>
      </c>
      <c r="S240" s="20">
        <v>0.26</v>
      </c>
    </row>
    <row r="241" spans="8:19" x14ac:dyDescent="0.25">
      <c r="H241">
        <v>2</v>
      </c>
      <c r="I241">
        <v>230</v>
      </c>
      <c r="J241">
        <v>115</v>
      </c>
      <c r="K241" t="b">
        <v>1</v>
      </c>
      <c r="N241" s="24" t="s">
        <v>205</v>
      </c>
      <c r="O241" s="2">
        <f>INDEX(Маршруты,MATCH(N241,$B$3:$B$498,0),1)</f>
        <v>12</v>
      </c>
      <c r="P241" s="27">
        <v>6</v>
      </c>
      <c r="Q241" s="2">
        <f>INDEX(Остановки,MATCH(R241,ИД_Остановки!$B$3:$B$467,0),1)</f>
        <v>6</v>
      </c>
      <c r="R241" s="45" t="s">
        <v>245</v>
      </c>
      <c r="S241" s="20">
        <v>0.53</v>
      </c>
    </row>
    <row r="242" spans="8:19" x14ac:dyDescent="0.25">
      <c r="H242">
        <v>2</v>
      </c>
      <c r="I242">
        <v>235</v>
      </c>
      <c r="J242">
        <v>115</v>
      </c>
      <c r="K242" t="b">
        <v>1</v>
      </c>
      <c r="N242" s="24" t="s">
        <v>205</v>
      </c>
      <c r="O242" s="2">
        <f>INDEX(Маршруты,MATCH(N242,$B$3:$B$498,0),1)</f>
        <v>12</v>
      </c>
      <c r="P242" s="27">
        <v>7</v>
      </c>
      <c r="Q242" s="2">
        <f>INDEX(Остановки,MATCH(R242,ИД_Остановки!$B$3:$B$467,0),1)</f>
        <v>7</v>
      </c>
      <c r="R242" s="45" t="s">
        <v>11</v>
      </c>
      <c r="S242" s="20">
        <v>0.52</v>
      </c>
    </row>
    <row r="243" spans="8:19" x14ac:dyDescent="0.25">
      <c r="H243">
        <v>2</v>
      </c>
      <c r="I243">
        <v>240</v>
      </c>
      <c r="J243">
        <v>115</v>
      </c>
      <c r="K243" t="b">
        <v>1</v>
      </c>
      <c r="N243" s="24" t="s">
        <v>205</v>
      </c>
      <c r="O243" s="2">
        <f>INDEX(Маршруты,MATCH(N243,$B$3:$B$498,0),1)</f>
        <v>12</v>
      </c>
      <c r="P243" s="28">
        <v>8</v>
      </c>
      <c r="Q243" s="2">
        <f>INDEX(Остановки,MATCH(R243,ИД_Остановки!$B$3:$B$467,0),1)</f>
        <v>8</v>
      </c>
      <c r="R243" s="24" t="s">
        <v>12</v>
      </c>
      <c r="S243" s="20">
        <v>0.32</v>
      </c>
    </row>
    <row r="244" spans="8:19" x14ac:dyDescent="0.25">
      <c r="H244">
        <v>2</v>
      </c>
      <c r="I244">
        <v>245</v>
      </c>
      <c r="J244">
        <v>115</v>
      </c>
      <c r="K244" t="b">
        <v>1</v>
      </c>
      <c r="N244" s="23" t="s">
        <v>205</v>
      </c>
      <c r="O244" s="2">
        <f>INDEX(Маршруты,MATCH(N244,$B$3:$B$498,0),1)</f>
        <v>12</v>
      </c>
      <c r="P244" s="27">
        <v>9</v>
      </c>
      <c r="Q244" s="2">
        <f>INDEX(Остановки,MATCH(R244,ИД_Остановки!$B$3:$B$467,0),1)</f>
        <v>9</v>
      </c>
      <c r="R244" s="45" t="s">
        <v>246</v>
      </c>
      <c r="S244" s="20">
        <v>0.55000000000000004</v>
      </c>
    </row>
    <row r="245" spans="8:19" x14ac:dyDescent="0.25">
      <c r="H245">
        <v>2</v>
      </c>
      <c r="I245">
        <v>250</v>
      </c>
      <c r="J245">
        <v>115</v>
      </c>
      <c r="K245" t="b">
        <v>1</v>
      </c>
      <c r="N245" s="24" t="s">
        <v>205</v>
      </c>
      <c r="O245" s="2">
        <f>INDEX(Маршруты,MATCH(N245,$B$3:$B$498,0),1)</f>
        <v>12</v>
      </c>
      <c r="P245" s="28">
        <v>10</v>
      </c>
      <c r="Q245" s="2">
        <f>INDEX(Остановки,MATCH(R245,ИД_Остановки!$B$3:$B$467,0),1)</f>
        <v>10</v>
      </c>
      <c r="R245" s="24" t="s">
        <v>247</v>
      </c>
      <c r="S245" s="20">
        <v>0.53</v>
      </c>
    </row>
    <row r="246" spans="8:19" x14ac:dyDescent="0.25">
      <c r="H246">
        <v>2</v>
      </c>
      <c r="I246">
        <v>255</v>
      </c>
      <c r="J246">
        <v>115</v>
      </c>
      <c r="K246" t="b">
        <v>1</v>
      </c>
      <c r="N246" s="24" t="s">
        <v>205</v>
      </c>
      <c r="O246" s="2">
        <f>INDEX(Маршруты,MATCH(N246,$B$3:$B$498,0),1)</f>
        <v>12</v>
      </c>
      <c r="P246" s="27">
        <v>11</v>
      </c>
      <c r="Q246" s="2">
        <f>INDEX(Остановки,MATCH(R246,ИД_Остановки!$B$3:$B$467,0),1)</f>
        <v>11</v>
      </c>
      <c r="R246" s="45" t="s">
        <v>248</v>
      </c>
      <c r="S246" s="20">
        <v>0.34</v>
      </c>
    </row>
    <row r="247" spans="8:19" x14ac:dyDescent="0.25">
      <c r="H247">
        <v>2</v>
      </c>
      <c r="I247">
        <v>260</v>
      </c>
      <c r="J247">
        <v>115</v>
      </c>
      <c r="K247" t="b">
        <v>1</v>
      </c>
      <c r="N247" s="24" t="s">
        <v>205</v>
      </c>
      <c r="O247" s="2">
        <f>INDEX(Маршруты,MATCH(N247,$B$3:$B$498,0),1)</f>
        <v>12</v>
      </c>
      <c r="P247" s="27">
        <v>12</v>
      </c>
      <c r="Q247" s="2">
        <f>INDEX(Остановки,MATCH(R247,ИД_Остановки!$B$3:$B$467,0),1)</f>
        <v>12</v>
      </c>
      <c r="R247" s="45" t="s">
        <v>13</v>
      </c>
      <c r="S247" s="20">
        <v>0.79</v>
      </c>
    </row>
    <row r="248" spans="8:19" x14ac:dyDescent="0.25">
      <c r="H248">
        <v>2</v>
      </c>
      <c r="I248">
        <v>265</v>
      </c>
      <c r="J248">
        <v>115</v>
      </c>
      <c r="K248" t="b">
        <v>1</v>
      </c>
      <c r="N248" s="24" t="s">
        <v>205</v>
      </c>
      <c r="O248" s="2">
        <f>INDEX(Маршруты,MATCH(N248,$B$3:$B$498,0),1)</f>
        <v>12</v>
      </c>
      <c r="P248" s="28">
        <v>13</v>
      </c>
      <c r="Q248" s="2">
        <f>INDEX(Остановки,MATCH(R248,ИД_Остановки!$B$3:$B$467,0),1)</f>
        <v>13</v>
      </c>
      <c r="R248" s="24" t="s">
        <v>249</v>
      </c>
      <c r="S248" s="20">
        <v>0.41</v>
      </c>
    </row>
    <row r="249" spans="8:19" x14ac:dyDescent="0.25">
      <c r="H249">
        <v>2</v>
      </c>
      <c r="I249">
        <v>270</v>
      </c>
      <c r="J249">
        <v>115</v>
      </c>
      <c r="K249" t="b">
        <v>1</v>
      </c>
      <c r="N249" s="24" t="s">
        <v>205</v>
      </c>
      <c r="O249" s="2">
        <f>INDEX(Маршруты,MATCH(N249,$B$3:$B$498,0),1)</f>
        <v>12</v>
      </c>
      <c r="P249" s="27">
        <v>14</v>
      </c>
      <c r="Q249" s="2">
        <f>INDEX(Остановки,MATCH(R249,ИД_Остановки!$B$3:$B$467,0),1)</f>
        <v>14</v>
      </c>
      <c r="R249" s="45" t="s">
        <v>250</v>
      </c>
      <c r="S249" s="20">
        <v>0.41</v>
      </c>
    </row>
    <row r="250" spans="8:19" x14ac:dyDescent="0.25">
      <c r="H250">
        <v>2</v>
      </c>
      <c r="I250">
        <v>275</v>
      </c>
      <c r="J250">
        <v>115</v>
      </c>
      <c r="K250" t="b">
        <v>1</v>
      </c>
      <c r="N250" s="24" t="s">
        <v>205</v>
      </c>
      <c r="O250" s="2">
        <f>INDEX(Маршруты,MATCH(N250,$B$3:$B$498,0),1)</f>
        <v>12</v>
      </c>
      <c r="P250" s="27">
        <v>15</v>
      </c>
      <c r="Q250" s="2">
        <f>INDEX(Остановки,MATCH(R250,ИД_Остановки!$B$3:$B$467,0),1)</f>
        <v>15</v>
      </c>
      <c r="R250" s="45" t="s">
        <v>15</v>
      </c>
      <c r="S250" s="20">
        <v>0.45</v>
      </c>
    </row>
    <row r="251" spans="8:19" x14ac:dyDescent="0.25">
      <c r="H251">
        <v>2</v>
      </c>
      <c r="I251">
        <v>280</v>
      </c>
      <c r="J251">
        <v>115</v>
      </c>
      <c r="K251" t="b">
        <v>1</v>
      </c>
      <c r="N251" s="24" t="s">
        <v>206</v>
      </c>
      <c r="O251" s="2">
        <f>INDEX(Маршруты,MATCH(N251,$B$3:$B$498,0),1)</f>
        <v>13</v>
      </c>
      <c r="P251" s="27">
        <v>1</v>
      </c>
      <c r="Q251" s="2">
        <f>INDEX(Остановки,MATCH(R251,ИД_Остановки!$B$3:$B$467,0),1)</f>
        <v>15</v>
      </c>
      <c r="R251" s="45" t="s">
        <v>15</v>
      </c>
      <c r="S251" s="20"/>
    </row>
    <row r="252" spans="8:19" x14ac:dyDescent="0.25">
      <c r="H252">
        <v>2</v>
      </c>
      <c r="I252">
        <v>285</v>
      </c>
      <c r="J252">
        <v>115</v>
      </c>
      <c r="K252" t="b">
        <v>1</v>
      </c>
      <c r="N252" s="24" t="s">
        <v>206</v>
      </c>
      <c r="O252" s="2">
        <f>INDEX(Маршруты,MATCH(N252,$B$3:$B$498,0),1)</f>
        <v>13</v>
      </c>
      <c r="P252" s="27">
        <v>2</v>
      </c>
      <c r="Q252" s="2">
        <f>INDEX(Остановки,MATCH(R252,ИД_Остановки!$B$3:$B$467,0),1)</f>
        <v>14</v>
      </c>
      <c r="R252" s="45" t="s">
        <v>250</v>
      </c>
      <c r="S252" s="20">
        <v>0.45</v>
      </c>
    </row>
    <row r="253" spans="8:19" x14ac:dyDescent="0.25">
      <c r="H253">
        <v>2</v>
      </c>
      <c r="I253">
        <v>290</v>
      </c>
      <c r="J253">
        <v>115</v>
      </c>
      <c r="K253" t="b">
        <v>1</v>
      </c>
      <c r="N253" s="24" t="s">
        <v>206</v>
      </c>
      <c r="O253" s="2">
        <f>INDEX(Маршруты,MATCH(N253,$B$3:$B$498,0),1)</f>
        <v>13</v>
      </c>
      <c r="P253" s="27">
        <v>3</v>
      </c>
      <c r="Q253" s="2">
        <f>INDEX(Остановки,MATCH(R253,ИД_Остановки!$B$3:$B$467,0),1)</f>
        <v>21</v>
      </c>
      <c r="R253" s="45" t="s">
        <v>21</v>
      </c>
      <c r="S253" s="20">
        <v>0.46</v>
      </c>
    </row>
    <row r="254" spans="8:19" x14ac:dyDescent="0.25">
      <c r="H254">
        <v>2</v>
      </c>
      <c r="I254">
        <v>295</v>
      </c>
      <c r="J254">
        <v>115</v>
      </c>
      <c r="K254" t="b">
        <v>1</v>
      </c>
      <c r="N254" s="23" t="s">
        <v>206</v>
      </c>
      <c r="O254" s="2">
        <f>INDEX(Маршруты,MATCH(N254,$B$3:$B$498,0),1)</f>
        <v>13</v>
      </c>
      <c r="P254" s="27">
        <v>4</v>
      </c>
      <c r="Q254" s="2">
        <f>INDEX(Остановки,MATCH(R254,ИД_Остановки!$B$3:$B$467,0),1)</f>
        <v>20</v>
      </c>
      <c r="R254" s="45" t="s">
        <v>20</v>
      </c>
      <c r="S254" s="20">
        <v>0.55000000000000004</v>
      </c>
    </row>
    <row r="255" spans="8:19" x14ac:dyDescent="0.25">
      <c r="H255">
        <v>2</v>
      </c>
      <c r="I255">
        <v>300</v>
      </c>
      <c r="J255">
        <v>115</v>
      </c>
      <c r="K255" t="b">
        <v>1</v>
      </c>
      <c r="N255" s="24" t="s">
        <v>206</v>
      </c>
      <c r="O255" s="2">
        <f>INDEX(Маршруты,MATCH(N255,$B$3:$B$498,0),1)</f>
        <v>13</v>
      </c>
      <c r="P255" s="27">
        <v>5</v>
      </c>
      <c r="Q255" s="2">
        <f>INDEX(Остановки,MATCH(R255,ИД_Остановки!$B$3:$B$467,0),1)</f>
        <v>19</v>
      </c>
      <c r="R255" s="45" t="s">
        <v>614</v>
      </c>
      <c r="S255" s="20">
        <v>0.53</v>
      </c>
    </row>
    <row r="256" spans="8:19" x14ac:dyDescent="0.25">
      <c r="H256">
        <v>2</v>
      </c>
      <c r="I256">
        <v>305</v>
      </c>
      <c r="J256">
        <v>115</v>
      </c>
      <c r="K256" t="b">
        <v>1</v>
      </c>
      <c r="N256" s="24" t="s">
        <v>206</v>
      </c>
      <c r="O256" s="2">
        <f>INDEX(Маршруты,MATCH(N256,$B$3:$B$498,0),1)</f>
        <v>13</v>
      </c>
      <c r="P256" s="27">
        <v>6</v>
      </c>
      <c r="Q256" s="2">
        <f>INDEX(Остановки,MATCH(R256,ИД_Остановки!$B$3:$B$467,0),1)</f>
        <v>18</v>
      </c>
      <c r="R256" s="45" t="s">
        <v>18</v>
      </c>
      <c r="S256" s="20">
        <v>0.61</v>
      </c>
    </row>
    <row r="257" spans="8:19" x14ac:dyDescent="0.25">
      <c r="H257">
        <v>2</v>
      </c>
      <c r="I257">
        <v>310</v>
      </c>
      <c r="J257">
        <v>115</v>
      </c>
      <c r="K257" t="b">
        <v>1</v>
      </c>
      <c r="N257" s="24" t="s">
        <v>206</v>
      </c>
      <c r="O257" s="2">
        <f>INDEX(Маршруты,MATCH(N257,$B$3:$B$498,0),1)</f>
        <v>13</v>
      </c>
      <c r="P257" s="27">
        <v>7</v>
      </c>
      <c r="Q257" s="2">
        <f>INDEX(Остановки,MATCH(R257,ИД_Остановки!$B$3:$B$467,0),1)</f>
        <v>17</v>
      </c>
      <c r="R257" s="45" t="s">
        <v>251</v>
      </c>
      <c r="S257" s="20">
        <v>0.25</v>
      </c>
    </row>
    <row r="258" spans="8:19" x14ac:dyDescent="0.25">
      <c r="H258">
        <v>2</v>
      </c>
      <c r="I258">
        <v>315</v>
      </c>
      <c r="J258">
        <v>115</v>
      </c>
      <c r="K258" t="b">
        <v>1</v>
      </c>
      <c r="N258" s="24" t="s">
        <v>206</v>
      </c>
      <c r="O258" s="2">
        <f>INDEX(Маршруты,MATCH(N258,$B$3:$B$498,0),1)</f>
        <v>13</v>
      </c>
      <c r="P258" s="27">
        <v>8</v>
      </c>
      <c r="Q258" s="2">
        <f>INDEX(Остановки,MATCH(R258,ИД_Остановки!$B$3:$B$467,0),1)</f>
        <v>16</v>
      </c>
      <c r="R258" s="45" t="s">
        <v>16</v>
      </c>
      <c r="S258" s="20">
        <v>0.68</v>
      </c>
    </row>
    <row r="259" spans="8:19" x14ac:dyDescent="0.25">
      <c r="H259">
        <v>2</v>
      </c>
      <c r="I259">
        <v>320</v>
      </c>
      <c r="J259">
        <v>115</v>
      </c>
      <c r="K259" t="b">
        <v>1</v>
      </c>
      <c r="N259" s="24" t="s">
        <v>500</v>
      </c>
      <c r="O259" s="2">
        <f>INDEX(Маршруты,MATCH(N259,$B$3:$B$498,0),1)</f>
        <v>14</v>
      </c>
      <c r="P259" s="27">
        <v>1</v>
      </c>
      <c r="Q259" s="2">
        <f>INDEX(Остановки,MATCH(R259,ИД_Остановки!$B$3:$B$467,0),1)</f>
        <v>16</v>
      </c>
      <c r="R259" s="45" t="s">
        <v>16</v>
      </c>
      <c r="S259" s="20"/>
    </row>
    <row r="260" spans="8:19" x14ac:dyDescent="0.25">
      <c r="H260">
        <v>2</v>
      </c>
      <c r="I260">
        <v>325</v>
      </c>
      <c r="J260">
        <v>115</v>
      </c>
      <c r="K260" t="b">
        <v>1</v>
      </c>
      <c r="N260" s="23" t="s">
        <v>500</v>
      </c>
      <c r="O260" s="2">
        <f>INDEX(Маршруты,MATCH(N260,$B$3:$B$498,0),1)</f>
        <v>14</v>
      </c>
      <c r="P260" s="27">
        <v>2</v>
      </c>
      <c r="Q260" s="2">
        <f>INDEX(Остановки,MATCH(R260,ИД_Остановки!$B$3:$B$467,0),1)</f>
        <v>17</v>
      </c>
      <c r="R260" s="45" t="s">
        <v>251</v>
      </c>
      <c r="S260" s="20">
        <v>0.68</v>
      </c>
    </row>
    <row r="261" spans="8:19" x14ac:dyDescent="0.25">
      <c r="H261">
        <v>2</v>
      </c>
      <c r="I261">
        <v>330</v>
      </c>
      <c r="J261">
        <v>115</v>
      </c>
      <c r="K261" t="b">
        <v>1</v>
      </c>
      <c r="N261" s="24" t="s">
        <v>500</v>
      </c>
      <c r="O261" s="2">
        <f>INDEX(Маршруты,MATCH(N261,$B$3:$B$498,0),1)</f>
        <v>14</v>
      </c>
      <c r="P261" s="27">
        <v>3</v>
      </c>
      <c r="Q261" s="2">
        <f>INDEX(Остановки,MATCH(R261,ИД_Остановки!$B$3:$B$467,0),1)</f>
        <v>18</v>
      </c>
      <c r="R261" s="45" t="s">
        <v>18</v>
      </c>
      <c r="S261" s="20">
        <v>0.25</v>
      </c>
    </row>
    <row r="262" spans="8:19" x14ac:dyDescent="0.25">
      <c r="H262">
        <v>2</v>
      </c>
      <c r="I262">
        <v>335</v>
      </c>
      <c r="J262">
        <v>115</v>
      </c>
      <c r="K262" t="b">
        <v>1</v>
      </c>
      <c r="N262" s="24" t="s">
        <v>500</v>
      </c>
      <c r="O262" s="2">
        <f>INDEX(Маршруты,MATCH(N262,$B$3:$B$498,0),1)</f>
        <v>14</v>
      </c>
      <c r="P262" s="27">
        <v>4</v>
      </c>
      <c r="Q262" s="2">
        <f>INDEX(Остановки,MATCH(R262,ИД_Остановки!$B$3:$B$467,0),1)</f>
        <v>19</v>
      </c>
      <c r="R262" s="45" t="s">
        <v>614</v>
      </c>
      <c r="S262" s="20">
        <v>0.61</v>
      </c>
    </row>
    <row r="263" spans="8:19" x14ac:dyDescent="0.25">
      <c r="H263">
        <v>2</v>
      </c>
      <c r="I263">
        <v>340</v>
      </c>
      <c r="J263">
        <v>115</v>
      </c>
      <c r="K263" t="b">
        <v>1</v>
      </c>
      <c r="N263" s="24" t="s">
        <v>500</v>
      </c>
      <c r="O263" s="2">
        <f>INDEX(Маршруты,MATCH(N263,$B$3:$B$498,0),1)</f>
        <v>14</v>
      </c>
      <c r="P263" s="27">
        <v>5</v>
      </c>
      <c r="Q263" s="2">
        <f>INDEX(Остановки,MATCH(R263,ИД_Остановки!$B$3:$B$467,0),1)</f>
        <v>20</v>
      </c>
      <c r="R263" s="45" t="s">
        <v>20</v>
      </c>
      <c r="S263" s="20">
        <v>0.53</v>
      </c>
    </row>
    <row r="264" spans="8:19" x14ac:dyDescent="0.25">
      <c r="H264">
        <v>2</v>
      </c>
      <c r="I264">
        <v>345</v>
      </c>
      <c r="J264">
        <v>115</v>
      </c>
      <c r="K264" t="b">
        <v>1</v>
      </c>
      <c r="N264" s="24" t="s">
        <v>500</v>
      </c>
      <c r="O264" s="2">
        <f>INDEX(Маршруты,MATCH(N264,$B$3:$B$498,0),1)</f>
        <v>14</v>
      </c>
      <c r="P264" s="27">
        <v>6</v>
      </c>
      <c r="Q264" s="2">
        <f>INDEX(Остановки,MATCH(R264,ИД_Остановки!$B$3:$B$467,0),1)</f>
        <v>21</v>
      </c>
      <c r="R264" s="45" t="s">
        <v>21</v>
      </c>
      <c r="S264" s="20">
        <v>0.55000000000000004</v>
      </c>
    </row>
    <row r="265" spans="8:19" x14ac:dyDescent="0.25">
      <c r="H265">
        <v>2</v>
      </c>
      <c r="I265">
        <v>350</v>
      </c>
      <c r="J265">
        <v>115</v>
      </c>
      <c r="K265" t="b">
        <v>1</v>
      </c>
      <c r="N265" s="24" t="s">
        <v>500</v>
      </c>
      <c r="O265" s="2">
        <f>INDEX(Маршруты,MATCH(N265,$B$3:$B$498,0),1)</f>
        <v>14</v>
      </c>
      <c r="P265" s="27">
        <v>7</v>
      </c>
      <c r="Q265" s="2">
        <f>INDEX(Остановки,MATCH(R265,ИД_Остановки!$B$3:$B$467,0),1)</f>
        <v>14</v>
      </c>
      <c r="R265" s="45" t="s">
        <v>250</v>
      </c>
      <c r="S265" s="20">
        <v>0.46</v>
      </c>
    </row>
    <row r="266" spans="8:19" x14ac:dyDescent="0.25">
      <c r="H266">
        <v>2</v>
      </c>
      <c r="I266">
        <v>355</v>
      </c>
      <c r="J266">
        <v>115</v>
      </c>
      <c r="K266" t="b">
        <v>1</v>
      </c>
      <c r="N266" s="24" t="s">
        <v>500</v>
      </c>
      <c r="O266" s="2">
        <f>INDEX(Маршруты,MATCH(N266,$B$3:$B$498,0),1)</f>
        <v>14</v>
      </c>
      <c r="P266" s="27">
        <v>8</v>
      </c>
      <c r="Q266" s="2">
        <f>INDEX(Остановки,MATCH(R266,ИД_Остановки!$B$3:$B$467,0),1)</f>
        <v>15</v>
      </c>
      <c r="R266" s="45" t="s">
        <v>15</v>
      </c>
      <c r="S266" s="20">
        <v>0.45</v>
      </c>
    </row>
    <row r="267" spans="8:19" x14ac:dyDescent="0.25">
      <c r="H267">
        <v>2</v>
      </c>
      <c r="I267">
        <v>360</v>
      </c>
      <c r="J267">
        <v>115</v>
      </c>
      <c r="K267" t="b">
        <v>1</v>
      </c>
      <c r="N267" s="24" t="s">
        <v>501</v>
      </c>
      <c r="O267" s="2">
        <f>INDEX(Маршруты,MATCH(N267,$B$3:$B$498,0),1)</f>
        <v>15</v>
      </c>
      <c r="P267" s="27">
        <v>1</v>
      </c>
      <c r="Q267" s="2">
        <f>INDEX(Остановки,MATCH(R267,ИД_Остановки!$B$3:$B$467,0),1)</f>
        <v>98</v>
      </c>
      <c r="R267" s="45" t="s">
        <v>286</v>
      </c>
      <c r="S267" s="20"/>
    </row>
    <row r="268" spans="8:19" x14ac:dyDescent="0.25">
      <c r="H268">
        <v>2</v>
      </c>
      <c r="I268">
        <v>365</v>
      </c>
      <c r="J268">
        <v>115</v>
      </c>
      <c r="K268" t="b">
        <v>1</v>
      </c>
      <c r="N268" s="24" t="s">
        <v>501</v>
      </c>
      <c r="O268" s="2">
        <f>INDEX(Маршруты,MATCH(N268,$B$3:$B$498,0),1)</f>
        <v>15</v>
      </c>
      <c r="P268" s="27">
        <v>2</v>
      </c>
      <c r="Q268" s="2">
        <f>INDEX(Остановки,MATCH(R268,ИД_Остановки!$B$3:$B$467,0),1)</f>
        <v>99</v>
      </c>
      <c r="R268" s="45" t="s">
        <v>287</v>
      </c>
      <c r="S268" s="20">
        <v>0.16</v>
      </c>
    </row>
    <row r="269" spans="8:19" x14ac:dyDescent="0.25">
      <c r="H269">
        <v>2</v>
      </c>
      <c r="I269">
        <v>370</v>
      </c>
      <c r="J269">
        <v>115</v>
      </c>
      <c r="K269" t="b">
        <v>1</v>
      </c>
      <c r="N269" s="24" t="s">
        <v>501</v>
      </c>
      <c r="O269" s="2">
        <f>INDEX(Маршруты,MATCH(N269,$B$3:$B$498,0),1)</f>
        <v>15</v>
      </c>
      <c r="P269" s="27">
        <v>3</v>
      </c>
      <c r="Q269" s="2">
        <f>INDEX(Остановки,MATCH(R269,ИД_Остановки!$B$3:$B$467,0),1)</f>
        <v>100</v>
      </c>
      <c r="R269" s="45" t="s">
        <v>70</v>
      </c>
      <c r="S269" s="20">
        <v>0.86</v>
      </c>
    </row>
    <row r="270" spans="8:19" x14ac:dyDescent="0.25">
      <c r="H270">
        <v>2</v>
      </c>
      <c r="I270">
        <v>375</v>
      </c>
      <c r="J270">
        <v>115</v>
      </c>
      <c r="K270" t="b">
        <v>1</v>
      </c>
      <c r="N270" s="24" t="s">
        <v>501</v>
      </c>
      <c r="O270" s="2">
        <f>INDEX(Маршруты,MATCH(N270,$B$3:$B$498,0),1)</f>
        <v>15</v>
      </c>
      <c r="P270" s="27">
        <v>4</v>
      </c>
      <c r="Q270" s="2">
        <f>INDEX(Остановки,MATCH(R270,ИД_Остановки!$B$3:$B$467,0),1)</f>
        <v>101</v>
      </c>
      <c r="R270" s="45" t="s">
        <v>71</v>
      </c>
      <c r="S270" s="20">
        <v>0.62</v>
      </c>
    </row>
    <row r="271" spans="8:19" x14ac:dyDescent="0.25">
      <c r="H271">
        <v>2</v>
      </c>
      <c r="I271">
        <v>380</v>
      </c>
      <c r="J271">
        <v>115</v>
      </c>
      <c r="K271" t="b">
        <v>1</v>
      </c>
      <c r="N271" s="23" t="s">
        <v>501</v>
      </c>
      <c r="O271" s="2">
        <f>INDEX(Маршруты,MATCH(N271,$B$3:$B$498,0),1)</f>
        <v>15</v>
      </c>
      <c r="P271" s="27">
        <v>5</v>
      </c>
      <c r="Q271" s="2">
        <f>INDEX(Остановки,MATCH(R271,ИД_Остановки!$B$3:$B$467,0),1)</f>
        <v>349</v>
      </c>
      <c r="R271" s="45" t="s">
        <v>58</v>
      </c>
      <c r="S271" s="20">
        <v>0.28999999999999998</v>
      </c>
    </row>
    <row r="272" spans="8:19" x14ac:dyDescent="0.25">
      <c r="H272">
        <v>2</v>
      </c>
      <c r="I272">
        <v>385</v>
      </c>
      <c r="J272">
        <v>115</v>
      </c>
      <c r="K272" t="b">
        <v>1</v>
      </c>
      <c r="N272" s="24" t="s">
        <v>501</v>
      </c>
      <c r="O272" s="2">
        <f>INDEX(Маршруты,MATCH(N272,$B$3:$B$498,0),1)</f>
        <v>15</v>
      </c>
      <c r="P272" s="27">
        <v>6</v>
      </c>
      <c r="Q272" s="2">
        <f>INDEX(Остановки,MATCH(R272,ИД_Остановки!$B$3:$B$467,0),1)</f>
        <v>102</v>
      </c>
      <c r="R272" s="45" t="s">
        <v>72</v>
      </c>
      <c r="S272" s="20">
        <v>0.47</v>
      </c>
    </row>
    <row r="273" spans="8:19" x14ac:dyDescent="0.25">
      <c r="H273">
        <v>2</v>
      </c>
      <c r="I273">
        <v>390</v>
      </c>
      <c r="J273">
        <v>115</v>
      </c>
      <c r="K273" t="b">
        <v>1</v>
      </c>
      <c r="N273" s="24" t="s">
        <v>501</v>
      </c>
      <c r="O273" s="2">
        <f>INDEX(Маршруты,MATCH(N273,$B$3:$B$498,0),1)</f>
        <v>15</v>
      </c>
      <c r="P273" s="27">
        <v>7</v>
      </c>
      <c r="Q273" s="2">
        <f>INDEX(Остановки,MATCH(R273,ИД_Остановки!$B$3:$B$467,0),1)</f>
        <v>204</v>
      </c>
      <c r="R273" s="45" t="s">
        <v>342</v>
      </c>
      <c r="S273" s="20">
        <v>0.42</v>
      </c>
    </row>
    <row r="274" spans="8:19" x14ac:dyDescent="0.25">
      <c r="H274">
        <v>2</v>
      </c>
      <c r="I274">
        <v>395</v>
      </c>
      <c r="J274">
        <v>115</v>
      </c>
      <c r="K274" t="b">
        <v>1</v>
      </c>
      <c r="N274" s="24" t="s">
        <v>501</v>
      </c>
      <c r="O274" s="2">
        <f>INDEX(Маршруты,MATCH(N274,$B$3:$B$498,0),1)</f>
        <v>15</v>
      </c>
      <c r="P274" s="27">
        <v>8</v>
      </c>
      <c r="Q274" s="2">
        <f>INDEX(Остановки,MATCH(R274,ИД_Остановки!$B$3:$B$467,0),1)</f>
        <v>33</v>
      </c>
      <c r="R274" s="45" t="s">
        <v>29</v>
      </c>
      <c r="S274" s="20">
        <v>0.3</v>
      </c>
    </row>
    <row r="275" spans="8:19" x14ac:dyDescent="0.25">
      <c r="H275">
        <v>2</v>
      </c>
      <c r="I275">
        <v>400</v>
      </c>
      <c r="J275">
        <v>115</v>
      </c>
      <c r="K275" t="b">
        <v>1</v>
      </c>
      <c r="N275" s="24" t="s">
        <v>501</v>
      </c>
      <c r="O275" s="2">
        <f>INDEX(Маршруты,MATCH(N275,$B$3:$B$498,0),1)</f>
        <v>15</v>
      </c>
      <c r="P275" s="27">
        <v>9</v>
      </c>
      <c r="Q275" s="2">
        <f>INDEX(Остановки,MATCH(R275,ИД_Остановки!$B$3:$B$467,0),1)</f>
        <v>93</v>
      </c>
      <c r="R275" s="24" t="s">
        <v>65</v>
      </c>
      <c r="S275" s="20">
        <v>0.52</v>
      </c>
    </row>
    <row r="276" spans="8:19" x14ac:dyDescent="0.25">
      <c r="H276">
        <v>2</v>
      </c>
      <c r="I276">
        <v>405</v>
      </c>
      <c r="J276">
        <v>115</v>
      </c>
      <c r="K276" t="b">
        <v>1</v>
      </c>
      <c r="N276" s="24" t="s">
        <v>501</v>
      </c>
      <c r="O276" s="2">
        <f>INDEX(Маршруты,MATCH(N276,$B$3:$B$498,0),1)</f>
        <v>15</v>
      </c>
      <c r="P276" s="27">
        <v>10</v>
      </c>
      <c r="Q276" s="2">
        <f>INDEX(Остановки,MATCH(R276,ИД_Остановки!$B$3:$B$467,0),1)</f>
        <v>82</v>
      </c>
      <c r="R276" s="45" t="s">
        <v>59</v>
      </c>
      <c r="S276" s="20">
        <v>0.52</v>
      </c>
    </row>
    <row r="277" spans="8:19" x14ac:dyDescent="0.25">
      <c r="H277">
        <v>2</v>
      </c>
      <c r="I277">
        <v>410</v>
      </c>
      <c r="J277">
        <v>115</v>
      </c>
      <c r="K277" t="b">
        <v>1</v>
      </c>
      <c r="N277" s="24" t="s">
        <v>501</v>
      </c>
      <c r="O277" s="2">
        <f>INDEX(Маршруты,MATCH(N277,$B$3:$B$498,0),1)</f>
        <v>15</v>
      </c>
      <c r="P277" s="27">
        <v>11</v>
      </c>
      <c r="Q277" s="2">
        <f>INDEX(Остановки,MATCH(R277,ИД_Остановки!$B$3:$B$467,0),1)</f>
        <v>146</v>
      </c>
      <c r="R277" s="45" t="s">
        <v>646</v>
      </c>
      <c r="S277" s="20">
        <v>0.47</v>
      </c>
    </row>
    <row r="278" spans="8:19" x14ac:dyDescent="0.25">
      <c r="H278">
        <v>2</v>
      </c>
      <c r="I278">
        <v>415</v>
      </c>
      <c r="J278">
        <v>115</v>
      </c>
      <c r="K278" t="b">
        <v>1</v>
      </c>
      <c r="N278" s="24" t="s">
        <v>501</v>
      </c>
      <c r="O278" s="2">
        <f>INDEX(Маршруты,MATCH(N278,$B$3:$B$498,0),1)</f>
        <v>15</v>
      </c>
      <c r="P278" s="27">
        <v>12</v>
      </c>
      <c r="Q278" s="2">
        <f>INDEX(Остановки,MATCH(R278,ИД_Остановки!$B$3:$B$467,0),1)</f>
        <v>83</v>
      </c>
      <c r="R278" s="24" t="s">
        <v>280</v>
      </c>
      <c r="S278" s="20">
        <v>0.44</v>
      </c>
    </row>
    <row r="279" spans="8:19" x14ac:dyDescent="0.25">
      <c r="H279">
        <v>2</v>
      </c>
      <c r="I279">
        <v>420</v>
      </c>
      <c r="J279">
        <v>115</v>
      </c>
      <c r="K279" t="b">
        <v>1</v>
      </c>
      <c r="N279" s="24" t="s">
        <v>501</v>
      </c>
      <c r="O279" s="2">
        <f>INDEX(Маршруты,MATCH(N279,$B$3:$B$498,0),1)</f>
        <v>15</v>
      </c>
      <c r="P279" s="28">
        <v>13</v>
      </c>
      <c r="Q279" s="2">
        <f>INDEX(Остановки,MATCH(R279,ИД_Остановки!$B$3:$B$467,0),1)</f>
        <v>103</v>
      </c>
      <c r="R279" s="24" t="s">
        <v>288</v>
      </c>
      <c r="S279" s="20">
        <v>0.3</v>
      </c>
    </row>
    <row r="280" spans="8:19" x14ac:dyDescent="0.25">
      <c r="H280">
        <v>2</v>
      </c>
      <c r="I280">
        <v>425</v>
      </c>
      <c r="J280">
        <v>115</v>
      </c>
      <c r="K280" t="b">
        <v>1</v>
      </c>
      <c r="N280" s="24" t="s">
        <v>501</v>
      </c>
      <c r="O280" s="2">
        <f>INDEX(Маршруты,MATCH(N280,$B$3:$B$498,0),1)</f>
        <v>15</v>
      </c>
      <c r="P280" s="27">
        <v>14</v>
      </c>
      <c r="Q280" s="2">
        <f>INDEX(Остановки,MATCH(R280,ИД_Остановки!$B$3:$B$467,0),1)</f>
        <v>380</v>
      </c>
      <c r="R280" s="45" t="s">
        <v>438</v>
      </c>
      <c r="S280" s="20">
        <v>0.5</v>
      </c>
    </row>
    <row r="281" spans="8:19" x14ac:dyDescent="0.25">
      <c r="H281">
        <v>2</v>
      </c>
      <c r="I281">
        <v>430</v>
      </c>
      <c r="J281">
        <v>115</v>
      </c>
      <c r="K281" t="b">
        <v>1</v>
      </c>
      <c r="N281" s="24" t="s">
        <v>501</v>
      </c>
      <c r="O281" s="2">
        <f>INDEX(Маршруты,MATCH(N281,$B$3:$B$498,0),1)</f>
        <v>15</v>
      </c>
      <c r="P281" s="27">
        <v>15</v>
      </c>
      <c r="Q281" s="2">
        <f>INDEX(Остановки,MATCH(R281,ИД_Остановки!$B$3:$B$467,0),1)</f>
        <v>84</v>
      </c>
      <c r="R281" s="45" t="s">
        <v>281</v>
      </c>
      <c r="S281" s="20">
        <v>0.39</v>
      </c>
    </row>
    <row r="282" spans="8:19" x14ac:dyDescent="0.25">
      <c r="H282">
        <v>2</v>
      </c>
      <c r="I282">
        <v>435</v>
      </c>
      <c r="J282">
        <v>115</v>
      </c>
      <c r="K282" t="b">
        <v>1</v>
      </c>
      <c r="N282" s="24" t="s">
        <v>501</v>
      </c>
      <c r="O282" s="2">
        <f>INDEX(Маршруты,MATCH(N282,$B$3:$B$498,0),1)</f>
        <v>15</v>
      </c>
      <c r="P282" s="27">
        <v>16</v>
      </c>
      <c r="Q282" s="2">
        <f>INDEX(Остановки,MATCH(R282,ИД_Остановки!$B$3:$B$467,0),1)</f>
        <v>105</v>
      </c>
      <c r="R282" s="24" t="s">
        <v>615</v>
      </c>
      <c r="S282" s="20">
        <v>0.54</v>
      </c>
    </row>
    <row r="283" spans="8:19" x14ac:dyDescent="0.25">
      <c r="H283">
        <v>2</v>
      </c>
      <c r="I283">
        <v>440</v>
      </c>
      <c r="J283">
        <v>115</v>
      </c>
      <c r="K283" t="b">
        <v>1</v>
      </c>
      <c r="N283" s="23" t="s">
        <v>501</v>
      </c>
      <c r="O283" s="2">
        <f>INDEX(Маршруты,MATCH(N283,$B$3:$B$498,0),1)</f>
        <v>15</v>
      </c>
      <c r="P283" s="27">
        <v>17</v>
      </c>
      <c r="Q283" s="2">
        <f>INDEX(Остановки,MATCH(R283,ИД_Остановки!$B$3:$B$467,0),1)</f>
        <v>106</v>
      </c>
      <c r="R283" s="45" t="s">
        <v>291</v>
      </c>
      <c r="S283" s="20">
        <v>0.34</v>
      </c>
    </row>
    <row r="284" spans="8:19" x14ac:dyDescent="0.25">
      <c r="H284">
        <v>2</v>
      </c>
      <c r="I284">
        <v>445</v>
      </c>
      <c r="J284">
        <v>115</v>
      </c>
      <c r="K284" t="b">
        <v>1</v>
      </c>
      <c r="N284" s="24" t="s">
        <v>501</v>
      </c>
      <c r="O284" s="2">
        <f>INDEX(Маршруты,MATCH(N284,$B$3:$B$498,0),1)</f>
        <v>15</v>
      </c>
      <c r="P284" s="27">
        <v>18</v>
      </c>
      <c r="Q284" s="2">
        <f>INDEX(Остановки,MATCH(R284,ИД_Остановки!$B$3:$B$467,0),1)</f>
        <v>86</v>
      </c>
      <c r="R284" s="45" t="s">
        <v>61</v>
      </c>
      <c r="S284" s="20">
        <v>0.66</v>
      </c>
    </row>
    <row r="285" spans="8:19" x14ac:dyDescent="0.25">
      <c r="H285">
        <v>2</v>
      </c>
      <c r="I285">
        <v>450</v>
      </c>
      <c r="J285">
        <v>115</v>
      </c>
      <c r="K285" t="b">
        <v>1</v>
      </c>
      <c r="N285" s="24" t="s">
        <v>501</v>
      </c>
      <c r="O285" s="2">
        <f>INDEX(Маршруты,MATCH(N285,$B$3:$B$498,0),1)</f>
        <v>15</v>
      </c>
      <c r="P285" s="27">
        <v>19</v>
      </c>
      <c r="Q285" s="2">
        <f>INDEX(Остановки,MATCH(R285,ИД_Остановки!$B$3:$B$467,0),1)</f>
        <v>87</v>
      </c>
      <c r="R285" s="45" t="s">
        <v>62</v>
      </c>
      <c r="S285" s="20">
        <v>0.75</v>
      </c>
    </row>
    <row r="286" spans="8:19" x14ac:dyDescent="0.25">
      <c r="H286">
        <v>2</v>
      </c>
      <c r="I286">
        <v>455</v>
      </c>
      <c r="J286">
        <v>115</v>
      </c>
      <c r="K286" t="b">
        <v>1</v>
      </c>
      <c r="N286" s="23" t="s">
        <v>501</v>
      </c>
      <c r="O286" s="2">
        <f>INDEX(Маршруты,MATCH(N286,$B$3:$B$498,0),1)</f>
        <v>15</v>
      </c>
      <c r="P286" s="27">
        <v>20</v>
      </c>
      <c r="Q286" s="2">
        <f>INDEX(Остановки,MATCH(R286,ИД_Остановки!$B$3:$B$467,0),1)</f>
        <v>88</v>
      </c>
      <c r="R286" s="45" t="s">
        <v>63</v>
      </c>
      <c r="S286" s="20">
        <v>0.45</v>
      </c>
    </row>
    <row r="287" spans="8:19" x14ac:dyDescent="0.25">
      <c r="H287">
        <v>2</v>
      </c>
      <c r="I287">
        <v>460</v>
      </c>
      <c r="J287">
        <v>115</v>
      </c>
      <c r="K287" t="b">
        <v>1</v>
      </c>
      <c r="N287" s="24" t="s">
        <v>501</v>
      </c>
      <c r="O287" s="2">
        <f>INDEX(Маршруты,MATCH(N287,$B$3:$B$498,0),1)</f>
        <v>15</v>
      </c>
      <c r="P287" s="27">
        <v>21</v>
      </c>
      <c r="Q287" s="2">
        <f>INDEX(Остановки,MATCH(R287,ИД_Остановки!$B$3:$B$467,0),1)</f>
        <v>89</v>
      </c>
      <c r="R287" s="45" t="s">
        <v>64</v>
      </c>
      <c r="S287" s="20">
        <v>0.79</v>
      </c>
    </row>
    <row r="288" spans="8:19" x14ac:dyDescent="0.25">
      <c r="H288">
        <v>2</v>
      </c>
      <c r="I288">
        <v>465</v>
      </c>
      <c r="J288">
        <v>115</v>
      </c>
      <c r="K288" t="b">
        <v>1</v>
      </c>
      <c r="N288" s="24" t="s">
        <v>501</v>
      </c>
      <c r="O288" s="2">
        <f>INDEX(Маршруты,MATCH(N288,$B$3:$B$498,0),1)</f>
        <v>15</v>
      </c>
      <c r="P288" s="27">
        <v>22</v>
      </c>
      <c r="Q288" s="2">
        <f>INDEX(Остановки,MATCH(R288,ИД_Остановки!$B$3:$B$467,0),1)</f>
        <v>90</v>
      </c>
      <c r="R288" s="45" t="s">
        <v>282</v>
      </c>
      <c r="S288" s="20">
        <v>0.54</v>
      </c>
    </row>
    <row r="289" spans="8:19" x14ac:dyDescent="0.25">
      <c r="H289">
        <v>2</v>
      </c>
      <c r="I289">
        <v>470</v>
      </c>
      <c r="J289">
        <v>115</v>
      </c>
      <c r="K289" t="b">
        <v>1</v>
      </c>
      <c r="N289" s="24" t="s">
        <v>501</v>
      </c>
      <c r="O289" s="2">
        <f>INDEX(Маршруты,MATCH(N289,$B$3:$B$498,0),1)</f>
        <v>15</v>
      </c>
      <c r="P289" s="27">
        <v>23</v>
      </c>
      <c r="Q289" s="2">
        <f>INDEX(Остановки,MATCH(R289,ИД_Остановки!$B$3:$B$467,0),1)</f>
        <v>91</v>
      </c>
      <c r="R289" s="45" t="s">
        <v>283</v>
      </c>
      <c r="S289" s="20">
        <v>0.74</v>
      </c>
    </row>
    <row r="290" spans="8:19" x14ac:dyDescent="0.25">
      <c r="H290">
        <v>2</v>
      </c>
      <c r="I290">
        <v>475</v>
      </c>
      <c r="J290">
        <v>115</v>
      </c>
      <c r="K290" t="b">
        <v>1</v>
      </c>
      <c r="N290" s="21" t="s">
        <v>501</v>
      </c>
      <c r="O290" s="2">
        <f>INDEX(Маршруты,MATCH(N290,$B$3:$B$498,0),1)</f>
        <v>15</v>
      </c>
      <c r="P290" s="27">
        <v>24</v>
      </c>
      <c r="Q290" s="2">
        <f>INDEX(Остановки,MATCH(R290,ИД_Остановки!$B$3:$B$467,0),1)</f>
        <v>107</v>
      </c>
      <c r="R290" s="45" t="s">
        <v>292</v>
      </c>
      <c r="S290" s="20">
        <v>0.46</v>
      </c>
    </row>
    <row r="291" spans="8:19" x14ac:dyDescent="0.25">
      <c r="H291">
        <v>2</v>
      </c>
      <c r="I291">
        <v>480</v>
      </c>
      <c r="J291">
        <v>115</v>
      </c>
      <c r="K291" t="b">
        <v>1</v>
      </c>
      <c r="N291" s="24" t="s">
        <v>501</v>
      </c>
      <c r="O291" s="2">
        <f>INDEX(Маршруты,MATCH(N291,$B$3:$B$498,0),1)</f>
        <v>15</v>
      </c>
      <c r="P291" s="28">
        <v>25</v>
      </c>
      <c r="Q291" s="2">
        <f>INDEX(Остановки,MATCH(R291,ИД_Остановки!$B$3:$B$467,0),1)</f>
        <v>108</v>
      </c>
      <c r="R291" s="24" t="s">
        <v>648</v>
      </c>
      <c r="S291" s="21">
        <v>0.55000000000000004</v>
      </c>
    </row>
    <row r="292" spans="8:19" x14ac:dyDescent="0.25">
      <c r="H292">
        <v>2</v>
      </c>
      <c r="I292">
        <v>485</v>
      </c>
      <c r="J292">
        <v>115</v>
      </c>
      <c r="K292" t="b">
        <v>1</v>
      </c>
      <c r="N292" s="24" t="s">
        <v>501</v>
      </c>
      <c r="O292" s="2">
        <f>INDEX(Маршруты,MATCH(N292,$B$3:$B$498,0),1)</f>
        <v>15</v>
      </c>
      <c r="P292" s="27">
        <v>26</v>
      </c>
      <c r="Q292" s="2">
        <f>INDEX(Остановки,MATCH(R292,ИД_Остановки!$B$3:$B$467,0),1)</f>
        <v>76</v>
      </c>
      <c r="R292" s="45" t="s">
        <v>56</v>
      </c>
      <c r="S292" s="20">
        <v>0.68</v>
      </c>
    </row>
    <row r="293" spans="8:19" x14ac:dyDescent="0.25">
      <c r="H293">
        <v>2</v>
      </c>
      <c r="I293">
        <v>490</v>
      </c>
      <c r="J293">
        <v>115</v>
      </c>
      <c r="K293" t="b">
        <v>1</v>
      </c>
      <c r="N293" s="24" t="s">
        <v>501</v>
      </c>
      <c r="O293" s="2">
        <f>INDEX(Маршруты,MATCH(N293,$B$3:$B$498,0),1)</f>
        <v>15</v>
      </c>
      <c r="P293" s="27">
        <v>27</v>
      </c>
      <c r="Q293" s="2">
        <f>INDEX(Остановки,MATCH(R293,ИД_Остановки!$B$3:$B$467,0),1)</f>
        <v>77</v>
      </c>
      <c r="R293" s="45" t="s">
        <v>276</v>
      </c>
      <c r="S293" s="20">
        <v>0.56000000000000005</v>
      </c>
    </row>
    <row r="294" spans="8:19" x14ac:dyDescent="0.25">
      <c r="H294">
        <v>2</v>
      </c>
      <c r="I294">
        <v>495</v>
      </c>
      <c r="J294">
        <v>115</v>
      </c>
      <c r="K294" t="b">
        <v>1</v>
      </c>
      <c r="N294" s="24" t="s">
        <v>501</v>
      </c>
      <c r="O294" s="2">
        <f>INDEX(Маршруты,MATCH(N294,$B$3:$B$498,0),1)</f>
        <v>15</v>
      </c>
      <c r="P294" s="27">
        <v>28</v>
      </c>
      <c r="Q294" s="2">
        <f>INDEX(Остановки,MATCH(R294,ИД_Остановки!$B$3:$B$467,0),1)</f>
        <v>78</v>
      </c>
      <c r="R294" s="45" t="s">
        <v>277</v>
      </c>
      <c r="S294" s="20">
        <v>0.39</v>
      </c>
    </row>
    <row r="295" spans="8:19" x14ac:dyDescent="0.25">
      <c r="H295">
        <v>2</v>
      </c>
      <c r="I295">
        <v>500</v>
      </c>
      <c r="J295">
        <v>115</v>
      </c>
      <c r="K295" t="b">
        <v>1</v>
      </c>
      <c r="N295" s="24" t="s">
        <v>501</v>
      </c>
      <c r="O295" s="2">
        <f>INDEX(Маршруты,MATCH(N295,$B$3:$B$498,0),1)</f>
        <v>15</v>
      </c>
      <c r="P295" s="27">
        <v>29</v>
      </c>
      <c r="Q295" s="2">
        <f>INDEX(Остановки,MATCH(R295,ИД_Остановки!$B$3:$B$467,0),1)</f>
        <v>129</v>
      </c>
      <c r="R295" s="45" t="s">
        <v>81</v>
      </c>
      <c r="S295" s="20">
        <v>0.47</v>
      </c>
    </row>
    <row r="296" spans="8:19" x14ac:dyDescent="0.25">
      <c r="H296">
        <v>2</v>
      </c>
      <c r="I296">
        <v>505</v>
      </c>
      <c r="J296">
        <v>115</v>
      </c>
      <c r="K296" t="b">
        <v>1</v>
      </c>
      <c r="N296" s="24" t="s">
        <v>501</v>
      </c>
      <c r="O296" s="2">
        <f>INDEX(Маршруты,MATCH(N296,$B$3:$B$498,0),1)</f>
        <v>15</v>
      </c>
      <c r="P296" s="27">
        <v>30</v>
      </c>
      <c r="Q296" s="2">
        <f>INDEX(Остановки,MATCH(R296,ИД_Остановки!$B$3:$B$467,0),1)</f>
        <v>109</v>
      </c>
      <c r="R296" s="45" t="s">
        <v>293</v>
      </c>
      <c r="S296" s="20">
        <v>0.44</v>
      </c>
    </row>
    <row r="297" spans="8:19" x14ac:dyDescent="0.25">
      <c r="H297">
        <v>2</v>
      </c>
      <c r="I297">
        <v>510</v>
      </c>
      <c r="J297">
        <v>115</v>
      </c>
      <c r="K297" t="b">
        <v>1</v>
      </c>
      <c r="N297" s="24" t="s">
        <v>501</v>
      </c>
      <c r="O297" s="2">
        <f>INDEX(Маршруты,MATCH(N297,$B$3:$B$498,0),1)</f>
        <v>15</v>
      </c>
      <c r="P297" s="27">
        <v>31</v>
      </c>
      <c r="Q297" s="2">
        <f>INDEX(Остановки,MATCH(R297,ИД_Остановки!$B$3:$B$467,0),1)</f>
        <v>72</v>
      </c>
      <c r="R297" s="45" t="s">
        <v>272</v>
      </c>
      <c r="S297" s="20">
        <v>0.41</v>
      </c>
    </row>
    <row r="298" spans="8:19" x14ac:dyDescent="0.25">
      <c r="H298">
        <v>2</v>
      </c>
      <c r="I298">
        <v>515</v>
      </c>
      <c r="J298">
        <v>115</v>
      </c>
      <c r="K298" t="b">
        <v>1</v>
      </c>
      <c r="N298" s="24" t="s">
        <v>501</v>
      </c>
      <c r="O298" s="2">
        <f>INDEX(Маршруты,MATCH(N298,$B$3:$B$498,0),1)</f>
        <v>15</v>
      </c>
      <c r="P298" s="27">
        <v>32</v>
      </c>
      <c r="Q298" s="2">
        <f>INDEX(Остановки,MATCH(R298,ИД_Остановки!$B$3:$B$467,0),1)</f>
        <v>110</v>
      </c>
      <c r="R298" s="45" t="s">
        <v>294</v>
      </c>
      <c r="S298" s="20">
        <v>0.31</v>
      </c>
    </row>
    <row r="299" spans="8:19" x14ac:dyDescent="0.25">
      <c r="H299">
        <v>2</v>
      </c>
      <c r="I299">
        <v>520</v>
      </c>
      <c r="J299">
        <v>115</v>
      </c>
      <c r="K299" t="b">
        <v>1</v>
      </c>
      <c r="N299" s="24" t="s">
        <v>501</v>
      </c>
      <c r="O299" s="2">
        <f>INDEX(Маршруты,MATCH(N299,$B$3:$B$498,0),1)</f>
        <v>15</v>
      </c>
      <c r="P299" s="27">
        <v>33</v>
      </c>
      <c r="Q299" s="2">
        <f>INDEX(Остановки,MATCH(R299,ИД_Остановки!$B$3:$B$467,0),1)</f>
        <v>111</v>
      </c>
      <c r="R299" s="45" t="s">
        <v>73</v>
      </c>
      <c r="S299" s="20">
        <v>0.54</v>
      </c>
    </row>
    <row r="300" spans="8:19" x14ac:dyDescent="0.25">
      <c r="H300">
        <v>2</v>
      </c>
      <c r="I300">
        <v>525</v>
      </c>
      <c r="J300">
        <v>115</v>
      </c>
      <c r="K300" t="b">
        <v>1</v>
      </c>
      <c r="N300" s="24" t="s">
        <v>501</v>
      </c>
      <c r="O300" s="2">
        <f>INDEX(Маршруты,MATCH(N300,$B$3:$B$498,0),1)</f>
        <v>15</v>
      </c>
      <c r="P300" s="27">
        <v>34</v>
      </c>
      <c r="Q300" s="2">
        <f>INDEX(Остановки,MATCH(R300,ИД_Остановки!$B$3:$B$467,0),1)</f>
        <v>112</v>
      </c>
      <c r="R300" s="24" t="s">
        <v>295</v>
      </c>
      <c r="S300" s="20">
        <v>0.38</v>
      </c>
    </row>
    <row r="301" spans="8:19" x14ac:dyDescent="0.25">
      <c r="H301">
        <v>2</v>
      </c>
      <c r="I301">
        <v>530</v>
      </c>
      <c r="J301">
        <v>115</v>
      </c>
      <c r="K301" t="b">
        <v>1</v>
      </c>
      <c r="N301" s="24" t="s">
        <v>501</v>
      </c>
      <c r="O301" s="2">
        <f>INDEX(Маршруты,MATCH(N301,$B$3:$B$498,0),1)</f>
        <v>15</v>
      </c>
      <c r="P301" s="27">
        <v>35</v>
      </c>
      <c r="Q301" s="2">
        <f>INDEX(Остановки,MATCH(R301,ИД_Остановки!$B$3:$B$467,0),1)</f>
        <v>113</v>
      </c>
      <c r="R301" s="45" t="s">
        <v>296</v>
      </c>
      <c r="S301" s="20">
        <v>0.51</v>
      </c>
    </row>
    <row r="302" spans="8:19" x14ac:dyDescent="0.25">
      <c r="H302">
        <v>2</v>
      </c>
      <c r="I302">
        <v>535</v>
      </c>
      <c r="J302">
        <v>115</v>
      </c>
      <c r="K302" t="b">
        <v>1</v>
      </c>
      <c r="N302" s="24" t="s">
        <v>501</v>
      </c>
      <c r="O302" s="2">
        <f>INDEX(Маршруты,MATCH(N302,$B$3:$B$498,0),1)</f>
        <v>15</v>
      </c>
      <c r="P302" s="27">
        <v>36</v>
      </c>
      <c r="Q302" s="2">
        <f>INDEX(Остановки,MATCH(R302,ИД_Остановки!$B$3:$B$467,0),1)</f>
        <v>114</v>
      </c>
      <c r="R302" s="45" t="s">
        <v>297</v>
      </c>
      <c r="S302" s="20">
        <v>0.51</v>
      </c>
    </row>
    <row r="303" spans="8:19" x14ac:dyDescent="0.25">
      <c r="H303">
        <v>2</v>
      </c>
      <c r="I303">
        <v>540</v>
      </c>
      <c r="J303">
        <v>115</v>
      </c>
      <c r="K303" t="b">
        <v>1</v>
      </c>
      <c r="N303" s="24" t="s">
        <v>501</v>
      </c>
      <c r="O303" s="2">
        <f>INDEX(Маршруты,MATCH(N303,$B$3:$B$498,0),1)</f>
        <v>15</v>
      </c>
      <c r="P303" s="28">
        <v>37</v>
      </c>
      <c r="Q303" s="2">
        <f>INDEX(Остановки,MATCH(R303,ИД_Остановки!$B$3:$B$467,0),1)</f>
        <v>115</v>
      </c>
      <c r="R303" s="24" t="s">
        <v>74</v>
      </c>
      <c r="S303" s="20">
        <v>0.37</v>
      </c>
    </row>
    <row r="304" spans="8:19" x14ac:dyDescent="0.25">
      <c r="H304">
        <v>2</v>
      </c>
      <c r="I304">
        <v>545</v>
      </c>
      <c r="J304">
        <v>115</v>
      </c>
      <c r="K304" t="b">
        <v>1</v>
      </c>
      <c r="N304" s="24" t="s">
        <v>501</v>
      </c>
      <c r="O304" s="2">
        <f>INDEX(Маршруты,MATCH(N304,$B$3:$B$498,0),1)</f>
        <v>15</v>
      </c>
      <c r="P304" s="27">
        <v>38</v>
      </c>
      <c r="Q304" s="2">
        <f>INDEX(Остановки,MATCH(R304,ИД_Остановки!$B$3:$B$467,0),1)</f>
        <v>118</v>
      </c>
      <c r="R304" s="45" t="s">
        <v>299</v>
      </c>
      <c r="S304" s="20">
        <v>1.5</v>
      </c>
    </row>
    <row r="305" spans="8:19" x14ac:dyDescent="0.25">
      <c r="H305">
        <v>2</v>
      </c>
      <c r="I305">
        <v>550</v>
      </c>
      <c r="J305">
        <v>115</v>
      </c>
      <c r="K305" t="b">
        <v>1</v>
      </c>
      <c r="N305" s="23" t="s">
        <v>501</v>
      </c>
      <c r="O305" s="2">
        <f>INDEX(Маршруты,MATCH(N305,$B$3:$B$498,0),1)</f>
        <v>15</v>
      </c>
      <c r="P305" s="27">
        <v>39</v>
      </c>
      <c r="Q305" s="2">
        <f>INDEX(Остановки,MATCH(R305,ИД_Остановки!$B$3:$B$467,0),1)</f>
        <v>119</v>
      </c>
      <c r="R305" s="45" t="s">
        <v>165</v>
      </c>
      <c r="S305" s="20">
        <v>0.51</v>
      </c>
    </row>
    <row r="306" spans="8:19" x14ac:dyDescent="0.25">
      <c r="H306">
        <v>2</v>
      </c>
      <c r="I306">
        <v>555</v>
      </c>
      <c r="J306">
        <v>115</v>
      </c>
      <c r="K306" t="b">
        <v>1</v>
      </c>
      <c r="N306" s="23" t="s">
        <v>501</v>
      </c>
      <c r="O306" s="2">
        <f>INDEX(Маршруты,MATCH(N306,$B$3:$B$498,0),1)</f>
        <v>15</v>
      </c>
      <c r="P306" s="27">
        <v>40</v>
      </c>
      <c r="Q306" s="2">
        <f>INDEX(Остановки,MATCH(R306,ИД_Остановки!$B$3:$B$467,0),1)</f>
        <v>120</v>
      </c>
      <c r="R306" s="45" t="s">
        <v>300</v>
      </c>
      <c r="S306" s="20">
        <v>1.1200000000000001</v>
      </c>
    </row>
    <row r="307" spans="8:19" x14ac:dyDescent="0.25">
      <c r="H307">
        <v>2</v>
      </c>
      <c r="I307">
        <v>560</v>
      </c>
      <c r="J307">
        <v>115</v>
      </c>
      <c r="K307" t="b">
        <v>1</v>
      </c>
      <c r="N307" s="24" t="s">
        <v>501</v>
      </c>
      <c r="O307" s="2">
        <f>INDEX(Маршруты,MATCH(N307,$B$3:$B$498,0),1)</f>
        <v>15</v>
      </c>
      <c r="P307" s="27">
        <v>41</v>
      </c>
      <c r="Q307" s="2">
        <f>INDEX(Остановки,MATCH(R307,ИД_Остановки!$B$3:$B$467,0),1)</f>
        <v>121</v>
      </c>
      <c r="R307" s="45" t="s">
        <v>76</v>
      </c>
      <c r="S307" s="20">
        <v>0.31</v>
      </c>
    </row>
    <row r="308" spans="8:19" x14ac:dyDescent="0.25">
      <c r="H308">
        <v>2</v>
      </c>
      <c r="I308">
        <v>565</v>
      </c>
      <c r="J308">
        <v>115</v>
      </c>
      <c r="K308" t="b">
        <v>1</v>
      </c>
      <c r="N308" s="24" t="s">
        <v>501</v>
      </c>
      <c r="O308" s="2">
        <f>INDEX(Маршруты,MATCH(N308,$B$3:$B$498,0),1)</f>
        <v>15</v>
      </c>
      <c r="P308" s="27">
        <v>42</v>
      </c>
      <c r="Q308" s="2">
        <f>INDEX(Остановки,MATCH(R308,ИД_Остановки!$B$3:$B$467,0),1)</f>
        <v>122</v>
      </c>
      <c r="R308" s="45" t="s">
        <v>616</v>
      </c>
      <c r="S308" s="20">
        <v>0.32</v>
      </c>
    </row>
    <row r="309" spans="8:19" x14ac:dyDescent="0.25">
      <c r="H309">
        <v>2</v>
      </c>
      <c r="I309">
        <v>570</v>
      </c>
      <c r="J309">
        <v>115</v>
      </c>
      <c r="K309" t="b">
        <v>1</v>
      </c>
      <c r="N309" s="24" t="s">
        <v>501</v>
      </c>
      <c r="O309" s="2">
        <f>INDEX(Маршруты,MATCH(N309,$B$3:$B$498,0),1)</f>
        <v>15</v>
      </c>
      <c r="P309" s="28">
        <v>43</v>
      </c>
      <c r="Q309" s="2">
        <f>INDEX(Остановки,MATCH(R309,ИД_Остановки!$B$3:$B$467,0),1)</f>
        <v>96</v>
      </c>
      <c r="R309" s="24" t="s">
        <v>285</v>
      </c>
      <c r="S309" s="20">
        <v>0.52</v>
      </c>
    </row>
    <row r="310" spans="8:19" x14ac:dyDescent="0.25">
      <c r="H310">
        <v>2</v>
      </c>
      <c r="I310">
        <v>575</v>
      </c>
      <c r="J310">
        <v>115</v>
      </c>
      <c r="K310" t="b">
        <v>1</v>
      </c>
      <c r="N310" s="24" t="s">
        <v>501</v>
      </c>
      <c r="O310" s="2">
        <f>INDEX(Маршруты,MATCH(N310,$B$3:$B$498,0),1)</f>
        <v>15</v>
      </c>
      <c r="P310" s="27">
        <v>44</v>
      </c>
      <c r="Q310" s="2">
        <f>INDEX(Остановки,MATCH(R310,ИД_Остановки!$B$3:$B$467,0),1)</f>
        <v>123</v>
      </c>
      <c r="R310" s="45" t="s">
        <v>301</v>
      </c>
      <c r="S310" s="20">
        <v>0.6</v>
      </c>
    </row>
    <row r="311" spans="8:19" x14ac:dyDescent="0.25">
      <c r="H311">
        <v>2</v>
      </c>
      <c r="I311">
        <v>580</v>
      </c>
      <c r="J311">
        <v>115</v>
      </c>
      <c r="K311" t="b">
        <v>1</v>
      </c>
      <c r="N311" s="23" t="s">
        <v>501</v>
      </c>
      <c r="O311" s="2">
        <f>INDEX(Маршруты,MATCH(N311,$B$3:$B$498,0),1)</f>
        <v>15</v>
      </c>
      <c r="P311" s="27">
        <v>45</v>
      </c>
      <c r="Q311" s="2">
        <f>INDEX(Остановки,MATCH(R311,ИД_Остановки!$B$3:$B$467,0),1)</f>
        <v>124</v>
      </c>
      <c r="R311" s="45" t="s">
        <v>78</v>
      </c>
      <c r="S311" s="20">
        <v>0.25</v>
      </c>
    </row>
    <row r="312" spans="8:19" x14ac:dyDescent="0.25">
      <c r="H312">
        <v>2</v>
      </c>
      <c r="I312">
        <v>585</v>
      </c>
      <c r="J312">
        <v>115</v>
      </c>
      <c r="K312" t="b">
        <v>1</v>
      </c>
      <c r="N312" s="24" t="s">
        <v>502</v>
      </c>
      <c r="O312" s="2">
        <f>INDEX(Маршруты,MATCH(N312,$B$3:$B$498,0),1)</f>
        <v>16</v>
      </c>
      <c r="P312" s="27">
        <v>1</v>
      </c>
      <c r="Q312" s="2">
        <f>INDEX(Остановки,MATCH(R312,ИД_Остановки!$B$3:$B$467,0),1)</f>
        <v>124</v>
      </c>
      <c r="R312" s="45" t="s">
        <v>78</v>
      </c>
      <c r="S312" s="20"/>
    </row>
    <row r="313" spans="8:19" x14ac:dyDescent="0.25">
      <c r="H313">
        <v>2</v>
      </c>
      <c r="I313">
        <v>590</v>
      </c>
      <c r="J313">
        <v>115</v>
      </c>
      <c r="K313" t="b">
        <v>1</v>
      </c>
      <c r="N313" s="24" t="s">
        <v>502</v>
      </c>
      <c r="O313" s="2">
        <f>INDEX(Маршруты,MATCH(N313,$B$3:$B$498,0),1)</f>
        <v>16</v>
      </c>
      <c r="P313" s="27">
        <v>2</v>
      </c>
      <c r="Q313" s="2">
        <f>INDEX(Остановки,MATCH(R313,ИД_Остановки!$B$3:$B$467,0),1)</f>
        <v>123</v>
      </c>
      <c r="R313" s="45" t="s">
        <v>301</v>
      </c>
      <c r="S313" s="20">
        <v>0.25</v>
      </c>
    </row>
    <row r="314" spans="8:19" x14ac:dyDescent="0.25">
      <c r="H314">
        <v>2</v>
      </c>
      <c r="I314">
        <v>595</v>
      </c>
      <c r="J314">
        <v>115</v>
      </c>
      <c r="K314" t="b">
        <v>1</v>
      </c>
      <c r="N314" s="24" t="s">
        <v>502</v>
      </c>
      <c r="O314" s="2">
        <f>INDEX(Маршруты,MATCH(N314,$B$3:$B$498,0),1)</f>
        <v>16</v>
      </c>
      <c r="P314" s="28">
        <v>3</v>
      </c>
      <c r="Q314" s="2">
        <f>INDEX(Остановки,MATCH(R314,ИД_Остановки!$B$3:$B$467,0),1)</f>
        <v>96</v>
      </c>
      <c r="R314" s="24" t="s">
        <v>285</v>
      </c>
      <c r="S314" s="20">
        <v>0.6</v>
      </c>
    </row>
    <row r="315" spans="8:19" x14ac:dyDescent="0.25">
      <c r="H315">
        <v>2</v>
      </c>
      <c r="I315">
        <v>600</v>
      </c>
      <c r="J315">
        <v>115</v>
      </c>
      <c r="K315" t="b">
        <v>1</v>
      </c>
      <c r="N315" s="24" t="s">
        <v>502</v>
      </c>
      <c r="O315" s="2">
        <f>INDEX(Маршруты,MATCH(N315,$B$3:$B$498,0),1)</f>
        <v>16</v>
      </c>
      <c r="P315" s="28">
        <v>4</v>
      </c>
      <c r="Q315" s="2">
        <f>INDEX(Остановки,MATCH(R315,ИД_Остановки!$B$3:$B$467,0),1)</f>
        <v>122</v>
      </c>
      <c r="R315" s="24" t="s">
        <v>616</v>
      </c>
      <c r="S315" s="21">
        <v>0.52</v>
      </c>
    </row>
    <row r="316" spans="8:19" x14ac:dyDescent="0.25">
      <c r="H316">
        <v>2</v>
      </c>
      <c r="I316">
        <v>605</v>
      </c>
      <c r="J316">
        <v>115</v>
      </c>
      <c r="K316" t="b">
        <v>1</v>
      </c>
      <c r="N316" s="24" t="s">
        <v>502</v>
      </c>
      <c r="O316" s="2">
        <f>INDEX(Маршруты,MATCH(N316,$B$3:$B$498,0),1)</f>
        <v>16</v>
      </c>
      <c r="P316" s="27">
        <v>5</v>
      </c>
      <c r="Q316" s="2">
        <f>INDEX(Остановки,MATCH(R316,ИД_Остановки!$B$3:$B$467,0),1)</f>
        <v>121</v>
      </c>
      <c r="R316" s="45" t="s">
        <v>76</v>
      </c>
      <c r="S316" s="20">
        <v>0.32</v>
      </c>
    </row>
    <row r="317" spans="8:19" x14ac:dyDescent="0.25">
      <c r="H317">
        <v>2</v>
      </c>
      <c r="I317">
        <v>610</v>
      </c>
      <c r="J317">
        <v>115</v>
      </c>
      <c r="K317" t="b">
        <v>1</v>
      </c>
      <c r="N317" s="24" t="s">
        <v>502</v>
      </c>
      <c r="O317" s="2">
        <f>INDEX(Маршруты,MATCH(N317,$B$3:$B$498,0),1)</f>
        <v>16</v>
      </c>
      <c r="P317" s="27">
        <v>6</v>
      </c>
      <c r="Q317" s="2">
        <f>INDEX(Остановки,MATCH(R317,ИД_Остановки!$B$3:$B$467,0),1)</f>
        <v>120</v>
      </c>
      <c r="R317" s="45" t="s">
        <v>300</v>
      </c>
      <c r="S317" s="20">
        <v>0.31</v>
      </c>
    </row>
    <row r="318" spans="8:19" x14ac:dyDescent="0.25">
      <c r="H318">
        <v>2</v>
      </c>
      <c r="I318">
        <v>615</v>
      </c>
      <c r="J318">
        <v>115</v>
      </c>
      <c r="K318" t="b">
        <v>1</v>
      </c>
      <c r="N318" s="23" t="s">
        <v>502</v>
      </c>
      <c r="O318" s="2">
        <f>INDEX(Маршруты,MATCH(N318,$B$3:$B$498,0),1)</f>
        <v>16</v>
      </c>
      <c r="P318" s="27">
        <v>7</v>
      </c>
      <c r="Q318" s="2">
        <f>INDEX(Остановки,MATCH(R318,ИД_Остановки!$B$3:$B$467,0),1)</f>
        <v>119</v>
      </c>
      <c r="R318" s="45" t="s">
        <v>165</v>
      </c>
      <c r="S318" s="20">
        <v>1.1200000000000001</v>
      </c>
    </row>
    <row r="319" spans="8:19" x14ac:dyDescent="0.25">
      <c r="H319">
        <v>2</v>
      </c>
      <c r="I319">
        <v>620</v>
      </c>
      <c r="J319">
        <v>115</v>
      </c>
      <c r="K319" t="b">
        <v>1</v>
      </c>
      <c r="N319" s="24" t="s">
        <v>502</v>
      </c>
      <c r="O319" s="2">
        <f>INDEX(Маршруты,MATCH(N319,$B$3:$B$498,0),1)</f>
        <v>16</v>
      </c>
      <c r="P319" s="27">
        <v>8</v>
      </c>
      <c r="Q319" s="2">
        <f>INDEX(Остановки,MATCH(R319,ИД_Остановки!$B$3:$B$467,0),1)</f>
        <v>118</v>
      </c>
      <c r="R319" s="45" t="s">
        <v>299</v>
      </c>
      <c r="S319" s="20">
        <v>0.51</v>
      </c>
    </row>
    <row r="320" spans="8:19" x14ac:dyDescent="0.25">
      <c r="H320">
        <v>2</v>
      </c>
      <c r="I320">
        <v>625</v>
      </c>
      <c r="J320">
        <v>115</v>
      </c>
      <c r="K320" t="b">
        <v>1</v>
      </c>
      <c r="N320" s="24" t="s">
        <v>502</v>
      </c>
      <c r="O320" s="2">
        <f>INDEX(Маршруты,MATCH(N320,$B$3:$B$498,0),1)</f>
        <v>16</v>
      </c>
      <c r="P320" s="27">
        <v>9</v>
      </c>
      <c r="Q320" s="2">
        <f>INDEX(Остановки,MATCH(R320,ИД_Остановки!$B$3:$B$467,0),1)</f>
        <v>115</v>
      </c>
      <c r="R320" s="45" t="s">
        <v>74</v>
      </c>
      <c r="S320" s="20">
        <v>1.5</v>
      </c>
    </row>
    <row r="321" spans="8:19" x14ac:dyDescent="0.25">
      <c r="H321">
        <v>2</v>
      </c>
      <c r="I321">
        <v>630</v>
      </c>
      <c r="J321">
        <v>115</v>
      </c>
      <c r="K321" t="b">
        <v>1</v>
      </c>
      <c r="N321" s="24" t="s">
        <v>502</v>
      </c>
      <c r="O321" s="2">
        <f>INDEX(Маршруты,MATCH(N321,$B$3:$B$498,0),1)</f>
        <v>16</v>
      </c>
      <c r="P321" s="27">
        <v>10</v>
      </c>
      <c r="Q321" s="2">
        <f>INDEX(Остановки,MATCH(R321,ИД_Остановки!$B$3:$B$467,0),1)</f>
        <v>114</v>
      </c>
      <c r="R321" s="45" t="s">
        <v>297</v>
      </c>
      <c r="S321" s="20">
        <v>0.37</v>
      </c>
    </row>
    <row r="322" spans="8:19" x14ac:dyDescent="0.25">
      <c r="H322">
        <v>2</v>
      </c>
      <c r="I322">
        <v>635</v>
      </c>
      <c r="J322">
        <v>115</v>
      </c>
      <c r="K322" t="b">
        <v>1</v>
      </c>
      <c r="N322" s="24" t="s">
        <v>502</v>
      </c>
      <c r="O322" s="2">
        <f>INDEX(Маршруты,MATCH(N322,$B$3:$B$498,0),1)</f>
        <v>16</v>
      </c>
      <c r="P322" s="27">
        <v>11</v>
      </c>
      <c r="Q322" s="2">
        <f>INDEX(Остановки,MATCH(R322,ИД_Остановки!$B$3:$B$467,0),1)</f>
        <v>113</v>
      </c>
      <c r="R322" s="45" t="s">
        <v>296</v>
      </c>
      <c r="S322" s="20">
        <v>0.51</v>
      </c>
    </row>
    <row r="323" spans="8:19" x14ac:dyDescent="0.25">
      <c r="H323">
        <v>2</v>
      </c>
      <c r="I323">
        <v>640</v>
      </c>
      <c r="J323">
        <v>115</v>
      </c>
      <c r="K323" t="b">
        <v>1</v>
      </c>
      <c r="N323" s="23" t="s">
        <v>502</v>
      </c>
      <c r="O323" s="2">
        <f>INDEX(Маршруты,MATCH(N323,$B$3:$B$498,0),1)</f>
        <v>16</v>
      </c>
      <c r="P323" s="27">
        <v>12</v>
      </c>
      <c r="Q323" s="2">
        <f>INDEX(Остановки,MATCH(R323,ИД_Остановки!$B$3:$B$467,0),1)</f>
        <v>112</v>
      </c>
      <c r="R323" s="45" t="s">
        <v>295</v>
      </c>
      <c r="S323" s="20">
        <v>0.51</v>
      </c>
    </row>
    <row r="324" spans="8:19" x14ac:dyDescent="0.25">
      <c r="H324">
        <v>2</v>
      </c>
      <c r="I324">
        <v>645</v>
      </c>
      <c r="J324">
        <v>115</v>
      </c>
      <c r="K324" t="b">
        <v>1</v>
      </c>
      <c r="N324" s="24" t="s">
        <v>502</v>
      </c>
      <c r="O324" s="2">
        <f>INDEX(Маршруты,MATCH(N324,$B$3:$B$498,0),1)</f>
        <v>16</v>
      </c>
      <c r="P324" s="27">
        <v>13</v>
      </c>
      <c r="Q324" s="2">
        <f>INDEX(Остановки,MATCH(R324,ИД_Остановки!$B$3:$B$467,0),1)</f>
        <v>111</v>
      </c>
      <c r="R324" s="45" t="s">
        <v>73</v>
      </c>
      <c r="S324" s="20">
        <v>0.38</v>
      </c>
    </row>
    <row r="325" spans="8:19" x14ac:dyDescent="0.25">
      <c r="H325">
        <v>2</v>
      </c>
      <c r="I325">
        <v>650</v>
      </c>
      <c r="J325">
        <v>115</v>
      </c>
      <c r="K325" t="b">
        <v>1</v>
      </c>
      <c r="N325" s="24" t="s">
        <v>502</v>
      </c>
      <c r="O325" s="2">
        <f>INDEX(Маршруты,MATCH(N325,$B$3:$B$498,0),1)</f>
        <v>16</v>
      </c>
      <c r="P325" s="27">
        <v>14</v>
      </c>
      <c r="Q325" s="2">
        <f>INDEX(Остановки,MATCH(R325,ИД_Остановки!$B$3:$B$467,0),1)</f>
        <v>110</v>
      </c>
      <c r="R325" s="24" t="s">
        <v>294</v>
      </c>
      <c r="S325" s="20">
        <v>0.54</v>
      </c>
    </row>
    <row r="326" spans="8:19" x14ac:dyDescent="0.25">
      <c r="H326">
        <v>2</v>
      </c>
      <c r="I326">
        <v>655</v>
      </c>
      <c r="J326">
        <v>115</v>
      </c>
      <c r="K326" t="b">
        <v>1</v>
      </c>
      <c r="N326" s="23" t="s">
        <v>502</v>
      </c>
      <c r="O326" s="2">
        <f>INDEX(Маршруты,MATCH(N326,$B$3:$B$498,0),1)</f>
        <v>16</v>
      </c>
      <c r="P326" s="27">
        <v>15</v>
      </c>
      <c r="Q326" s="2">
        <f>INDEX(Остановки,MATCH(R326,ИД_Остановки!$B$3:$B$467,0),1)</f>
        <v>72</v>
      </c>
      <c r="R326" s="45" t="s">
        <v>272</v>
      </c>
      <c r="S326" s="20">
        <v>0.31</v>
      </c>
    </row>
    <row r="327" spans="8:19" x14ac:dyDescent="0.25">
      <c r="H327">
        <v>2</v>
      </c>
      <c r="I327">
        <v>660</v>
      </c>
      <c r="J327">
        <v>115</v>
      </c>
      <c r="K327" t="b">
        <v>1</v>
      </c>
      <c r="N327" s="24" t="s">
        <v>502</v>
      </c>
      <c r="O327" s="2">
        <f>INDEX(Маршруты,MATCH(N327,$B$3:$B$498,0),1)</f>
        <v>16</v>
      </c>
      <c r="P327" s="27">
        <v>16</v>
      </c>
      <c r="Q327" s="2">
        <f>INDEX(Остановки,MATCH(R327,ИД_Остановки!$B$3:$B$467,0),1)</f>
        <v>109</v>
      </c>
      <c r="R327" s="45" t="s">
        <v>293</v>
      </c>
      <c r="S327" s="20">
        <v>0.41</v>
      </c>
    </row>
    <row r="328" spans="8:19" x14ac:dyDescent="0.25">
      <c r="H328">
        <v>2</v>
      </c>
      <c r="I328">
        <v>665</v>
      </c>
      <c r="J328">
        <v>115</v>
      </c>
      <c r="K328" t="b">
        <v>1</v>
      </c>
      <c r="N328" s="24" t="s">
        <v>502</v>
      </c>
      <c r="O328" s="2">
        <f>INDEX(Маршруты,MATCH(N328,$B$3:$B$498,0),1)</f>
        <v>16</v>
      </c>
      <c r="P328" s="27">
        <v>17</v>
      </c>
      <c r="Q328" s="2">
        <f>INDEX(Остановки,MATCH(R328,ИД_Остановки!$B$3:$B$467,0),1)</f>
        <v>129</v>
      </c>
      <c r="R328" s="45" t="s">
        <v>81</v>
      </c>
      <c r="S328" s="20">
        <v>0.44</v>
      </c>
    </row>
    <row r="329" spans="8:19" x14ac:dyDescent="0.25">
      <c r="H329">
        <v>2</v>
      </c>
      <c r="I329">
        <v>670</v>
      </c>
      <c r="J329">
        <v>115</v>
      </c>
      <c r="K329" t="b">
        <v>1</v>
      </c>
      <c r="N329" s="24" t="s">
        <v>502</v>
      </c>
      <c r="O329" s="2">
        <f>INDEX(Маршруты,MATCH(N329,$B$3:$B$498,0),1)</f>
        <v>16</v>
      </c>
      <c r="P329" s="28">
        <v>18</v>
      </c>
      <c r="Q329" s="2">
        <f>INDEX(Остановки,MATCH(R329,ИД_Остановки!$B$3:$B$467,0),1)</f>
        <v>78</v>
      </c>
      <c r="R329" s="24" t="s">
        <v>277</v>
      </c>
      <c r="S329" s="20">
        <v>0.47</v>
      </c>
    </row>
    <row r="330" spans="8:19" x14ac:dyDescent="0.25">
      <c r="H330">
        <v>2</v>
      </c>
      <c r="I330">
        <v>675</v>
      </c>
      <c r="J330">
        <v>115</v>
      </c>
      <c r="K330" t="b">
        <v>1</v>
      </c>
      <c r="N330" s="24" t="s">
        <v>502</v>
      </c>
      <c r="O330" s="2">
        <f>INDEX(Маршруты,MATCH(N330,$B$3:$B$498,0),1)</f>
        <v>16</v>
      </c>
      <c r="P330" s="27">
        <v>19</v>
      </c>
      <c r="Q330" s="2">
        <f>INDEX(Остановки,MATCH(R330,ИД_Остановки!$B$3:$B$467,0),1)</f>
        <v>77</v>
      </c>
      <c r="R330" s="45" t="s">
        <v>276</v>
      </c>
      <c r="S330" s="20">
        <v>0.39</v>
      </c>
    </row>
    <row r="331" spans="8:19" x14ac:dyDescent="0.25">
      <c r="H331">
        <v>2</v>
      </c>
      <c r="I331">
        <v>680</v>
      </c>
      <c r="J331">
        <v>115</v>
      </c>
      <c r="K331" t="b">
        <v>1</v>
      </c>
      <c r="N331" s="23" t="s">
        <v>502</v>
      </c>
      <c r="O331" s="2">
        <f>INDEX(Маршруты,MATCH(N331,$B$3:$B$498,0),1)</f>
        <v>16</v>
      </c>
      <c r="P331" s="27">
        <v>20</v>
      </c>
      <c r="Q331" s="2">
        <f>INDEX(Остановки,MATCH(R331,ИД_Остановки!$B$3:$B$467,0),1)</f>
        <v>76</v>
      </c>
      <c r="R331" s="45" t="s">
        <v>56</v>
      </c>
      <c r="S331" s="20">
        <v>0.56000000000000005</v>
      </c>
    </row>
    <row r="332" spans="8:19" x14ac:dyDescent="0.25">
      <c r="H332">
        <v>2</v>
      </c>
      <c r="I332">
        <v>685</v>
      </c>
      <c r="J332">
        <v>115</v>
      </c>
      <c r="K332" t="b">
        <v>1</v>
      </c>
      <c r="N332" s="23" t="s">
        <v>502</v>
      </c>
      <c r="O332" s="2">
        <f>INDEX(Маршруты,MATCH(N332,$B$3:$B$498,0),1)</f>
        <v>16</v>
      </c>
      <c r="P332" s="27">
        <v>21</v>
      </c>
      <c r="Q332" s="2">
        <f>INDEX(Остановки,MATCH(R332,ИД_Остановки!$B$3:$B$467,0),1)</f>
        <v>108</v>
      </c>
      <c r="R332" s="45" t="s">
        <v>648</v>
      </c>
      <c r="S332" s="20">
        <v>0.68</v>
      </c>
    </row>
    <row r="333" spans="8:19" x14ac:dyDescent="0.25">
      <c r="H333">
        <v>2</v>
      </c>
      <c r="I333">
        <v>690</v>
      </c>
      <c r="J333">
        <v>115</v>
      </c>
      <c r="K333" t="b">
        <v>1</v>
      </c>
      <c r="N333" s="23" t="s">
        <v>502</v>
      </c>
      <c r="O333" s="2">
        <f>INDEX(Маршруты,MATCH(N333,$B$3:$B$498,0),1)</f>
        <v>16</v>
      </c>
      <c r="P333" s="27">
        <v>22</v>
      </c>
      <c r="Q333" s="2">
        <f>INDEX(Остановки,MATCH(R333,ИД_Остановки!$B$3:$B$467,0),1)</f>
        <v>107</v>
      </c>
      <c r="R333" s="45" t="s">
        <v>292</v>
      </c>
      <c r="S333" s="20">
        <v>0.55000000000000004</v>
      </c>
    </row>
    <row r="334" spans="8:19" x14ac:dyDescent="0.25">
      <c r="H334">
        <v>2</v>
      </c>
      <c r="I334">
        <v>695</v>
      </c>
      <c r="J334">
        <v>115</v>
      </c>
      <c r="K334" t="b">
        <v>1</v>
      </c>
      <c r="N334" s="24" t="s">
        <v>502</v>
      </c>
      <c r="O334" s="2">
        <f>INDEX(Маршруты,MATCH(N334,$B$3:$B$498,0),1)</f>
        <v>16</v>
      </c>
      <c r="P334" s="27">
        <v>23</v>
      </c>
      <c r="Q334" s="2">
        <f>INDEX(Остановки,MATCH(R334,ИД_Остановки!$B$3:$B$467,0),1)</f>
        <v>91</v>
      </c>
      <c r="R334" s="45" t="s">
        <v>283</v>
      </c>
      <c r="S334" s="20">
        <v>0.46</v>
      </c>
    </row>
    <row r="335" spans="8:19" x14ac:dyDescent="0.25">
      <c r="H335">
        <v>2</v>
      </c>
      <c r="I335">
        <v>700</v>
      </c>
      <c r="J335">
        <v>115</v>
      </c>
      <c r="K335" t="b">
        <v>1</v>
      </c>
      <c r="N335" s="24" t="s">
        <v>502</v>
      </c>
      <c r="O335" s="2">
        <f>INDEX(Маршруты,MATCH(N335,$B$3:$B$498,0),1)</f>
        <v>16</v>
      </c>
      <c r="P335" s="27">
        <v>24</v>
      </c>
      <c r="Q335" s="2">
        <f>INDEX(Остановки,MATCH(R335,ИД_Остановки!$B$3:$B$467,0),1)</f>
        <v>90</v>
      </c>
      <c r="R335" s="45" t="s">
        <v>282</v>
      </c>
      <c r="S335" s="20">
        <v>0.74</v>
      </c>
    </row>
    <row r="336" spans="8:19" x14ac:dyDescent="0.25">
      <c r="H336">
        <v>2</v>
      </c>
      <c r="I336">
        <v>705</v>
      </c>
      <c r="J336">
        <v>115</v>
      </c>
      <c r="K336" t="b">
        <v>1</v>
      </c>
      <c r="N336" s="24" t="s">
        <v>502</v>
      </c>
      <c r="O336" s="2">
        <f>INDEX(Маршруты,MATCH(N336,$B$3:$B$498,0),1)</f>
        <v>16</v>
      </c>
      <c r="P336" s="27">
        <v>25</v>
      </c>
      <c r="Q336" s="2">
        <f>INDEX(Остановки,MATCH(R336,ИД_Остановки!$B$3:$B$467,0),1)</f>
        <v>89</v>
      </c>
      <c r="R336" s="45" t="s">
        <v>64</v>
      </c>
      <c r="S336" s="20">
        <v>0.54</v>
      </c>
    </row>
    <row r="337" spans="8:19" x14ac:dyDescent="0.25">
      <c r="H337">
        <v>2</v>
      </c>
      <c r="I337">
        <v>710</v>
      </c>
      <c r="J337">
        <v>115</v>
      </c>
      <c r="K337" t="b">
        <v>1</v>
      </c>
      <c r="N337" s="24" t="s">
        <v>502</v>
      </c>
      <c r="O337" s="2">
        <f>INDEX(Маршруты,MATCH(N337,$B$3:$B$498,0),1)</f>
        <v>16</v>
      </c>
      <c r="P337" s="27">
        <v>26</v>
      </c>
      <c r="Q337" s="2">
        <f>INDEX(Остановки,MATCH(R337,ИД_Остановки!$B$3:$B$467,0),1)</f>
        <v>88</v>
      </c>
      <c r="R337" s="45" t="s">
        <v>63</v>
      </c>
      <c r="S337" s="20">
        <v>0.79</v>
      </c>
    </row>
    <row r="338" spans="8:19" x14ac:dyDescent="0.25">
      <c r="H338">
        <v>2</v>
      </c>
      <c r="I338">
        <v>715</v>
      </c>
      <c r="J338">
        <v>115</v>
      </c>
      <c r="K338" t="b">
        <v>1</v>
      </c>
      <c r="N338" s="24" t="s">
        <v>502</v>
      </c>
      <c r="O338" s="2">
        <f>INDEX(Маршруты,MATCH(N338,$B$3:$B$498,0),1)</f>
        <v>16</v>
      </c>
      <c r="P338" s="27">
        <v>27</v>
      </c>
      <c r="Q338" s="2">
        <f>INDEX(Остановки,MATCH(R338,ИД_Остановки!$B$3:$B$467,0),1)</f>
        <v>87</v>
      </c>
      <c r="R338" s="45" t="s">
        <v>62</v>
      </c>
      <c r="S338" s="20">
        <v>0.45</v>
      </c>
    </row>
    <row r="339" spans="8:19" x14ac:dyDescent="0.25">
      <c r="H339">
        <v>2</v>
      </c>
      <c r="I339">
        <v>720</v>
      </c>
      <c r="J339">
        <v>115</v>
      </c>
      <c r="K339" t="b">
        <v>1</v>
      </c>
      <c r="N339" s="24" t="s">
        <v>502</v>
      </c>
      <c r="O339" s="2">
        <f>INDEX(Маршруты,MATCH(N339,$B$3:$B$498,0),1)</f>
        <v>16</v>
      </c>
      <c r="P339" s="27">
        <v>28</v>
      </c>
      <c r="Q339" s="2">
        <f>INDEX(Остановки,MATCH(R339,ИД_Остановки!$B$3:$B$467,0),1)</f>
        <v>86</v>
      </c>
      <c r="R339" s="45" t="s">
        <v>61</v>
      </c>
      <c r="S339" s="20">
        <v>0.75</v>
      </c>
    </row>
    <row r="340" spans="8:19" x14ac:dyDescent="0.25">
      <c r="H340">
        <v>2</v>
      </c>
      <c r="I340">
        <v>725</v>
      </c>
      <c r="J340">
        <v>115</v>
      </c>
      <c r="K340" t="b">
        <v>1</v>
      </c>
      <c r="N340" s="24" t="s">
        <v>502</v>
      </c>
      <c r="O340" s="2">
        <f>INDEX(Маршруты,MATCH(N340,$B$3:$B$498,0),1)</f>
        <v>16</v>
      </c>
      <c r="P340" s="27">
        <v>29</v>
      </c>
      <c r="Q340" s="2">
        <f>INDEX(Остановки,MATCH(R340,ИД_Остановки!$B$3:$B$467,0),1)</f>
        <v>106</v>
      </c>
      <c r="R340" s="45" t="s">
        <v>291</v>
      </c>
      <c r="S340" s="20">
        <v>0.66</v>
      </c>
    </row>
    <row r="341" spans="8:19" x14ac:dyDescent="0.25">
      <c r="H341">
        <v>2</v>
      </c>
      <c r="I341">
        <v>730</v>
      </c>
      <c r="J341">
        <v>115</v>
      </c>
      <c r="K341" t="b">
        <v>1</v>
      </c>
      <c r="N341" s="24" t="s">
        <v>502</v>
      </c>
      <c r="O341" s="2">
        <f>INDEX(Маршруты,MATCH(N341,$B$3:$B$498,0),1)</f>
        <v>16</v>
      </c>
      <c r="P341" s="27">
        <v>30</v>
      </c>
      <c r="Q341" s="2">
        <f>INDEX(Остановки,MATCH(R341,ИД_Остановки!$B$3:$B$467,0),1)</f>
        <v>105</v>
      </c>
      <c r="R341" s="45" t="s">
        <v>615</v>
      </c>
      <c r="S341" s="20">
        <v>0.34</v>
      </c>
    </row>
    <row r="342" spans="8:19" x14ac:dyDescent="0.25">
      <c r="H342">
        <v>2</v>
      </c>
      <c r="I342">
        <v>735</v>
      </c>
      <c r="J342">
        <v>115</v>
      </c>
      <c r="K342" t="b">
        <v>1</v>
      </c>
      <c r="N342" s="23" t="s">
        <v>502</v>
      </c>
      <c r="O342" s="2">
        <f>INDEX(Маршруты,MATCH(N342,$B$3:$B$498,0),1)</f>
        <v>16</v>
      </c>
      <c r="P342" s="27">
        <v>31</v>
      </c>
      <c r="Q342" s="2">
        <f>INDEX(Остановки,MATCH(R342,ИД_Остановки!$B$3:$B$467,0),1)</f>
        <v>84</v>
      </c>
      <c r="R342" s="45" t="s">
        <v>281</v>
      </c>
      <c r="S342" s="20">
        <v>0.54</v>
      </c>
    </row>
    <row r="343" spans="8:19" x14ac:dyDescent="0.25">
      <c r="H343">
        <v>2</v>
      </c>
      <c r="I343">
        <v>740</v>
      </c>
      <c r="J343">
        <v>115</v>
      </c>
      <c r="K343" t="b">
        <v>1</v>
      </c>
      <c r="N343" s="24" t="s">
        <v>502</v>
      </c>
      <c r="O343" s="2">
        <f>INDEX(Маршруты,MATCH(N343,$B$3:$B$498,0),1)</f>
        <v>16</v>
      </c>
      <c r="P343" s="27">
        <v>32</v>
      </c>
      <c r="Q343" s="2">
        <f>INDEX(Остановки,MATCH(R343,ИД_Остановки!$B$3:$B$467,0),1)</f>
        <v>380</v>
      </c>
      <c r="R343" s="45" t="s">
        <v>438</v>
      </c>
      <c r="S343" s="20">
        <v>0.39</v>
      </c>
    </row>
    <row r="344" spans="8:19" x14ac:dyDescent="0.25">
      <c r="H344">
        <v>2</v>
      </c>
      <c r="I344">
        <v>745</v>
      </c>
      <c r="J344">
        <v>115</v>
      </c>
      <c r="K344" t="b">
        <v>1</v>
      </c>
      <c r="N344" s="24" t="s">
        <v>502</v>
      </c>
      <c r="O344" s="2">
        <f>INDEX(Маршруты,MATCH(N344,$B$3:$B$498,0),1)</f>
        <v>16</v>
      </c>
      <c r="P344" s="28">
        <v>33</v>
      </c>
      <c r="Q344" s="2">
        <f>INDEX(Остановки,MATCH(R344,ИД_Остановки!$B$3:$B$467,0),1)</f>
        <v>103</v>
      </c>
      <c r="R344" s="24" t="s">
        <v>288</v>
      </c>
      <c r="S344" s="20">
        <v>0.5</v>
      </c>
    </row>
    <row r="345" spans="8:19" x14ac:dyDescent="0.25">
      <c r="H345">
        <v>2</v>
      </c>
      <c r="I345">
        <v>750</v>
      </c>
      <c r="J345">
        <v>115</v>
      </c>
      <c r="K345" t="b">
        <v>1</v>
      </c>
      <c r="N345" s="24" t="s">
        <v>502</v>
      </c>
      <c r="O345" s="2">
        <f>INDEX(Маршруты,MATCH(N345,$B$3:$B$498,0),1)</f>
        <v>16</v>
      </c>
      <c r="P345" s="27">
        <v>34</v>
      </c>
      <c r="Q345" s="2">
        <f>INDEX(Остановки,MATCH(R345,ИД_Остановки!$B$3:$B$467,0),1)</f>
        <v>83</v>
      </c>
      <c r="R345" s="45" t="s">
        <v>280</v>
      </c>
      <c r="S345" s="20">
        <v>0.3</v>
      </c>
    </row>
    <row r="346" spans="8:19" x14ac:dyDescent="0.25">
      <c r="H346">
        <v>2</v>
      </c>
      <c r="I346">
        <v>755</v>
      </c>
      <c r="J346">
        <v>115</v>
      </c>
      <c r="K346" t="b">
        <v>1</v>
      </c>
      <c r="N346" s="23" t="s">
        <v>502</v>
      </c>
      <c r="O346" s="2">
        <f>INDEX(Маршруты,MATCH(N346,$B$3:$B$498,0),1)</f>
        <v>16</v>
      </c>
      <c r="P346" s="27">
        <v>35</v>
      </c>
      <c r="Q346" s="2">
        <f>INDEX(Остановки,MATCH(R346,ИД_Остановки!$B$3:$B$467,0),1)</f>
        <v>146</v>
      </c>
      <c r="R346" s="45" t="s">
        <v>646</v>
      </c>
      <c r="S346" s="20">
        <v>0.44</v>
      </c>
    </row>
    <row r="347" spans="8:19" x14ac:dyDescent="0.25">
      <c r="H347">
        <v>2</v>
      </c>
      <c r="I347">
        <v>760</v>
      </c>
      <c r="J347">
        <v>115</v>
      </c>
      <c r="K347" t="b">
        <v>1</v>
      </c>
      <c r="N347" s="24" t="s">
        <v>502</v>
      </c>
      <c r="O347" s="2">
        <f>INDEX(Маршруты,MATCH(N347,$B$3:$B$498,0),1)</f>
        <v>16</v>
      </c>
      <c r="P347" s="27">
        <v>36</v>
      </c>
      <c r="Q347" s="2">
        <f>INDEX(Остановки,MATCH(R347,ИД_Остановки!$B$3:$B$467,0),1)</f>
        <v>82</v>
      </c>
      <c r="R347" s="45" t="s">
        <v>59</v>
      </c>
      <c r="S347" s="20">
        <v>0.47</v>
      </c>
    </row>
    <row r="348" spans="8:19" x14ac:dyDescent="0.25">
      <c r="H348">
        <v>2</v>
      </c>
      <c r="I348">
        <v>765</v>
      </c>
      <c r="J348">
        <v>115</v>
      </c>
      <c r="K348" t="b">
        <v>1</v>
      </c>
      <c r="N348" s="24" t="s">
        <v>502</v>
      </c>
      <c r="O348" s="2">
        <f>INDEX(Маршруты,MATCH(N348,$B$3:$B$498,0),1)</f>
        <v>16</v>
      </c>
      <c r="P348" s="27">
        <v>37</v>
      </c>
      <c r="Q348" s="2">
        <f>INDEX(Остановки,MATCH(R348,ИД_Остановки!$B$3:$B$467,0),1)</f>
        <v>93</v>
      </c>
      <c r="R348" s="45" t="s">
        <v>65</v>
      </c>
      <c r="S348" s="20">
        <v>0.52</v>
      </c>
    </row>
    <row r="349" spans="8:19" x14ac:dyDescent="0.25">
      <c r="H349">
        <v>2</v>
      </c>
      <c r="I349">
        <v>770</v>
      </c>
      <c r="J349">
        <v>115</v>
      </c>
      <c r="K349" t="b">
        <v>1</v>
      </c>
      <c r="N349" s="24" t="s">
        <v>502</v>
      </c>
      <c r="O349" s="2">
        <f>INDEX(Маршруты,MATCH(N349,$B$3:$B$498,0),1)</f>
        <v>16</v>
      </c>
      <c r="P349" s="27">
        <v>38</v>
      </c>
      <c r="Q349" s="2">
        <f>INDEX(Остановки,MATCH(R349,ИД_Остановки!$B$3:$B$467,0),1)</f>
        <v>33</v>
      </c>
      <c r="R349" s="45" t="s">
        <v>29</v>
      </c>
      <c r="S349" s="20">
        <v>0.52</v>
      </c>
    </row>
    <row r="350" spans="8:19" x14ac:dyDescent="0.25">
      <c r="H350">
        <v>2</v>
      </c>
      <c r="I350">
        <v>775</v>
      </c>
      <c r="J350">
        <v>115</v>
      </c>
      <c r="K350" t="b">
        <v>1</v>
      </c>
      <c r="N350" s="24" t="s">
        <v>502</v>
      </c>
      <c r="O350" s="2">
        <f>INDEX(Маршруты,MATCH(N350,$B$3:$B$498,0),1)</f>
        <v>16</v>
      </c>
      <c r="P350" s="27">
        <v>39</v>
      </c>
      <c r="Q350" s="2">
        <f>INDEX(Остановки,MATCH(R350,ИД_Остановки!$B$3:$B$467,0),1)</f>
        <v>204</v>
      </c>
      <c r="R350" s="45" t="s">
        <v>342</v>
      </c>
      <c r="S350" s="20">
        <v>0.3</v>
      </c>
    </row>
    <row r="351" spans="8:19" x14ac:dyDescent="0.25">
      <c r="H351">
        <v>2</v>
      </c>
      <c r="I351">
        <v>780</v>
      </c>
      <c r="J351">
        <v>115</v>
      </c>
      <c r="K351" t="b">
        <v>1</v>
      </c>
      <c r="N351" s="24" t="s">
        <v>502</v>
      </c>
      <c r="O351" s="2">
        <f>INDEX(Маршруты,MATCH(N351,$B$3:$B$498,0),1)</f>
        <v>16</v>
      </c>
      <c r="P351" s="27">
        <v>40</v>
      </c>
      <c r="Q351" s="2">
        <f>INDEX(Остановки,MATCH(R351,ИД_Остановки!$B$3:$B$467,0),1)</f>
        <v>102</v>
      </c>
      <c r="R351" s="45" t="s">
        <v>72</v>
      </c>
      <c r="S351" s="20">
        <v>0.42</v>
      </c>
    </row>
    <row r="352" spans="8:19" x14ac:dyDescent="0.25">
      <c r="H352">
        <v>2</v>
      </c>
      <c r="I352">
        <v>785</v>
      </c>
      <c r="J352">
        <v>115</v>
      </c>
      <c r="K352" t="b">
        <v>1</v>
      </c>
      <c r="N352" s="24" t="s">
        <v>502</v>
      </c>
      <c r="O352" s="2">
        <f>INDEX(Маршруты,MATCH(N352,$B$3:$B$498,0),1)</f>
        <v>16</v>
      </c>
      <c r="P352" s="27">
        <v>41</v>
      </c>
      <c r="Q352" s="2">
        <f>INDEX(Остановки,MATCH(R352,ИД_Остановки!$B$3:$B$467,0),1)</f>
        <v>349</v>
      </c>
      <c r="R352" s="45" t="s">
        <v>58</v>
      </c>
      <c r="S352" s="20">
        <v>0.47</v>
      </c>
    </row>
    <row r="353" spans="8:19" x14ac:dyDescent="0.25">
      <c r="H353">
        <v>2</v>
      </c>
      <c r="I353">
        <v>790</v>
      </c>
      <c r="J353">
        <v>115</v>
      </c>
      <c r="K353" t="b">
        <v>1</v>
      </c>
      <c r="N353" s="24" t="s">
        <v>502</v>
      </c>
      <c r="O353" s="2">
        <f>INDEX(Маршруты,MATCH(N353,$B$3:$B$498,0),1)</f>
        <v>16</v>
      </c>
      <c r="P353" s="27">
        <v>42</v>
      </c>
      <c r="Q353" s="2">
        <f>INDEX(Остановки,MATCH(R353,ИД_Остановки!$B$3:$B$467,0),1)</f>
        <v>101</v>
      </c>
      <c r="R353" s="45" t="s">
        <v>71</v>
      </c>
      <c r="S353" s="20">
        <v>0.28999999999999998</v>
      </c>
    </row>
    <row r="354" spans="8:19" x14ac:dyDescent="0.25">
      <c r="H354">
        <v>2</v>
      </c>
      <c r="I354">
        <v>795</v>
      </c>
      <c r="J354">
        <v>115</v>
      </c>
      <c r="K354" t="b">
        <v>1</v>
      </c>
      <c r="N354" s="24" t="s">
        <v>502</v>
      </c>
      <c r="O354" s="2">
        <f>INDEX(Маршруты,MATCH(N354,$B$3:$B$498,0),1)</f>
        <v>16</v>
      </c>
      <c r="P354" s="27">
        <v>43</v>
      </c>
      <c r="Q354" s="2">
        <f>INDEX(Остановки,MATCH(R354,ИД_Остановки!$B$3:$B$467,0),1)</f>
        <v>100</v>
      </c>
      <c r="R354" s="45" t="s">
        <v>70</v>
      </c>
      <c r="S354" s="20">
        <v>0.62</v>
      </c>
    </row>
    <row r="355" spans="8:19" x14ac:dyDescent="0.25">
      <c r="H355">
        <v>2</v>
      </c>
      <c r="I355">
        <v>800</v>
      </c>
      <c r="J355">
        <v>115</v>
      </c>
      <c r="K355" t="b">
        <v>1</v>
      </c>
      <c r="N355" s="24" t="s">
        <v>502</v>
      </c>
      <c r="O355" s="2">
        <f>INDEX(Маршруты,MATCH(N355,$B$3:$B$498,0),1)</f>
        <v>16</v>
      </c>
      <c r="P355" s="27">
        <v>44</v>
      </c>
      <c r="Q355" s="2">
        <f>INDEX(Остановки,MATCH(R355,ИД_Остановки!$B$3:$B$467,0),1)</f>
        <v>99</v>
      </c>
      <c r="R355" s="24" t="s">
        <v>287</v>
      </c>
      <c r="S355" s="20">
        <v>0.86</v>
      </c>
    </row>
    <row r="356" spans="8:19" x14ac:dyDescent="0.25">
      <c r="H356">
        <v>2</v>
      </c>
      <c r="I356">
        <v>805</v>
      </c>
      <c r="J356">
        <v>115</v>
      </c>
      <c r="K356" t="b">
        <v>1</v>
      </c>
      <c r="N356" s="24" t="s">
        <v>502</v>
      </c>
      <c r="O356" s="2">
        <f>INDEX(Маршруты,MATCH(N356,$B$3:$B$498,0),1)</f>
        <v>16</v>
      </c>
      <c r="P356" s="27">
        <v>45</v>
      </c>
      <c r="Q356" s="2">
        <f>INDEX(Остановки,MATCH(R356,ИД_Остановки!$B$3:$B$467,0),1)</f>
        <v>98</v>
      </c>
      <c r="R356" s="45" t="s">
        <v>286</v>
      </c>
      <c r="S356" s="20">
        <v>0.16</v>
      </c>
    </row>
    <row r="357" spans="8:19" x14ac:dyDescent="0.25">
      <c r="H357">
        <v>2</v>
      </c>
      <c r="I357">
        <v>810</v>
      </c>
      <c r="J357">
        <v>115</v>
      </c>
      <c r="K357" t="b">
        <v>1</v>
      </c>
      <c r="N357" s="24" t="s">
        <v>503</v>
      </c>
      <c r="O357" s="2">
        <f>INDEX(Маршруты,MATCH(N357,$B$3:$B$498,0),1)</f>
        <v>17</v>
      </c>
      <c r="P357" s="27">
        <v>1</v>
      </c>
      <c r="Q357" s="2">
        <f>INDEX(Остановки,MATCH(R357,ИД_Остановки!$B$3:$B$467,0),1)</f>
        <v>44</v>
      </c>
      <c r="R357" s="45" t="s">
        <v>258</v>
      </c>
      <c r="S357" s="20"/>
    </row>
    <row r="358" spans="8:19" x14ac:dyDescent="0.25">
      <c r="H358">
        <v>2</v>
      </c>
      <c r="I358">
        <v>815</v>
      </c>
      <c r="J358">
        <v>115</v>
      </c>
      <c r="K358" t="b">
        <v>1</v>
      </c>
      <c r="N358" s="24" t="s">
        <v>503</v>
      </c>
      <c r="O358" s="2">
        <f>INDEX(Маршруты,MATCH(N358,$B$3:$B$498,0),1)</f>
        <v>17</v>
      </c>
      <c r="P358" s="27">
        <v>2</v>
      </c>
      <c r="Q358" s="2">
        <f>INDEX(Остановки,MATCH(R358,ИД_Остановки!$B$3:$B$467,0),1)</f>
        <v>45</v>
      </c>
      <c r="R358" s="45" t="s">
        <v>40</v>
      </c>
      <c r="S358" s="20">
        <v>0.39</v>
      </c>
    </row>
    <row r="359" spans="8:19" x14ac:dyDescent="0.25">
      <c r="H359">
        <v>2</v>
      </c>
      <c r="I359">
        <v>820</v>
      </c>
      <c r="J359">
        <v>115</v>
      </c>
      <c r="K359" t="b">
        <v>1</v>
      </c>
      <c r="N359" s="24" t="s">
        <v>503</v>
      </c>
      <c r="O359" s="2">
        <f>INDEX(Маршруты,MATCH(N359,$B$3:$B$498,0),1)</f>
        <v>17</v>
      </c>
      <c r="P359" s="27">
        <v>3</v>
      </c>
      <c r="Q359" s="2">
        <f>INDEX(Остановки,MATCH(R359,ИД_Остановки!$B$3:$B$467,0),1)</f>
        <v>46</v>
      </c>
      <c r="R359" s="45" t="s">
        <v>41</v>
      </c>
      <c r="S359" s="20">
        <v>0.45</v>
      </c>
    </row>
    <row r="360" spans="8:19" x14ac:dyDescent="0.25">
      <c r="H360">
        <v>2</v>
      </c>
      <c r="I360">
        <v>825</v>
      </c>
      <c r="J360">
        <v>115</v>
      </c>
      <c r="K360" t="b">
        <v>1</v>
      </c>
      <c r="N360" s="24" t="s">
        <v>503</v>
      </c>
      <c r="O360" s="2">
        <f>INDEX(Маршруты,MATCH(N360,$B$3:$B$498,0),1)</f>
        <v>17</v>
      </c>
      <c r="P360" s="27">
        <v>4</v>
      </c>
      <c r="Q360" s="2">
        <f>INDEX(Остановки,MATCH(R360,ИД_Остановки!$B$3:$B$467,0),1)</f>
        <v>47</v>
      </c>
      <c r="R360" s="45" t="s">
        <v>259</v>
      </c>
      <c r="S360" s="20">
        <v>0.5</v>
      </c>
    </row>
    <row r="361" spans="8:19" x14ac:dyDescent="0.25">
      <c r="H361">
        <v>2</v>
      </c>
      <c r="I361">
        <v>830</v>
      </c>
      <c r="J361">
        <v>115</v>
      </c>
      <c r="K361" t="b">
        <v>1</v>
      </c>
      <c r="N361" s="24" t="s">
        <v>503</v>
      </c>
      <c r="O361" s="2">
        <f>INDEX(Маршруты,MATCH(N361,$B$3:$B$498,0),1)</f>
        <v>17</v>
      </c>
      <c r="P361" s="27">
        <v>5</v>
      </c>
      <c r="Q361" s="2">
        <f>INDEX(Остановки,MATCH(R361,ИД_Остановки!$B$3:$B$467,0),1)</f>
        <v>145</v>
      </c>
      <c r="R361" s="45" t="s">
        <v>87</v>
      </c>
      <c r="S361" s="20">
        <v>0.77</v>
      </c>
    </row>
    <row r="362" spans="8:19" x14ac:dyDescent="0.25">
      <c r="H362">
        <v>2</v>
      </c>
      <c r="I362">
        <v>835</v>
      </c>
      <c r="J362">
        <v>115</v>
      </c>
      <c r="K362" t="b">
        <v>1</v>
      </c>
      <c r="N362" s="24" t="s">
        <v>503</v>
      </c>
      <c r="O362" s="2">
        <f>INDEX(Маршруты,MATCH(N362,$B$3:$B$498,0),1)</f>
        <v>17</v>
      </c>
      <c r="P362" s="27">
        <v>6</v>
      </c>
      <c r="Q362" s="2">
        <f>INDEX(Остановки,MATCH(R362,ИД_Остановки!$B$3:$B$467,0),1)</f>
        <v>130</v>
      </c>
      <c r="R362" s="45" t="s">
        <v>305</v>
      </c>
      <c r="S362" s="20">
        <v>0.63</v>
      </c>
    </row>
    <row r="363" spans="8:19" x14ac:dyDescent="0.25">
      <c r="H363">
        <v>2</v>
      </c>
      <c r="I363">
        <v>840</v>
      </c>
      <c r="J363">
        <v>115</v>
      </c>
      <c r="K363" t="b">
        <v>1</v>
      </c>
      <c r="N363" s="24" t="s">
        <v>503</v>
      </c>
      <c r="O363" s="2">
        <f>INDEX(Маршруты,MATCH(N363,$B$3:$B$498,0),1)</f>
        <v>17</v>
      </c>
      <c r="P363" s="27">
        <v>7</v>
      </c>
      <c r="Q363" s="2">
        <f>INDEX(Остановки,MATCH(R363,ИД_Остановки!$B$3:$B$467,0),1)</f>
        <v>131</v>
      </c>
      <c r="R363" s="45" t="s">
        <v>306</v>
      </c>
      <c r="S363" s="20">
        <v>0.39</v>
      </c>
    </row>
    <row r="364" spans="8:19" x14ac:dyDescent="0.25">
      <c r="H364">
        <v>2</v>
      </c>
      <c r="I364">
        <v>845</v>
      </c>
      <c r="J364">
        <v>115</v>
      </c>
      <c r="K364" t="b">
        <v>1</v>
      </c>
      <c r="N364" s="24" t="s">
        <v>503</v>
      </c>
      <c r="O364" s="2">
        <f>INDEX(Маршруты,MATCH(N364,$B$3:$B$498,0),1)</f>
        <v>17</v>
      </c>
      <c r="P364" s="27">
        <v>8</v>
      </c>
      <c r="Q364" s="2">
        <f>INDEX(Остановки,MATCH(R364,ИД_Остановки!$B$3:$B$467,0),1)</f>
        <v>132</v>
      </c>
      <c r="R364" s="45" t="s">
        <v>307</v>
      </c>
      <c r="S364" s="20">
        <v>0.56999999999999995</v>
      </c>
    </row>
    <row r="365" spans="8:19" x14ac:dyDescent="0.25">
      <c r="H365">
        <v>2</v>
      </c>
      <c r="I365">
        <v>850</v>
      </c>
      <c r="J365">
        <v>115</v>
      </c>
      <c r="K365" t="b">
        <v>1</v>
      </c>
      <c r="N365" s="24" t="s">
        <v>503</v>
      </c>
      <c r="O365" s="2">
        <f>INDEX(Маршруты,MATCH(N365,$B$3:$B$498,0),1)</f>
        <v>17</v>
      </c>
      <c r="P365" s="27">
        <v>9</v>
      </c>
      <c r="Q365" s="2">
        <f>INDEX(Остановки,MATCH(R365,ИД_Остановки!$B$3:$B$467,0),1)</f>
        <v>133</v>
      </c>
      <c r="R365" s="45" t="s">
        <v>82</v>
      </c>
      <c r="S365" s="20">
        <v>0.49</v>
      </c>
    </row>
    <row r="366" spans="8:19" x14ac:dyDescent="0.25">
      <c r="H366">
        <v>2</v>
      </c>
      <c r="I366">
        <v>855</v>
      </c>
      <c r="J366">
        <v>115</v>
      </c>
      <c r="K366" t="b">
        <v>1</v>
      </c>
      <c r="N366" s="24" t="s">
        <v>503</v>
      </c>
      <c r="O366" s="2">
        <f>INDEX(Маршруты,MATCH(N366,$B$3:$B$498,0),1)</f>
        <v>17</v>
      </c>
      <c r="P366" s="27">
        <v>10</v>
      </c>
      <c r="Q366" s="2">
        <f>INDEX(Остановки,MATCH(R366,ИД_Остановки!$B$3:$B$467,0),1)</f>
        <v>134</v>
      </c>
      <c r="R366" s="45" t="s">
        <v>308</v>
      </c>
      <c r="S366" s="20">
        <v>0.3</v>
      </c>
    </row>
    <row r="367" spans="8:19" x14ac:dyDescent="0.25">
      <c r="H367">
        <v>2</v>
      </c>
      <c r="I367">
        <v>860</v>
      </c>
      <c r="J367">
        <v>115</v>
      </c>
      <c r="K367" t="b">
        <v>1</v>
      </c>
      <c r="N367" s="24" t="s">
        <v>503</v>
      </c>
      <c r="O367" s="2">
        <f>INDEX(Маршруты,MATCH(N367,$B$3:$B$498,0),1)</f>
        <v>17</v>
      </c>
      <c r="P367" s="27">
        <v>11</v>
      </c>
      <c r="Q367" s="2">
        <f>INDEX(Остановки,MATCH(R367,ИД_Остановки!$B$3:$B$467,0),1)</f>
        <v>135</v>
      </c>
      <c r="R367" s="45" t="s">
        <v>83</v>
      </c>
      <c r="S367" s="20">
        <v>0.26</v>
      </c>
    </row>
    <row r="368" spans="8:19" x14ac:dyDescent="0.25">
      <c r="H368">
        <v>2</v>
      </c>
      <c r="I368">
        <v>865</v>
      </c>
      <c r="J368">
        <v>115</v>
      </c>
      <c r="K368" t="b">
        <v>1</v>
      </c>
      <c r="N368" s="24" t="s">
        <v>503</v>
      </c>
      <c r="O368" s="2">
        <f>INDEX(Маршруты,MATCH(N368,$B$3:$B$498,0),1)</f>
        <v>17</v>
      </c>
      <c r="P368" s="27">
        <v>12</v>
      </c>
      <c r="Q368" s="2">
        <f>INDEX(Остановки,MATCH(R368,ИД_Остановки!$B$3:$B$467,0),1)</f>
        <v>83</v>
      </c>
      <c r="R368" s="45" t="s">
        <v>280</v>
      </c>
      <c r="S368" s="20">
        <v>1.26</v>
      </c>
    </row>
    <row r="369" spans="8:19" x14ac:dyDescent="0.25">
      <c r="H369">
        <v>2</v>
      </c>
      <c r="I369">
        <v>870</v>
      </c>
      <c r="J369">
        <v>115</v>
      </c>
      <c r="K369" t="b">
        <v>1</v>
      </c>
      <c r="N369" s="24" t="s">
        <v>503</v>
      </c>
      <c r="O369" s="2">
        <f>INDEX(Маршруты,MATCH(N369,$B$3:$B$498,0),1)</f>
        <v>17</v>
      </c>
      <c r="P369" s="27">
        <v>13</v>
      </c>
      <c r="Q369" s="2">
        <f>INDEX(Остановки,MATCH(R369,ИД_Остановки!$B$3:$B$467,0),1)</f>
        <v>146</v>
      </c>
      <c r="R369" s="45" t="s">
        <v>646</v>
      </c>
      <c r="S369" s="20">
        <v>0.44</v>
      </c>
    </row>
    <row r="370" spans="8:19" x14ac:dyDescent="0.25">
      <c r="H370">
        <v>2</v>
      </c>
      <c r="I370">
        <v>875</v>
      </c>
      <c r="J370">
        <v>115</v>
      </c>
      <c r="K370" t="b">
        <v>1</v>
      </c>
      <c r="N370" s="24" t="s">
        <v>503</v>
      </c>
      <c r="O370" s="2">
        <f>INDEX(Маршруты,MATCH(N370,$B$3:$B$498,0),1)</f>
        <v>17</v>
      </c>
      <c r="P370" s="27">
        <v>14</v>
      </c>
      <c r="Q370" s="2">
        <f>INDEX(Остановки,MATCH(R370,ИД_Остановки!$B$3:$B$467,0),1)</f>
        <v>82</v>
      </c>
      <c r="R370" s="45" t="s">
        <v>59</v>
      </c>
      <c r="S370" s="20">
        <v>0.47</v>
      </c>
    </row>
    <row r="371" spans="8:19" x14ac:dyDescent="0.25">
      <c r="H371">
        <v>2</v>
      </c>
      <c r="I371">
        <v>880</v>
      </c>
      <c r="J371">
        <v>115</v>
      </c>
      <c r="K371" t="b">
        <v>1</v>
      </c>
      <c r="N371" s="24" t="s">
        <v>503</v>
      </c>
      <c r="O371" s="2">
        <f>INDEX(Маршруты,MATCH(N371,$B$3:$B$498,0),1)</f>
        <v>17</v>
      </c>
      <c r="P371" s="27">
        <v>15</v>
      </c>
      <c r="Q371" s="2">
        <f>INDEX(Остановки,MATCH(R371,ИД_Остановки!$B$3:$B$467,0),1)</f>
        <v>93</v>
      </c>
      <c r="R371" s="45" t="s">
        <v>65</v>
      </c>
      <c r="S371" s="20">
        <v>0.52</v>
      </c>
    </row>
    <row r="372" spans="8:19" x14ac:dyDescent="0.25">
      <c r="H372">
        <v>2</v>
      </c>
      <c r="I372">
        <v>885</v>
      </c>
      <c r="J372">
        <v>115</v>
      </c>
      <c r="K372" t="b">
        <v>1</v>
      </c>
      <c r="N372" s="24" t="s">
        <v>503</v>
      </c>
      <c r="O372" s="2">
        <f>INDEX(Маршруты,MATCH(N372,$B$3:$B$498,0),1)</f>
        <v>17</v>
      </c>
      <c r="P372" s="28">
        <v>16</v>
      </c>
      <c r="Q372" s="2">
        <f>INDEX(Остановки,MATCH(R372,ИД_Остановки!$B$3:$B$467,0),1)</f>
        <v>33</v>
      </c>
      <c r="R372" s="24" t="s">
        <v>29</v>
      </c>
      <c r="S372" s="20">
        <v>0.52</v>
      </c>
    </row>
    <row r="373" spans="8:19" x14ac:dyDescent="0.25">
      <c r="H373">
        <v>2</v>
      </c>
      <c r="I373">
        <v>890</v>
      </c>
      <c r="J373">
        <v>115</v>
      </c>
      <c r="K373" t="b">
        <v>1</v>
      </c>
      <c r="N373" s="24" t="s">
        <v>503</v>
      </c>
      <c r="O373" s="2">
        <f>INDEX(Маршруты,MATCH(N373,$B$3:$B$498,0),1)</f>
        <v>17</v>
      </c>
      <c r="P373" s="27">
        <v>17</v>
      </c>
      <c r="Q373" s="2">
        <f>INDEX(Остановки,MATCH(R373,ИД_Остановки!$B$3:$B$467,0),1)</f>
        <v>204</v>
      </c>
      <c r="R373" s="45" t="s">
        <v>342</v>
      </c>
      <c r="S373" s="20">
        <v>0.3</v>
      </c>
    </row>
    <row r="374" spans="8:19" x14ac:dyDescent="0.25">
      <c r="H374">
        <v>2</v>
      </c>
      <c r="I374">
        <v>895</v>
      </c>
      <c r="J374">
        <v>115</v>
      </c>
      <c r="K374" t="b">
        <v>1</v>
      </c>
      <c r="N374" s="24" t="s">
        <v>503</v>
      </c>
      <c r="O374" s="2">
        <f>INDEX(Маршруты,MATCH(N374,$B$3:$B$498,0),1)</f>
        <v>17</v>
      </c>
      <c r="P374" s="27">
        <v>18</v>
      </c>
      <c r="Q374" s="2">
        <f>INDEX(Остановки,MATCH(R374,ИД_Остановки!$B$3:$B$467,0),1)</f>
        <v>102</v>
      </c>
      <c r="R374" s="45" t="s">
        <v>72</v>
      </c>
      <c r="S374" s="20">
        <v>0.42</v>
      </c>
    </row>
    <row r="375" spans="8:19" x14ac:dyDescent="0.25">
      <c r="H375">
        <v>2</v>
      </c>
      <c r="I375">
        <v>900</v>
      </c>
      <c r="J375">
        <v>115</v>
      </c>
      <c r="K375" t="b">
        <v>1</v>
      </c>
      <c r="N375" s="24" t="s">
        <v>503</v>
      </c>
      <c r="O375" s="2">
        <f>INDEX(Маршруты,MATCH(N375,$B$3:$B$498,0),1)</f>
        <v>17</v>
      </c>
      <c r="P375" s="27">
        <v>19</v>
      </c>
      <c r="Q375" s="2">
        <f>INDEX(Остановки,MATCH(R375,ИД_Остановки!$B$3:$B$467,0),1)</f>
        <v>349</v>
      </c>
      <c r="R375" s="45" t="s">
        <v>58</v>
      </c>
      <c r="S375" s="20">
        <v>0.47</v>
      </c>
    </row>
    <row r="376" spans="8:19" x14ac:dyDescent="0.25">
      <c r="H376">
        <v>2</v>
      </c>
      <c r="I376">
        <v>905</v>
      </c>
      <c r="J376">
        <v>115</v>
      </c>
      <c r="K376" t="b">
        <v>1</v>
      </c>
      <c r="N376" s="23" t="s">
        <v>503</v>
      </c>
      <c r="O376" s="2">
        <f>INDEX(Маршруты,MATCH(N376,$B$3:$B$498,0),1)</f>
        <v>17</v>
      </c>
      <c r="P376" s="27">
        <v>20</v>
      </c>
      <c r="Q376" s="2">
        <f>INDEX(Остановки,MATCH(R376,ИД_Остановки!$B$3:$B$467,0),1)</f>
        <v>101</v>
      </c>
      <c r="R376" s="45" t="s">
        <v>71</v>
      </c>
      <c r="S376" s="20">
        <v>0.28999999999999998</v>
      </c>
    </row>
    <row r="377" spans="8:19" x14ac:dyDescent="0.25">
      <c r="H377">
        <v>2</v>
      </c>
      <c r="I377">
        <v>910</v>
      </c>
      <c r="J377">
        <v>115</v>
      </c>
      <c r="K377" t="b">
        <v>1</v>
      </c>
      <c r="N377" s="24" t="s">
        <v>503</v>
      </c>
      <c r="O377" s="2">
        <f>INDEX(Маршруты,MATCH(N377,$B$3:$B$498,0),1)</f>
        <v>17</v>
      </c>
      <c r="P377" s="28">
        <v>21</v>
      </c>
      <c r="Q377" s="2">
        <f>INDEX(Остановки,MATCH(R377,ИД_Остановки!$B$3:$B$467,0),1)</f>
        <v>100</v>
      </c>
      <c r="R377" s="24" t="s">
        <v>70</v>
      </c>
      <c r="S377" s="20">
        <v>0.62</v>
      </c>
    </row>
    <row r="378" spans="8:19" x14ac:dyDescent="0.25">
      <c r="H378">
        <v>2</v>
      </c>
      <c r="I378">
        <v>915</v>
      </c>
      <c r="J378">
        <v>115</v>
      </c>
      <c r="K378" t="b">
        <v>1</v>
      </c>
      <c r="N378" s="24" t="s">
        <v>503</v>
      </c>
      <c r="O378" s="2">
        <f>INDEX(Маршруты,MATCH(N378,$B$3:$B$498,0),1)</f>
        <v>17</v>
      </c>
      <c r="P378" s="27">
        <v>22</v>
      </c>
      <c r="Q378" s="2">
        <f>INDEX(Остановки,MATCH(R378,ИД_Остановки!$B$3:$B$467,0),1)</f>
        <v>99</v>
      </c>
      <c r="R378" s="45" t="s">
        <v>287</v>
      </c>
      <c r="S378" s="20">
        <v>0.86</v>
      </c>
    </row>
    <row r="379" spans="8:19" x14ac:dyDescent="0.25">
      <c r="H379">
        <v>2</v>
      </c>
      <c r="I379">
        <v>920</v>
      </c>
      <c r="J379">
        <v>115</v>
      </c>
      <c r="K379" t="b">
        <v>1</v>
      </c>
      <c r="N379" s="24" t="s">
        <v>503</v>
      </c>
      <c r="O379" s="2">
        <f>INDEX(Маршруты,MATCH(N379,$B$3:$B$498,0),1)</f>
        <v>17</v>
      </c>
      <c r="P379" s="27">
        <v>23</v>
      </c>
      <c r="Q379" s="2">
        <f>INDEX(Остановки,MATCH(R379,ИД_Остановки!$B$3:$B$467,0),1)</f>
        <v>98</v>
      </c>
      <c r="R379" s="45" t="s">
        <v>286</v>
      </c>
      <c r="S379" s="20">
        <v>0.16</v>
      </c>
    </row>
    <row r="380" spans="8:19" x14ac:dyDescent="0.25">
      <c r="H380">
        <v>2</v>
      </c>
      <c r="I380">
        <v>925</v>
      </c>
      <c r="J380">
        <v>115</v>
      </c>
      <c r="K380" t="b">
        <v>1</v>
      </c>
      <c r="N380" s="24" t="s">
        <v>504</v>
      </c>
      <c r="O380" s="2">
        <f>INDEX(Маршруты,MATCH(N380,$B$3:$B$498,0),1)</f>
        <v>18</v>
      </c>
      <c r="P380" s="27">
        <v>1</v>
      </c>
      <c r="Q380" s="2">
        <f>INDEX(Остановки,MATCH(R380,ИД_Остановки!$B$3:$B$467,0),1)</f>
        <v>98</v>
      </c>
      <c r="R380" s="45" t="s">
        <v>286</v>
      </c>
      <c r="S380" s="20"/>
    </row>
    <row r="381" spans="8:19" x14ac:dyDescent="0.25">
      <c r="H381">
        <v>2</v>
      </c>
      <c r="I381">
        <v>930</v>
      </c>
      <c r="J381">
        <v>115</v>
      </c>
      <c r="K381" t="b">
        <v>1</v>
      </c>
      <c r="N381" s="23" t="s">
        <v>504</v>
      </c>
      <c r="O381" s="2">
        <f>INDEX(Маршруты,MATCH(N381,$B$3:$B$498,0),1)</f>
        <v>18</v>
      </c>
      <c r="P381" s="27">
        <v>2</v>
      </c>
      <c r="Q381" s="2">
        <f>INDEX(Остановки,MATCH(R381,ИД_Остановки!$B$3:$B$467,0),1)</f>
        <v>99</v>
      </c>
      <c r="R381" s="45" t="s">
        <v>287</v>
      </c>
      <c r="S381" s="20">
        <v>0.16</v>
      </c>
    </row>
    <row r="382" spans="8:19" x14ac:dyDescent="0.25">
      <c r="H382">
        <v>2</v>
      </c>
      <c r="I382">
        <v>935</v>
      </c>
      <c r="J382">
        <v>115</v>
      </c>
      <c r="K382" t="b">
        <v>1</v>
      </c>
      <c r="N382" s="24" t="s">
        <v>504</v>
      </c>
      <c r="O382" s="2">
        <f>INDEX(Маршруты,MATCH(N382,$B$3:$B$498,0),1)</f>
        <v>18</v>
      </c>
      <c r="P382" s="27">
        <v>3</v>
      </c>
      <c r="Q382" s="2">
        <f>INDEX(Остановки,MATCH(R382,ИД_Остановки!$B$3:$B$467,0),1)</f>
        <v>100</v>
      </c>
      <c r="R382" s="45" t="s">
        <v>70</v>
      </c>
      <c r="S382" s="20">
        <v>0.86</v>
      </c>
    </row>
    <row r="383" spans="8:19" x14ac:dyDescent="0.25">
      <c r="H383">
        <v>2</v>
      </c>
      <c r="I383">
        <v>940</v>
      </c>
      <c r="J383">
        <v>115</v>
      </c>
      <c r="K383" t="b">
        <v>1</v>
      </c>
      <c r="N383" s="25" t="s">
        <v>504</v>
      </c>
      <c r="O383" s="2">
        <f>INDEX(Маршруты,MATCH(N383,$B$3:$B$498,0),1)</f>
        <v>18</v>
      </c>
      <c r="P383" s="27">
        <v>4</v>
      </c>
      <c r="Q383" s="2">
        <f>INDEX(Остановки,MATCH(R383,ИД_Остановки!$B$3:$B$467,0),1)</f>
        <v>101</v>
      </c>
      <c r="R383" s="45" t="s">
        <v>71</v>
      </c>
      <c r="S383" s="20">
        <v>0.62</v>
      </c>
    </row>
    <row r="384" spans="8:19" x14ac:dyDescent="0.25">
      <c r="H384">
        <v>2</v>
      </c>
      <c r="I384">
        <v>945</v>
      </c>
      <c r="J384">
        <v>115</v>
      </c>
      <c r="K384" t="b">
        <v>1</v>
      </c>
      <c r="N384" s="25" t="s">
        <v>504</v>
      </c>
      <c r="O384" s="2">
        <f>INDEX(Маршруты,MATCH(N384,$B$3:$B$498,0),1)</f>
        <v>18</v>
      </c>
      <c r="P384" s="27">
        <v>5</v>
      </c>
      <c r="Q384" s="2">
        <f>INDEX(Остановки,MATCH(R384,ИД_Остановки!$B$3:$B$467,0),1)</f>
        <v>349</v>
      </c>
      <c r="R384" s="45" t="s">
        <v>58</v>
      </c>
      <c r="S384" s="20">
        <v>0.28999999999999998</v>
      </c>
    </row>
    <row r="385" spans="8:19" x14ac:dyDescent="0.25">
      <c r="H385">
        <v>2</v>
      </c>
      <c r="I385">
        <v>950</v>
      </c>
      <c r="J385">
        <v>115</v>
      </c>
      <c r="K385" t="b">
        <v>1</v>
      </c>
      <c r="N385" s="26" t="s">
        <v>504</v>
      </c>
      <c r="O385" s="2">
        <f>INDEX(Маршруты,MATCH(N385,$B$3:$B$498,0),1)</f>
        <v>18</v>
      </c>
      <c r="P385" s="27">
        <v>6</v>
      </c>
      <c r="Q385" s="2">
        <f>INDEX(Остановки,MATCH(R385,ИД_Остановки!$B$3:$B$467,0),1)</f>
        <v>102</v>
      </c>
      <c r="R385" s="45" t="s">
        <v>72</v>
      </c>
      <c r="S385" s="20">
        <v>0.47</v>
      </c>
    </row>
    <row r="386" spans="8:19" x14ac:dyDescent="0.25">
      <c r="H386">
        <v>2</v>
      </c>
      <c r="I386">
        <v>955</v>
      </c>
      <c r="J386">
        <v>115</v>
      </c>
      <c r="K386" t="b">
        <v>1</v>
      </c>
      <c r="N386" s="25" t="s">
        <v>504</v>
      </c>
      <c r="O386" s="2">
        <f>INDEX(Маршруты,MATCH(N386,$B$3:$B$498,0),1)</f>
        <v>18</v>
      </c>
      <c r="P386" s="27">
        <v>7</v>
      </c>
      <c r="Q386" s="2">
        <f>INDEX(Остановки,MATCH(R386,ИД_Остановки!$B$3:$B$467,0),1)</f>
        <v>204</v>
      </c>
      <c r="R386" s="45" t="s">
        <v>342</v>
      </c>
      <c r="S386" s="20">
        <v>0.42</v>
      </c>
    </row>
    <row r="387" spans="8:19" x14ac:dyDescent="0.25">
      <c r="H387">
        <v>3</v>
      </c>
      <c r="I387">
        <v>0</v>
      </c>
      <c r="J387">
        <v>115</v>
      </c>
      <c r="K387" t="b">
        <v>1</v>
      </c>
      <c r="N387" s="25" t="s">
        <v>504</v>
      </c>
      <c r="O387" s="2">
        <f>INDEX(Маршруты,MATCH(N387,$B$3:$B$498,0),1)</f>
        <v>18</v>
      </c>
      <c r="P387" s="27">
        <v>8</v>
      </c>
      <c r="Q387" s="2">
        <f>INDEX(Остановки,MATCH(R387,ИД_Остановки!$B$3:$B$467,0),1)</f>
        <v>33</v>
      </c>
      <c r="R387" s="45" t="s">
        <v>29</v>
      </c>
      <c r="S387" s="20">
        <v>0.3</v>
      </c>
    </row>
    <row r="388" spans="8:19" x14ac:dyDescent="0.25">
      <c r="H388">
        <v>3</v>
      </c>
      <c r="I388">
        <v>6</v>
      </c>
      <c r="J388">
        <v>115</v>
      </c>
      <c r="K388" t="b">
        <v>1</v>
      </c>
      <c r="N388" s="30" t="s">
        <v>504</v>
      </c>
      <c r="O388" s="2">
        <f>INDEX(Маршруты,MATCH(N388,$B$3:$B$498,0),1)</f>
        <v>18</v>
      </c>
      <c r="P388" s="27">
        <v>9</v>
      </c>
      <c r="Q388" s="2">
        <f>INDEX(Остановки,MATCH(R388,ИД_Остановки!$B$3:$B$467,0),1)</f>
        <v>93</v>
      </c>
      <c r="R388" s="45" t="s">
        <v>65</v>
      </c>
      <c r="S388" s="20">
        <v>0.52</v>
      </c>
    </row>
    <row r="389" spans="8:19" x14ac:dyDescent="0.25">
      <c r="H389">
        <v>3</v>
      </c>
      <c r="I389">
        <v>12</v>
      </c>
      <c r="J389">
        <v>115</v>
      </c>
      <c r="K389" t="b">
        <v>1</v>
      </c>
      <c r="N389" s="25" t="s">
        <v>504</v>
      </c>
      <c r="O389" s="2">
        <f>INDEX(Маршруты,MATCH(N389,$B$3:$B$498,0),1)</f>
        <v>18</v>
      </c>
      <c r="P389" s="27">
        <v>10</v>
      </c>
      <c r="Q389" s="2">
        <f>INDEX(Остановки,MATCH(R389,ИД_Остановки!$B$3:$B$467,0),1)</f>
        <v>82</v>
      </c>
      <c r="R389" s="45" t="s">
        <v>59</v>
      </c>
      <c r="S389" s="20">
        <v>0.52</v>
      </c>
    </row>
    <row r="390" spans="8:19" x14ac:dyDescent="0.25">
      <c r="H390">
        <v>3</v>
      </c>
      <c r="I390">
        <v>18</v>
      </c>
      <c r="J390">
        <v>115</v>
      </c>
      <c r="K390" t="b">
        <v>1</v>
      </c>
      <c r="N390" s="25" t="s">
        <v>504</v>
      </c>
      <c r="O390" s="2">
        <f>INDEX(Маршруты,MATCH(N390,$B$3:$B$498,0),1)</f>
        <v>18</v>
      </c>
      <c r="P390" s="27">
        <v>11</v>
      </c>
      <c r="Q390" s="2">
        <f>INDEX(Остановки,MATCH(R390,ИД_Остановки!$B$3:$B$467,0),1)</f>
        <v>146</v>
      </c>
      <c r="R390" s="24" t="s">
        <v>646</v>
      </c>
      <c r="S390" s="20">
        <v>0.47</v>
      </c>
    </row>
    <row r="391" spans="8:19" x14ac:dyDescent="0.25">
      <c r="H391">
        <v>3</v>
      </c>
      <c r="I391">
        <v>24</v>
      </c>
      <c r="J391">
        <v>115</v>
      </c>
      <c r="K391" t="b">
        <v>1</v>
      </c>
      <c r="N391" s="25" t="s">
        <v>504</v>
      </c>
      <c r="O391" s="2">
        <f>INDEX(Маршруты,MATCH(N391,$B$3:$B$498,0),1)</f>
        <v>18</v>
      </c>
      <c r="P391" s="27">
        <v>12</v>
      </c>
      <c r="Q391" s="2">
        <f>INDEX(Остановки,MATCH(R391,ИД_Остановки!$B$3:$B$467,0),1)</f>
        <v>83</v>
      </c>
      <c r="R391" s="45" t="s">
        <v>280</v>
      </c>
      <c r="S391" s="20">
        <v>0.44</v>
      </c>
    </row>
    <row r="392" spans="8:19" x14ac:dyDescent="0.25">
      <c r="H392">
        <v>3</v>
      </c>
      <c r="I392">
        <v>30</v>
      </c>
      <c r="J392">
        <v>115</v>
      </c>
      <c r="K392" t="b">
        <v>1</v>
      </c>
      <c r="N392" s="30" t="s">
        <v>504</v>
      </c>
      <c r="O392" s="2">
        <f>INDEX(Маршруты,MATCH(N392,$B$3:$B$498,0),1)</f>
        <v>18</v>
      </c>
      <c r="P392" s="27">
        <v>13</v>
      </c>
      <c r="Q392" s="2">
        <f>INDEX(Остановки,MATCH(R392,ИД_Остановки!$B$3:$B$467,0),1)</f>
        <v>135</v>
      </c>
      <c r="R392" s="45" t="s">
        <v>83</v>
      </c>
      <c r="S392" s="20">
        <v>1.26</v>
      </c>
    </row>
    <row r="393" spans="8:19" x14ac:dyDescent="0.25">
      <c r="H393">
        <v>3</v>
      </c>
      <c r="I393">
        <v>36</v>
      </c>
      <c r="J393">
        <v>115</v>
      </c>
      <c r="K393" t="b">
        <v>1</v>
      </c>
      <c r="N393" s="25" t="s">
        <v>504</v>
      </c>
      <c r="O393" s="2">
        <f>INDEX(Маршруты,MATCH(N393,$B$3:$B$498,0),1)</f>
        <v>18</v>
      </c>
      <c r="P393" s="27">
        <v>14</v>
      </c>
      <c r="Q393" s="2">
        <f>INDEX(Остановки,MATCH(R393,ИД_Остановки!$B$3:$B$467,0),1)</f>
        <v>134</v>
      </c>
      <c r="R393" s="45" t="s">
        <v>308</v>
      </c>
      <c r="S393" s="20">
        <v>0.26</v>
      </c>
    </row>
    <row r="394" spans="8:19" x14ac:dyDescent="0.25">
      <c r="H394">
        <v>3</v>
      </c>
      <c r="I394">
        <v>42</v>
      </c>
      <c r="J394">
        <v>115</v>
      </c>
      <c r="K394" t="b">
        <v>1</v>
      </c>
      <c r="N394" s="25" t="s">
        <v>504</v>
      </c>
      <c r="O394" s="2">
        <f>INDEX(Маршруты,MATCH(N394,$B$3:$B$498,0),1)</f>
        <v>18</v>
      </c>
      <c r="P394" s="27">
        <v>15</v>
      </c>
      <c r="Q394" s="2">
        <f>INDEX(Остановки,MATCH(R394,ИД_Остановки!$B$3:$B$467,0),1)</f>
        <v>133</v>
      </c>
      <c r="R394" s="45" t="s">
        <v>82</v>
      </c>
      <c r="S394" s="20">
        <v>0.3</v>
      </c>
    </row>
    <row r="395" spans="8:19" x14ac:dyDescent="0.25">
      <c r="H395">
        <v>3</v>
      </c>
      <c r="I395">
        <v>48</v>
      </c>
      <c r="J395">
        <v>115</v>
      </c>
      <c r="K395" t="b">
        <v>1</v>
      </c>
      <c r="N395" s="30" t="s">
        <v>504</v>
      </c>
      <c r="O395" s="2">
        <f>INDEX(Маршруты,MATCH(N395,$B$3:$B$498,0),1)</f>
        <v>18</v>
      </c>
      <c r="P395" s="27">
        <v>16</v>
      </c>
      <c r="Q395" s="2">
        <f>INDEX(Остановки,MATCH(R395,ИД_Остановки!$B$3:$B$467,0),1)</f>
        <v>132</v>
      </c>
      <c r="R395" s="45" t="s">
        <v>307</v>
      </c>
      <c r="S395" s="20">
        <v>0.49</v>
      </c>
    </row>
    <row r="396" spans="8:19" x14ac:dyDescent="0.25">
      <c r="H396">
        <v>3</v>
      </c>
      <c r="I396">
        <v>54</v>
      </c>
      <c r="J396">
        <v>115</v>
      </c>
      <c r="K396" t="b">
        <v>1</v>
      </c>
      <c r="N396" s="25" t="s">
        <v>504</v>
      </c>
      <c r="O396" s="2">
        <f>INDEX(Маршруты,MATCH(N396,$B$3:$B$498,0),1)</f>
        <v>18</v>
      </c>
      <c r="P396" s="27">
        <v>17</v>
      </c>
      <c r="Q396" s="2">
        <f>INDEX(Остановки,MATCH(R396,ИД_Остановки!$B$3:$B$467,0),1)</f>
        <v>131</v>
      </c>
      <c r="R396" s="45" t="s">
        <v>306</v>
      </c>
      <c r="S396" s="20">
        <v>0.56999999999999995</v>
      </c>
    </row>
    <row r="397" spans="8:19" x14ac:dyDescent="0.25">
      <c r="H397">
        <v>3</v>
      </c>
      <c r="I397">
        <v>60</v>
      </c>
      <c r="J397">
        <v>115</v>
      </c>
      <c r="K397" t="b">
        <v>1</v>
      </c>
      <c r="N397" s="25" t="s">
        <v>504</v>
      </c>
      <c r="O397" s="2">
        <f>INDEX(Маршруты,MATCH(N397,$B$3:$B$498,0),1)</f>
        <v>18</v>
      </c>
      <c r="P397" s="27">
        <v>18</v>
      </c>
      <c r="Q397" s="2">
        <f>INDEX(Остановки,MATCH(R397,ИД_Остановки!$B$3:$B$467,0),1)</f>
        <v>130</v>
      </c>
      <c r="R397" s="45" t="s">
        <v>305</v>
      </c>
      <c r="S397" s="20">
        <v>0.39</v>
      </c>
    </row>
    <row r="398" spans="8:19" x14ac:dyDescent="0.25">
      <c r="H398">
        <v>3</v>
      </c>
      <c r="I398">
        <v>66</v>
      </c>
      <c r="J398">
        <v>115</v>
      </c>
      <c r="K398" t="b">
        <v>1</v>
      </c>
      <c r="N398" s="30" t="s">
        <v>504</v>
      </c>
      <c r="O398" s="2">
        <f>INDEX(Маршруты,MATCH(N398,$B$3:$B$498,0),1)</f>
        <v>18</v>
      </c>
      <c r="P398" s="27">
        <v>19</v>
      </c>
      <c r="Q398" s="2">
        <f>INDEX(Остановки,MATCH(R398,ИД_Остановки!$B$3:$B$467,0),1)</f>
        <v>145</v>
      </c>
      <c r="R398" s="45" t="s">
        <v>87</v>
      </c>
      <c r="S398" s="20">
        <v>0.63</v>
      </c>
    </row>
    <row r="399" spans="8:19" x14ac:dyDescent="0.25">
      <c r="H399">
        <v>3</v>
      </c>
      <c r="I399">
        <v>72</v>
      </c>
      <c r="J399">
        <v>115</v>
      </c>
      <c r="K399" t="b">
        <v>1</v>
      </c>
      <c r="N399" s="25" t="s">
        <v>504</v>
      </c>
      <c r="O399" s="2">
        <f>INDEX(Маршруты,MATCH(N399,$B$3:$B$498,0),1)</f>
        <v>18</v>
      </c>
      <c r="P399" s="27">
        <v>20</v>
      </c>
      <c r="Q399" s="2">
        <f>INDEX(Остановки,MATCH(R399,ИД_Остановки!$B$3:$B$467,0),1)</f>
        <v>47</v>
      </c>
      <c r="R399" s="45" t="s">
        <v>259</v>
      </c>
      <c r="S399" s="20">
        <v>0.77</v>
      </c>
    </row>
    <row r="400" spans="8:19" x14ac:dyDescent="0.25">
      <c r="H400">
        <v>3</v>
      </c>
      <c r="I400">
        <v>78</v>
      </c>
      <c r="J400">
        <v>115</v>
      </c>
      <c r="K400" t="b">
        <v>1</v>
      </c>
      <c r="N400" s="30" t="s">
        <v>504</v>
      </c>
      <c r="O400" s="2">
        <f>INDEX(Маршруты,MATCH(N400,$B$3:$B$498,0),1)</f>
        <v>18</v>
      </c>
      <c r="P400" s="27">
        <v>21</v>
      </c>
      <c r="Q400" s="2">
        <f>INDEX(Остановки,MATCH(R400,ИД_Остановки!$B$3:$B$467,0),1)</f>
        <v>46</v>
      </c>
      <c r="R400" s="45" t="s">
        <v>41</v>
      </c>
      <c r="S400" s="20">
        <v>0.5</v>
      </c>
    </row>
    <row r="401" spans="8:19" x14ac:dyDescent="0.25">
      <c r="H401">
        <v>3</v>
      </c>
      <c r="I401">
        <v>84</v>
      </c>
      <c r="J401">
        <v>115</v>
      </c>
      <c r="K401" t="b">
        <v>1</v>
      </c>
      <c r="N401" s="25" t="s">
        <v>504</v>
      </c>
      <c r="O401" s="2">
        <f>INDEX(Маршруты,MATCH(N401,$B$3:$B$498,0),1)</f>
        <v>18</v>
      </c>
      <c r="P401" s="27">
        <v>22</v>
      </c>
      <c r="Q401" s="2">
        <f>INDEX(Остановки,MATCH(R401,ИД_Остановки!$B$3:$B$467,0),1)</f>
        <v>45</v>
      </c>
      <c r="R401" s="45" t="s">
        <v>40</v>
      </c>
      <c r="S401" s="20">
        <v>0.45</v>
      </c>
    </row>
    <row r="402" spans="8:19" x14ac:dyDescent="0.25">
      <c r="H402">
        <v>3</v>
      </c>
      <c r="I402">
        <v>90</v>
      </c>
      <c r="J402">
        <v>115</v>
      </c>
      <c r="K402" t="b">
        <v>1</v>
      </c>
      <c r="N402" s="25" t="s">
        <v>504</v>
      </c>
      <c r="O402" s="2">
        <f>INDEX(Маршруты,MATCH(N402,$B$3:$B$498,0),1)</f>
        <v>18</v>
      </c>
      <c r="P402" s="27">
        <v>23</v>
      </c>
      <c r="Q402" s="2">
        <f>INDEX(Остановки,MATCH(R402,ИД_Остановки!$B$3:$B$467,0),1)</f>
        <v>44</v>
      </c>
      <c r="R402" s="45" t="s">
        <v>258</v>
      </c>
      <c r="S402" s="20">
        <v>0.39</v>
      </c>
    </row>
    <row r="403" spans="8:19" x14ac:dyDescent="0.25">
      <c r="H403">
        <v>3</v>
      </c>
      <c r="I403">
        <v>96</v>
      </c>
      <c r="J403">
        <v>115</v>
      </c>
      <c r="K403" t="b">
        <v>1</v>
      </c>
      <c r="N403" s="30" t="s">
        <v>505</v>
      </c>
      <c r="O403" s="2">
        <f>INDEX(Маршруты,MATCH(N403,$B$3:$B$498,0),1)</f>
        <v>19</v>
      </c>
      <c r="P403" s="27">
        <v>1</v>
      </c>
      <c r="Q403" s="2">
        <f>INDEX(Остановки,MATCH(R403,ИД_Остановки!$B$3:$B$467,0),1)</f>
        <v>15</v>
      </c>
      <c r="R403" s="45" t="s">
        <v>15</v>
      </c>
      <c r="S403" s="20"/>
    </row>
    <row r="404" spans="8:19" x14ac:dyDescent="0.25">
      <c r="H404">
        <v>3</v>
      </c>
      <c r="I404">
        <v>102</v>
      </c>
      <c r="J404">
        <v>115</v>
      </c>
      <c r="K404" t="b">
        <v>1</v>
      </c>
      <c r="N404" s="30" t="s">
        <v>505</v>
      </c>
      <c r="O404" s="2">
        <f>INDEX(Маршруты,MATCH(N404,$B$3:$B$498,0),1)</f>
        <v>19</v>
      </c>
      <c r="P404" s="27">
        <v>2</v>
      </c>
      <c r="Q404" s="2">
        <f>INDEX(Остановки,MATCH(R404,ИД_Остановки!$B$3:$B$467,0),1)</f>
        <v>82</v>
      </c>
      <c r="R404" s="24" t="s">
        <v>59</v>
      </c>
      <c r="S404" s="20">
        <v>0.35</v>
      </c>
    </row>
    <row r="405" spans="8:19" x14ac:dyDescent="0.25">
      <c r="H405">
        <v>3</v>
      </c>
      <c r="I405">
        <v>108</v>
      </c>
      <c r="J405">
        <v>115</v>
      </c>
      <c r="K405" t="b">
        <v>1</v>
      </c>
      <c r="N405" s="24" t="s">
        <v>505</v>
      </c>
      <c r="O405" s="2">
        <f>INDEX(Маршруты,MATCH(N405,$B$3:$B$498,0),1)</f>
        <v>19</v>
      </c>
      <c r="P405" s="27">
        <v>3</v>
      </c>
      <c r="Q405" s="2">
        <f>INDEX(Остановки,MATCH(R405,ИД_Остановки!$B$3:$B$467,0),1)</f>
        <v>146</v>
      </c>
      <c r="R405" s="45" t="s">
        <v>646</v>
      </c>
      <c r="S405" s="20">
        <v>0.47</v>
      </c>
    </row>
    <row r="406" spans="8:19" x14ac:dyDescent="0.25">
      <c r="H406">
        <v>3</v>
      </c>
      <c r="I406">
        <v>114</v>
      </c>
      <c r="J406">
        <v>115</v>
      </c>
      <c r="K406" t="b">
        <v>1</v>
      </c>
      <c r="N406" s="25" t="s">
        <v>505</v>
      </c>
      <c r="O406" s="2">
        <f>INDEX(Маршруты,MATCH(N406,$B$3:$B$498,0),1)</f>
        <v>19</v>
      </c>
      <c r="P406" s="27">
        <v>4</v>
      </c>
      <c r="Q406" s="2">
        <f>INDEX(Остановки,MATCH(R406,ИД_Остановки!$B$3:$B$467,0),1)</f>
        <v>83</v>
      </c>
      <c r="R406" s="45" t="s">
        <v>280</v>
      </c>
      <c r="S406" s="20">
        <v>0.44</v>
      </c>
    </row>
    <row r="407" spans="8:19" x14ac:dyDescent="0.25">
      <c r="H407">
        <v>3</v>
      </c>
      <c r="I407">
        <v>120</v>
      </c>
      <c r="J407">
        <v>115</v>
      </c>
      <c r="K407" t="b">
        <v>1</v>
      </c>
      <c r="N407" s="26" t="s">
        <v>505</v>
      </c>
      <c r="O407" s="2">
        <f>INDEX(Маршруты,MATCH(N407,$B$3:$B$498,0),1)</f>
        <v>19</v>
      </c>
      <c r="P407" s="27">
        <v>5</v>
      </c>
      <c r="Q407" s="2">
        <f>INDEX(Остановки,MATCH(R407,ИД_Остановки!$B$3:$B$467,0),1)</f>
        <v>103</v>
      </c>
      <c r="R407" s="45" t="s">
        <v>288</v>
      </c>
      <c r="S407" s="20">
        <v>0.3</v>
      </c>
    </row>
    <row r="408" spans="8:19" x14ac:dyDescent="0.25">
      <c r="H408">
        <v>3</v>
      </c>
      <c r="I408">
        <v>126</v>
      </c>
      <c r="J408">
        <v>115</v>
      </c>
      <c r="K408" t="b">
        <v>1</v>
      </c>
      <c r="N408" s="30" t="s">
        <v>505</v>
      </c>
      <c r="O408" s="2">
        <f>INDEX(Маршруты,MATCH(N408,$B$3:$B$498,0),1)</f>
        <v>19</v>
      </c>
      <c r="P408" s="27">
        <v>6</v>
      </c>
      <c r="Q408" s="2">
        <f>INDEX(Остановки,MATCH(R408,ИД_Остановки!$B$3:$B$467,0),1)</f>
        <v>380</v>
      </c>
      <c r="R408" s="45" t="s">
        <v>438</v>
      </c>
      <c r="S408" s="20">
        <v>0.5</v>
      </c>
    </row>
    <row r="409" spans="8:19" x14ac:dyDescent="0.25">
      <c r="H409">
        <v>3</v>
      </c>
      <c r="I409">
        <v>132</v>
      </c>
      <c r="J409">
        <v>115</v>
      </c>
      <c r="K409" t="b">
        <v>1</v>
      </c>
      <c r="N409" s="30" t="s">
        <v>505</v>
      </c>
      <c r="O409" s="2">
        <f>INDEX(Маршруты,MATCH(N409,$B$3:$B$498,0),1)</f>
        <v>19</v>
      </c>
      <c r="P409" s="27">
        <v>7</v>
      </c>
      <c r="Q409" s="2">
        <f>INDEX(Остановки,MATCH(R409,ИД_Остановки!$B$3:$B$467,0),1)</f>
        <v>84</v>
      </c>
      <c r="R409" s="45" t="s">
        <v>281</v>
      </c>
      <c r="S409" s="20">
        <v>0.39</v>
      </c>
    </row>
    <row r="410" spans="8:19" x14ac:dyDescent="0.25">
      <c r="H410">
        <v>3</v>
      </c>
      <c r="I410">
        <v>138</v>
      </c>
      <c r="J410">
        <v>115</v>
      </c>
      <c r="K410" t="b">
        <v>1</v>
      </c>
      <c r="N410" s="25" t="s">
        <v>505</v>
      </c>
      <c r="O410" s="2">
        <f>INDEX(Маршруты,MATCH(N410,$B$3:$B$498,0),1)</f>
        <v>19</v>
      </c>
      <c r="P410" s="27">
        <v>8</v>
      </c>
      <c r="Q410" s="2">
        <f>INDEX(Остановки,MATCH(R410,ИД_Остановки!$B$3:$B$467,0),1)</f>
        <v>105</v>
      </c>
      <c r="R410" s="24" t="s">
        <v>615</v>
      </c>
      <c r="S410" s="20">
        <v>0.54</v>
      </c>
    </row>
    <row r="411" spans="8:19" x14ac:dyDescent="0.25">
      <c r="H411">
        <v>3</v>
      </c>
      <c r="I411">
        <v>144</v>
      </c>
      <c r="J411">
        <v>115</v>
      </c>
      <c r="K411" t="b">
        <v>1</v>
      </c>
      <c r="N411" s="30" t="s">
        <v>505</v>
      </c>
      <c r="O411" s="2">
        <f>INDEX(Маршруты,MATCH(N411,$B$3:$B$498,0),1)</f>
        <v>19</v>
      </c>
      <c r="P411" s="27">
        <v>9</v>
      </c>
      <c r="Q411" s="2">
        <f>INDEX(Остановки,MATCH(R411,ИД_Остановки!$B$3:$B$467,0),1)</f>
        <v>106</v>
      </c>
      <c r="R411" s="45" t="s">
        <v>291</v>
      </c>
      <c r="S411" s="20">
        <v>0.34</v>
      </c>
    </row>
    <row r="412" spans="8:19" x14ac:dyDescent="0.25">
      <c r="H412">
        <v>3</v>
      </c>
      <c r="I412">
        <v>150</v>
      </c>
      <c r="J412">
        <v>115</v>
      </c>
      <c r="K412" t="b">
        <v>1</v>
      </c>
      <c r="N412" s="30" t="s">
        <v>505</v>
      </c>
      <c r="O412" s="2">
        <f>INDEX(Маршруты,MATCH(N412,$B$3:$B$498,0),1)</f>
        <v>19</v>
      </c>
      <c r="P412" s="27">
        <v>10</v>
      </c>
      <c r="Q412" s="2">
        <f>INDEX(Остановки,MATCH(R412,ИД_Остановки!$B$3:$B$467,0),1)</f>
        <v>86</v>
      </c>
      <c r="R412" s="45" t="s">
        <v>61</v>
      </c>
      <c r="S412" s="20">
        <v>0.66</v>
      </c>
    </row>
    <row r="413" spans="8:19" x14ac:dyDescent="0.25">
      <c r="H413">
        <v>3</v>
      </c>
      <c r="I413">
        <v>156</v>
      </c>
      <c r="J413">
        <v>115</v>
      </c>
      <c r="K413" t="b">
        <v>1</v>
      </c>
      <c r="N413" s="30" t="s">
        <v>505</v>
      </c>
      <c r="O413" s="2">
        <f>INDEX(Маршруты,MATCH(N413,$B$3:$B$498,0),1)</f>
        <v>19</v>
      </c>
      <c r="P413" s="27">
        <v>11</v>
      </c>
      <c r="Q413" s="2">
        <f>INDEX(Остановки,MATCH(R413,ИД_Остановки!$B$3:$B$467,0),1)</f>
        <v>87</v>
      </c>
      <c r="R413" s="45" t="s">
        <v>62</v>
      </c>
      <c r="S413" s="20">
        <v>0.75</v>
      </c>
    </row>
    <row r="414" spans="8:19" x14ac:dyDescent="0.25">
      <c r="H414">
        <v>3</v>
      </c>
      <c r="I414">
        <v>162</v>
      </c>
      <c r="J414">
        <v>115</v>
      </c>
      <c r="K414" t="b">
        <v>1</v>
      </c>
      <c r="N414" s="25" t="s">
        <v>505</v>
      </c>
      <c r="O414" s="2">
        <f>INDEX(Маршруты,MATCH(N414,$B$3:$B$498,0),1)</f>
        <v>19</v>
      </c>
      <c r="P414" s="28">
        <v>12</v>
      </c>
      <c r="Q414" s="2">
        <f>INDEX(Остановки,MATCH(R414,ИД_Остановки!$B$3:$B$467,0),1)</f>
        <v>88</v>
      </c>
      <c r="R414" s="24" t="s">
        <v>63</v>
      </c>
      <c r="S414" s="20">
        <v>0.45</v>
      </c>
    </row>
    <row r="415" spans="8:19" x14ac:dyDescent="0.25">
      <c r="H415">
        <v>3</v>
      </c>
      <c r="I415">
        <v>168</v>
      </c>
      <c r="J415">
        <v>115</v>
      </c>
      <c r="K415" t="b">
        <v>1</v>
      </c>
      <c r="N415" s="30" t="s">
        <v>505</v>
      </c>
      <c r="O415" s="2">
        <f>INDEX(Маршруты,MATCH(N415,$B$3:$B$498,0),1)</f>
        <v>19</v>
      </c>
      <c r="P415" s="27">
        <v>13</v>
      </c>
      <c r="Q415" s="2">
        <f>INDEX(Остановки,MATCH(R415,ИД_Остановки!$B$3:$B$467,0),1)</f>
        <v>89</v>
      </c>
      <c r="R415" s="45" t="s">
        <v>64</v>
      </c>
      <c r="S415" s="20">
        <v>0.79</v>
      </c>
    </row>
    <row r="416" spans="8:19" x14ac:dyDescent="0.25">
      <c r="H416">
        <v>3</v>
      </c>
      <c r="I416">
        <v>174</v>
      </c>
      <c r="J416">
        <v>115</v>
      </c>
      <c r="K416" t="b">
        <v>1</v>
      </c>
      <c r="N416" s="25" t="s">
        <v>505</v>
      </c>
      <c r="O416" s="2">
        <f>INDEX(Маршруты,MATCH(N416,$B$3:$B$498,0),1)</f>
        <v>19</v>
      </c>
      <c r="P416" s="27">
        <v>14</v>
      </c>
      <c r="Q416" s="2">
        <f>INDEX(Остановки,MATCH(R416,ИД_Остановки!$B$3:$B$467,0),1)</f>
        <v>90</v>
      </c>
      <c r="R416" s="45" t="s">
        <v>282</v>
      </c>
      <c r="S416" s="20">
        <v>0.54</v>
      </c>
    </row>
    <row r="417" spans="8:19" x14ac:dyDescent="0.25">
      <c r="H417">
        <v>3</v>
      </c>
      <c r="I417">
        <v>180</v>
      </c>
      <c r="J417">
        <v>115</v>
      </c>
      <c r="K417" t="b">
        <v>1</v>
      </c>
      <c r="N417" s="30" t="s">
        <v>505</v>
      </c>
      <c r="O417" s="2">
        <f>INDEX(Маршруты,MATCH(N417,$B$3:$B$498,0),1)</f>
        <v>19</v>
      </c>
      <c r="P417" s="27">
        <v>15</v>
      </c>
      <c r="Q417" s="2">
        <f>INDEX(Остановки,MATCH(R417,ИД_Остановки!$B$3:$B$467,0),1)</f>
        <v>91</v>
      </c>
      <c r="R417" s="45" t="s">
        <v>283</v>
      </c>
      <c r="S417" s="20">
        <v>0.74</v>
      </c>
    </row>
    <row r="418" spans="8:19" x14ac:dyDescent="0.25">
      <c r="H418">
        <v>3</v>
      </c>
      <c r="I418">
        <v>186</v>
      </c>
      <c r="J418">
        <v>115</v>
      </c>
      <c r="K418" t="b">
        <v>1</v>
      </c>
      <c r="N418" s="25" t="s">
        <v>505</v>
      </c>
      <c r="O418" s="2">
        <f>INDEX(Маршруты,MATCH(N418,$B$3:$B$498,0),1)</f>
        <v>19</v>
      </c>
      <c r="P418" s="27">
        <v>16</v>
      </c>
      <c r="Q418" s="2">
        <f>INDEX(Остановки,MATCH(R418,ИД_Остановки!$B$3:$B$467,0),1)</f>
        <v>107</v>
      </c>
      <c r="R418" s="45" t="s">
        <v>292</v>
      </c>
      <c r="S418" s="20">
        <v>0.46</v>
      </c>
    </row>
    <row r="419" spans="8:19" x14ac:dyDescent="0.25">
      <c r="H419">
        <v>3</v>
      </c>
      <c r="I419">
        <v>192</v>
      </c>
      <c r="J419">
        <v>115</v>
      </c>
      <c r="K419" t="b">
        <v>1</v>
      </c>
      <c r="N419" s="30" t="s">
        <v>505</v>
      </c>
      <c r="O419" s="2">
        <f>INDEX(Маршруты,MATCH(N419,$B$3:$B$498,0),1)</f>
        <v>19</v>
      </c>
      <c r="P419" s="27">
        <v>17</v>
      </c>
      <c r="Q419" s="2">
        <f>INDEX(Остановки,MATCH(R419,ИД_Остановки!$B$3:$B$467,0),1)</f>
        <v>108</v>
      </c>
      <c r="R419" s="45" t="s">
        <v>648</v>
      </c>
      <c r="S419" s="20">
        <v>0.55000000000000004</v>
      </c>
    </row>
    <row r="420" spans="8:19" x14ac:dyDescent="0.25">
      <c r="H420">
        <v>3</v>
      </c>
      <c r="I420">
        <v>198</v>
      </c>
      <c r="J420">
        <v>115</v>
      </c>
      <c r="K420" t="b">
        <v>1</v>
      </c>
      <c r="N420" s="25" t="s">
        <v>505</v>
      </c>
      <c r="O420" s="2">
        <f>INDEX(Маршруты,MATCH(N420,$B$3:$B$498,0),1)</f>
        <v>19</v>
      </c>
      <c r="P420" s="27">
        <v>18</v>
      </c>
      <c r="Q420" s="2">
        <f>INDEX(Остановки,MATCH(R420,ИД_Остановки!$B$3:$B$467,0),1)</f>
        <v>80</v>
      </c>
      <c r="R420" s="45" t="s">
        <v>57</v>
      </c>
      <c r="S420" s="20">
        <v>0.76</v>
      </c>
    </row>
    <row r="421" spans="8:19" x14ac:dyDescent="0.25">
      <c r="H421">
        <v>3</v>
      </c>
      <c r="I421">
        <v>204</v>
      </c>
      <c r="J421">
        <v>115</v>
      </c>
      <c r="K421" t="b">
        <v>1</v>
      </c>
      <c r="N421" s="25" t="s">
        <v>505</v>
      </c>
      <c r="O421" s="2">
        <f>INDEX(Маршруты,MATCH(N421,$B$3:$B$498,0),1)</f>
        <v>19</v>
      </c>
      <c r="P421" s="27">
        <v>19</v>
      </c>
      <c r="Q421" s="2">
        <f>INDEX(Остановки,MATCH(R421,ИД_Остановки!$B$3:$B$467,0),1)</f>
        <v>125</v>
      </c>
      <c r="R421" s="45" t="s">
        <v>79</v>
      </c>
      <c r="S421" s="20">
        <v>0.44</v>
      </c>
    </row>
    <row r="422" spans="8:19" x14ac:dyDescent="0.25">
      <c r="H422">
        <v>3</v>
      </c>
      <c r="I422">
        <v>210</v>
      </c>
      <c r="J422">
        <v>115</v>
      </c>
      <c r="K422" t="b">
        <v>1</v>
      </c>
      <c r="N422" s="25" t="s">
        <v>505</v>
      </c>
      <c r="O422" s="2">
        <f>INDEX(Маршруты,MATCH(N422,$B$3:$B$498,0),1)</f>
        <v>19</v>
      </c>
      <c r="P422" s="27">
        <v>20</v>
      </c>
      <c r="Q422" s="2">
        <f>INDEX(Остановки,MATCH(R422,ИД_Остановки!$B$3:$B$467,0),1)</f>
        <v>445</v>
      </c>
      <c r="R422" s="45" t="s">
        <v>302</v>
      </c>
      <c r="S422" s="20">
        <v>0.48</v>
      </c>
    </row>
    <row r="423" spans="8:19" x14ac:dyDescent="0.25">
      <c r="H423">
        <v>3</v>
      </c>
      <c r="I423">
        <v>216</v>
      </c>
      <c r="J423">
        <v>115</v>
      </c>
      <c r="K423" t="b">
        <v>1</v>
      </c>
      <c r="N423" s="25" t="s">
        <v>505</v>
      </c>
      <c r="O423" s="2">
        <f>INDEX(Маршруты,MATCH(N423,$B$3:$B$498,0),1)</f>
        <v>19</v>
      </c>
      <c r="P423" s="27">
        <v>21</v>
      </c>
      <c r="Q423" s="2">
        <f>INDEX(Остановки,MATCH(R423,ИД_Остановки!$B$3:$B$467,0),1)</f>
        <v>94</v>
      </c>
      <c r="R423" s="45" t="s">
        <v>66</v>
      </c>
      <c r="S423" s="20">
        <v>0.8</v>
      </c>
    </row>
    <row r="424" spans="8:19" x14ac:dyDescent="0.25">
      <c r="H424">
        <v>3</v>
      </c>
      <c r="I424">
        <v>222</v>
      </c>
      <c r="J424">
        <v>115</v>
      </c>
      <c r="K424" t="b">
        <v>1</v>
      </c>
      <c r="N424" s="30" t="s">
        <v>505</v>
      </c>
      <c r="O424" s="2">
        <f>INDEX(Маршруты,MATCH(N424,$B$3:$B$498,0),1)</f>
        <v>19</v>
      </c>
      <c r="P424" s="27">
        <v>22</v>
      </c>
      <c r="Q424" s="2">
        <f>INDEX(Остановки,MATCH(R424,ИД_Остановки!$B$3:$B$467,0),1)</f>
        <v>126</v>
      </c>
      <c r="R424" s="45" t="s">
        <v>303</v>
      </c>
      <c r="S424" s="20">
        <v>0.48</v>
      </c>
    </row>
    <row r="425" spans="8:19" x14ac:dyDescent="0.25">
      <c r="H425">
        <v>3</v>
      </c>
      <c r="I425">
        <v>228</v>
      </c>
      <c r="J425">
        <v>115</v>
      </c>
      <c r="K425" t="b">
        <v>1</v>
      </c>
      <c r="N425" s="25" t="s">
        <v>505</v>
      </c>
      <c r="O425" s="2">
        <f>INDEX(Маршруты,MATCH(N425,$B$3:$B$498,0),1)</f>
        <v>19</v>
      </c>
      <c r="P425" s="27">
        <v>23</v>
      </c>
      <c r="Q425" s="2">
        <f>INDEX(Остановки,MATCH(R425,ИД_Остановки!$B$3:$B$467,0),1)</f>
        <v>95</v>
      </c>
      <c r="R425" s="45" t="s">
        <v>67</v>
      </c>
      <c r="S425" s="20">
        <v>0.36</v>
      </c>
    </row>
    <row r="426" spans="8:19" x14ac:dyDescent="0.25">
      <c r="H426">
        <v>3</v>
      </c>
      <c r="I426">
        <v>234</v>
      </c>
      <c r="J426">
        <v>115</v>
      </c>
      <c r="K426" t="b">
        <v>1</v>
      </c>
      <c r="N426" s="25" t="s">
        <v>505</v>
      </c>
      <c r="O426" s="2">
        <f>INDEX(Маршруты,MATCH(N426,$B$3:$B$498,0),1)</f>
        <v>19</v>
      </c>
      <c r="P426" s="27">
        <v>24</v>
      </c>
      <c r="Q426" s="2">
        <f>INDEX(Остановки,MATCH(R426,ИД_Остановки!$B$3:$B$467,0),1)</f>
        <v>127</v>
      </c>
      <c r="R426" s="45" t="s">
        <v>80</v>
      </c>
      <c r="S426" s="20">
        <v>0.74</v>
      </c>
    </row>
    <row r="427" spans="8:19" x14ac:dyDescent="0.25">
      <c r="H427">
        <v>3</v>
      </c>
      <c r="I427">
        <v>240</v>
      </c>
      <c r="J427">
        <v>115</v>
      </c>
      <c r="K427" t="b">
        <v>1</v>
      </c>
      <c r="N427" s="25" t="s">
        <v>505</v>
      </c>
      <c r="O427" s="2">
        <f>INDEX(Маршруты,MATCH(N427,$B$3:$B$498,0),1)</f>
        <v>19</v>
      </c>
      <c r="P427" s="27">
        <v>25</v>
      </c>
      <c r="Q427" s="2">
        <f>INDEX(Остановки,MATCH(R427,ИД_Остановки!$B$3:$B$467,0),1)</f>
        <v>128</v>
      </c>
      <c r="R427" s="45" t="s">
        <v>304</v>
      </c>
      <c r="S427" s="20">
        <v>0.6</v>
      </c>
    </row>
    <row r="428" spans="8:19" x14ac:dyDescent="0.25">
      <c r="H428">
        <v>3</v>
      </c>
      <c r="I428">
        <v>246</v>
      </c>
      <c r="J428">
        <v>115</v>
      </c>
      <c r="K428" t="b">
        <v>1</v>
      </c>
      <c r="N428" s="30" t="s">
        <v>505</v>
      </c>
      <c r="O428" s="2">
        <f>INDEX(Маршруты,MATCH(N428,$B$3:$B$498,0),1)</f>
        <v>19</v>
      </c>
      <c r="P428" s="27">
        <v>26</v>
      </c>
      <c r="Q428" s="2">
        <f>INDEX(Остановки,MATCH(R428,ИД_Остановки!$B$3:$B$467,0),1)</f>
        <v>118</v>
      </c>
      <c r="R428" s="45" t="s">
        <v>299</v>
      </c>
      <c r="S428" s="20">
        <v>0.71</v>
      </c>
    </row>
    <row r="429" spans="8:19" x14ac:dyDescent="0.25">
      <c r="H429">
        <v>3</v>
      </c>
      <c r="I429">
        <v>252</v>
      </c>
      <c r="J429">
        <v>115</v>
      </c>
      <c r="K429" t="b">
        <v>1</v>
      </c>
      <c r="N429" s="25" t="s">
        <v>505</v>
      </c>
      <c r="O429" s="2">
        <f>INDEX(Маршруты,MATCH(N429,$B$3:$B$498,0),1)</f>
        <v>19</v>
      </c>
      <c r="P429" s="27">
        <v>27</v>
      </c>
      <c r="Q429" s="2">
        <f>INDEX(Остановки,MATCH(R429,ИД_Остановки!$B$3:$B$467,0),1)</f>
        <v>119</v>
      </c>
      <c r="R429" s="45" t="s">
        <v>165</v>
      </c>
      <c r="S429" s="20">
        <v>0.51</v>
      </c>
    </row>
    <row r="430" spans="8:19" x14ac:dyDescent="0.25">
      <c r="H430">
        <v>3</v>
      </c>
      <c r="I430">
        <v>258</v>
      </c>
      <c r="J430">
        <v>115</v>
      </c>
      <c r="K430" t="b">
        <v>1</v>
      </c>
      <c r="N430" s="25" t="s">
        <v>505</v>
      </c>
      <c r="O430" s="2">
        <f>INDEX(Маршруты,MATCH(N430,$B$3:$B$498,0),1)</f>
        <v>19</v>
      </c>
      <c r="P430" s="27">
        <v>28</v>
      </c>
      <c r="Q430" s="2">
        <f>INDEX(Остановки,MATCH(R430,ИД_Остановки!$B$3:$B$467,0),1)</f>
        <v>120</v>
      </c>
      <c r="R430" s="45" t="s">
        <v>300</v>
      </c>
      <c r="S430" s="20">
        <v>1.1200000000000001</v>
      </c>
    </row>
    <row r="431" spans="8:19" x14ac:dyDescent="0.25">
      <c r="H431">
        <v>3</v>
      </c>
      <c r="I431">
        <v>264</v>
      </c>
      <c r="J431">
        <v>115</v>
      </c>
      <c r="K431" t="b">
        <v>1</v>
      </c>
      <c r="N431" s="30" t="s">
        <v>505</v>
      </c>
      <c r="O431" s="2">
        <f>INDEX(Маршруты,MATCH(N431,$B$3:$B$498,0),1)</f>
        <v>19</v>
      </c>
      <c r="P431" s="27">
        <v>29</v>
      </c>
      <c r="Q431" s="2">
        <f>INDEX(Остановки,MATCH(R431,ИД_Остановки!$B$3:$B$467,0),1)</f>
        <v>121</v>
      </c>
      <c r="R431" s="45" t="s">
        <v>76</v>
      </c>
      <c r="S431" s="20">
        <v>0.31</v>
      </c>
    </row>
    <row r="432" spans="8:19" x14ac:dyDescent="0.25">
      <c r="H432">
        <v>3</v>
      </c>
      <c r="I432">
        <v>270</v>
      </c>
      <c r="J432">
        <v>115</v>
      </c>
      <c r="K432" t="b">
        <v>1</v>
      </c>
      <c r="N432" s="30" t="s">
        <v>505</v>
      </c>
      <c r="O432" s="2">
        <f>INDEX(Маршруты,MATCH(N432,$B$3:$B$498,0),1)</f>
        <v>19</v>
      </c>
      <c r="P432" s="27">
        <v>30</v>
      </c>
      <c r="Q432" s="2">
        <f>INDEX(Остановки,MATCH(R432,ИД_Остановки!$B$3:$B$467,0),1)</f>
        <v>122</v>
      </c>
      <c r="R432" s="45" t="s">
        <v>616</v>
      </c>
      <c r="S432" s="20">
        <v>0.32</v>
      </c>
    </row>
    <row r="433" spans="8:19" x14ac:dyDescent="0.25">
      <c r="H433">
        <v>3</v>
      </c>
      <c r="I433">
        <v>276</v>
      </c>
      <c r="J433">
        <v>115</v>
      </c>
      <c r="K433" t="b">
        <v>1</v>
      </c>
      <c r="N433" s="26" t="s">
        <v>505</v>
      </c>
      <c r="O433" s="2">
        <f>INDEX(Маршруты,MATCH(N433,$B$3:$B$498,0),1)</f>
        <v>19</v>
      </c>
      <c r="P433" s="27">
        <v>31</v>
      </c>
      <c r="Q433" s="2">
        <f>INDEX(Остановки,MATCH(R433,ИД_Остановки!$B$3:$B$467,0),1)</f>
        <v>96</v>
      </c>
      <c r="R433" s="45" t="s">
        <v>285</v>
      </c>
      <c r="S433" s="20">
        <v>0.52</v>
      </c>
    </row>
    <row r="434" spans="8:19" x14ac:dyDescent="0.25">
      <c r="H434">
        <v>3</v>
      </c>
      <c r="I434">
        <v>282</v>
      </c>
      <c r="J434">
        <v>115</v>
      </c>
      <c r="K434" t="b">
        <v>1</v>
      </c>
      <c r="N434" s="30" t="s">
        <v>505</v>
      </c>
      <c r="O434" s="2">
        <f>INDEX(Маршруты,MATCH(N434,$B$3:$B$498,0),1)</f>
        <v>19</v>
      </c>
      <c r="P434" s="28">
        <v>32</v>
      </c>
      <c r="Q434" s="2">
        <f>INDEX(Остановки,MATCH(R434,ИД_Остановки!$B$3:$B$467,0),1)</f>
        <v>123</v>
      </c>
      <c r="R434" s="24" t="s">
        <v>301</v>
      </c>
      <c r="S434" s="20">
        <v>0.6</v>
      </c>
    </row>
    <row r="435" spans="8:19" x14ac:dyDescent="0.25">
      <c r="H435">
        <v>3</v>
      </c>
      <c r="I435">
        <v>288</v>
      </c>
      <c r="J435">
        <v>115</v>
      </c>
      <c r="K435" t="b">
        <v>1</v>
      </c>
      <c r="N435" s="25" t="s">
        <v>505</v>
      </c>
      <c r="O435" s="2">
        <f>INDEX(Маршруты,MATCH(N435,$B$3:$B$498,0),1)</f>
        <v>19</v>
      </c>
      <c r="P435" s="27">
        <v>33</v>
      </c>
      <c r="Q435" s="2">
        <f>INDEX(Остановки,MATCH(R435,ИД_Остановки!$B$3:$B$467,0),1)</f>
        <v>124</v>
      </c>
      <c r="R435" s="45" t="s">
        <v>78</v>
      </c>
      <c r="S435" s="20">
        <v>0.25</v>
      </c>
    </row>
    <row r="436" spans="8:19" x14ac:dyDescent="0.25">
      <c r="H436">
        <v>3</v>
      </c>
      <c r="I436">
        <v>294</v>
      </c>
      <c r="J436">
        <v>115</v>
      </c>
      <c r="K436" t="b">
        <v>1</v>
      </c>
      <c r="N436" s="30" t="s">
        <v>506</v>
      </c>
      <c r="O436" s="2">
        <f>INDEX(Маршруты,MATCH(N436,$B$3:$B$498,0),1)</f>
        <v>20</v>
      </c>
      <c r="P436" s="27">
        <v>1</v>
      </c>
      <c r="Q436" s="2">
        <f>INDEX(Остановки,MATCH(R436,ИД_Остановки!$B$3:$B$467,0),1)</f>
        <v>124</v>
      </c>
      <c r="R436" s="45" t="s">
        <v>78</v>
      </c>
      <c r="S436" s="20"/>
    </row>
    <row r="437" spans="8:19" x14ac:dyDescent="0.25">
      <c r="H437">
        <v>3</v>
      </c>
      <c r="I437">
        <v>300</v>
      </c>
      <c r="J437">
        <v>115</v>
      </c>
      <c r="K437" t="b">
        <v>1</v>
      </c>
      <c r="N437" s="30" t="s">
        <v>506</v>
      </c>
      <c r="O437" s="2">
        <f>INDEX(Маршруты,MATCH(N437,$B$3:$B$498,0),1)</f>
        <v>20</v>
      </c>
      <c r="P437" s="27">
        <v>2</v>
      </c>
      <c r="Q437" s="2">
        <f>INDEX(Остановки,MATCH(R437,ИД_Остановки!$B$3:$B$467,0),1)</f>
        <v>123</v>
      </c>
      <c r="R437" s="45" t="s">
        <v>301</v>
      </c>
      <c r="S437" s="20">
        <v>0.25</v>
      </c>
    </row>
    <row r="438" spans="8:19" x14ac:dyDescent="0.25">
      <c r="H438">
        <v>3</v>
      </c>
      <c r="I438">
        <v>306</v>
      </c>
      <c r="J438">
        <v>115</v>
      </c>
      <c r="K438" t="b">
        <v>1</v>
      </c>
      <c r="N438" s="30" t="s">
        <v>506</v>
      </c>
      <c r="O438" s="2">
        <f>INDEX(Маршруты,MATCH(N438,$B$3:$B$498,0),1)</f>
        <v>20</v>
      </c>
      <c r="P438" s="28">
        <v>3</v>
      </c>
      <c r="Q438" s="2">
        <f>INDEX(Остановки,MATCH(R438,ИД_Остановки!$B$3:$B$467,0),1)</f>
        <v>96</v>
      </c>
      <c r="R438" s="24" t="s">
        <v>285</v>
      </c>
      <c r="S438" s="20">
        <v>0.6</v>
      </c>
    </row>
    <row r="439" spans="8:19" x14ac:dyDescent="0.25">
      <c r="H439">
        <v>3</v>
      </c>
      <c r="I439">
        <v>312</v>
      </c>
      <c r="J439">
        <v>115</v>
      </c>
      <c r="K439" t="b">
        <v>1</v>
      </c>
      <c r="N439" s="25" t="s">
        <v>506</v>
      </c>
      <c r="O439" s="2">
        <f>INDEX(Маршруты,MATCH(N439,$B$3:$B$498,0),1)</f>
        <v>20</v>
      </c>
      <c r="P439" s="27">
        <v>4</v>
      </c>
      <c r="Q439" s="2">
        <f>INDEX(Остановки,MATCH(R439,ИД_Остановки!$B$3:$B$467,0),1)</f>
        <v>122</v>
      </c>
      <c r="R439" s="45" t="s">
        <v>616</v>
      </c>
      <c r="S439" s="20">
        <v>0.52</v>
      </c>
    </row>
    <row r="440" spans="8:19" x14ac:dyDescent="0.25">
      <c r="H440">
        <v>3</v>
      </c>
      <c r="I440">
        <v>318</v>
      </c>
      <c r="J440">
        <v>115</v>
      </c>
      <c r="K440" t="b">
        <v>1</v>
      </c>
      <c r="N440" s="25" t="s">
        <v>506</v>
      </c>
      <c r="O440" s="2">
        <f>INDEX(Маршруты,MATCH(N440,$B$3:$B$498,0),1)</f>
        <v>20</v>
      </c>
      <c r="P440" s="27">
        <v>5</v>
      </c>
      <c r="Q440" s="2">
        <f>INDEX(Остановки,MATCH(R440,ИД_Остановки!$B$3:$B$467,0),1)</f>
        <v>121</v>
      </c>
      <c r="R440" s="45" t="s">
        <v>76</v>
      </c>
      <c r="S440" s="20">
        <v>0.32</v>
      </c>
    </row>
    <row r="441" spans="8:19" x14ac:dyDescent="0.25">
      <c r="H441">
        <v>3</v>
      </c>
      <c r="I441">
        <v>324</v>
      </c>
      <c r="J441">
        <v>115</v>
      </c>
      <c r="K441" t="b">
        <v>1</v>
      </c>
      <c r="N441" s="30" t="s">
        <v>506</v>
      </c>
      <c r="O441" s="2">
        <f>INDEX(Маршруты,MATCH(N441,$B$3:$B$498,0),1)</f>
        <v>20</v>
      </c>
      <c r="P441" s="27">
        <v>6</v>
      </c>
      <c r="Q441" s="2">
        <f>INDEX(Остановки,MATCH(R441,ИД_Остановки!$B$3:$B$467,0),1)</f>
        <v>120</v>
      </c>
      <c r="R441" s="45" t="s">
        <v>300</v>
      </c>
      <c r="S441" s="20">
        <v>0.31</v>
      </c>
    </row>
    <row r="442" spans="8:19" x14ac:dyDescent="0.25">
      <c r="H442">
        <v>3</v>
      </c>
      <c r="I442">
        <v>330</v>
      </c>
      <c r="J442">
        <v>115</v>
      </c>
      <c r="K442" t="b">
        <v>1</v>
      </c>
      <c r="N442" s="30" t="s">
        <v>506</v>
      </c>
      <c r="O442" s="2">
        <f>INDEX(Маршруты,MATCH(N442,$B$3:$B$498,0),1)</f>
        <v>20</v>
      </c>
      <c r="P442" s="27">
        <v>7</v>
      </c>
      <c r="Q442" s="2">
        <f>INDEX(Остановки,MATCH(R442,ИД_Остановки!$B$3:$B$467,0),1)</f>
        <v>119</v>
      </c>
      <c r="R442" s="45" t="s">
        <v>165</v>
      </c>
      <c r="S442" s="20">
        <v>1.1200000000000001</v>
      </c>
    </row>
    <row r="443" spans="8:19" x14ac:dyDescent="0.25">
      <c r="H443">
        <v>3</v>
      </c>
      <c r="I443">
        <v>336</v>
      </c>
      <c r="J443">
        <v>115</v>
      </c>
      <c r="K443" t="b">
        <v>1</v>
      </c>
      <c r="N443" s="30" t="s">
        <v>506</v>
      </c>
      <c r="O443" s="2">
        <f>INDEX(Маршруты,MATCH(N443,$B$3:$B$498,0),1)</f>
        <v>20</v>
      </c>
      <c r="P443" s="27">
        <v>8</v>
      </c>
      <c r="Q443" s="2">
        <f>INDEX(Остановки,MATCH(R443,ИД_Остановки!$B$3:$B$467,0),1)</f>
        <v>118</v>
      </c>
      <c r="R443" s="45" t="s">
        <v>299</v>
      </c>
      <c r="S443" s="20">
        <v>0.51</v>
      </c>
    </row>
    <row r="444" spans="8:19" x14ac:dyDescent="0.25">
      <c r="H444">
        <v>3</v>
      </c>
      <c r="I444">
        <v>342</v>
      </c>
      <c r="J444">
        <v>115</v>
      </c>
      <c r="K444" t="b">
        <v>1</v>
      </c>
      <c r="N444" s="30" t="s">
        <v>506</v>
      </c>
      <c r="O444" s="2">
        <f>INDEX(Маршруты,MATCH(N444,$B$3:$B$498,0),1)</f>
        <v>20</v>
      </c>
      <c r="P444" s="27">
        <v>9</v>
      </c>
      <c r="Q444" s="2">
        <f>INDEX(Остановки,MATCH(R444,ИД_Остановки!$B$3:$B$467,0),1)</f>
        <v>128</v>
      </c>
      <c r="R444" s="45" t="s">
        <v>304</v>
      </c>
      <c r="S444" s="20">
        <v>0.71</v>
      </c>
    </row>
    <row r="445" spans="8:19" x14ac:dyDescent="0.25">
      <c r="H445">
        <v>3</v>
      </c>
      <c r="I445">
        <v>348</v>
      </c>
      <c r="J445">
        <v>115</v>
      </c>
      <c r="K445" t="b">
        <v>1</v>
      </c>
      <c r="N445" s="26" t="s">
        <v>506</v>
      </c>
      <c r="O445" s="2">
        <f>INDEX(Маршруты,MATCH(N445,$B$3:$B$498,0),1)</f>
        <v>20</v>
      </c>
      <c r="P445" s="27">
        <v>10</v>
      </c>
      <c r="Q445" s="2">
        <f>INDEX(Остановки,MATCH(R445,ИД_Остановки!$B$3:$B$467,0),1)</f>
        <v>127</v>
      </c>
      <c r="R445" s="45" t="s">
        <v>80</v>
      </c>
      <c r="S445" s="20">
        <v>0.6</v>
      </c>
    </row>
    <row r="446" spans="8:19" x14ac:dyDescent="0.25">
      <c r="H446">
        <v>3</v>
      </c>
      <c r="I446">
        <v>354</v>
      </c>
      <c r="J446">
        <v>115</v>
      </c>
      <c r="K446" t="b">
        <v>1</v>
      </c>
      <c r="N446" s="30" t="s">
        <v>506</v>
      </c>
      <c r="O446" s="2">
        <f>INDEX(Маршруты,MATCH(N446,$B$3:$B$498,0),1)</f>
        <v>20</v>
      </c>
      <c r="P446" s="27">
        <v>11</v>
      </c>
      <c r="Q446" s="2">
        <f>INDEX(Остановки,MATCH(R446,ИД_Остановки!$B$3:$B$467,0),1)</f>
        <v>95</v>
      </c>
      <c r="R446" s="24" t="s">
        <v>67</v>
      </c>
      <c r="S446" s="20">
        <v>0.74</v>
      </c>
    </row>
    <row r="447" spans="8:19" x14ac:dyDescent="0.25">
      <c r="H447">
        <v>3</v>
      </c>
      <c r="I447">
        <v>360</v>
      </c>
      <c r="J447">
        <v>115</v>
      </c>
      <c r="K447" t="b">
        <v>1</v>
      </c>
      <c r="N447" s="30" t="s">
        <v>506</v>
      </c>
      <c r="O447" s="2">
        <f>INDEX(Маршруты,MATCH(N447,$B$3:$B$498,0),1)</f>
        <v>20</v>
      </c>
      <c r="P447" s="27">
        <v>12</v>
      </c>
      <c r="Q447" s="2">
        <f>INDEX(Остановки,MATCH(R447,ИД_Остановки!$B$3:$B$467,0),1)</f>
        <v>126</v>
      </c>
      <c r="R447" s="45" t="s">
        <v>303</v>
      </c>
      <c r="S447" s="20">
        <v>0.36</v>
      </c>
    </row>
    <row r="448" spans="8:19" x14ac:dyDescent="0.25">
      <c r="H448">
        <v>3</v>
      </c>
      <c r="I448">
        <v>366</v>
      </c>
      <c r="J448">
        <v>115</v>
      </c>
      <c r="K448" t="b">
        <v>1</v>
      </c>
      <c r="N448" s="30" t="s">
        <v>506</v>
      </c>
      <c r="O448" s="2">
        <f>INDEX(Маршруты,MATCH(N448,$B$3:$B$498,0),1)</f>
        <v>20</v>
      </c>
      <c r="P448" s="27">
        <v>13</v>
      </c>
      <c r="Q448" s="2">
        <f>INDEX(Остановки,MATCH(R448,ИД_Остановки!$B$3:$B$467,0),1)</f>
        <v>94</v>
      </c>
      <c r="R448" s="45" t="s">
        <v>66</v>
      </c>
      <c r="S448" s="20">
        <v>0.48</v>
      </c>
    </row>
    <row r="449" spans="8:19" x14ac:dyDescent="0.25">
      <c r="H449">
        <v>3</v>
      </c>
      <c r="I449">
        <v>372</v>
      </c>
      <c r="J449">
        <v>115</v>
      </c>
      <c r="K449" t="b">
        <v>1</v>
      </c>
      <c r="N449" s="26" t="s">
        <v>506</v>
      </c>
      <c r="O449" s="2">
        <f>INDEX(Маршруты,MATCH(N449,$B$3:$B$498,0),1)</f>
        <v>20</v>
      </c>
      <c r="P449" s="27">
        <v>14</v>
      </c>
      <c r="Q449" s="2">
        <f>INDEX(Остановки,MATCH(R449,ИД_Остановки!$B$3:$B$467,0),1)</f>
        <v>445</v>
      </c>
      <c r="R449" s="45" t="s">
        <v>302</v>
      </c>
      <c r="S449" s="20">
        <v>0.8</v>
      </c>
    </row>
    <row r="450" spans="8:19" x14ac:dyDescent="0.25">
      <c r="H450">
        <v>3</v>
      </c>
      <c r="I450">
        <v>378</v>
      </c>
      <c r="J450">
        <v>115</v>
      </c>
      <c r="K450" t="b">
        <v>1</v>
      </c>
      <c r="N450" s="30" t="s">
        <v>506</v>
      </c>
      <c r="O450" s="2">
        <f>INDEX(Маршруты,MATCH(N450,$B$3:$B$498,0),1)</f>
        <v>20</v>
      </c>
      <c r="P450" s="28">
        <v>15</v>
      </c>
      <c r="Q450" s="2">
        <f>INDEX(Остановки,MATCH(R450,ИД_Остановки!$B$3:$B$467,0),1)</f>
        <v>125</v>
      </c>
      <c r="R450" s="24" t="s">
        <v>79</v>
      </c>
      <c r="S450" s="20">
        <v>0.48</v>
      </c>
    </row>
    <row r="451" spans="8:19" x14ac:dyDescent="0.25">
      <c r="H451">
        <v>3</v>
      </c>
      <c r="I451">
        <v>384</v>
      </c>
      <c r="J451">
        <v>115</v>
      </c>
      <c r="K451" t="b">
        <v>1</v>
      </c>
      <c r="N451" s="30" t="s">
        <v>506</v>
      </c>
      <c r="O451" s="2">
        <f>INDEX(Маршруты,MATCH(N451,$B$3:$B$498,0),1)</f>
        <v>20</v>
      </c>
      <c r="P451" s="27">
        <v>16</v>
      </c>
      <c r="Q451" s="2">
        <f>INDEX(Остановки,MATCH(R451,ИД_Остановки!$B$3:$B$467,0),1)</f>
        <v>80</v>
      </c>
      <c r="R451" s="24" t="s">
        <v>57</v>
      </c>
      <c r="S451" s="20">
        <v>0.44</v>
      </c>
    </row>
    <row r="452" spans="8:19" x14ac:dyDescent="0.25">
      <c r="H452">
        <v>3</v>
      </c>
      <c r="I452">
        <v>390</v>
      </c>
      <c r="J452">
        <v>115</v>
      </c>
      <c r="K452" t="b">
        <v>1</v>
      </c>
      <c r="N452" s="30" t="s">
        <v>506</v>
      </c>
      <c r="O452" s="2">
        <f>INDEX(Маршруты,MATCH(N452,$B$3:$B$498,0),1)</f>
        <v>20</v>
      </c>
      <c r="P452" s="28">
        <v>17</v>
      </c>
      <c r="Q452" s="2">
        <f>INDEX(Остановки,MATCH(R452,ИД_Остановки!$B$3:$B$467,0),1)</f>
        <v>108</v>
      </c>
      <c r="R452" s="24" t="s">
        <v>648</v>
      </c>
      <c r="S452" s="21">
        <v>0.76</v>
      </c>
    </row>
    <row r="453" spans="8:19" x14ac:dyDescent="0.25">
      <c r="H453">
        <v>3</v>
      </c>
      <c r="I453">
        <v>396</v>
      </c>
      <c r="J453">
        <v>115</v>
      </c>
      <c r="K453" t="b">
        <v>1</v>
      </c>
      <c r="N453" s="30" t="s">
        <v>506</v>
      </c>
      <c r="O453" s="2">
        <f>INDEX(Маршруты,MATCH(N453,$B$3:$B$498,0),1)</f>
        <v>20</v>
      </c>
      <c r="P453" s="27">
        <v>18</v>
      </c>
      <c r="Q453" s="2">
        <f>INDEX(Остановки,MATCH(R453,ИД_Остановки!$B$3:$B$467,0),1)</f>
        <v>107</v>
      </c>
      <c r="R453" s="45" t="s">
        <v>292</v>
      </c>
      <c r="S453" s="20">
        <v>0.55000000000000004</v>
      </c>
    </row>
    <row r="454" spans="8:19" x14ac:dyDescent="0.25">
      <c r="H454">
        <v>3</v>
      </c>
      <c r="I454">
        <v>402</v>
      </c>
      <c r="J454">
        <v>115</v>
      </c>
      <c r="K454" t="b">
        <v>1</v>
      </c>
      <c r="N454" s="30" t="s">
        <v>506</v>
      </c>
      <c r="O454" s="2">
        <f>INDEX(Маршруты,MATCH(N454,$B$3:$B$498,0),1)</f>
        <v>20</v>
      </c>
      <c r="P454" s="27">
        <v>19</v>
      </c>
      <c r="Q454" s="2">
        <f>INDEX(Остановки,MATCH(R454,ИД_Остановки!$B$3:$B$467,0),1)</f>
        <v>91</v>
      </c>
      <c r="R454" s="45" t="s">
        <v>283</v>
      </c>
      <c r="S454" s="20">
        <v>0.46</v>
      </c>
    </row>
    <row r="455" spans="8:19" x14ac:dyDescent="0.25">
      <c r="H455">
        <v>3</v>
      </c>
      <c r="I455">
        <v>408</v>
      </c>
      <c r="J455">
        <v>115</v>
      </c>
      <c r="K455" t="b">
        <v>1</v>
      </c>
      <c r="N455" s="30" t="s">
        <v>506</v>
      </c>
      <c r="O455" s="2">
        <f>INDEX(Маршруты,MATCH(N455,$B$3:$B$498,0),1)</f>
        <v>20</v>
      </c>
      <c r="P455" s="27">
        <v>20</v>
      </c>
      <c r="Q455" s="2">
        <f>INDEX(Остановки,MATCH(R455,ИД_Остановки!$B$3:$B$467,0),1)</f>
        <v>90</v>
      </c>
      <c r="R455" s="45" t="s">
        <v>282</v>
      </c>
      <c r="S455" s="20">
        <v>0.74</v>
      </c>
    </row>
    <row r="456" spans="8:19" x14ac:dyDescent="0.25">
      <c r="H456">
        <v>3</v>
      </c>
      <c r="I456">
        <v>414</v>
      </c>
      <c r="J456">
        <v>115</v>
      </c>
      <c r="K456" t="b">
        <v>1</v>
      </c>
      <c r="N456" s="30" t="s">
        <v>506</v>
      </c>
      <c r="O456" s="2">
        <f>INDEX(Маршруты,MATCH(N456,$B$3:$B$498,0),1)</f>
        <v>20</v>
      </c>
      <c r="P456" s="27">
        <v>21</v>
      </c>
      <c r="Q456" s="2">
        <f>INDEX(Остановки,MATCH(R456,ИД_Остановки!$B$3:$B$467,0),1)</f>
        <v>89</v>
      </c>
      <c r="R456" s="24" t="s">
        <v>64</v>
      </c>
      <c r="S456" s="20">
        <v>0.54</v>
      </c>
    </row>
    <row r="457" spans="8:19" x14ac:dyDescent="0.25">
      <c r="H457">
        <v>3</v>
      </c>
      <c r="I457">
        <v>420</v>
      </c>
      <c r="J457">
        <v>115</v>
      </c>
      <c r="K457" t="b">
        <v>1</v>
      </c>
      <c r="N457" s="30" t="s">
        <v>506</v>
      </c>
      <c r="O457" s="2">
        <f>INDEX(Маршруты,MATCH(N457,$B$3:$B$498,0),1)</f>
        <v>20</v>
      </c>
      <c r="P457" s="28">
        <v>22</v>
      </c>
      <c r="Q457" s="2">
        <f>INDEX(Остановки,MATCH(R457,ИД_Остановки!$B$3:$B$467,0),1)</f>
        <v>88</v>
      </c>
      <c r="R457" s="24" t="s">
        <v>63</v>
      </c>
      <c r="S457" s="21">
        <v>0.79</v>
      </c>
    </row>
    <row r="458" spans="8:19" x14ac:dyDescent="0.25">
      <c r="H458">
        <v>3</v>
      </c>
      <c r="I458">
        <v>426</v>
      </c>
      <c r="J458">
        <v>115</v>
      </c>
      <c r="K458" t="b">
        <v>1</v>
      </c>
      <c r="N458" s="25" t="s">
        <v>506</v>
      </c>
      <c r="O458" s="2">
        <f>INDEX(Маршруты,MATCH(N458,$B$3:$B$498,0),1)</f>
        <v>20</v>
      </c>
      <c r="P458" s="28">
        <v>23</v>
      </c>
      <c r="Q458" s="2">
        <f>INDEX(Остановки,MATCH(R458,ИД_Остановки!$B$3:$B$467,0),1)</f>
        <v>87</v>
      </c>
      <c r="R458" s="24" t="s">
        <v>62</v>
      </c>
      <c r="S458" s="20">
        <v>0.45</v>
      </c>
    </row>
    <row r="459" spans="8:19" x14ac:dyDescent="0.25">
      <c r="H459">
        <v>3</v>
      </c>
      <c r="I459">
        <v>432</v>
      </c>
      <c r="J459">
        <v>115</v>
      </c>
      <c r="K459" t="b">
        <v>1</v>
      </c>
      <c r="N459" s="25" t="s">
        <v>506</v>
      </c>
      <c r="O459" s="2">
        <f>INDEX(Маршруты,MATCH(N459,$B$3:$B$498,0),1)</f>
        <v>20</v>
      </c>
      <c r="P459" s="27">
        <v>24</v>
      </c>
      <c r="Q459" s="2">
        <f>INDEX(Остановки,MATCH(R459,ИД_Остановки!$B$3:$B$467,0),1)</f>
        <v>86</v>
      </c>
      <c r="R459" s="45" t="s">
        <v>61</v>
      </c>
      <c r="S459" s="20">
        <v>0.75</v>
      </c>
    </row>
    <row r="460" spans="8:19" x14ac:dyDescent="0.25">
      <c r="H460">
        <v>3</v>
      </c>
      <c r="I460">
        <v>438</v>
      </c>
      <c r="J460">
        <v>115</v>
      </c>
      <c r="K460" t="b">
        <v>1</v>
      </c>
      <c r="N460" s="32" t="s">
        <v>506</v>
      </c>
      <c r="O460" s="2">
        <f>INDEX(Маршруты,MATCH(N460,$B$3:$B$498,0),1)</f>
        <v>20</v>
      </c>
      <c r="P460" s="27">
        <v>25</v>
      </c>
      <c r="Q460" s="2">
        <f>INDEX(Остановки,MATCH(R460,ИД_Остановки!$B$3:$B$467,0),1)</f>
        <v>106</v>
      </c>
      <c r="R460" s="45" t="s">
        <v>291</v>
      </c>
      <c r="S460" s="20">
        <v>0.66</v>
      </c>
    </row>
    <row r="461" spans="8:19" x14ac:dyDescent="0.25">
      <c r="H461">
        <v>3</v>
      </c>
      <c r="I461">
        <v>444</v>
      </c>
      <c r="J461">
        <v>115</v>
      </c>
      <c r="K461" t="b">
        <v>1</v>
      </c>
      <c r="N461" s="25" t="s">
        <v>506</v>
      </c>
      <c r="O461" s="2">
        <f>INDEX(Маршруты,MATCH(N461,$B$3:$B$498,0),1)</f>
        <v>20</v>
      </c>
      <c r="P461" s="28">
        <v>26</v>
      </c>
      <c r="Q461" s="2">
        <f>INDEX(Остановки,MATCH(R461,ИД_Остановки!$B$3:$B$467,0),1)</f>
        <v>105</v>
      </c>
      <c r="R461" s="24" t="s">
        <v>615</v>
      </c>
      <c r="S461" s="20">
        <v>0.34</v>
      </c>
    </row>
    <row r="462" spans="8:19" x14ac:dyDescent="0.25">
      <c r="H462">
        <v>3</v>
      </c>
      <c r="I462">
        <v>450</v>
      </c>
      <c r="J462">
        <v>115</v>
      </c>
      <c r="K462" t="b">
        <v>1</v>
      </c>
      <c r="N462" s="30" t="s">
        <v>506</v>
      </c>
      <c r="O462" s="2">
        <f>INDEX(Маршруты,MATCH(N462,$B$3:$B$498,0),1)</f>
        <v>20</v>
      </c>
      <c r="P462" s="27">
        <v>27</v>
      </c>
      <c r="Q462" s="2">
        <f>INDEX(Остановки,MATCH(R462,ИД_Остановки!$B$3:$B$467,0),1)</f>
        <v>84</v>
      </c>
      <c r="R462" s="45" t="s">
        <v>281</v>
      </c>
      <c r="S462" s="20">
        <v>0.54</v>
      </c>
    </row>
    <row r="463" spans="8:19" x14ac:dyDescent="0.25">
      <c r="H463">
        <v>3</v>
      </c>
      <c r="I463">
        <v>456</v>
      </c>
      <c r="J463">
        <v>115</v>
      </c>
      <c r="K463" t="b">
        <v>1</v>
      </c>
      <c r="N463" s="25" t="s">
        <v>506</v>
      </c>
      <c r="O463" s="2">
        <f>INDEX(Маршруты,MATCH(N463,$B$3:$B$498,0),1)</f>
        <v>20</v>
      </c>
      <c r="P463" s="27">
        <v>28</v>
      </c>
      <c r="Q463" s="2">
        <f>INDEX(Остановки,MATCH(R463,ИД_Остановки!$B$3:$B$467,0),1)</f>
        <v>380</v>
      </c>
      <c r="R463" s="45" t="s">
        <v>438</v>
      </c>
      <c r="S463" s="20">
        <v>0.39</v>
      </c>
    </row>
    <row r="464" spans="8:19" x14ac:dyDescent="0.25">
      <c r="H464">
        <v>3</v>
      </c>
      <c r="I464">
        <v>462</v>
      </c>
      <c r="J464">
        <v>115</v>
      </c>
      <c r="K464" t="b">
        <v>1</v>
      </c>
      <c r="N464" s="25" t="s">
        <v>506</v>
      </c>
      <c r="O464" s="2">
        <f>INDEX(Маршруты,MATCH(N464,$B$3:$B$498,0),1)</f>
        <v>20</v>
      </c>
      <c r="P464" s="27">
        <v>29</v>
      </c>
      <c r="Q464" s="2">
        <f>INDEX(Остановки,MATCH(R464,ИД_Остановки!$B$3:$B$467,0),1)</f>
        <v>103</v>
      </c>
      <c r="R464" s="45" t="s">
        <v>288</v>
      </c>
      <c r="S464" s="20">
        <v>0.5</v>
      </c>
    </row>
    <row r="465" spans="8:19" x14ac:dyDescent="0.25">
      <c r="H465">
        <v>3</v>
      </c>
      <c r="I465">
        <v>468</v>
      </c>
      <c r="J465">
        <v>115</v>
      </c>
      <c r="K465" t="b">
        <v>1</v>
      </c>
      <c r="N465" s="25" t="s">
        <v>506</v>
      </c>
      <c r="O465" s="2">
        <f>INDEX(Маршруты,MATCH(N465,$B$3:$B$498,0),1)</f>
        <v>20</v>
      </c>
      <c r="P465" s="27">
        <v>30</v>
      </c>
      <c r="Q465" s="2">
        <f>INDEX(Остановки,MATCH(R465,ИД_Остановки!$B$3:$B$467,0),1)</f>
        <v>83</v>
      </c>
      <c r="R465" s="45" t="s">
        <v>280</v>
      </c>
      <c r="S465" s="20">
        <v>0.3</v>
      </c>
    </row>
    <row r="466" spans="8:19" x14ac:dyDescent="0.25">
      <c r="H466">
        <v>3</v>
      </c>
      <c r="I466">
        <v>474</v>
      </c>
      <c r="J466">
        <v>115</v>
      </c>
      <c r="K466" t="b">
        <v>1</v>
      </c>
      <c r="N466" s="30" t="s">
        <v>506</v>
      </c>
      <c r="O466" s="2">
        <f>INDEX(Маршруты,MATCH(N466,$B$3:$B$498,0),1)</f>
        <v>20</v>
      </c>
      <c r="P466" s="27">
        <v>31</v>
      </c>
      <c r="Q466" s="2">
        <f>INDEX(Остановки,MATCH(R466,ИД_Остановки!$B$3:$B$467,0),1)</f>
        <v>146</v>
      </c>
      <c r="R466" s="45" t="s">
        <v>646</v>
      </c>
      <c r="S466" s="20">
        <v>0.44</v>
      </c>
    </row>
    <row r="467" spans="8:19" x14ac:dyDescent="0.25">
      <c r="H467">
        <v>3</v>
      </c>
      <c r="I467">
        <v>480</v>
      </c>
      <c r="J467">
        <v>115</v>
      </c>
      <c r="K467" t="b">
        <v>1</v>
      </c>
      <c r="N467" s="25" t="s">
        <v>506</v>
      </c>
      <c r="O467" s="2">
        <f>INDEX(Маршруты,MATCH(N467,$B$3:$B$498,0),1)</f>
        <v>20</v>
      </c>
      <c r="P467" s="27">
        <v>32</v>
      </c>
      <c r="Q467" s="2">
        <f>INDEX(Остановки,MATCH(R467,ИД_Остановки!$B$3:$B$467,0),1)</f>
        <v>82</v>
      </c>
      <c r="R467" s="24" t="s">
        <v>59</v>
      </c>
      <c r="S467" s="20">
        <v>0.47</v>
      </c>
    </row>
    <row r="468" spans="8:19" x14ac:dyDescent="0.25">
      <c r="H468">
        <v>3</v>
      </c>
      <c r="I468">
        <v>486</v>
      </c>
      <c r="J468">
        <v>115</v>
      </c>
      <c r="K468" t="b">
        <v>1</v>
      </c>
      <c r="N468" s="30" t="s">
        <v>506</v>
      </c>
      <c r="O468" s="2">
        <f>INDEX(Маршруты,MATCH(N468,$B$3:$B$498,0),1)</f>
        <v>20</v>
      </c>
      <c r="P468" s="27">
        <v>33</v>
      </c>
      <c r="Q468" s="2">
        <f>INDEX(Остановки,MATCH(R468,ИД_Остановки!$B$3:$B$467,0),1)</f>
        <v>15</v>
      </c>
      <c r="R468" s="45" t="s">
        <v>15</v>
      </c>
      <c r="S468" s="20">
        <v>0.35</v>
      </c>
    </row>
    <row r="469" spans="8:19" x14ac:dyDescent="0.25">
      <c r="H469">
        <v>3</v>
      </c>
      <c r="I469">
        <v>492</v>
      </c>
      <c r="J469">
        <v>115</v>
      </c>
      <c r="K469" t="b">
        <v>1</v>
      </c>
      <c r="N469" s="30" t="s">
        <v>507</v>
      </c>
      <c r="O469" s="2">
        <f>INDEX(Маршруты,MATCH(N469,$B$3:$B$498,0),1)</f>
        <v>21</v>
      </c>
      <c r="P469" s="27">
        <v>1</v>
      </c>
      <c r="Q469" s="2">
        <f>INDEX(Остановки,MATCH(R469,ИД_Остановки!$B$3:$B$467,0),1)</f>
        <v>124</v>
      </c>
      <c r="R469" s="45" t="s">
        <v>78</v>
      </c>
      <c r="S469" s="20"/>
    </row>
    <row r="470" spans="8:19" x14ac:dyDescent="0.25">
      <c r="H470">
        <v>3</v>
      </c>
      <c r="I470">
        <v>498</v>
      </c>
      <c r="J470">
        <v>115</v>
      </c>
      <c r="K470" t="b">
        <v>1</v>
      </c>
      <c r="N470" s="26" t="s">
        <v>507</v>
      </c>
      <c r="O470" s="2">
        <f>INDEX(Маршруты,MATCH(N470,$B$3:$B$498,0),1)</f>
        <v>21</v>
      </c>
      <c r="P470" s="27">
        <v>2</v>
      </c>
      <c r="Q470" s="2">
        <f>INDEX(Остановки,MATCH(R470,ИД_Остановки!$B$3:$B$467,0),1)</f>
        <v>123</v>
      </c>
      <c r="R470" s="45" t="s">
        <v>301</v>
      </c>
      <c r="S470" s="20">
        <v>0.25</v>
      </c>
    </row>
    <row r="471" spans="8:19" x14ac:dyDescent="0.25">
      <c r="H471">
        <v>3</v>
      </c>
      <c r="I471">
        <v>504</v>
      </c>
      <c r="J471">
        <v>115</v>
      </c>
      <c r="K471" t="b">
        <v>1</v>
      </c>
      <c r="N471" s="30" t="s">
        <v>507</v>
      </c>
      <c r="O471" s="2">
        <f>INDEX(Маршруты,MATCH(N471,$B$3:$B$498,0),1)</f>
        <v>21</v>
      </c>
      <c r="P471" s="28">
        <v>3</v>
      </c>
      <c r="Q471" s="2">
        <f>INDEX(Остановки,MATCH(R471,ИД_Остановки!$B$3:$B$467,0),1)</f>
        <v>96</v>
      </c>
      <c r="R471" s="24" t="s">
        <v>285</v>
      </c>
      <c r="S471" s="20">
        <v>0.6</v>
      </c>
    </row>
    <row r="472" spans="8:19" x14ac:dyDescent="0.25">
      <c r="H472">
        <v>3</v>
      </c>
      <c r="I472">
        <v>510</v>
      </c>
      <c r="J472">
        <v>115</v>
      </c>
      <c r="K472" t="b">
        <v>1</v>
      </c>
      <c r="N472" s="30" t="s">
        <v>507</v>
      </c>
      <c r="O472" s="2">
        <f>INDEX(Маршруты,MATCH(N472,$B$3:$B$498,0),1)</f>
        <v>21</v>
      </c>
      <c r="P472" s="27">
        <v>4</v>
      </c>
      <c r="Q472" s="2">
        <f>INDEX(Остановки,MATCH(R472,ИД_Остановки!$B$3:$B$467,0),1)</f>
        <v>122</v>
      </c>
      <c r="R472" s="45" t="s">
        <v>616</v>
      </c>
      <c r="S472" s="20">
        <v>0.52</v>
      </c>
    </row>
    <row r="473" spans="8:19" x14ac:dyDescent="0.25">
      <c r="H473">
        <v>3</v>
      </c>
      <c r="I473">
        <v>516</v>
      </c>
      <c r="J473">
        <v>115</v>
      </c>
      <c r="K473" t="b">
        <v>1</v>
      </c>
      <c r="N473" s="25" t="s">
        <v>507</v>
      </c>
      <c r="O473" s="2">
        <f>INDEX(Маршруты,MATCH(N473,$B$3:$B$498,0),1)</f>
        <v>21</v>
      </c>
      <c r="P473" s="27">
        <v>5</v>
      </c>
      <c r="Q473" s="2">
        <f>INDEX(Остановки,MATCH(R473,ИД_Остановки!$B$3:$B$467,0),1)</f>
        <v>121</v>
      </c>
      <c r="R473" s="24" t="s">
        <v>76</v>
      </c>
      <c r="S473" s="20">
        <v>0.32</v>
      </c>
    </row>
    <row r="474" spans="8:19" x14ac:dyDescent="0.25">
      <c r="H474">
        <v>3</v>
      </c>
      <c r="I474">
        <v>522</v>
      </c>
      <c r="J474">
        <v>115</v>
      </c>
      <c r="K474" t="b">
        <v>1</v>
      </c>
      <c r="N474" s="25" t="s">
        <v>507</v>
      </c>
      <c r="O474" s="2">
        <f>INDEX(Маршруты,MATCH(N474,$B$3:$B$498,0),1)</f>
        <v>21</v>
      </c>
      <c r="P474" s="27">
        <v>6</v>
      </c>
      <c r="Q474" s="2">
        <f>INDEX(Остановки,MATCH(R474,ИД_Остановки!$B$3:$B$467,0),1)</f>
        <v>120</v>
      </c>
      <c r="R474" s="45" t="s">
        <v>300</v>
      </c>
      <c r="S474" s="20">
        <v>0.31</v>
      </c>
    </row>
    <row r="475" spans="8:19" x14ac:dyDescent="0.25">
      <c r="H475">
        <v>3</v>
      </c>
      <c r="I475">
        <v>528</v>
      </c>
      <c r="J475">
        <v>115</v>
      </c>
      <c r="K475" t="b">
        <v>1</v>
      </c>
      <c r="N475" s="25" t="s">
        <v>507</v>
      </c>
      <c r="O475" s="2">
        <f>INDEX(Маршруты,MATCH(N475,$B$3:$B$498,0),1)</f>
        <v>21</v>
      </c>
      <c r="P475" s="27">
        <v>7</v>
      </c>
      <c r="Q475" s="2">
        <f>INDEX(Остановки,MATCH(R475,ИД_Остановки!$B$3:$B$467,0),1)</f>
        <v>119</v>
      </c>
      <c r="R475" s="45" t="s">
        <v>165</v>
      </c>
      <c r="S475" s="20">
        <v>1.1200000000000001</v>
      </c>
    </row>
    <row r="476" spans="8:19" x14ac:dyDescent="0.25">
      <c r="H476">
        <v>3</v>
      </c>
      <c r="I476">
        <v>534</v>
      </c>
      <c r="J476">
        <v>115</v>
      </c>
      <c r="K476" t="b">
        <v>1</v>
      </c>
      <c r="N476" s="25" t="s">
        <v>507</v>
      </c>
      <c r="O476" s="2">
        <f>INDEX(Маршруты,MATCH(N476,$B$3:$B$498,0),1)</f>
        <v>21</v>
      </c>
      <c r="P476" s="27">
        <v>8</v>
      </c>
      <c r="Q476" s="2">
        <f>INDEX(Остановки,MATCH(R476,ИД_Остановки!$B$3:$B$467,0),1)</f>
        <v>117</v>
      </c>
      <c r="R476" s="45" t="s">
        <v>298</v>
      </c>
      <c r="S476" s="20">
        <v>0.79</v>
      </c>
    </row>
    <row r="477" spans="8:19" x14ac:dyDescent="0.25">
      <c r="H477">
        <v>3</v>
      </c>
      <c r="I477">
        <v>540</v>
      </c>
      <c r="J477">
        <v>115</v>
      </c>
      <c r="K477" t="b">
        <v>1</v>
      </c>
      <c r="N477" s="26" t="s">
        <v>507</v>
      </c>
      <c r="O477" s="2">
        <f>INDEX(Маршруты,MATCH(N477,$B$3:$B$498,0),1)</f>
        <v>21</v>
      </c>
      <c r="P477" s="27">
        <v>9</v>
      </c>
      <c r="Q477" s="2">
        <f>INDEX(Остановки,MATCH(R477,ИД_Остановки!$B$3:$B$467,0),1)</f>
        <v>128</v>
      </c>
      <c r="R477" s="45" t="s">
        <v>304</v>
      </c>
      <c r="S477" s="20">
        <v>0.42</v>
      </c>
    </row>
    <row r="478" spans="8:19" x14ac:dyDescent="0.25">
      <c r="H478">
        <v>3</v>
      </c>
      <c r="I478">
        <v>546</v>
      </c>
      <c r="J478">
        <v>115</v>
      </c>
      <c r="K478" t="b">
        <v>1</v>
      </c>
      <c r="N478" s="25" t="s">
        <v>507</v>
      </c>
      <c r="O478" s="2">
        <f>INDEX(Маршруты,MATCH(N478,$B$3:$B$498,0),1)</f>
        <v>21</v>
      </c>
      <c r="P478" s="27">
        <v>10</v>
      </c>
      <c r="Q478" s="2">
        <f>INDEX(Остановки,MATCH(R478,ИД_Остановки!$B$3:$B$467,0),1)</f>
        <v>127</v>
      </c>
      <c r="R478" s="45" t="s">
        <v>80</v>
      </c>
      <c r="S478" s="20">
        <v>0.6</v>
      </c>
    </row>
    <row r="479" spans="8:19" x14ac:dyDescent="0.25">
      <c r="H479">
        <v>3</v>
      </c>
      <c r="I479">
        <v>552</v>
      </c>
      <c r="J479">
        <v>115</v>
      </c>
      <c r="K479" t="b">
        <v>1</v>
      </c>
      <c r="N479" s="30" t="s">
        <v>507</v>
      </c>
      <c r="O479" s="2">
        <f>INDEX(Маршруты,MATCH(N479,$B$3:$B$498,0),1)</f>
        <v>21</v>
      </c>
      <c r="P479" s="27">
        <v>11</v>
      </c>
      <c r="Q479" s="2">
        <f>INDEX(Остановки,MATCH(R479,ИД_Остановки!$B$3:$B$467,0),1)</f>
        <v>95</v>
      </c>
      <c r="R479" s="45" t="s">
        <v>67</v>
      </c>
      <c r="S479" s="20">
        <v>0.74</v>
      </c>
    </row>
    <row r="480" spans="8:19" x14ac:dyDescent="0.25">
      <c r="H480">
        <v>3</v>
      </c>
      <c r="I480">
        <v>558</v>
      </c>
      <c r="J480">
        <v>115</v>
      </c>
      <c r="K480" t="b">
        <v>1</v>
      </c>
      <c r="N480" s="30" t="s">
        <v>507</v>
      </c>
      <c r="O480" s="2">
        <f>INDEX(Маршруты,MATCH(N480,$B$3:$B$498,0),1)</f>
        <v>21</v>
      </c>
      <c r="P480" s="27">
        <v>12</v>
      </c>
      <c r="Q480" s="2">
        <f>INDEX(Остановки,MATCH(R480,ИД_Остановки!$B$3:$B$467,0),1)</f>
        <v>126</v>
      </c>
      <c r="R480" s="45" t="s">
        <v>303</v>
      </c>
      <c r="S480" s="20">
        <v>0.36</v>
      </c>
    </row>
    <row r="481" spans="8:19" x14ac:dyDescent="0.25">
      <c r="H481">
        <v>3</v>
      </c>
      <c r="I481">
        <v>564</v>
      </c>
      <c r="J481">
        <v>115</v>
      </c>
      <c r="K481" t="b">
        <v>1</v>
      </c>
      <c r="N481" s="30" t="s">
        <v>507</v>
      </c>
      <c r="O481" s="2">
        <f>INDEX(Маршруты,MATCH(N481,$B$3:$B$498,0),1)</f>
        <v>21</v>
      </c>
      <c r="P481" s="27">
        <v>13</v>
      </c>
      <c r="Q481" s="2">
        <f>INDEX(Остановки,MATCH(R481,ИД_Остановки!$B$3:$B$467,0),1)</f>
        <v>94</v>
      </c>
      <c r="R481" s="45" t="s">
        <v>66</v>
      </c>
      <c r="S481" s="20">
        <v>0.48</v>
      </c>
    </row>
    <row r="482" spans="8:19" x14ac:dyDescent="0.25">
      <c r="H482">
        <v>3</v>
      </c>
      <c r="I482">
        <v>570</v>
      </c>
      <c r="J482">
        <v>115</v>
      </c>
      <c r="K482" t="b">
        <v>1</v>
      </c>
      <c r="N482" s="25" t="s">
        <v>507</v>
      </c>
      <c r="O482" s="2">
        <f>INDEX(Маршруты,MATCH(N482,$B$3:$B$498,0),1)</f>
        <v>21</v>
      </c>
      <c r="P482" s="27">
        <v>14</v>
      </c>
      <c r="Q482" s="2">
        <f>INDEX(Остановки,MATCH(R482,ИД_Остановки!$B$3:$B$467,0),1)</f>
        <v>445</v>
      </c>
      <c r="R482" s="45" t="s">
        <v>302</v>
      </c>
      <c r="S482" s="20">
        <v>0.8</v>
      </c>
    </row>
    <row r="483" spans="8:19" x14ac:dyDescent="0.25">
      <c r="H483">
        <v>3</v>
      </c>
      <c r="I483">
        <v>576</v>
      </c>
      <c r="J483">
        <v>115</v>
      </c>
      <c r="K483" t="b">
        <v>1</v>
      </c>
      <c r="N483" s="30" t="s">
        <v>507</v>
      </c>
      <c r="O483" s="2">
        <f>INDEX(Маршруты,MATCH(N483,$B$3:$B$498,0),1)</f>
        <v>21</v>
      </c>
      <c r="P483" s="27">
        <v>15</v>
      </c>
      <c r="Q483" s="2">
        <f>INDEX(Остановки,MATCH(R483,ИД_Остановки!$B$3:$B$467,0),1)</f>
        <v>125</v>
      </c>
      <c r="R483" s="45" t="s">
        <v>79</v>
      </c>
      <c r="S483" s="20">
        <v>0.48</v>
      </c>
    </row>
    <row r="484" spans="8:19" x14ac:dyDescent="0.25">
      <c r="H484">
        <v>3</v>
      </c>
      <c r="I484">
        <v>582</v>
      </c>
      <c r="J484">
        <v>115</v>
      </c>
      <c r="K484" t="b">
        <v>1</v>
      </c>
      <c r="N484" s="30" t="s">
        <v>507</v>
      </c>
      <c r="O484" s="2">
        <f>INDEX(Маршруты,MATCH(N484,$B$3:$B$498,0),1)</f>
        <v>21</v>
      </c>
      <c r="P484" s="27">
        <v>16</v>
      </c>
      <c r="Q484" s="2">
        <f>INDEX(Остановки,MATCH(R484,ИД_Остановки!$B$3:$B$467,0),1)</f>
        <v>80</v>
      </c>
      <c r="R484" s="45" t="s">
        <v>57</v>
      </c>
      <c r="S484" s="20">
        <v>0.44</v>
      </c>
    </row>
    <row r="485" spans="8:19" x14ac:dyDescent="0.25">
      <c r="H485">
        <v>3</v>
      </c>
      <c r="I485">
        <v>588</v>
      </c>
      <c r="J485">
        <v>115</v>
      </c>
      <c r="K485" t="b">
        <v>1</v>
      </c>
      <c r="N485" s="30" t="s">
        <v>507</v>
      </c>
      <c r="O485" s="2">
        <f>INDEX(Маршруты,MATCH(N485,$B$3:$B$498,0),1)</f>
        <v>21</v>
      </c>
      <c r="P485" s="27">
        <v>17</v>
      </c>
      <c r="Q485" s="2">
        <f>INDEX(Остановки,MATCH(R485,ИД_Остановки!$B$3:$B$467,0),1)</f>
        <v>108</v>
      </c>
      <c r="R485" s="45" t="s">
        <v>648</v>
      </c>
      <c r="S485" s="20">
        <v>0.76</v>
      </c>
    </row>
    <row r="486" spans="8:19" x14ac:dyDescent="0.25">
      <c r="H486">
        <v>3</v>
      </c>
      <c r="I486">
        <v>594</v>
      </c>
      <c r="J486">
        <v>115</v>
      </c>
      <c r="K486" t="b">
        <v>1</v>
      </c>
      <c r="N486" s="30" t="s">
        <v>507</v>
      </c>
      <c r="O486" s="2">
        <f>INDEX(Маршруты,MATCH(N486,$B$3:$B$498,0),1)</f>
        <v>21</v>
      </c>
      <c r="P486" s="27">
        <v>18</v>
      </c>
      <c r="Q486" s="2">
        <f>INDEX(Остановки,MATCH(R486,ИД_Остановки!$B$3:$B$467,0),1)</f>
        <v>107</v>
      </c>
      <c r="R486" s="45" t="s">
        <v>292</v>
      </c>
      <c r="S486" s="20">
        <v>0.55000000000000004</v>
      </c>
    </row>
    <row r="487" spans="8:19" x14ac:dyDescent="0.25">
      <c r="H487">
        <v>3</v>
      </c>
      <c r="I487">
        <v>600</v>
      </c>
      <c r="J487">
        <v>115</v>
      </c>
      <c r="K487" t="b">
        <v>1</v>
      </c>
      <c r="N487" s="25" t="s">
        <v>507</v>
      </c>
      <c r="O487" s="2">
        <f>INDEX(Маршруты,MATCH(N487,$B$3:$B$498,0),1)</f>
        <v>21</v>
      </c>
      <c r="P487" s="27">
        <v>19</v>
      </c>
      <c r="Q487" s="2">
        <f>INDEX(Остановки,MATCH(R487,ИД_Остановки!$B$3:$B$467,0),1)</f>
        <v>91</v>
      </c>
      <c r="R487" s="45" t="s">
        <v>283</v>
      </c>
      <c r="S487" s="20">
        <v>0.46</v>
      </c>
    </row>
    <row r="488" spans="8:19" x14ac:dyDescent="0.25">
      <c r="H488">
        <v>3</v>
      </c>
      <c r="I488">
        <v>606</v>
      </c>
      <c r="J488">
        <v>115</v>
      </c>
      <c r="K488" t="b">
        <v>1</v>
      </c>
      <c r="N488" s="30" t="s">
        <v>507</v>
      </c>
      <c r="O488" s="2">
        <f>INDEX(Маршруты,MATCH(N488,$B$3:$B$498,0),1)</f>
        <v>21</v>
      </c>
      <c r="P488" s="27">
        <v>20</v>
      </c>
      <c r="Q488" s="2">
        <f>INDEX(Остановки,MATCH(R488,ИД_Остановки!$B$3:$B$467,0),1)</f>
        <v>90</v>
      </c>
      <c r="R488" s="45" t="s">
        <v>282</v>
      </c>
      <c r="S488" s="20">
        <v>0.74</v>
      </c>
    </row>
    <row r="489" spans="8:19" x14ac:dyDescent="0.25">
      <c r="H489">
        <v>3</v>
      </c>
      <c r="I489">
        <v>612</v>
      </c>
      <c r="J489">
        <v>115</v>
      </c>
      <c r="K489" t="b">
        <v>1</v>
      </c>
      <c r="N489" s="25" t="s">
        <v>507</v>
      </c>
      <c r="O489" s="2">
        <f>INDEX(Маршруты,MATCH(N489,$B$3:$B$498,0),1)</f>
        <v>21</v>
      </c>
      <c r="P489" s="27">
        <v>21</v>
      </c>
      <c r="Q489" s="2">
        <f>INDEX(Остановки,MATCH(R489,ИД_Остановки!$B$3:$B$467,0),1)</f>
        <v>89</v>
      </c>
      <c r="R489" s="24" t="s">
        <v>64</v>
      </c>
      <c r="S489" s="20">
        <v>0.54</v>
      </c>
    </row>
    <row r="490" spans="8:19" x14ac:dyDescent="0.25">
      <c r="H490">
        <v>3</v>
      </c>
      <c r="I490">
        <v>618</v>
      </c>
      <c r="J490">
        <v>115</v>
      </c>
      <c r="K490" t="b">
        <v>1</v>
      </c>
      <c r="N490" s="30" t="s">
        <v>507</v>
      </c>
      <c r="O490" s="2">
        <f>INDEX(Маршруты,MATCH(N490,$B$3:$B$498,0),1)</f>
        <v>21</v>
      </c>
      <c r="P490" s="27">
        <v>22</v>
      </c>
      <c r="Q490" s="2">
        <f>INDEX(Остановки,MATCH(R490,ИД_Остановки!$B$3:$B$467,0),1)</f>
        <v>88</v>
      </c>
      <c r="R490" s="45" t="s">
        <v>63</v>
      </c>
      <c r="S490" s="20">
        <v>0.79</v>
      </c>
    </row>
    <row r="491" spans="8:19" x14ac:dyDescent="0.25">
      <c r="H491">
        <v>3</v>
      </c>
      <c r="I491">
        <v>624</v>
      </c>
      <c r="J491">
        <v>115</v>
      </c>
      <c r="K491" t="b">
        <v>1</v>
      </c>
      <c r="N491" s="30" t="s">
        <v>507</v>
      </c>
      <c r="O491" s="2">
        <f>INDEX(Маршруты,MATCH(N491,$B$3:$B$498,0),1)</f>
        <v>21</v>
      </c>
      <c r="P491" s="27">
        <v>23</v>
      </c>
      <c r="Q491" s="2">
        <f>INDEX(Остановки,MATCH(R491,ИД_Остановки!$B$3:$B$467,0),1)</f>
        <v>87</v>
      </c>
      <c r="R491" s="45" t="s">
        <v>62</v>
      </c>
      <c r="S491" s="20">
        <v>0.45</v>
      </c>
    </row>
    <row r="492" spans="8:19" x14ac:dyDescent="0.25">
      <c r="H492">
        <v>3</v>
      </c>
      <c r="I492">
        <v>630</v>
      </c>
      <c r="J492">
        <v>115</v>
      </c>
      <c r="K492" t="b">
        <v>1</v>
      </c>
      <c r="N492" s="30" t="s">
        <v>507</v>
      </c>
      <c r="O492" s="2">
        <f>INDEX(Маршруты,MATCH(N492,$B$3:$B$498,0),1)</f>
        <v>21</v>
      </c>
      <c r="P492" s="27">
        <v>24</v>
      </c>
      <c r="Q492" s="2">
        <f>INDEX(Остановки,MATCH(R492,ИД_Остановки!$B$3:$B$467,0),1)</f>
        <v>86</v>
      </c>
      <c r="R492" s="24" t="s">
        <v>61</v>
      </c>
      <c r="S492" s="20">
        <v>0.75</v>
      </c>
    </row>
    <row r="493" spans="8:19" x14ac:dyDescent="0.25">
      <c r="H493">
        <v>3</v>
      </c>
      <c r="I493">
        <v>636</v>
      </c>
      <c r="J493">
        <v>115</v>
      </c>
      <c r="K493" t="b">
        <v>1</v>
      </c>
      <c r="N493" s="25" t="s">
        <v>507</v>
      </c>
      <c r="O493" s="2">
        <f>INDEX(Маршруты,MATCH(N493,$B$3:$B$498,0),1)</f>
        <v>21</v>
      </c>
      <c r="P493" s="27">
        <v>25</v>
      </c>
      <c r="Q493" s="2">
        <f>INDEX(Остановки,MATCH(R493,ИД_Остановки!$B$3:$B$467,0),1)</f>
        <v>106</v>
      </c>
      <c r="R493" s="45" t="s">
        <v>291</v>
      </c>
      <c r="S493" s="20">
        <v>0.66</v>
      </c>
    </row>
    <row r="494" spans="8:19" x14ac:dyDescent="0.25">
      <c r="H494">
        <v>3</v>
      </c>
      <c r="I494">
        <v>642</v>
      </c>
      <c r="J494">
        <v>115</v>
      </c>
      <c r="K494" t="b">
        <v>1</v>
      </c>
      <c r="N494" s="25" t="s">
        <v>507</v>
      </c>
      <c r="O494" s="2">
        <f>INDEX(Маршруты,MATCH(N494,$B$3:$B$498,0),1)</f>
        <v>21</v>
      </c>
      <c r="P494" s="27">
        <v>26</v>
      </c>
      <c r="Q494" s="2">
        <f>INDEX(Остановки,MATCH(R494,ИД_Остановки!$B$3:$B$467,0),1)</f>
        <v>105</v>
      </c>
      <c r="R494" s="45" t="s">
        <v>615</v>
      </c>
      <c r="S494" s="20">
        <v>0.34</v>
      </c>
    </row>
    <row r="495" spans="8:19" x14ac:dyDescent="0.25">
      <c r="H495">
        <v>3</v>
      </c>
      <c r="I495">
        <v>648</v>
      </c>
      <c r="J495">
        <v>115</v>
      </c>
      <c r="K495" t="b">
        <v>1</v>
      </c>
      <c r="N495" s="25" t="s">
        <v>507</v>
      </c>
      <c r="O495" s="2">
        <f>INDEX(Маршруты,MATCH(N495,$B$3:$B$498,0),1)</f>
        <v>21</v>
      </c>
      <c r="P495" s="27">
        <v>27</v>
      </c>
      <c r="Q495" s="2">
        <f>INDEX(Остановки,MATCH(R495,ИД_Остановки!$B$3:$B$467,0),1)</f>
        <v>84</v>
      </c>
      <c r="R495" s="45" t="s">
        <v>281</v>
      </c>
      <c r="S495" s="20">
        <v>0.54</v>
      </c>
    </row>
    <row r="496" spans="8:19" x14ac:dyDescent="0.25">
      <c r="H496">
        <v>3</v>
      </c>
      <c r="I496">
        <v>654</v>
      </c>
      <c r="J496">
        <v>115</v>
      </c>
      <c r="K496" t="b">
        <v>1</v>
      </c>
      <c r="N496" s="26" t="s">
        <v>507</v>
      </c>
      <c r="O496" s="2">
        <f>INDEX(Маршруты,MATCH(N496,$B$3:$B$498,0),1)</f>
        <v>21</v>
      </c>
      <c r="P496" s="27">
        <v>28</v>
      </c>
      <c r="Q496" s="2">
        <f>INDEX(Остановки,MATCH(R496,ИД_Остановки!$B$3:$B$467,0),1)</f>
        <v>380</v>
      </c>
      <c r="R496" s="45" t="s">
        <v>438</v>
      </c>
      <c r="S496" s="20">
        <v>0.39</v>
      </c>
    </row>
    <row r="497" spans="8:19" x14ac:dyDescent="0.25">
      <c r="H497">
        <v>3</v>
      </c>
      <c r="I497">
        <v>660</v>
      </c>
      <c r="J497">
        <v>115</v>
      </c>
      <c r="K497" t="b">
        <v>1</v>
      </c>
      <c r="N497" s="25" t="s">
        <v>507</v>
      </c>
      <c r="O497" s="2">
        <f>INDEX(Маршруты,MATCH(N497,$B$3:$B$498,0),1)</f>
        <v>21</v>
      </c>
      <c r="P497" s="27">
        <v>29</v>
      </c>
      <c r="Q497" s="2">
        <f>INDEX(Остановки,MATCH(R497,ИД_Остановки!$B$3:$B$467,0),1)</f>
        <v>103</v>
      </c>
      <c r="R497" s="45" t="s">
        <v>288</v>
      </c>
      <c r="S497" s="20">
        <v>0.5</v>
      </c>
    </row>
    <row r="498" spans="8:19" x14ac:dyDescent="0.25">
      <c r="H498">
        <v>3</v>
      </c>
      <c r="I498">
        <v>666</v>
      </c>
      <c r="J498">
        <v>115</v>
      </c>
      <c r="K498" t="b">
        <v>1</v>
      </c>
      <c r="N498" s="30" t="s">
        <v>507</v>
      </c>
      <c r="O498" s="2">
        <f>INDEX(Маршруты,MATCH(N498,$B$3:$B$498,0),1)</f>
        <v>21</v>
      </c>
      <c r="P498" s="27">
        <v>30</v>
      </c>
      <c r="Q498" s="2">
        <f>INDEX(Остановки,MATCH(R498,ИД_Остановки!$B$3:$B$467,0),1)</f>
        <v>135</v>
      </c>
      <c r="R498" s="45" t="s">
        <v>83</v>
      </c>
      <c r="S498" s="20">
        <v>0.78</v>
      </c>
    </row>
    <row r="499" spans="8:19" x14ac:dyDescent="0.25">
      <c r="H499">
        <v>3</v>
      </c>
      <c r="I499">
        <v>672</v>
      </c>
      <c r="J499">
        <v>115</v>
      </c>
      <c r="K499" t="b">
        <v>1</v>
      </c>
      <c r="N499" s="30" t="s">
        <v>508</v>
      </c>
      <c r="O499" s="2">
        <f>INDEX(Маршруты,MATCH(N499,$B$3:$B$498,0),1)</f>
        <v>22</v>
      </c>
      <c r="P499" s="27">
        <v>1</v>
      </c>
      <c r="Q499" s="2">
        <f>INDEX(Остановки,MATCH(R499,ИД_Остановки!$B$3:$B$467,0),1)</f>
        <v>135</v>
      </c>
      <c r="R499" s="45" t="s">
        <v>83</v>
      </c>
      <c r="S499" s="20"/>
    </row>
    <row r="500" spans="8:19" x14ac:dyDescent="0.25">
      <c r="H500">
        <v>3</v>
      </c>
      <c r="I500">
        <v>678</v>
      </c>
      <c r="J500">
        <v>115</v>
      </c>
      <c r="K500" t="b">
        <v>1</v>
      </c>
      <c r="N500" s="30" t="s">
        <v>508</v>
      </c>
      <c r="O500" s="2">
        <f>INDEX(Маршруты,MATCH(N500,$B$3:$B$498,0),1)</f>
        <v>22</v>
      </c>
      <c r="P500" s="27">
        <v>2</v>
      </c>
      <c r="Q500" s="2">
        <f>INDEX(Остановки,MATCH(R500,ИД_Остановки!$B$3:$B$467,0),1)</f>
        <v>103</v>
      </c>
      <c r="R500" s="45" t="s">
        <v>288</v>
      </c>
      <c r="S500" s="20">
        <v>0.78</v>
      </c>
    </row>
    <row r="501" spans="8:19" x14ac:dyDescent="0.25">
      <c r="H501">
        <v>3</v>
      </c>
      <c r="I501">
        <v>684</v>
      </c>
      <c r="J501">
        <v>115</v>
      </c>
      <c r="K501" t="b">
        <v>1</v>
      </c>
      <c r="N501" s="30" t="s">
        <v>508</v>
      </c>
      <c r="O501" s="2">
        <f>INDEX(Маршруты,MATCH(N501,$B$3:$B$498,0),1)</f>
        <v>22</v>
      </c>
      <c r="P501" s="27">
        <v>3</v>
      </c>
      <c r="Q501" s="2">
        <f>INDEX(Остановки,MATCH(R501,ИД_Остановки!$B$3:$B$467,0),1)</f>
        <v>380</v>
      </c>
      <c r="R501" s="45" t="s">
        <v>438</v>
      </c>
      <c r="S501" s="20">
        <v>0.5</v>
      </c>
    </row>
    <row r="502" spans="8:19" x14ac:dyDescent="0.25">
      <c r="H502">
        <v>3</v>
      </c>
      <c r="I502">
        <v>690</v>
      </c>
      <c r="J502">
        <v>115</v>
      </c>
      <c r="K502" t="b">
        <v>1</v>
      </c>
      <c r="N502" s="25" t="s">
        <v>508</v>
      </c>
      <c r="O502" s="2">
        <f>INDEX(Маршруты,MATCH(N502,$B$3:$B$498,0),1)</f>
        <v>22</v>
      </c>
      <c r="P502" s="27">
        <v>4</v>
      </c>
      <c r="Q502" s="2">
        <f>INDEX(Остановки,MATCH(R502,ИД_Остановки!$B$3:$B$467,0),1)</f>
        <v>84</v>
      </c>
      <c r="R502" s="45" t="s">
        <v>281</v>
      </c>
      <c r="S502" s="20">
        <v>0.39</v>
      </c>
    </row>
    <row r="503" spans="8:19" x14ac:dyDescent="0.25">
      <c r="H503">
        <v>3</v>
      </c>
      <c r="I503">
        <v>696</v>
      </c>
      <c r="J503">
        <v>115</v>
      </c>
      <c r="K503" t="b">
        <v>1</v>
      </c>
      <c r="N503" s="25" t="s">
        <v>508</v>
      </c>
      <c r="O503" s="2">
        <f>INDEX(Маршруты,MATCH(N503,$B$3:$B$498,0),1)</f>
        <v>22</v>
      </c>
      <c r="P503" s="27">
        <v>5</v>
      </c>
      <c r="Q503" s="2">
        <f>INDEX(Остановки,MATCH(R503,ИД_Остановки!$B$3:$B$467,0),1)</f>
        <v>105</v>
      </c>
      <c r="R503" s="45" t="s">
        <v>615</v>
      </c>
      <c r="S503" s="20">
        <v>0.54</v>
      </c>
    </row>
    <row r="504" spans="8:19" x14ac:dyDescent="0.25">
      <c r="H504">
        <v>3</v>
      </c>
      <c r="I504">
        <v>702</v>
      </c>
      <c r="J504">
        <v>115</v>
      </c>
      <c r="K504" t="b">
        <v>1</v>
      </c>
      <c r="N504" s="25" t="s">
        <v>508</v>
      </c>
      <c r="O504" s="2">
        <f>INDEX(Маршруты,MATCH(N504,$B$3:$B$498,0),1)</f>
        <v>22</v>
      </c>
      <c r="P504" s="27">
        <v>6</v>
      </c>
      <c r="Q504" s="2">
        <f>INDEX(Остановки,MATCH(R504,ИД_Остановки!$B$3:$B$467,0),1)</f>
        <v>106</v>
      </c>
      <c r="R504" s="45" t="s">
        <v>291</v>
      </c>
      <c r="S504" s="20">
        <v>0.34</v>
      </c>
    </row>
    <row r="505" spans="8:19" x14ac:dyDescent="0.25">
      <c r="H505">
        <v>3</v>
      </c>
      <c r="I505">
        <v>708</v>
      </c>
      <c r="J505">
        <v>115</v>
      </c>
      <c r="K505" t="b">
        <v>1</v>
      </c>
      <c r="N505" s="25" t="s">
        <v>508</v>
      </c>
      <c r="O505" s="2">
        <f>INDEX(Маршруты,MATCH(N505,$B$3:$B$498,0),1)</f>
        <v>22</v>
      </c>
      <c r="P505" s="27">
        <v>7</v>
      </c>
      <c r="Q505" s="2">
        <f>INDEX(Остановки,MATCH(R505,ИД_Остановки!$B$3:$B$467,0),1)</f>
        <v>86</v>
      </c>
      <c r="R505" s="45" t="s">
        <v>61</v>
      </c>
      <c r="S505" s="20">
        <v>0.66</v>
      </c>
    </row>
    <row r="506" spans="8:19" x14ac:dyDescent="0.25">
      <c r="H506">
        <v>3</v>
      </c>
      <c r="I506">
        <v>714</v>
      </c>
      <c r="J506">
        <v>115</v>
      </c>
      <c r="K506" t="b">
        <v>1</v>
      </c>
      <c r="N506" s="25" t="s">
        <v>508</v>
      </c>
      <c r="O506" s="2">
        <f>INDEX(Маршруты,MATCH(N506,$B$3:$B$498,0),1)</f>
        <v>22</v>
      </c>
      <c r="P506" s="27">
        <v>8</v>
      </c>
      <c r="Q506" s="2">
        <f>INDEX(Остановки,MATCH(R506,ИД_Остановки!$B$3:$B$467,0),1)</f>
        <v>87</v>
      </c>
      <c r="R506" s="45" t="s">
        <v>62</v>
      </c>
      <c r="S506" s="20">
        <v>0.75</v>
      </c>
    </row>
    <row r="507" spans="8:19" x14ac:dyDescent="0.25">
      <c r="H507">
        <v>3</v>
      </c>
      <c r="I507">
        <v>720</v>
      </c>
      <c r="J507">
        <v>115</v>
      </c>
      <c r="K507" t="b">
        <v>1</v>
      </c>
      <c r="N507" s="25" t="s">
        <v>508</v>
      </c>
      <c r="O507" s="2">
        <f>INDEX(Маршруты,MATCH(N507,$B$3:$B$498,0),1)</f>
        <v>22</v>
      </c>
      <c r="P507" s="27">
        <v>9</v>
      </c>
      <c r="Q507" s="2">
        <f>INDEX(Остановки,MATCH(R507,ИД_Остановки!$B$3:$B$467,0),1)</f>
        <v>88</v>
      </c>
      <c r="R507" s="45" t="s">
        <v>63</v>
      </c>
      <c r="S507" s="20">
        <v>0.45</v>
      </c>
    </row>
    <row r="508" spans="8:19" x14ac:dyDescent="0.25">
      <c r="H508">
        <v>3</v>
      </c>
      <c r="I508">
        <v>726</v>
      </c>
      <c r="J508">
        <v>115</v>
      </c>
      <c r="K508" t="b">
        <v>1</v>
      </c>
      <c r="N508" s="25" t="s">
        <v>508</v>
      </c>
      <c r="O508" s="2">
        <f>INDEX(Маршруты,MATCH(N508,$B$3:$B$498,0),1)</f>
        <v>22</v>
      </c>
      <c r="P508" s="27">
        <v>10</v>
      </c>
      <c r="Q508" s="2">
        <f>INDEX(Остановки,MATCH(R508,ИД_Остановки!$B$3:$B$467,0),1)</f>
        <v>89</v>
      </c>
      <c r="R508" s="45" t="s">
        <v>64</v>
      </c>
      <c r="S508" s="20">
        <v>0.79</v>
      </c>
    </row>
    <row r="509" spans="8:19" x14ac:dyDescent="0.25">
      <c r="H509">
        <v>3</v>
      </c>
      <c r="I509">
        <v>732</v>
      </c>
      <c r="J509">
        <v>115</v>
      </c>
      <c r="K509" t="b">
        <v>1</v>
      </c>
      <c r="N509" s="25" t="s">
        <v>508</v>
      </c>
      <c r="O509" s="2">
        <f>INDEX(Маршруты,MATCH(N509,$B$3:$B$498,0),1)</f>
        <v>22</v>
      </c>
      <c r="P509" s="27">
        <v>11</v>
      </c>
      <c r="Q509" s="2">
        <f>INDEX(Остановки,MATCH(R509,ИД_Остановки!$B$3:$B$467,0),1)</f>
        <v>90</v>
      </c>
      <c r="R509" s="45" t="s">
        <v>282</v>
      </c>
      <c r="S509" s="20">
        <v>0.54</v>
      </c>
    </row>
    <row r="510" spans="8:19" x14ac:dyDescent="0.25">
      <c r="H510">
        <v>3</v>
      </c>
      <c r="I510">
        <v>738</v>
      </c>
      <c r="J510">
        <v>115</v>
      </c>
      <c r="K510" t="b">
        <v>1</v>
      </c>
      <c r="N510" s="26" t="s">
        <v>508</v>
      </c>
      <c r="O510" s="2">
        <f>INDEX(Маршруты,MATCH(N510,$B$3:$B$498,0),1)</f>
        <v>22</v>
      </c>
      <c r="P510" s="27">
        <v>12</v>
      </c>
      <c r="Q510" s="2">
        <f>INDEX(Остановки,MATCH(R510,ИД_Остановки!$B$3:$B$467,0),1)</f>
        <v>91</v>
      </c>
      <c r="R510" s="45" t="s">
        <v>283</v>
      </c>
      <c r="S510" s="20">
        <v>0.74</v>
      </c>
    </row>
    <row r="511" spans="8:19" x14ac:dyDescent="0.25">
      <c r="H511">
        <v>3</v>
      </c>
      <c r="I511">
        <v>744</v>
      </c>
      <c r="J511">
        <v>115</v>
      </c>
      <c r="K511" t="b">
        <v>1</v>
      </c>
      <c r="N511" s="25" t="s">
        <v>508</v>
      </c>
      <c r="O511" s="2">
        <f>INDEX(Маршруты,MATCH(N511,$B$3:$B$498,0),1)</f>
        <v>22</v>
      </c>
      <c r="P511" s="27">
        <v>13</v>
      </c>
      <c r="Q511" s="2">
        <f>INDEX(Остановки,MATCH(R511,ИД_Остановки!$B$3:$B$467,0),1)</f>
        <v>107</v>
      </c>
      <c r="R511" s="45" t="s">
        <v>292</v>
      </c>
      <c r="S511" s="20">
        <v>0.46</v>
      </c>
    </row>
    <row r="512" spans="8:19" x14ac:dyDescent="0.25">
      <c r="H512">
        <v>3</v>
      </c>
      <c r="I512">
        <v>750</v>
      </c>
      <c r="J512">
        <v>115</v>
      </c>
      <c r="K512" t="b">
        <v>1</v>
      </c>
      <c r="N512" s="25" t="s">
        <v>508</v>
      </c>
      <c r="O512" s="2">
        <f>INDEX(Маршруты,MATCH(N512,$B$3:$B$498,0),1)</f>
        <v>22</v>
      </c>
      <c r="P512" s="27">
        <v>14</v>
      </c>
      <c r="Q512" s="2">
        <f>INDEX(Остановки,MATCH(R512,ИД_Остановки!$B$3:$B$467,0),1)</f>
        <v>108</v>
      </c>
      <c r="R512" s="45" t="s">
        <v>648</v>
      </c>
      <c r="S512" s="20">
        <v>0.55000000000000004</v>
      </c>
    </row>
    <row r="513" spans="8:19" x14ac:dyDescent="0.25">
      <c r="H513">
        <v>3</v>
      </c>
      <c r="I513">
        <v>756</v>
      </c>
      <c r="J513">
        <v>115</v>
      </c>
      <c r="K513" t="b">
        <v>1</v>
      </c>
      <c r="N513" s="25" t="s">
        <v>508</v>
      </c>
      <c r="O513" s="2">
        <f>INDEX(Маршруты,MATCH(N513,$B$3:$B$498,0),1)</f>
        <v>22</v>
      </c>
      <c r="P513" s="27">
        <v>15</v>
      </c>
      <c r="Q513" s="2">
        <f>INDEX(Остановки,MATCH(R513,ИД_Остановки!$B$3:$B$467,0),1)</f>
        <v>80</v>
      </c>
      <c r="R513" s="45" t="s">
        <v>57</v>
      </c>
      <c r="S513" s="20">
        <v>0.76</v>
      </c>
    </row>
    <row r="514" spans="8:19" x14ac:dyDescent="0.25">
      <c r="H514">
        <v>3</v>
      </c>
      <c r="I514">
        <v>762</v>
      </c>
      <c r="J514">
        <v>115</v>
      </c>
      <c r="K514" t="b">
        <v>1</v>
      </c>
      <c r="N514" s="30" t="s">
        <v>508</v>
      </c>
      <c r="O514" s="2">
        <f>INDEX(Маршруты,MATCH(N514,$B$3:$B$498,0),1)</f>
        <v>22</v>
      </c>
      <c r="P514" s="27">
        <v>16</v>
      </c>
      <c r="Q514" s="2">
        <f>INDEX(Остановки,MATCH(R514,ИД_Остановки!$B$3:$B$467,0),1)</f>
        <v>125</v>
      </c>
      <c r="R514" s="45" t="s">
        <v>79</v>
      </c>
      <c r="S514" s="20">
        <v>0.44</v>
      </c>
    </row>
    <row r="515" spans="8:19" x14ac:dyDescent="0.25">
      <c r="H515">
        <v>3</v>
      </c>
      <c r="I515">
        <v>768</v>
      </c>
      <c r="J515">
        <v>115</v>
      </c>
      <c r="K515" t="b">
        <v>1</v>
      </c>
      <c r="N515" s="25" t="s">
        <v>508</v>
      </c>
      <c r="O515" s="2">
        <f>INDEX(Маршруты,MATCH(N515,$B$3:$B$498,0),1)</f>
        <v>22</v>
      </c>
      <c r="P515" s="27">
        <v>17</v>
      </c>
      <c r="Q515" s="2">
        <f>INDEX(Остановки,MATCH(R515,ИД_Остановки!$B$3:$B$467,0),1)</f>
        <v>445</v>
      </c>
      <c r="R515" s="45" t="s">
        <v>302</v>
      </c>
      <c r="S515" s="20">
        <v>0.48</v>
      </c>
    </row>
    <row r="516" spans="8:19" x14ac:dyDescent="0.25">
      <c r="H516">
        <v>3</v>
      </c>
      <c r="I516">
        <v>774</v>
      </c>
      <c r="J516">
        <v>115</v>
      </c>
      <c r="K516" t="b">
        <v>1</v>
      </c>
      <c r="N516" s="26" t="s">
        <v>508</v>
      </c>
      <c r="O516" s="2">
        <f>INDEX(Маршруты,MATCH(N516,$B$3:$B$498,0),1)</f>
        <v>22</v>
      </c>
      <c r="P516" s="27">
        <v>18</v>
      </c>
      <c r="Q516" s="2">
        <f>INDEX(Остановки,MATCH(R516,ИД_Остановки!$B$3:$B$467,0),1)</f>
        <v>94</v>
      </c>
      <c r="R516" s="45" t="s">
        <v>66</v>
      </c>
      <c r="S516" s="20">
        <v>0.8</v>
      </c>
    </row>
    <row r="517" spans="8:19" x14ac:dyDescent="0.25">
      <c r="H517">
        <v>3</v>
      </c>
      <c r="I517">
        <v>780</v>
      </c>
      <c r="J517">
        <v>115</v>
      </c>
      <c r="K517" t="b">
        <v>1</v>
      </c>
      <c r="N517" s="25" t="s">
        <v>508</v>
      </c>
      <c r="O517" s="2">
        <f>INDEX(Маршруты,MATCH(N517,$B$3:$B$498,0),1)</f>
        <v>22</v>
      </c>
      <c r="P517" s="27">
        <v>19</v>
      </c>
      <c r="Q517" s="2">
        <f>INDEX(Остановки,MATCH(R517,ИД_Остановки!$B$3:$B$467,0),1)</f>
        <v>126</v>
      </c>
      <c r="R517" s="45" t="s">
        <v>303</v>
      </c>
      <c r="S517" s="20">
        <v>0.48</v>
      </c>
    </row>
    <row r="518" spans="8:19" x14ac:dyDescent="0.25">
      <c r="H518">
        <v>3</v>
      </c>
      <c r="I518">
        <v>786</v>
      </c>
      <c r="J518">
        <v>115</v>
      </c>
      <c r="K518" t="b">
        <v>1</v>
      </c>
      <c r="N518" s="30" t="s">
        <v>508</v>
      </c>
      <c r="O518" s="2">
        <f>INDEX(Маршруты,MATCH(N518,$B$3:$B$498,0),1)</f>
        <v>22</v>
      </c>
      <c r="P518" s="27">
        <v>20</v>
      </c>
      <c r="Q518" s="2">
        <f>INDEX(Остановки,MATCH(R518,ИД_Остановки!$B$3:$B$467,0),1)</f>
        <v>95</v>
      </c>
      <c r="R518" s="45" t="s">
        <v>67</v>
      </c>
      <c r="S518" s="20">
        <v>0.36</v>
      </c>
    </row>
    <row r="519" spans="8:19" x14ac:dyDescent="0.25">
      <c r="H519">
        <v>3</v>
      </c>
      <c r="I519">
        <v>792</v>
      </c>
      <c r="J519">
        <v>115</v>
      </c>
      <c r="K519" t="b">
        <v>1</v>
      </c>
      <c r="N519" s="30" t="s">
        <v>508</v>
      </c>
      <c r="O519" s="2">
        <f>INDEX(Маршруты,MATCH(N519,$B$3:$B$498,0),1)</f>
        <v>22</v>
      </c>
      <c r="P519" s="27">
        <v>21</v>
      </c>
      <c r="Q519" s="2">
        <f>INDEX(Остановки,MATCH(R519,ИД_Остановки!$B$3:$B$467,0),1)</f>
        <v>127</v>
      </c>
      <c r="R519" s="45" t="s">
        <v>80</v>
      </c>
      <c r="S519" s="20">
        <v>0.74</v>
      </c>
    </row>
    <row r="520" spans="8:19" x14ac:dyDescent="0.25">
      <c r="H520">
        <v>3</v>
      </c>
      <c r="I520">
        <v>798</v>
      </c>
      <c r="J520">
        <v>115</v>
      </c>
      <c r="K520" t="b">
        <v>1</v>
      </c>
      <c r="N520" s="30" t="s">
        <v>508</v>
      </c>
      <c r="O520" s="2">
        <f>INDEX(Маршруты,MATCH(N520,$B$3:$B$498,0),1)</f>
        <v>22</v>
      </c>
      <c r="P520" s="27">
        <v>22</v>
      </c>
      <c r="Q520" s="2">
        <f>INDEX(Остановки,MATCH(R520,ИД_Остановки!$B$3:$B$467,0),1)</f>
        <v>128</v>
      </c>
      <c r="R520" s="45" t="s">
        <v>304</v>
      </c>
      <c r="S520" s="20">
        <v>0.6</v>
      </c>
    </row>
    <row r="521" spans="8:19" x14ac:dyDescent="0.25">
      <c r="H521">
        <v>3</v>
      </c>
      <c r="I521">
        <v>804</v>
      </c>
      <c r="J521">
        <v>115</v>
      </c>
      <c r="K521" t="b">
        <v>1</v>
      </c>
      <c r="N521" s="30" t="s">
        <v>508</v>
      </c>
      <c r="O521" s="2">
        <f>INDEX(Маршруты,MATCH(N521,$B$3:$B$498,0),1)</f>
        <v>22</v>
      </c>
      <c r="P521" s="27">
        <v>23</v>
      </c>
      <c r="Q521" s="2">
        <f>INDEX(Остановки,MATCH(R521,ИД_Остановки!$B$3:$B$467,0),1)</f>
        <v>117</v>
      </c>
      <c r="R521" s="45" t="s">
        <v>298</v>
      </c>
      <c r="S521" s="20">
        <v>0.42</v>
      </c>
    </row>
    <row r="522" spans="8:19" x14ac:dyDescent="0.25">
      <c r="H522">
        <v>3</v>
      </c>
      <c r="I522">
        <v>810</v>
      </c>
      <c r="J522">
        <v>115</v>
      </c>
      <c r="K522" t="b">
        <v>1</v>
      </c>
      <c r="N522" s="25" t="s">
        <v>508</v>
      </c>
      <c r="O522" s="2">
        <f>INDEX(Маршруты,MATCH(N522,$B$3:$B$498,0),1)</f>
        <v>22</v>
      </c>
      <c r="P522" s="28">
        <v>24</v>
      </c>
      <c r="Q522" s="2">
        <f>INDEX(Остановки,MATCH(R522,ИД_Остановки!$B$3:$B$467,0),1)</f>
        <v>119</v>
      </c>
      <c r="R522" s="24" t="s">
        <v>165</v>
      </c>
      <c r="S522" s="20">
        <v>0.79</v>
      </c>
    </row>
    <row r="523" spans="8:19" x14ac:dyDescent="0.25">
      <c r="H523">
        <v>3</v>
      </c>
      <c r="I523">
        <v>816</v>
      </c>
      <c r="J523">
        <v>115</v>
      </c>
      <c r="K523" t="b">
        <v>1</v>
      </c>
      <c r="N523" s="25" t="s">
        <v>508</v>
      </c>
      <c r="O523" s="2">
        <f>INDEX(Маршруты,MATCH(N523,$B$3:$B$498,0),1)</f>
        <v>22</v>
      </c>
      <c r="P523" s="27">
        <v>25</v>
      </c>
      <c r="Q523" s="2">
        <f>INDEX(Остановки,MATCH(R523,ИД_Остановки!$B$3:$B$467,0),1)</f>
        <v>120</v>
      </c>
      <c r="R523" s="45" t="s">
        <v>300</v>
      </c>
      <c r="S523" s="20">
        <v>1.1200000000000001</v>
      </c>
    </row>
    <row r="524" spans="8:19" x14ac:dyDescent="0.25">
      <c r="H524">
        <v>3</v>
      </c>
      <c r="I524">
        <v>822</v>
      </c>
      <c r="J524">
        <v>115</v>
      </c>
      <c r="K524" t="b">
        <v>1</v>
      </c>
      <c r="N524" s="30" t="s">
        <v>508</v>
      </c>
      <c r="O524" s="2">
        <f>INDEX(Маршруты,MATCH(N524,$B$3:$B$498,0),1)</f>
        <v>22</v>
      </c>
      <c r="P524" s="27">
        <v>26</v>
      </c>
      <c r="Q524" s="2">
        <f>INDEX(Остановки,MATCH(R524,ИД_Остановки!$B$3:$B$467,0),1)</f>
        <v>121</v>
      </c>
      <c r="R524" s="45" t="s">
        <v>76</v>
      </c>
      <c r="S524" s="20">
        <v>0.31</v>
      </c>
    </row>
    <row r="525" spans="8:19" x14ac:dyDescent="0.25">
      <c r="H525">
        <v>3</v>
      </c>
      <c r="I525">
        <v>828</v>
      </c>
      <c r="J525">
        <v>115</v>
      </c>
      <c r="K525" t="b">
        <v>1</v>
      </c>
      <c r="N525" s="32" t="s">
        <v>508</v>
      </c>
      <c r="O525" s="2">
        <f>INDEX(Маршруты,MATCH(N525,$B$3:$B$498,0),1)</f>
        <v>22</v>
      </c>
      <c r="P525" s="27">
        <v>27</v>
      </c>
      <c r="Q525" s="2">
        <f>INDEX(Остановки,MATCH(R525,ИД_Остановки!$B$3:$B$467,0),1)</f>
        <v>122</v>
      </c>
      <c r="R525" s="45" t="s">
        <v>616</v>
      </c>
      <c r="S525" s="20">
        <v>0.32</v>
      </c>
    </row>
    <row r="526" spans="8:19" x14ac:dyDescent="0.25">
      <c r="H526">
        <v>3</v>
      </c>
      <c r="I526">
        <v>834</v>
      </c>
      <c r="J526">
        <v>115</v>
      </c>
      <c r="K526" t="b">
        <v>1</v>
      </c>
      <c r="N526" s="25" t="s">
        <v>508</v>
      </c>
      <c r="O526" s="2">
        <f>INDEX(Маршруты,MATCH(N526,$B$3:$B$498,0),1)</f>
        <v>22</v>
      </c>
      <c r="P526" s="27">
        <v>28</v>
      </c>
      <c r="Q526" s="2">
        <f>INDEX(Остановки,MATCH(R526,ИД_Остановки!$B$3:$B$467,0),1)</f>
        <v>96</v>
      </c>
      <c r="R526" s="45" t="s">
        <v>285</v>
      </c>
      <c r="S526" s="20">
        <v>0.52</v>
      </c>
    </row>
    <row r="527" spans="8:19" x14ac:dyDescent="0.25">
      <c r="H527">
        <v>3</v>
      </c>
      <c r="I527">
        <v>840</v>
      </c>
      <c r="J527">
        <v>115</v>
      </c>
      <c r="K527" t="b">
        <v>1</v>
      </c>
      <c r="N527" s="25" t="s">
        <v>508</v>
      </c>
      <c r="O527" s="2">
        <f>INDEX(Маршруты,MATCH(N527,$B$3:$B$498,0),1)</f>
        <v>22</v>
      </c>
      <c r="P527" s="27">
        <v>29</v>
      </c>
      <c r="Q527" s="2">
        <f>INDEX(Остановки,MATCH(R527,ИД_Остановки!$B$3:$B$467,0),1)</f>
        <v>123</v>
      </c>
      <c r="R527" s="45" t="s">
        <v>301</v>
      </c>
      <c r="S527" s="20">
        <v>0.6</v>
      </c>
    </row>
    <row r="528" spans="8:19" x14ac:dyDescent="0.25">
      <c r="H528">
        <v>3</v>
      </c>
      <c r="I528">
        <v>846</v>
      </c>
      <c r="J528">
        <v>115</v>
      </c>
      <c r="K528" t="b">
        <v>1</v>
      </c>
      <c r="N528" s="25" t="s">
        <v>508</v>
      </c>
      <c r="O528" s="2">
        <f>INDEX(Маршруты,MATCH(N528,$B$3:$B$498,0),1)</f>
        <v>22</v>
      </c>
      <c r="P528" s="27">
        <v>30</v>
      </c>
      <c r="Q528" s="2">
        <f>INDEX(Остановки,MATCH(R528,ИД_Остановки!$B$3:$B$467,0),1)</f>
        <v>124</v>
      </c>
      <c r="R528" s="45" t="s">
        <v>78</v>
      </c>
      <c r="S528" s="20">
        <v>0.25</v>
      </c>
    </row>
    <row r="529" spans="8:19" x14ac:dyDescent="0.25">
      <c r="H529">
        <v>3</v>
      </c>
      <c r="I529">
        <v>852</v>
      </c>
      <c r="J529">
        <v>115</v>
      </c>
      <c r="K529" t="b">
        <v>1</v>
      </c>
      <c r="N529" s="32" t="s">
        <v>509</v>
      </c>
      <c r="O529" s="2">
        <f>INDEX(Маршруты,MATCH(N529,$B$3:$B$498,0),1)</f>
        <v>23</v>
      </c>
      <c r="P529" s="27">
        <v>1</v>
      </c>
      <c r="Q529" s="2">
        <f>INDEX(Остановки,MATCH(R529,ИД_Остановки!$B$3:$B$467,0),1)</f>
        <v>135</v>
      </c>
      <c r="R529" s="45" t="s">
        <v>83</v>
      </c>
      <c r="S529" s="20"/>
    </row>
    <row r="530" spans="8:19" x14ac:dyDescent="0.25">
      <c r="H530">
        <v>3</v>
      </c>
      <c r="I530">
        <v>858</v>
      </c>
      <c r="J530">
        <v>115</v>
      </c>
      <c r="K530" t="b">
        <v>1</v>
      </c>
      <c r="N530" s="30" t="s">
        <v>509</v>
      </c>
      <c r="O530" s="2">
        <f>INDEX(Маршруты,MATCH(N530,$B$3:$B$498,0),1)</f>
        <v>23</v>
      </c>
      <c r="P530" s="27">
        <v>2</v>
      </c>
      <c r="Q530" s="2">
        <f>INDEX(Остановки,MATCH(R530,ИД_Остановки!$B$3:$B$467,0),1)</f>
        <v>103</v>
      </c>
      <c r="R530" s="45" t="s">
        <v>288</v>
      </c>
      <c r="S530" s="20">
        <v>0.78</v>
      </c>
    </row>
    <row r="531" spans="8:19" x14ac:dyDescent="0.25">
      <c r="H531">
        <v>3</v>
      </c>
      <c r="I531">
        <v>864</v>
      </c>
      <c r="J531">
        <v>115</v>
      </c>
      <c r="K531" t="b">
        <v>1</v>
      </c>
      <c r="N531" s="26" t="s">
        <v>509</v>
      </c>
      <c r="O531" s="2">
        <f>INDEX(Маршруты,MATCH(N531,$B$3:$B$498,0),1)</f>
        <v>23</v>
      </c>
      <c r="P531" s="27">
        <v>3</v>
      </c>
      <c r="Q531" s="2">
        <f>INDEX(Остановки,MATCH(R531,ИД_Остановки!$B$3:$B$467,0),1)</f>
        <v>83</v>
      </c>
      <c r="R531" s="45" t="s">
        <v>280</v>
      </c>
      <c r="S531" s="20">
        <v>0.3</v>
      </c>
    </row>
    <row r="532" spans="8:19" x14ac:dyDescent="0.25">
      <c r="H532">
        <v>3</v>
      </c>
      <c r="I532">
        <v>870</v>
      </c>
      <c r="J532">
        <v>115</v>
      </c>
      <c r="K532" t="b">
        <v>1</v>
      </c>
      <c r="N532" s="30" t="s">
        <v>509</v>
      </c>
      <c r="O532" s="2">
        <f>INDEX(Маршруты,MATCH(N532,$B$3:$B$498,0),1)</f>
        <v>23</v>
      </c>
      <c r="P532" s="27">
        <v>4</v>
      </c>
      <c r="Q532" s="2">
        <f>INDEX(Остановки,MATCH(R532,ИД_Остановки!$B$3:$B$467,0),1)</f>
        <v>134</v>
      </c>
      <c r="R532" s="45" t="s">
        <v>308</v>
      </c>
      <c r="S532" s="20">
        <v>1.1100000000000001</v>
      </c>
    </row>
    <row r="533" spans="8:19" x14ac:dyDescent="0.25">
      <c r="H533">
        <v>3</v>
      </c>
      <c r="I533">
        <v>876</v>
      </c>
      <c r="J533">
        <v>115</v>
      </c>
      <c r="K533" t="b">
        <v>1</v>
      </c>
      <c r="N533" s="25" t="s">
        <v>509</v>
      </c>
      <c r="O533" s="2">
        <f>INDEX(Маршруты,MATCH(N533,$B$3:$B$498,0),1)</f>
        <v>23</v>
      </c>
      <c r="P533" s="28">
        <v>5</v>
      </c>
      <c r="Q533" s="2">
        <f>INDEX(Остановки,MATCH(R533,ИД_Остановки!$B$3:$B$467,0),1)</f>
        <v>133</v>
      </c>
      <c r="R533" s="24" t="s">
        <v>82</v>
      </c>
      <c r="S533" s="20">
        <v>0.3</v>
      </c>
    </row>
    <row r="534" spans="8:19" x14ac:dyDescent="0.25">
      <c r="H534">
        <v>3</v>
      </c>
      <c r="I534">
        <v>882</v>
      </c>
      <c r="J534">
        <v>115</v>
      </c>
      <c r="K534" t="b">
        <v>1</v>
      </c>
      <c r="N534" s="25" t="s">
        <v>509</v>
      </c>
      <c r="O534" s="2">
        <f>INDEX(Маршруты,MATCH(N534,$B$3:$B$498,0),1)</f>
        <v>23</v>
      </c>
      <c r="P534" s="27">
        <v>6</v>
      </c>
      <c r="Q534" s="2">
        <f>INDEX(Остановки,MATCH(R534,ИД_Остановки!$B$3:$B$467,0),1)</f>
        <v>132</v>
      </c>
      <c r="R534" s="45" t="s">
        <v>307</v>
      </c>
      <c r="S534" s="20">
        <v>0.49</v>
      </c>
    </row>
    <row r="535" spans="8:19" x14ac:dyDescent="0.25">
      <c r="H535">
        <v>3</v>
      </c>
      <c r="I535">
        <v>888</v>
      </c>
      <c r="J535">
        <v>115</v>
      </c>
      <c r="K535" t="b">
        <v>1</v>
      </c>
      <c r="N535" s="25" t="s">
        <v>509</v>
      </c>
      <c r="O535" s="2">
        <f>INDEX(Маршруты,MATCH(N535,$B$3:$B$498,0),1)</f>
        <v>23</v>
      </c>
      <c r="P535" s="27">
        <v>7</v>
      </c>
      <c r="Q535" s="2">
        <f>INDEX(Остановки,MATCH(R535,ИД_Остановки!$B$3:$B$467,0),1)</f>
        <v>131</v>
      </c>
      <c r="R535" s="45" t="s">
        <v>306</v>
      </c>
      <c r="S535" s="20">
        <v>0.56999999999999995</v>
      </c>
    </row>
    <row r="536" spans="8:19" x14ac:dyDescent="0.25">
      <c r="H536">
        <v>3</v>
      </c>
      <c r="I536">
        <v>894</v>
      </c>
      <c r="J536">
        <v>115</v>
      </c>
      <c r="K536" t="b">
        <v>1</v>
      </c>
      <c r="N536" s="25" t="s">
        <v>509</v>
      </c>
      <c r="O536" s="2">
        <f>INDEX(Маршруты,MATCH(N536,$B$3:$B$498,0),1)</f>
        <v>23</v>
      </c>
      <c r="P536" s="27">
        <v>8</v>
      </c>
      <c r="Q536" s="2">
        <f>INDEX(Остановки,MATCH(R536,ИД_Остановки!$B$3:$B$467,0),1)</f>
        <v>130</v>
      </c>
      <c r="R536" s="45" t="s">
        <v>305</v>
      </c>
      <c r="S536" s="20">
        <v>0.39</v>
      </c>
    </row>
    <row r="537" spans="8:19" x14ac:dyDescent="0.25">
      <c r="H537">
        <v>3</v>
      </c>
      <c r="I537">
        <v>900</v>
      </c>
      <c r="J537">
        <v>115</v>
      </c>
      <c r="K537" t="b">
        <v>1</v>
      </c>
      <c r="N537" s="25" t="s">
        <v>509</v>
      </c>
      <c r="O537" s="2">
        <f>INDEX(Маршруты,MATCH(N537,$B$3:$B$498,0),1)</f>
        <v>23</v>
      </c>
      <c r="P537" s="27">
        <v>9</v>
      </c>
      <c r="Q537" s="2">
        <f>INDEX(Остановки,MATCH(R537,ИД_Остановки!$B$3:$B$467,0),1)</f>
        <v>48</v>
      </c>
      <c r="R537" s="45" t="s">
        <v>42</v>
      </c>
      <c r="S537" s="20">
        <v>0.72</v>
      </c>
    </row>
    <row r="538" spans="8:19" x14ac:dyDescent="0.25">
      <c r="H538">
        <v>3</v>
      </c>
      <c r="I538">
        <v>906</v>
      </c>
      <c r="J538">
        <v>115</v>
      </c>
      <c r="K538" t="b">
        <v>1</v>
      </c>
      <c r="N538" s="26" t="s">
        <v>509</v>
      </c>
      <c r="O538" s="2">
        <f>INDEX(Маршруты,MATCH(N538,$B$3:$B$498,0),1)</f>
        <v>23</v>
      </c>
      <c r="P538" s="27">
        <v>10</v>
      </c>
      <c r="Q538" s="2">
        <f>INDEX(Остановки,MATCH(R538,ИД_Остановки!$B$3:$B$467,0),1)</f>
        <v>136</v>
      </c>
      <c r="R538" s="45" t="s">
        <v>84</v>
      </c>
      <c r="S538" s="20">
        <v>0.5</v>
      </c>
    </row>
    <row r="539" spans="8:19" x14ac:dyDescent="0.25">
      <c r="H539">
        <v>3</v>
      </c>
      <c r="I539">
        <v>912</v>
      </c>
      <c r="J539">
        <v>115</v>
      </c>
      <c r="K539" t="b">
        <v>1</v>
      </c>
      <c r="N539" s="25" t="s">
        <v>509</v>
      </c>
      <c r="O539" s="2">
        <f>INDEX(Маршруты,MATCH(N539,$B$3:$B$498,0),1)</f>
        <v>23</v>
      </c>
      <c r="P539" s="27">
        <v>11</v>
      </c>
      <c r="Q539" s="2">
        <f>INDEX(Остановки,MATCH(R539,ИД_Остановки!$B$3:$B$467,0),1)</f>
        <v>137</v>
      </c>
      <c r="R539" s="45" t="s">
        <v>309</v>
      </c>
      <c r="S539" s="20">
        <v>0.63</v>
      </c>
    </row>
    <row r="540" spans="8:19" x14ac:dyDescent="0.25">
      <c r="H540">
        <v>3</v>
      </c>
      <c r="I540">
        <v>918</v>
      </c>
      <c r="J540">
        <v>115</v>
      </c>
      <c r="K540" t="b">
        <v>1</v>
      </c>
      <c r="N540" s="25" t="s">
        <v>509</v>
      </c>
      <c r="O540" s="2">
        <f>INDEX(Маршруты,MATCH(N540,$B$3:$B$498,0),1)</f>
        <v>23</v>
      </c>
      <c r="P540" s="27">
        <v>12</v>
      </c>
      <c r="Q540" s="2">
        <f>INDEX(Остановки,MATCH(R540,ИД_Остановки!$B$3:$B$467,0),1)</f>
        <v>138</v>
      </c>
      <c r="R540" s="45" t="s">
        <v>310</v>
      </c>
      <c r="S540" s="20">
        <v>0.6</v>
      </c>
    </row>
    <row r="541" spans="8:19" x14ac:dyDescent="0.25">
      <c r="H541">
        <v>3</v>
      </c>
      <c r="I541">
        <v>924</v>
      </c>
      <c r="J541">
        <v>115</v>
      </c>
      <c r="K541" t="b">
        <v>1</v>
      </c>
      <c r="N541" s="30" t="s">
        <v>509</v>
      </c>
      <c r="O541" s="2">
        <f>INDEX(Маршруты,MATCH(N541,$B$3:$B$498,0),1)</f>
        <v>23</v>
      </c>
      <c r="P541" s="28">
        <v>13</v>
      </c>
      <c r="Q541" s="2">
        <f>INDEX(Остановки,MATCH(R541,ИД_Остановки!$B$3:$B$467,0),1)</f>
        <v>139</v>
      </c>
      <c r="R541" s="24" t="s">
        <v>311</v>
      </c>
      <c r="S541" s="20">
        <v>0.34</v>
      </c>
    </row>
    <row r="542" spans="8:19" x14ac:dyDescent="0.25">
      <c r="H542">
        <v>3</v>
      </c>
      <c r="I542">
        <v>930</v>
      </c>
      <c r="J542">
        <v>115</v>
      </c>
      <c r="K542" t="b">
        <v>1</v>
      </c>
      <c r="N542" s="30" t="s">
        <v>509</v>
      </c>
      <c r="O542" s="2">
        <f>INDEX(Маршруты,MATCH(N542,$B$3:$B$498,0),1)</f>
        <v>23</v>
      </c>
      <c r="P542" s="27">
        <v>14</v>
      </c>
      <c r="Q542" s="2">
        <f>INDEX(Остановки,MATCH(R542,ИД_Остановки!$B$3:$B$467,0),1)</f>
        <v>140</v>
      </c>
      <c r="R542" s="45" t="s">
        <v>312</v>
      </c>
      <c r="S542" s="20">
        <v>0.47</v>
      </c>
    </row>
    <row r="543" spans="8:19" x14ac:dyDescent="0.25">
      <c r="H543">
        <v>3</v>
      </c>
      <c r="I543">
        <v>936</v>
      </c>
      <c r="J543">
        <v>115</v>
      </c>
      <c r="K543" t="b">
        <v>1</v>
      </c>
      <c r="N543" s="25" t="s">
        <v>509</v>
      </c>
      <c r="O543" s="2">
        <f>INDEX(Маршруты,MATCH(N543,$B$3:$B$498,0),1)</f>
        <v>23</v>
      </c>
      <c r="P543" s="27">
        <v>15</v>
      </c>
      <c r="Q543" s="2">
        <f>INDEX(Остановки,MATCH(R543,ИД_Остановки!$B$3:$B$467,0),1)</f>
        <v>141</v>
      </c>
      <c r="R543" s="45" t="s">
        <v>313</v>
      </c>
      <c r="S543" s="20">
        <v>0.47</v>
      </c>
    </row>
    <row r="544" spans="8:19" x14ac:dyDescent="0.25">
      <c r="H544">
        <v>3</v>
      </c>
      <c r="I544">
        <v>942</v>
      </c>
      <c r="J544">
        <v>115</v>
      </c>
      <c r="K544" t="b">
        <v>1</v>
      </c>
      <c r="N544" s="25" t="s">
        <v>509</v>
      </c>
      <c r="O544" s="2">
        <f>INDEX(Маршруты,MATCH(N544,$B$3:$B$498,0),1)</f>
        <v>23</v>
      </c>
      <c r="P544" s="27">
        <v>16</v>
      </c>
      <c r="Q544" s="2">
        <f>INDEX(Остановки,MATCH(R544,ИД_Остановки!$B$3:$B$467,0),1)</f>
        <v>142</v>
      </c>
      <c r="R544" s="45" t="s">
        <v>314</v>
      </c>
      <c r="S544" s="20">
        <v>0.43</v>
      </c>
    </row>
    <row r="545" spans="8:19" x14ac:dyDescent="0.25">
      <c r="H545">
        <v>3</v>
      </c>
      <c r="I545">
        <v>948</v>
      </c>
      <c r="J545">
        <v>115</v>
      </c>
      <c r="K545" t="b">
        <v>1</v>
      </c>
      <c r="N545" s="30" t="s">
        <v>509</v>
      </c>
      <c r="O545" s="2">
        <f>INDEX(Маршруты,MATCH(N545,$B$3:$B$498,0),1)</f>
        <v>23</v>
      </c>
      <c r="P545" s="27">
        <v>17</v>
      </c>
      <c r="Q545" s="2">
        <f>INDEX(Остановки,MATCH(R545,ИД_Остановки!$B$3:$B$467,0),1)</f>
        <v>143</v>
      </c>
      <c r="R545" s="45" t="s">
        <v>85</v>
      </c>
      <c r="S545" s="20">
        <v>0.76</v>
      </c>
    </row>
    <row r="546" spans="8:19" x14ac:dyDescent="0.25">
      <c r="H546">
        <v>3</v>
      </c>
      <c r="I546">
        <v>954</v>
      </c>
      <c r="J546">
        <v>115</v>
      </c>
      <c r="K546" t="b">
        <v>1</v>
      </c>
      <c r="N546" s="25" t="s">
        <v>509</v>
      </c>
      <c r="O546" s="2">
        <f>INDEX(Маршруты,MATCH(N546,$B$3:$B$498,0),1)</f>
        <v>23</v>
      </c>
      <c r="P546" s="27">
        <v>18</v>
      </c>
      <c r="Q546" s="2">
        <f>INDEX(Остановки,MATCH(R546,ИД_Остановки!$B$3:$B$467,0),1)</f>
        <v>144</v>
      </c>
      <c r="R546" s="45" t="s">
        <v>86</v>
      </c>
      <c r="S546" s="20">
        <v>0.6</v>
      </c>
    </row>
    <row r="547" spans="8:19" x14ac:dyDescent="0.25">
      <c r="H547">
        <v>4</v>
      </c>
      <c r="I547">
        <v>0</v>
      </c>
      <c r="J547">
        <v>115</v>
      </c>
      <c r="K547" t="b">
        <v>1</v>
      </c>
      <c r="N547" s="23" t="s">
        <v>510</v>
      </c>
      <c r="O547" s="2">
        <f>INDEX(Маршруты,MATCH(N547,$B$3:$B$498,0),1)</f>
        <v>24</v>
      </c>
      <c r="P547" s="27">
        <v>1</v>
      </c>
      <c r="Q547" s="2">
        <f>INDEX(Остановки,MATCH(R547,ИД_Остановки!$B$3:$B$467,0),1)</f>
        <v>144</v>
      </c>
      <c r="R547" s="45" t="s">
        <v>86</v>
      </c>
      <c r="S547" s="20"/>
    </row>
    <row r="548" spans="8:19" x14ac:dyDescent="0.25">
      <c r="H548">
        <v>4</v>
      </c>
      <c r="I548">
        <v>6</v>
      </c>
      <c r="J548">
        <v>115</v>
      </c>
      <c r="K548" t="b">
        <v>1</v>
      </c>
      <c r="N548" s="30" t="s">
        <v>510</v>
      </c>
      <c r="O548" s="2">
        <f>INDEX(Маршруты,MATCH(N548,$B$3:$B$498,0),1)</f>
        <v>24</v>
      </c>
      <c r="P548" s="27">
        <v>2</v>
      </c>
      <c r="Q548" s="2">
        <f>INDEX(Остановки,MATCH(R548,ИД_Остановки!$B$3:$B$467,0),1)</f>
        <v>143</v>
      </c>
      <c r="R548" s="45" t="s">
        <v>85</v>
      </c>
      <c r="S548" s="20">
        <v>0.6</v>
      </c>
    </row>
    <row r="549" spans="8:19" x14ac:dyDescent="0.25">
      <c r="H549">
        <v>4</v>
      </c>
      <c r="I549">
        <v>12</v>
      </c>
      <c r="J549">
        <v>115</v>
      </c>
      <c r="K549" t="b">
        <v>1</v>
      </c>
      <c r="N549" s="30" t="s">
        <v>510</v>
      </c>
      <c r="O549" s="2">
        <f>INDEX(Маршруты,MATCH(N549,$B$3:$B$498,0),1)</f>
        <v>24</v>
      </c>
      <c r="P549" s="27">
        <v>3</v>
      </c>
      <c r="Q549" s="2">
        <f>INDEX(Остановки,MATCH(R549,ИД_Остановки!$B$3:$B$467,0),1)</f>
        <v>142</v>
      </c>
      <c r="R549" s="45" t="s">
        <v>314</v>
      </c>
      <c r="S549" s="20">
        <v>0.76</v>
      </c>
    </row>
    <row r="550" spans="8:19" x14ac:dyDescent="0.25">
      <c r="H550">
        <v>4</v>
      </c>
      <c r="I550">
        <v>18</v>
      </c>
      <c r="J550">
        <v>115</v>
      </c>
      <c r="K550" t="b">
        <v>1</v>
      </c>
      <c r="N550" s="25" t="s">
        <v>510</v>
      </c>
      <c r="O550" s="2">
        <f>INDEX(Маршруты,MATCH(N550,$B$3:$B$498,0),1)</f>
        <v>24</v>
      </c>
      <c r="P550" s="28">
        <v>4</v>
      </c>
      <c r="Q550" s="2">
        <f>INDEX(Остановки,MATCH(R550,ИД_Остановки!$B$3:$B$467,0),1)</f>
        <v>141</v>
      </c>
      <c r="R550" s="24" t="s">
        <v>313</v>
      </c>
      <c r="S550" s="20">
        <v>0.43</v>
      </c>
    </row>
    <row r="551" spans="8:19" x14ac:dyDescent="0.25">
      <c r="H551">
        <v>4</v>
      </c>
      <c r="I551">
        <v>24</v>
      </c>
      <c r="J551">
        <v>115</v>
      </c>
      <c r="K551" t="b">
        <v>1</v>
      </c>
      <c r="N551" s="30" t="s">
        <v>510</v>
      </c>
      <c r="O551" s="2">
        <f>INDEX(Маршруты,MATCH(N551,$B$3:$B$498,0),1)</f>
        <v>24</v>
      </c>
      <c r="P551" s="27">
        <v>5</v>
      </c>
      <c r="Q551" s="2">
        <f>INDEX(Остановки,MATCH(R551,ИД_Остановки!$B$3:$B$467,0),1)</f>
        <v>140</v>
      </c>
      <c r="R551" s="45" t="s">
        <v>312</v>
      </c>
      <c r="S551" s="20">
        <v>0.47</v>
      </c>
    </row>
    <row r="552" spans="8:19" x14ac:dyDescent="0.25">
      <c r="H552">
        <v>4</v>
      </c>
      <c r="I552">
        <v>30</v>
      </c>
      <c r="J552">
        <v>115</v>
      </c>
      <c r="K552" t="b">
        <v>1</v>
      </c>
      <c r="N552" s="30" t="s">
        <v>510</v>
      </c>
      <c r="O552" s="2">
        <f>INDEX(Маршруты,MATCH(N552,$B$3:$B$498,0),1)</f>
        <v>24</v>
      </c>
      <c r="P552" s="27">
        <v>6</v>
      </c>
      <c r="Q552" s="2">
        <f>INDEX(Остановки,MATCH(R552,ИД_Остановки!$B$3:$B$467,0),1)</f>
        <v>139</v>
      </c>
      <c r="R552" s="45" t="s">
        <v>311</v>
      </c>
      <c r="S552" s="20">
        <v>0.47</v>
      </c>
    </row>
    <row r="553" spans="8:19" x14ac:dyDescent="0.25">
      <c r="H553">
        <v>4</v>
      </c>
      <c r="I553">
        <v>36</v>
      </c>
      <c r="J553">
        <v>115</v>
      </c>
      <c r="K553" t="b">
        <v>1</v>
      </c>
      <c r="N553" s="25" t="s">
        <v>510</v>
      </c>
      <c r="O553" s="2">
        <f>INDEX(Маршруты,MATCH(N553,$B$3:$B$498,0),1)</f>
        <v>24</v>
      </c>
      <c r="P553" s="28">
        <v>7</v>
      </c>
      <c r="Q553" s="2">
        <f>INDEX(Остановки,MATCH(R553,ИД_Остановки!$B$3:$B$467,0),1)</f>
        <v>138</v>
      </c>
      <c r="R553" s="24" t="s">
        <v>310</v>
      </c>
      <c r="S553" s="20">
        <v>0.34</v>
      </c>
    </row>
    <row r="554" spans="8:19" x14ac:dyDescent="0.25">
      <c r="H554">
        <v>4</v>
      </c>
      <c r="I554">
        <v>42</v>
      </c>
      <c r="J554">
        <v>115</v>
      </c>
      <c r="K554" t="b">
        <v>1</v>
      </c>
      <c r="N554" s="30" t="s">
        <v>510</v>
      </c>
      <c r="O554" s="2">
        <f>INDEX(Маршруты,MATCH(N554,$B$3:$B$498,0),1)</f>
        <v>24</v>
      </c>
      <c r="P554" s="27">
        <v>8</v>
      </c>
      <c r="Q554" s="2">
        <f>INDEX(Остановки,MATCH(R554,ИД_Остановки!$B$3:$B$467,0),1)</f>
        <v>137</v>
      </c>
      <c r="R554" s="45" t="s">
        <v>309</v>
      </c>
      <c r="S554" s="20">
        <v>0.6</v>
      </c>
    </row>
    <row r="555" spans="8:19" x14ac:dyDescent="0.25">
      <c r="H555">
        <v>4</v>
      </c>
      <c r="I555">
        <v>48</v>
      </c>
      <c r="J555">
        <v>115</v>
      </c>
      <c r="K555" t="b">
        <v>1</v>
      </c>
      <c r="N555" s="25" t="s">
        <v>510</v>
      </c>
      <c r="O555" s="2">
        <f>INDEX(Маршруты,MATCH(N555,$B$3:$B$498,0),1)</f>
        <v>24</v>
      </c>
      <c r="P555" s="27">
        <v>9</v>
      </c>
      <c r="Q555" s="2">
        <f>INDEX(Остановки,MATCH(R555,ИД_Остановки!$B$3:$B$467,0),1)</f>
        <v>136</v>
      </c>
      <c r="R555" s="24" t="s">
        <v>84</v>
      </c>
      <c r="S555" s="20">
        <v>0.63</v>
      </c>
    </row>
    <row r="556" spans="8:19" x14ac:dyDescent="0.25">
      <c r="H556">
        <v>4</v>
      </c>
      <c r="I556">
        <v>54</v>
      </c>
      <c r="J556">
        <v>115</v>
      </c>
      <c r="K556" t="b">
        <v>1</v>
      </c>
      <c r="N556" s="26" t="s">
        <v>510</v>
      </c>
      <c r="O556" s="2">
        <f>INDEX(Маршруты,MATCH(N556,$B$3:$B$498,0),1)</f>
        <v>24</v>
      </c>
      <c r="P556" s="27">
        <v>10</v>
      </c>
      <c r="Q556" s="2">
        <f>INDEX(Остановки,MATCH(R556,ИД_Остановки!$B$3:$B$467,0),1)</f>
        <v>48</v>
      </c>
      <c r="R556" s="45" t="s">
        <v>42</v>
      </c>
      <c r="S556" s="20">
        <v>0.5</v>
      </c>
    </row>
    <row r="557" spans="8:19" x14ac:dyDescent="0.25">
      <c r="H557">
        <v>4</v>
      </c>
      <c r="I557">
        <v>60</v>
      </c>
      <c r="J557">
        <v>115</v>
      </c>
      <c r="K557" t="b">
        <v>1</v>
      </c>
      <c r="N557" s="30" t="s">
        <v>510</v>
      </c>
      <c r="O557" s="2">
        <f>INDEX(Маршруты,MATCH(N557,$B$3:$B$498,0),1)</f>
        <v>24</v>
      </c>
      <c r="P557" s="27">
        <v>11</v>
      </c>
      <c r="Q557" s="2">
        <f>INDEX(Остановки,MATCH(R557,ИД_Остановки!$B$3:$B$467,0),1)</f>
        <v>130</v>
      </c>
      <c r="R557" s="45" t="s">
        <v>305</v>
      </c>
      <c r="S557" s="20">
        <v>0.72</v>
      </c>
    </row>
    <row r="558" spans="8:19" x14ac:dyDescent="0.25">
      <c r="H558">
        <v>4</v>
      </c>
      <c r="I558">
        <v>66</v>
      </c>
      <c r="J558">
        <v>115</v>
      </c>
      <c r="K558" t="b">
        <v>1</v>
      </c>
      <c r="N558" s="30" t="s">
        <v>510</v>
      </c>
      <c r="O558" s="2">
        <f>INDEX(Маршруты,MATCH(N558,$B$3:$B$498,0),1)</f>
        <v>24</v>
      </c>
      <c r="P558" s="27">
        <v>12</v>
      </c>
      <c r="Q558" s="2">
        <f>INDEX(Остановки,MATCH(R558,ИД_Остановки!$B$3:$B$467,0),1)</f>
        <v>131</v>
      </c>
      <c r="R558" s="45" t="s">
        <v>306</v>
      </c>
      <c r="S558" s="20">
        <v>0.39</v>
      </c>
    </row>
    <row r="559" spans="8:19" x14ac:dyDescent="0.25">
      <c r="H559">
        <v>4</v>
      </c>
      <c r="I559">
        <v>72</v>
      </c>
      <c r="J559">
        <v>115</v>
      </c>
      <c r="K559" t="b">
        <v>1</v>
      </c>
      <c r="N559" s="25" t="s">
        <v>510</v>
      </c>
      <c r="O559" s="2">
        <f>INDEX(Маршруты,MATCH(N559,$B$3:$B$498,0),1)</f>
        <v>24</v>
      </c>
      <c r="P559" s="28">
        <v>13</v>
      </c>
      <c r="Q559" s="2">
        <f>INDEX(Остановки,MATCH(R559,ИД_Остановки!$B$3:$B$467,0),1)</f>
        <v>132</v>
      </c>
      <c r="R559" s="24" t="s">
        <v>307</v>
      </c>
      <c r="S559" s="20">
        <v>0.56999999999999995</v>
      </c>
    </row>
    <row r="560" spans="8:19" x14ac:dyDescent="0.25">
      <c r="H560">
        <v>4</v>
      </c>
      <c r="I560">
        <v>78</v>
      </c>
      <c r="J560">
        <v>115</v>
      </c>
      <c r="K560" t="b">
        <v>1</v>
      </c>
      <c r="N560" s="25" t="s">
        <v>510</v>
      </c>
      <c r="O560" s="2">
        <f>INDEX(Маршруты,MATCH(N560,$B$3:$B$498,0),1)</f>
        <v>24</v>
      </c>
      <c r="P560" s="27">
        <v>14</v>
      </c>
      <c r="Q560" s="2">
        <f>INDEX(Остановки,MATCH(R560,ИД_Остановки!$B$3:$B$467,0),1)</f>
        <v>133</v>
      </c>
      <c r="R560" s="45" t="s">
        <v>82</v>
      </c>
      <c r="S560" s="20">
        <v>0.49</v>
      </c>
    </row>
    <row r="561" spans="8:19" x14ac:dyDescent="0.25">
      <c r="H561">
        <v>4</v>
      </c>
      <c r="I561">
        <v>84</v>
      </c>
      <c r="J561">
        <v>115</v>
      </c>
      <c r="K561" t="b">
        <v>1</v>
      </c>
      <c r="N561" s="25" t="s">
        <v>510</v>
      </c>
      <c r="O561" s="2">
        <f>INDEX(Маршруты,MATCH(N561,$B$3:$B$498,0),1)</f>
        <v>24</v>
      </c>
      <c r="P561" s="27">
        <v>15</v>
      </c>
      <c r="Q561" s="2">
        <f>INDEX(Остановки,MATCH(R561,ИД_Остановки!$B$3:$B$467,0),1)</f>
        <v>134</v>
      </c>
      <c r="R561" s="45" t="s">
        <v>308</v>
      </c>
      <c r="S561" s="20">
        <v>0.3</v>
      </c>
    </row>
    <row r="562" spans="8:19" x14ac:dyDescent="0.25">
      <c r="H562">
        <v>4</v>
      </c>
      <c r="I562">
        <v>90</v>
      </c>
      <c r="J562">
        <v>115</v>
      </c>
      <c r="K562" t="b">
        <v>1</v>
      </c>
      <c r="N562" s="25" t="s">
        <v>510</v>
      </c>
      <c r="O562" s="2">
        <f>INDEX(Маршруты,MATCH(N562,$B$3:$B$498,0),1)</f>
        <v>24</v>
      </c>
      <c r="P562" s="27">
        <v>16</v>
      </c>
      <c r="Q562" s="2">
        <f>INDEX(Остановки,MATCH(R562,ИД_Остановки!$B$3:$B$467,0),1)</f>
        <v>83</v>
      </c>
      <c r="R562" s="45" t="s">
        <v>280</v>
      </c>
      <c r="S562" s="20">
        <v>1.1100000000000001</v>
      </c>
    </row>
    <row r="563" spans="8:19" x14ac:dyDescent="0.25">
      <c r="H563">
        <v>4</v>
      </c>
      <c r="I563">
        <v>96</v>
      </c>
      <c r="J563">
        <v>115</v>
      </c>
      <c r="K563" t="b">
        <v>1</v>
      </c>
      <c r="N563" s="25" t="s">
        <v>510</v>
      </c>
      <c r="O563" s="2">
        <f>INDEX(Маршруты,MATCH(N563,$B$3:$B$498,0),1)</f>
        <v>24</v>
      </c>
      <c r="P563" s="28">
        <v>17</v>
      </c>
      <c r="Q563" s="2">
        <f>INDEX(Остановки,MATCH(R563,ИД_Остановки!$B$3:$B$467,0),1)</f>
        <v>103</v>
      </c>
      <c r="R563" s="24" t="s">
        <v>288</v>
      </c>
      <c r="S563" s="20">
        <v>0.3</v>
      </c>
    </row>
    <row r="564" spans="8:19" x14ac:dyDescent="0.25">
      <c r="H564">
        <v>4</v>
      </c>
      <c r="I564">
        <v>102</v>
      </c>
      <c r="J564">
        <v>115</v>
      </c>
      <c r="K564" t="b">
        <v>1</v>
      </c>
      <c r="N564" s="25" t="s">
        <v>510</v>
      </c>
      <c r="O564" s="2">
        <f>INDEX(Маршруты,MATCH(N564,$B$3:$B$498,0),1)</f>
        <v>24</v>
      </c>
      <c r="P564" s="27">
        <v>18</v>
      </c>
      <c r="Q564" s="2">
        <f>INDEX(Остановки,MATCH(R564,ИД_Остановки!$B$3:$B$467,0),1)</f>
        <v>135</v>
      </c>
      <c r="R564" s="45" t="s">
        <v>83</v>
      </c>
      <c r="S564" s="20">
        <v>0.78</v>
      </c>
    </row>
    <row r="565" spans="8:19" x14ac:dyDescent="0.25">
      <c r="H565">
        <v>4</v>
      </c>
      <c r="I565">
        <v>108</v>
      </c>
      <c r="J565">
        <v>115</v>
      </c>
      <c r="K565" t="b">
        <v>1</v>
      </c>
      <c r="N565" s="30" t="s">
        <v>511</v>
      </c>
      <c r="O565" s="2">
        <f>INDEX(Маршруты,MATCH(N565,$B$3:$B$498,0),1)</f>
        <v>25</v>
      </c>
      <c r="P565" s="28">
        <v>1</v>
      </c>
      <c r="Q565" s="2">
        <f>INDEX(Остановки,MATCH(R565,ИД_Остановки!$B$3:$B$467,0),1)</f>
        <v>98</v>
      </c>
      <c r="R565" s="24" t="s">
        <v>286</v>
      </c>
      <c r="S565" s="20"/>
    </row>
    <row r="566" spans="8:19" x14ac:dyDescent="0.25">
      <c r="H566">
        <v>4</v>
      </c>
      <c r="I566">
        <v>114</v>
      </c>
      <c r="J566">
        <v>115</v>
      </c>
      <c r="K566" t="b">
        <v>1</v>
      </c>
      <c r="N566" s="30" t="s">
        <v>511</v>
      </c>
      <c r="O566" s="2">
        <f>INDEX(Маршруты,MATCH(N566,$B$3:$B$498,0),1)</f>
        <v>25</v>
      </c>
      <c r="P566" s="27">
        <v>2</v>
      </c>
      <c r="Q566" s="2">
        <f>INDEX(Остановки,MATCH(R566,ИД_Остановки!$B$3:$B$467,0),1)</f>
        <v>99</v>
      </c>
      <c r="R566" s="45" t="s">
        <v>287</v>
      </c>
      <c r="S566" s="20">
        <v>0.16</v>
      </c>
    </row>
    <row r="567" spans="8:19" x14ac:dyDescent="0.25">
      <c r="H567">
        <v>4</v>
      </c>
      <c r="I567">
        <v>120</v>
      </c>
      <c r="J567">
        <v>115</v>
      </c>
      <c r="K567" t="b">
        <v>1</v>
      </c>
      <c r="N567" s="30" t="s">
        <v>511</v>
      </c>
      <c r="O567" s="2">
        <f>INDEX(Маршруты,MATCH(N567,$B$3:$B$498,0),1)</f>
        <v>25</v>
      </c>
      <c r="P567" s="27">
        <v>3</v>
      </c>
      <c r="Q567" s="2">
        <f>INDEX(Остановки,MATCH(R567,ИД_Остановки!$B$3:$B$467,0),1)</f>
        <v>100</v>
      </c>
      <c r="R567" s="45" t="s">
        <v>70</v>
      </c>
      <c r="S567" s="20">
        <v>0.86</v>
      </c>
    </row>
    <row r="568" spans="8:19" x14ac:dyDescent="0.25">
      <c r="H568">
        <v>4</v>
      </c>
      <c r="I568">
        <v>126</v>
      </c>
      <c r="J568">
        <v>115</v>
      </c>
      <c r="K568" t="b">
        <v>1</v>
      </c>
      <c r="N568" s="30" t="s">
        <v>511</v>
      </c>
      <c r="O568" s="2">
        <f>INDEX(Маршруты,MATCH(N568,$B$3:$B$498,0),1)</f>
        <v>25</v>
      </c>
      <c r="P568" s="27">
        <v>4</v>
      </c>
      <c r="Q568" s="2">
        <f>INDEX(Остановки,MATCH(R568,ИД_Остановки!$B$3:$B$467,0),1)</f>
        <v>101</v>
      </c>
      <c r="R568" s="45" t="s">
        <v>71</v>
      </c>
      <c r="S568" s="20">
        <v>0.62</v>
      </c>
    </row>
    <row r="569" spans="8:19" x14ac:dyDescent="0.25">
      <c r="H569">
        <v>4</v>
      </c>
      <c r="I569">
        <v>132</v>
      </c>
      <c r="J569">
        <v>115</v>
      </c>
      <c r="K569" t="b">
        <v>1</v>
      </c>
      <c r="N569" s="26" t="s">
        <v>511</v>
      </c>
      <c r="O569" s="2">
        <f>INDEX(Маршруты,MATCH(N569,$B$3:$B$498,0),1)</f>
        <v>25</v>
      </c>
      <c r="P569" s="27">
        <v>5</v>
      </c>
      <c r="Q569" s="2">
        <f>INDEX(Остановки,MATCH(R569,ИД_Остановки!$B$3:$B$467,0),1)</f>
        <v>349</v>
      </c>
      <c r="R569" s="45" t="s">
        <v>58</v>
      </c>
      <c r="S569" s="20">
        <v>0.28999999999999998</v>
      </c>
    </row>
    <row r="570" spans="8:19" x14ac:dyDescent="0.25">
      <c r="H570">
        <v>4</v>
      </c>
      <c r="I570">
        <v>138</v>
      </c>
      <c r="J570">
        <v>115</v>
      </c>
      <c r="K570" t="b">
        <v>1</v>
      </c>
      <c r="N570" s="25" t="s">
        <v>511</v>
      </c>
      <c r="O570" s="2">
        <f>INDEX(Маршруты,MATCH(N570,$B$3:$B$498,0),1)</f>
        <v>25</v>
      </c>
      <c r="P570" s="27">
        <v>6</v>
      </c>
      <c r="Q570" s="2">
        <f>INDEX(Остановки,MATCH(R570,ИД_Остановки!$B$3:$B$467,0),1)</f>
        <v>102</v>
      </c>
      <c r="R570" s="45" t="s">
        <v>72</v>
      </c>
      <c r="S570" s="20">
        <v>0.47</v>
      </c>
    </row>
    <row r="571" spans="8:19" x14ac:dyDescent="0.25">
      <c r="H571">
        <v>4</v>
      </c>
      <c r="I571">
        <v>144</v>
      </c>
      <c r="J571">
        <v>115</v>
      </c>
      <c r="K571" t="b">
        <v>1</v>
      </c>
      <c r="N571" s="25" t="s">
        <v>511</v>
      </c>
      <c r="O571" s="2">
        <f>INDEX(Маршруты,MATCH(N571,$B$3:$B$498,0),1)</f>
        <v>25</v>
      </c>
      <c r="P571" s="27">
        <v>7</v>
      </c>
      <c r="Q571" s="2">
        <f>INDEX(Остановки,MATCH(R571,ИД_Остановки!$B$3:$B$467,0),1)</f>
        <v>204</v>
      </c>
      <c r="R571" s="45" t="s">
        <v>342</v>
      </c>
      <c r="S571" s="20">
        <v>0.42</v>
      </c>
    </row>
    <row r="572" spans="8:19" x14ac:dyDescent="0.25">
      <c r="H572">
        <v>4</v>
      </c>
      <c r="I572">
        <v>150</v>
      </c>
      <c r="J572">
        <v>115</v>
      </c>
      <c r="K572" t="b">
        <v>1</v>
      </c>
      <c r="N572" s="25" t="s">
        <v>511</v>
      </c>
      <c r="O572" s="2">
        <f>INDEX(Маршруты,MATCH(N572,$B$3:$B$498,0),1)</f>
        <v>25</v>
      </c>
      <c r="P572" s="27">
        <v>8</v>
      </c>
      <c r="Q572" s="2">
        <f>INDEX(Остановки,MATCH(R572,ИД_Остановки!$B$3:$B$467,0),1)</f>
        <v>33</v>
      </c>
      <c r="R572" s="45" t="s">
        <v>29</v>
      </c>
      <c r="S572" s="20">
        <v>0.3</v>
      </c>
    </row>
    <row r="573" spans="8:19" x14ac:dyDescent="0.25">
      <c r="H573">
        <v>4</v>
      </c>
      <c r="I573">
        <v>156</v>
      </c>
      <c r="J573">
        <v>115</v>
      </c>
      <c r="K573" t="b">
        <v>1</v>
      </c>
      <c r="N573" s="26" t="s">
        <v>511</v>
      </c>
      <c r="O573" s="2">
        <f>INDEX(Маршруты,MATCH(N573,$B$3:$B$498,0),1)</f>
        <v>25</v>
      </c>
      <c r="P573" s="27">
        <v>9</v>
      </c>
      <c r="Q573" s="2">
        <f>INDEX(Остановки,MATCH(R573,ИД_Остановки!$B$3:$B$467,0),1)</f>
        <v>93</v>
      </c>
      <c r="R573" s="45" t="s">
        <v>65</v>
      </c>
      <c r="S573" s="20">
        <v>0.52</v>
      </c>
    </row>
    <row r="574" spans="8:19" x14ac:dyDescent="0.25">
      <c r="H574">
        <v>4</v>
      </c>
      <c r="I574">
        <v>162</v>
      </c>
      <c r="J574">
        <v>115</v>
      </c>
      <c r="K574" t="b">
        <v>1</v>
      </c>
      <c r="N574" s="25" t="s">
        <v>511</v>
      </c>
      <c r="O574" s="2">
        <f>INDEX(Маршруты,MATCH(N574,$B$3:$B$498,0),1)</f>
        <v>25</v>
      </c>
      <c r="P574" s="27">
        <v>10</v>
      </c>
      <c r="Q574" s="2">
        <f>INDEX(Остановки,MATCH(R574,ИД_Остановки!$B$3:$B$467,0),1)</f>
        <v>82</v>
      </c>
      <c r="R574" s="45" t="s">
        <v>59</v>
      </c>
      <c r="S574" s="20">
        <v>0.52</v>
      </c>
    </row>
    <row r="575" spans="8:19" x14ac:dyDescent="0.25">
      <c r="H575">
        <v>4</v>
      </c>
      <c r="I575">
        <v>168</v>
      </c>
      <c r="J575">
        <v>115</v>
      </c>
      <c r="K575" t="b">
        <v>1</v>
      </c>
      <c r="N575" s="30" t="s">
        <v>511</v>
      </c>
      <c r="O575" s="2">
        <f>INDEX(Маршруты,MATCH(N575,$B$3:$B$498,0),1)</f>
        <v>25</v>
      </c>
      <c r="P575" s="27">
        <v>11</v>
      </c>
      <c r="Q575" s="2">
        <f>INDEX(Остановки,MATCH(R575,ИД_Остановки!$B$3:$B$467,0),1)</f>
        <v>146</v>
      </c>
      <c r="R575" s="45" t="s">
        <v>646</v>
      </c>
      <c r="S575" s="20">
        <v>0.47</v>
      </c>
    </row>
    <row r="576" spans="8:19" x14ac:dyDescent="0.25">
      <c r="H576">
        <v>4</v>
      </c>
      <c r="I576">
        <v>174</v>
      </c>
      <c r="J576">
        <v>115</v>
      </c>
      <c r="K576" t="b">
        <v>1</v>
      </c>
      <c r="N576" s="25" t="s">
        <v>511</v>
      </c>
      <c r="O576" s="2">
        <f>INDEX(Маршруты,MATCH(N576,$B$3:$B$498,0),1)</f>
        <v>25</v>
      </c>
      <c r="P576" s="27">
        <v>12</v>
      </c>
      <c r="Q576" s="2">
        <f>INDEX(Остановки,MATCH(R576,ИД_Остановки!$B$3:$B$467,0),1)</f>
        <v>83</v>
      </c>
      <c r="R576" s="45" t="s">
        <v>280</v>
      </c>
      <c r="S576" s="20">
        <v>0.44</v>
      </c>
    </row>
    <row r="577" spans="8:19" x14ac:dyDescent="0.25">
      <c r="H577">
        <v>4</v>
      </c>
      <c r="I577">
        <v>180</v>
      </c>
      <c r="J577">
        <v>115</v>
      </c>
      <c r="K577" t="b">
        <v>1</v>
      </c>
      <c r="N577" s="30" t="s">
        <v>511</v>
      </c>
      <c r="O577" s="2">
        <f>INDEX(Маршруты,MATCH(N577,$B$3:$B$498,0),1)</f>
        <v>25</v>
      </c>
      <c r="P577" s="27">
        <v>13</v>
      </c>
      <c r="Q577" s="2">
        <f>INDEX(Остановки,MATCH(R577,ИД_Остановки!$B$3:$B$467,0),1)</f>
        <v>135</v>
      </c>
      <c r="R577" s="45" t="s">
        <v>83</v>
      </c>
      <c r="S577" s="20">
        <v>1.26</v>
      </c>
    </row>
    <row r="578" spans="8:19" x14ac:dyDescent="0.25">
      <c r="H578">
        <v>4</v>
      </c>
      <c r="I578">
        <v>186</v>
      </c>
      <c r="J578">
        <v>115</v>
      </c>
      <c r="K578" t="b">
        <v>1</v>
      </c>
      <c r="N578" s="25" t="s">
        <v>511</v>
      </c>
      <c r="O578" s="2">
        <f>INDEX(Маршруты,MATCH(N578,$B$3:$B$498,0),1)</f>
        <v>25</v>
      </c>
      <c r="P578" s="27">
        <v>14</v>
      </c>
      <c r="Q578" s="2">
        <f>INDEX(Остановки,MATCH(R578,ИД_Остановки!$B$3:$B$467,0),1)</f>
        <v>134</v>
      </c>
      <c r="R578" s="45" t="s">
        <v>308</v>
      </c>
      <c r="S578" s="20">
        <v>0.26</v>
      </c>
    </row>
    <row r="579" spans="8:19" x14ac:dyDescent="0.25">
      <c r="H579">
        <v>4</v>
      </c>
      <c r="I579">
        <v>192</v>
      </c>
      <c r="J579">
        <v>115</v>
      </c>
      <c r="K579" t="b">
        <v>1</v>
      </c>
      <c r="N579" s="25" t="s">
        <v>511</v>
      </c>
      <c r="O579" s="2">
        <f>INDEX(Маршруты,MATCH(N579,$B$3:$B$498,0),1)</f>
        <v>25</v>
      </c>
      <c r="P579" s="27">
        <v>15</v>
      </c>
      <c r="Q579" s="2">
        <f>INDEX(Остановки,MATCH(R579,ИД_Остановки!$B$3:$B$467,0),1)</f>
        <v>133</v>
      </c>
      <c r="R579" s="45" t="s">
        <v>82</v>
      </c>
      <c r="S579" s="20">
        <v>0.3</v>
      </c>
    </row>
    <row r="580" spans="8:19" x14ac:dyDescent="0.25">
      <c r="H580">
        <v>4</v>
      </c>
      <c r="I580">
        <v>198</v>
      </c>
      <c r="J580">
        <v>115</v>
      </c>
      <c r="K580" t="b">
        <v>1</v>
      </c>
      <c r="N580" s="25" t="s">
        <v>511</v>
      </c>
      <c r="O580" s="2">
        <f>INDEX(Маршруты,MATCH(N580,$B$3:$B$498,0),1)</f>
        <v>25</v>
      </c>
      <c r="P580" s="27">
        <v>16</v>
      </c>
      <c r="Q580" s="2">
        <f>INDEX(Остановки,MATCH(R580,ИД_Остановки!$B$3:$B$467,0),1)</f>
        <v>132</v>
      </c>
      <c r="R580" s="45" t="s">
        <v>307</v>
      </c>
      <c r="S580" s="20">
        <v>0.49</v>
      </c>
    </row>
    <row r="581" spans="8:19" x14ac:dyDescent="0.25">
      <c r="H581">
        <v>4</v>
      </c>
      <c r="I581">
        <v>204</v>
      </c>
      <c r="J581">
        <v>115</v>
      </c>
      <c r="K581" t="b">
        <v>1</v>
      </c>
      <c r="N581" s="30" t="s">
        <v>511</v>
      </c>
      <c r="O581" s="2">
        <f>INDEX(Маршруты,MATCH(N581,$B$3:$B$498,0),1)</f>
        <v>25</v>
      </c>
      <c r="P581" s="27">
        <v>17</v>
      </c>
      <c r="Q581" s="2">
        <f>INDEX(Остановки,MATCH(R581,ИД_Остановки!$B$3:$B$467,0),1)</f>
        <v>131</v>
      </c>
      <c r="R581" s="45" t="s">
        <v>306</v>
      </c>
      <c r="S581" s="20">
        <v>0.56999999999999995</v>
      </c>
    </row>
    <row r="582" spans="8:19" x14ac:dyDescent="0.25">
      <c r="H582">
        <v>4</v>
      </c>
      <c r="I582">
        <v>210</v>
      </c>
      <c r="J582">
        <v>115</v>
      </c>
      <c r="K582" t="b">
        <v>1</v>
      </c>
      <c r="N582" s="25" t="s">
        <v>511</v>
      </c>
      <c r="O582" s="2">
        <f>INDEX(Маршруты,MATCH(N582,$B$3:$B$498,0),1)</f>
        <v>25</v>
      </c>
      <c r="P582" s="27">
        <v>18</v>
      </c>
      <c r="Q582" s="2">
        <f>INDEX(Остановки,MATCH(R582,ИД_Остановки!$B$3:$B$467,0),1)</f>
        <v>130</v>
      </c>
      <c r="R582" s="45" t="s">
        <v>305</v>
      </c>
      <c r="S582" s="20">
        <v>0.39</v>
      </c>
    </row>
    <row r="583" spans="8:19" x14ac:dyDescent="0.25">
      <c r="H583">
        <v>4</v>
      </c>
      <c r="I583">
        <v>216</v>
      </c>
      <c r="J583">
        <v>115</v>
      </c>
      <c r="K583" t="b">
        <v>1</v>
      </c>
      <c r="N583" s="25" t="s">
        <v>511</v>
      </c>
      <c r="O583" s="2">
        <f>INDEX(Маршруты,MATCH(N583,$B$3:$B$498,0),1)</f>
        <v>25</v>
      </c>
      <c r="P583" s="27">
        <v>19</v>
      </c>
      <c r="Q583" s="2">
        <f>INDEX(Остановки,MATCH(R583,ИД_Остановки!$B$3:$B$467,0),1)</f>
        <v>48</v>
      </c>
      <c r="R583" s="24" t="s">
        <v>42</v>
      </c>
      <c r="S583" s="20">
        <v>0.72</v>
      </c>
    </row>
    <row r="584" spans="8:19" x14ac:dyDescent="0.25">
      <c r="H584">
        <v>4</v>
      </c>
      <c r="I584">
        <v>222</v>
      </c>
      <c r="J584">
        <v>115</v>
      </c>
      <c r="K584" t="b">
        <v>1</v>
      </c>
      <c r="N584" s="32" t="s">
        <v>511</v>
      </c>
      <c r="O584" s="2">
        <f>INDEX(Маршруты,MATCH(N584,$B$3:$B$498,0),1)</f>
        <v>25</v>
      </c>
      <c r="P584" s="27">
        <v>20</v>
      </c>
      <c r="Q584" s="2">
        <f>INDEX(Остановки,MATCH(R584,ИД_Остановки!$B$3:$B$467,0),1)</f>
        <v>136</v>
      </c>
      <c r="R584" s="45" t="s">
        <v>84</v>
      </c>
      <c r="S584" s="20">
        <v>0.5</v>
      </c>
    </row>
    <row r="585" spans="8:19" x14ac:dyDescent="0.25">
      <c r="H585">
        <v>4</v>
      </c>
      <c r="I585">
        <v>228</v>
      </c>
      <c r="J585">
        <v>115</v>
      </c>
      <c r="K585" t="b">
        <v>1</v>
      </c>
      <c r="N585" s="25" t="s">
        <v>511</v>
      </c>
      <c r="O585" s="2">
        <f>INDEX(Маршруты,MATCH(N585,$B$3:$B$498,0),1)</f>
        <v>25</v>
      </c>
      <c r="P585" s="27">
        <v>21</v>
      </c>
      <c r="Q585" s="2">
        <f>INDEX(Остановки,MATCH(R585,ИД_Остановки!$B$3:$B$467,0),1)</f>
        <v>137</v>
      </c>
      <c r="R585" s="45" t="s">
        <v>309</v>
      </c>
      <c r="S585" s="20">
        <v>0.63</v>
      </c>
    </row>
    <row r="586" spans="8:19" x14ac:dyDescent="0.25">
      <c r="H586">
        <v>4</v>
      </c>
      <c r="I586">
        <v>234</v>
      </c>
      <c r="J586">
        <v>115</v>
      </c>
      <c r="K586" t="b">
        <v>1</v>
      </c>
      <c r="N586" s="30" t="s">
        <v>511</v>
      </c>
      <c r="O586" s="2">
        <f>INDEX(Маршруты,MATCH(N586,$B$3:$B$498,0),1)</f>
        <v>25</v>
      </c>
      <c r="P586" s="27">
        <v>22</v>
      </c>
      <c r="Q586" s="2">
        <f>INDEX(Остановки,MATCH(R586,ИД_Остановки!$B$3:$B$467,0),1)</f>
        <v>138</v>
      </c>
      <c r="R586" s="45" t="s">
        <v>310</v>
      </c>
      <c r="S586" s="20">
        <v>0.6</v>
      </c>
    </row>
    <row r="587" spans="8:19" x14ac:dyDescent="0.25">
      <c r="H587">
        <v>4</v>
      </c>
      <c r="I587">
        <v>240</v>
      </c>
      <c r="J587">
        <v>115</v>
      </c>
      <c r="K587" t="b">
        <v>1</v>
      </c>
      <c r="N587" s="30" t="s">
        <v>511</v>
      </c>
      <c r="O587" s="2">
        <f>INDEX(Маршруты,MATCH(N587,$B$3:$B$498,0),1)</f>
        <v>25</v>
      </c>
      <c r="P587" s="27">
        <v>23</v>
      </c>
      <c r="Q587" s="2">
        <f>INDEX(Остановки,MATCH(R587,ИД_Остановки!$B$3:$B$467,0),1)</f>
        <v>139</v>
      </c>
      <c r="R587" s="45" t="s">
        <v>311</v>
      </c>
      <c r="S587" s="20">
        <v>0.34</v>
      </c>
    </row>
    <row r="588" spans="8:19" x14ac:dyDescent="0.25">
      <c r="H588">
        <v>4</v>
      </c>
      <c r="I588">
        <v>246</v>
      </c>
      <c r="J588">
        <v>115</v>
      </c>
      <c r="K588" t="b">
        <v>1</v>
      </c>
      <c r="N588" s="30" t="s">
        <v>511</v>
      </c>
      <c r="O588" s="2">
        <f>INDEX(Маршруты,MATCH(N588,$B$3:$B$498,0),1)</f>
        <v>25</v>
      </c>
      <c r="P588" s="27">
        <v>24</v>
      </c>
      <c r="Q588" s="2">
        <f>INDEX(Остановки,MATCH(R588,ИД_Остановки!$B$3:$B$467,0),1)</f>
        <v>140</v>
      </c>
      <c r="R588" s="45" t="s">
        <v>312</v>
      </c>
      <c r="S588" s="20">
        <v>0.47</v>
      </c>
    </row>
    <row r="589" spans="8:19" x14ac:dyDescent="0.25">
      <c r="H589">
        <v>4</v>
      </c>
      <c r="I589">
        <v>252</v>
      </c>
      <c r="J589">
        <v>115</v>
      </c>
      <c r="K589" t="b">
        <v>1</v>
      </c>
      <c r="N589" s="30" t="s">
        <v>511</v>
      </c>
      <c r="O589" s="2">
        <f>INDEX(Маршруты,MATCH(N589,$B$3:$B$498,0),1)</f>
        <v>25</v>
      </c>
      <c r="P589" s="27">
        <v>25</v>
      </c>
      <c r="Q589" s="2">
        <f>INDEX(Остановки,MATCH(R589,ИД_Остановки!$B$3:$B$467,0),1)</f>
        <v>141</v>
      </c>
      <c r="R589" s="45" t="s">
        <v>313</v>
      </c>
      <c r="S589" s="20">
        <v>0.47</v>
      </c>
    </row>
    <row r="590" spans="8:19" x14ac:dyDescent="0.25">
      <c r="H590">
        <v>4</v>
      </c>
      <c r="I590">
        <v>258</v>
      </c>
      <c r="J590">
        <v>115</v>
      </c>
      <c r="K590" t="b">
        <v>1</v>
      </c>
      <c r="N590" s="30" t="s">
        <v>511</v>
      </c>
      <c r="O590" s="2">
        <f>INDEX(Маршруты,MATCH(N590,$B$3:$B$498,0),1)</f>
        <v>25</v>
      </c>
      <c r="P590" s="27">
        <v>26</v>
      </c>
      <c r="Q590" s="2">
        <f>INDEX(Остановки,MATCH(R590,ИД_Остановки!$B$3:$B$467,0),1)</f>
        <v>142</v>
      </c>
      <c r="R590" s="45" t="s">
        <v>314</v>
      </c>
      <c r="S590" s="20">
        <v>0.43</v>
      </c>
    </row>
    <row r="591" spans="8:19" x14ac:dyDescent="0.25">
      <c r="H591">
        <v>4</v>
      </c>
      <c r="I591">
        <v>264</v>
      </c>
      <c r="J591">
        <v>115</v>
      </c>
      <c r="K591" t="b">
        <v>1</v>
      </c>
      <c r="N591" s="30" t="s">
        <v>511</v>
      </c>
      <c r="O591" s="2">
        <f>INDEX(Маршруты,MATCH(N591,$B$3:$B$498,0),1)</f>
        <v>25</v>
      </c>
      <c r="P591" s="27">
        <v>27</v>
      </c>
      <c r="Q591" s="2">
        <f>INDEX(Остановки,MATCH(R591,ИД_Остановки!$B$3:$B$467,0),1)</f>
        <v>143</v>
      </c>
      <c r="R591" s="45" t="s">
        <v>85</v>
      </c>
      <c r="S591" s="20">
        <v>0.76</v>
      </c>
    </row>
    <row r="592" spans="8:19" x14ac:dyDescent="0.25">
      <c r="H592">
        <v>4</v>
      </c>
      <c r="I592">
        <v>270</v>
      </c>
      <c r="J592">
        <v>115</v>
      </c>
      <c r="K592" t="b">
        <v>1</v>
      </c>
      <c r="N592" s="30" t="s">
        <v>511</v>
      </c>
      <c r="O592" s="2">
        <f>INDEX(Маршруты,MATCH(N592,$B$3:$B$498,0),1)</f>
        <v>25</v>
      </c>
      <c r="P592" s="27">
        <v>28</v>
      </c>
      <c r="Q592" s="2">
        <f>INDEX(Остановки,MATCH(R592,ИД_Остановки!$B$3:$B$467,0),1)</f>
        <v>144</v>
      </c>
      <c r="R592" s="24" t="s">
        <v>86</v>
      </c>
      <c r="S592" s="20">
        <v>0.6</v>
      </c>
    </row>
    <row r="593" spans="8:19" x14ac:dyDescent="0.25">
      <c r="H593">
        <v>4</v>
      </c>
      <c r="I593">
        <v>276</v>
      </c>
      <c r="J593">
        <v>115</v>
      </c>
      <c r="K593" t="b">
        <v>1</v>
      </c>
      <c r="N593" s="30" t="s">
        <v>512</v>
      </c>
      <c r="O593" s="2">
        <f>INDEX(Маршруты,MATCH(N593,$B$3:$B$498,0),1)</f>
        <v>26</v>
      </c>
      <c r="P593" s="28">
        <v>1</v>
      </c>
      <c r="Q593" s="2">
        <f>INDEX(Остановки,MATCH(R593,ИД_Остановки!$B$3:$B$467,0),1)</f>
        <v>144</v>
      </c>
      <c r="R593" s="24" t="s">
        <v>86</v>
      </c>
      <c r="S593" s="20"/>
    </row>
    <row r="594" spans="8:19" x14ac:dyDescent="0.25">
      <c r="H594">
        <v>4</v>
      </c>
      <c r="I594">
        <v>282</v>
      </c>
      <c r="J594">
        <v>115</v>
      </c>
      <c r="K594" t="b">
        <v>1</v>
      </c>
      <c r="N594" s="30" t="s">
        <v>512</v>
      </c>
      <c r="O594" s="2">
        <f>INDEX(Маршруты,MATCH(N594,$B$3:$B$498,0),1)</f>
        <v>26</v>
      </c>
      <c r="P594" s="27">
        <v>2</v>
      </c>
      <c r="Q594" s="2">
        <f>INDEX(Остановки,MATCH(R594,ИД_Остановки!$B$3:$B$467,0),1)</f>
        <v>143</v>
      </c>
      <c r="R594" s="24" t="s">
        <v>85</v>
      </c>
      <c r="S594" s="20">
        <v>0.6</v>
      </c>
    </row>
    <row r="595" spans="8:19" x14ac:dyDescent="0.25">
      <c r="H595">
        <v>4</v>
      </c>
      <c r="I595">
        <v>288</v>
      </c>
      <c r="J595">
        <v>115</v>
      </c>
      <c r="K595" t="b">
        <v>1</v>
      </c>
      <c r="N595" s="30" t="s">
        <v>512</v>
      </c>
      <c r="O595" s="2">
        <f>INDEX(Маршруты,MATCH(N595,$B$3:$B$498,0),1)</f>
        <v>26</v>
      </c>
      <c r="P595" s="27">
        <v>3</v>
      </c>
      <c r="Q595" s="2">
        <f>INDEX(Остановки,MATCH(R595,ИД_Остановки!$B$3:$B$467,0),1)</f>
        <v>142</v>
      </c>
      <c r="R595" s="24" t="s">
        <v>314</v>
      </c>
      <c r="S595" s="20">
        <v>0.76</v>
      </c>
    </row>
    <row r="596" spans="8:19" x14ac:dyDescent="0.25">
      <c r="H596">
        <v>4</v>
      </c>
      <c r="I596">
        <v>294</v>
      </c>
      <c r="J596">
        <v>115</v>
      </c>
      <c r="K596" t="b">
        <v>1</v>
      </c>
      <c r="N596" s="30" t="s">
        <v>512</v>
      </c>
      <c r="O596" s="2">
        <f>INDEX(Маршруты,MATCH(N596,$B$3:$B$498,0),1)</f>
        <v>26</v>
      </c>
      <c r="P596" s="27">
        <v>4</v>
      </c>
      <c r="Q596" s="2">
        <f>INDEX(Остановки,MATCH(R596,ИД_Остановки!$B$3:$B$467,0),1)</f>
        <v>141</v>
      </c>
      <c r="R596" s="45" t="s">
        <v>313</v>
      </c>
      <c r="S596" s="20">
        <v>0.43</v>
      </c>
    </row>
    <row r="597" spans="8:19" x14ac:dyDescent="0.25">
      <c r="H597">
        <v>4</v>
      </c>
      <c r="I597">
        <v>300</v>
      </c>
      <c r="J597">
        <v>115</v>
      </c>
      <c r="K597" t="b">
        <v>1</v>
      </c>
      <c r="N597" s="30" t="s">
        <v>512</v>
      </c>
      <c r="O597" s="2">
        <f>INDEX(Маршруты,MATCH(N597,$B$3:$B$498,0),1)</f>
        <v>26</v>
      </c>
      <c r="P597" s="27">
        <v>5</v>
      </c>
      <c r="Q597" s="2">
        <f>INDEX(Остановки,MATCH(R597,ИД_Остановки!$B$3:$B$467,0),1)</f>
        <v>140</v>
      </c>
      <c r="R597" s="45" t="s">
        <v>312</v>
      </c>
      <c r="S597" s="20">
        <v>0.47</v>
      </c>
    </row>
    <row r="598" spans="8:19" x14ac:dyDescent="0.25">
      <c r="H598">
        <v>4</v>
      </c>
      <c r="I598">
        <v>306</v>
      </c>
      <c r="J598">
        <v>115</v>
      </c>
      <c r="K598" t="b">
        <v>1</v>
      </c>
      <c r="N598" s="26" t="s">
        <v>512</v>
      </c>
      <c r="O598" s="2">
        <f>INDEX(Маршруты,MATCH(N598,$B$3:$B$498,0),1)</f>
        <v>26</v>
      </c>
      <c r="P598" s="27">
        <v>6</v>
      </c>
      <c r="Q598" s="2">
        <f>INDEX(Остановки,MATCH(R598,ИД_Остановки!$B$3:$B$467,0),1)</f>
        <v>139</v>
      </c>
      <c r="R598" s="45" t="s">
        <v>311</v>
      </c>
      <c r="S598" s="20">
        <v>0.47</v>
      </c>
    </row>
    <row r="599" spans="8:19" x14ac:dyDescent="0.25">
      <c r="H599">
        <v>4</v>
      </c>
      <c r="I599">
        <v>312</v>
      </c>
      <c r="J599">
        <v>115</v>
      </c>
      <c r="K599" t="b">
        <v>1</v>
      </c>
      <c r="N599" s="30" t="s">
        <v>512</v>
      </c>
      <c r="O599" s="2">
        <f>INDEX(Маршруты,MATCH(N599,$B$3:$B$498,0),1)</f>
        <v>26</v>
      </c>
      <c r="P599" s="27">
        <v>7</v>
      </c>
      <c r="Q599" s="2">
        <f>INDEX(Остановки,MATCH(R599,ИД_Остановки!$B$3:$B$467,0),1)</f>
        <v>138</v>
      </c>
      <c r="R599" s="45" t="s">
        <v>310</v>
      </c>
      <c r="S599" s="20">
        <v>0.34</v>
      </c>
    </row>
    <row r="600" spans="8:19" x14ac:dyDescent="0.25">
      <c r="H600">
        <v>4</v>
      </c>
      <c r="I600">
        <v>318</v>
      </c>
      <c r="J600">
        <v>115</v>
      </c>
      <c r="K600" t="b">
        <v>1</v>
      </c>
      <c r="N600" s="30" t="s">
        <v>512</v>
      </c>
      <c r="O600" s="2">
        <f>INDEX(Маршруты,MATCH(N600,$B$3:$B$498,0),1)</f>
        <v>26</v>
      </c>
      <c r="P600" s="27">
        <v>8</v>
      </c>
      <c r="Q600" s="2">
        <f>INDEX(Остановки,MATCH(R600,ИД_Остановки!$B$3:$B$467,0),1)</f>
        <v>137</v>
      </c>
      <c r="R600" s="45" t="s">
        <v>309</v>
      </c>
      <c r="S600" s="20">
        <v>0.6</v>
      </c>
    </row>
    <row r="601" spans="8:19" x14ac:dyDescent="0.25">
      <c r="H601">
        <v>4</v>
      </c>
      <c r="I601">
        <v>324</v>
      </c>
      <c r="J601">
        <v>115</v>
      </c>
      <c r="K601" t="b">
        <v>1</v>
      </c>
      <c r="N601" s="30" t="s">
        <v>512</v>
      </c>
      <c r="O601" s="2">
        <f>INDEX(Маршруты,MATCH(N601,$B$3:$B$498,0),1)</f>
        <v>26</v>
      </c>
      <c r="P601" s="27">
        <v>9</v>
      </c>
      <c r="Q601" s="2">
        <f>INDEX(Остановки,MATCH(R601,ИД_Остановки!$B$3:$B$467,0),1)</f>
        <v>136</v>
      </c>
      <c r="R601" s="45" t="s">
        <v>84</v>
      </c>
      <c r="S601" s="20">
        <v>0.63</v>
      </c>
    </row>
    <row r="602" spans="8:19" x14ac:dyDescent="0.25">
      <c r="H602">
        <v>4</v>
      </c>
      <c r="I602">
        <v>330</v>
      </c>
      <c r="J602">
        <v>115</v>
      </c>
      <c r="K602" t="b">
        <v>1</v>
      </c>
      <c r="N602" s="30" t="s">
        <v>512</v>
      </c>
      <c r="O602" s="2">
        <f>INDEX(Маршруты,MATCH(N602,$B$3:$B$498,0),1)</f>
        <v>26</v>
      </c>
      <c r="P602" s="28">
        <v>10</v>
      </c>
      <c r="Q602" s="2">
        <f>INDEX(Остановки,MATCH(R602,ИД_Остановки!$B$3:$B$467,0),1)</f>
        <v>48</v>
      </c>
      <c r="R602" s="24" t="s">
        <v>42</v>
      </c>
      <c r="S602" s="20">
        <v>0.5</v>
      </c>
    </row>
    <row r="603" spans="8:19" x14ac:dyDescent="0.25">
      <c r="H603">
        <v>4</v>
      </c>
      <c r="I603">
        <v>336</v>
      </c>
      <c r="J603">
        <v>115</v>
      </c>
      <c r="K603" t="b">
        <v>1</v>
      </c>
      <c r="N603" s="30" t="s">
        <v>512</v>
      </c>
      <c r="O603" s="2">
        <f>INDEX(Маршруты,MATCH(N603,$B$3:$B$498,0),1)</f>
        <v>26</v>
      </c>
      <c r="P603" s="27">
        <v>11</v>
      </c>
      <c r="Q603" s="2">
        <f>INDEX(Остановки,MATCH(R603,ИД_Остановки!$B$3:$B$467,0),1)</f>
        <v>130</v>
      </c>
      <c r="R603" s="45" t="s">
        <v>305</v>
      </c>
      <c r="S603" s="20">
        <v>0.72</v>
      </c>
    </row>
    <row r="604" spans="8:19" x14ac:dyDescent="0.25">
      <c r="H604">
        <v>4</v>
      </c>
      <c r="I604">
        <v>342</v>
      </c>
      <c r="J604">
        <v>115</v>
      </c>
      <c r="K604" t="b">
        <v>1</v>
      </c>
      <c r="N604" s="25" t="s">
        <v>512</v>
      </c>
      <c r="O604" s="2">
        <f>INDEX(Маршруты,MATCH(N604,$B$3:$B$498,0),1)</f>
        <v>26</v>
      </c>
      <c r="P604" s="28">
        <v>12</v>
      </c>
      <c r="Q604" s="2">
        <f>INDEX(Остановки,MATCH(R604,ИД_Остановки!$B$3:$B$467,0),1)</f>
        <v>131</v>
      </c>
      <c r="R604" s="24" t="s">
        <v>306</v>
      </c>
      <c r="S604" s="20">
        <v>0.39</v>
      </c>
    </row>
    <row r="605" spans="8:19" x14ac:dyDescent="0.25">
      <c r="H605">
        <v>4</v>
      </c>
      <c r="I605">
        <v>348</v>
      </c>
      <c r="J605">
        <v>115</v>
      </c>
      <c r="K605" t="b">
        <v>1</v>
      </c>
      <c r="N605" s="25" t="s">
        <v>512</v>
      </c>
      <c r="O605" s="2">
        <f>INDEX(Маршруты,MATCH(N605,$B$3:$B$498,0),1)</f>
        <v>26</v>
      </c>
      <c r="P605" s="27">
        <v>13</v>
      </c>
      <c r="Q605" s="2">
        <f>INDEX(Остановки,MATCH(R605,ИД_Остановки!$B$3:$B$467,0),1)</f>
        <v>132</v>
      </c>
      <c r="R605" s="45" t="s">
        <v>307</v>
      </c>
      <c r="S605" s="20">
        <v>0.56999999999999995</v>
      </c>
    </row>
    <row r="606" spans="8:19" x14ac:dyDescent="0.25">
      <c r="H606">
        <v>4</v>
      </c>
      <c r="I606">
        <v>354</v>
      </c>
      <c r="J606">
        <v>115</v>
      </c>
      <c r="K606" t="b">
        <v>1</v>
      </c>
      <c r="N606" s="25" t="s">
        <v>512</v>
      </c>
      <c r="O606" s="2">
        <f>INDEX(Маршруты,MATCH(N606,$B$3:$B$498,0),1)</f>
        <v>26</v>
      </c>
      <c r="P606" s="27">
        <v>14</v>
      </c>
      <c r="Q606" s="2">
        <f>INDEX(Остановки,MATCH(R606,ИД_Остановки!$B$3:$B$467,0),1)</f>
        <v>133</v>
      </c>
      <c r="R606" s="45" t="s">
        <v>82</v>
      </c>
      <c r="S606" s="20">
        <v>0.49</v>
      </c>
    </row>
    <row r="607" spans="8:19" x14ac:dyDescent="0.25">
      <c r="H607">
        <v>4</v>
      </c>
      <c r="I607">
        <v>360</v>
      </c>
      <c r="J607">
        <v>115</v>
      </c>
      <c r="K607" t="b">
        <v>1</v>
      </c>
      <c r="N607" s="25" t="s">
        <v>512</v>
      </c>
      <c r="O607" s="2">
        <f>INDEX(Маршруты,MATCH(N607,$B$3:$B$498,0),1)</f>
        <v>26</v>
      </c>
      <c r="P607" s="27">
        <v>15</v>
      </c>
      <c r="Q607" s="2">
        <f>INDEX(Остановки,MATCH(R607,ИД_Остановки!$B$3:$B$467,0),1)</f>
        <v>134</v>
      </c>
      <c r="R607" s="45" t="s">
        <v>308</v>
      </c>
      <c r="S607" s="20">
        <v>0.3</v>
      </c>
    </row>
    <row r="608" spans="8:19" x14ac:dyDescent="0.25">
      <c r="H608">
        <v>4</v>
      </c>
      <c r="I608">
        <v>366</v>
      </c>
      <c r="J608">
        <v>115</v>
      </c>
      <c r="K608" t="b">
        <v>1</v>
      </c>
      <c r="N608" s="25" t="s">
        <v>512</v>
      </c>
      <c r="O608" s="2">
        <f>INDEX(Маршруты,MATCH(N608,$B$3:$B$498,0),1)</f>
        <v>26</v>
      </c>
      <c r="P608" s="28">
        <v>16</v>
      </c>
      <c r="Q608" s="2">
        <f>INDEX(Остановки,MATCH(R608,ИД_Остановки!$B$3:$B$467,0),1)</f>
        <v>135</v>
      </c>
      <c r="R608" s="24" t="s">
        <v>83</v>
      </c>
      <c r="S608" s="20">
        <v>0.26</v>
      </c>
    </row>
    <row r="609" spans="8:19" x14ac:dyDescent="0.25">
      <c r="H609">
        <v>4</v>
      </c>
      <c r="I609">
        <v>372</v>
      </c>
      <c r="J609">
        <v>115</v>
      </c>
      <c r="K609" t="b">
        <v>1</v>
      </c>
      <c r="N609" s="30" t="s">
        <v>512</v>
      </c>
      <c r="O609" s="2">
        <f>INDEX(Маршруты,MATCH(N609,$B$3:$B$498,0),1)</f>
        <v>26</v>
      </c>
      <c r="P609" s="28">
        <v>17</v>
      </c>
      <c r="Q609" s="2">
        <f>INDEX(Остановки,MATCH(R609,ИД_Остановки!$B$3:$B$467,0),1)</f>
        <v>83</v>
      </c>
      <c r="R609" s="24" t="s">
        <v>280</v>
      </c>
      <c r="S609" s="20">
        <v>1.26</v>
      </c>
    </row>
    <row r="610" spans="8:19" x14ac:dyDescent="0.25">
      <c r="H610">
        <v>4</v>
      </c>
      <c r="I610">
        <v>378</v>
      </c>
      <c r="J610">
        <v>115</v>
      </c>
      <c r="K610" t="b">
        <v>1</v>
      </c>
      <c r="N610" s="30" t="s">
        <v>512</v>
      </c>
      <c r="O610" s="2">
        <f>INDEX(Маршруты,MATCH(N610,$B$3:$B$498,0),1)</f>
        <v>26</v>
      </c>
      <c r="P610" s="27">
        <v>18</v>
      </c>
      <c r="Q610" s="2">
        <f>INDEX(Остановки,MATCH(R610,ИД_Остановки!$B$3:$B$467,0),1)</f>
        <v>146</v>
      </c>
      <c r="R610" s="45" t="s">
        <v>646</v>
      </c>
      <c r="S610" s="20">
        <v>0.44</v>
      </c>
    </row>
    <row r="611" spans="8:19" x14ac:dyDescent="0.25">
      <c r="H611">
        <v>4</v>
      </c>
      <c r="I611">
        <v>384</v>
      </c>
      <c r="J611">
        <v>115</v>
      </c>
      <c r="K611" t="b">
        <v>1</v>
      </c>
      <c r="N611" s="25" t="s">
        <v>512</v>
      </c>
      <c r="O611" s="2">
        <f>INDEX(Маршруты,MATCH(N611,$B$3:$B$498,0),1)</f>
        <v>26</v>
      </c>
      <c r="P611" s="28">
        <v>19</v>
      </c>
      <c r="Q611" s="2">
        <f>INDEX(Остановки,MATCH(R611,ИД_Остановки!$B$3:$B$467,0),1)</f>
        <v>82</v>
      </c>
      <c r="R611" s="24" t="s">
        <v>59</v>
      </c>
      <c r="S611" s="21">
        <v>0.47</v>
      </c>
    </row>
    <row r="612" spans="8:19" x14ac:dyDescent="0.25">
      <c r="H612">
        <v>4</v>
      </c>
      <c r="I612">
        <v>390</v>
      </c>
      <c r="J612">
        <v>115</v>
      </c>
      <c r="K612" t="b">
        <v>1</v>
      </c>
      <c r="N612" s="30" t="s">
        <v>512</v>
      </c>
      <c r="O612" s="2">
        <f>INDEX(Маршруты,MATCH(N612,$B$3:$B$498,0),1)</f>
        <v>26</v>
      </c>
      <c r="P612" s="27">
        <v>20</v>
      </c>
      <c r="Q612" s="2">
        <f>INDEX(Остановки,MATCH(R612,ИД_Остановки!$B$3:$B$467,0),1)</f>
        <v>93</v>
      </c>
      <c r="R612" s="45" t="s">
        <v>65</v>
      </c>
      <c r="S612" s="20">
        <v>0.52</v>
      </c>
    </row>
    <row r="613" spans="8:19" x14ac:dyDescent="0.25">
      <c r="H613">
        <v>4</v>
      </c>
      <c r="I613">
        <v>396</v>
      </c>
      <c r="J613">
        <v>115</v>
      </c>
      <c r="K613" t="b">
        <v>1</v>
      </c>
      <c r="N613" s="30" t="s">
        <v>512</v>
      </c>
      <c r="O613" s="2">
        <f>INDEX(Маршруты,MATCH(N613,$B$3:$B$498,0),1)</f>
        <v>26</v>
      </c>
      <c r="P613" s="27">
        <v>21</v>
      </c>
      <c r="Q613" s="2">
        <f>INDEX(Остановки,MATCH(R613,ИД_Остановки!$B$3:$B$467,0),1)</f>
        <v>33</v>
      </c>
      <c r="R613" s="45" t="s">
        <v>29</v>
      </c>
      <c r="S613" s="20">
        <v>0.52</v>
      </c>
    </row>
    <row r="614" spans="8:19" x14ac:dyDescent="0.25">
      <c r="H614">
        <v>4</v>
      </c>
      <c r="I614">
        <v>402</v>
      </c>
      <c r="J614">
        <v>115</v>
      </c>
      <c r="K614" t="b">
        <v>1</v>
      </c>
      <c r="N614" s="25" t="s">
        <v>512</v>
      </c>
      <c r="O614" s="2">
        <f>INDEX(Маршруты,MATCH(N614,$B$3:$B$498,0),1)</f>
        <v>26</v>
      </c>
      <c r="P614" s="27">
        <v>22</v>
      </c>
      <c r="Q614" s="2">
        <f>INDEX(Остановки,MATCH(R614,ИД_Остановки!$B$3:$B$467,0),1)</f>
        <v>204</v>
      </c>
      <c r="R614" s="45" t="s">
        <v>342</v>
      </c>
      <c r="S614" s="20">
        <v>0.3</v>
      </c>
    </row>
    <row r="615" spans="8:19" x14ac:dyDescent="0.25">
      <c r="H615">
        <v>4</v>
      </c>
      <c r="I615">
        <v>408</v>
      </c>
      <c r="J615">
        <v>115</v>
      </c>
      <c r="K615" t="b">
        <v>1</v>
      </c>
      <c r="N615" s="25" t="s">
        <v>512</v>
      </c>
      <c r="O615" s="2">
        <f>INDEX(Маршруты,MATCH(N615,$B$3:$B$498,0),1)</f>
        <v>26</v>
      </c>
      <c r="P615" s="27">
        <v>23</v>
      </c>
      <c r="Q615" s="2">
        <f>INDEX(Остановки,MATCH(R615,ИД_Остановки!$B$3:$B$467,0),1)</f>
        <v>102</v>
      </c>
      <c r="R615" s="45" t="s">
        <v>72</v>
      </c>
      <c r="S615" s="20">
        <v>0.42</v>
      </c>
    </row>
    <row r="616" spans="8:19" x14ac:dyDescent="0.25">
      <c r="H616">
        <v>4</v>
      </c>
      <c r="I616">
        <v>414</v>
      </c>
      <c r="J616">
        <v>115</v>
      </c>
      <c r="K616" t="b">
        <v>1</v>
      </c>
      <c r="N616" s="30" t="s">
        <v>512</v>
      </c>
      <c r="O616" s="2">
        <f>INDEX(Маршруты,MATCH(N616,$B$3:$B$498,0),1)</f>
        <v>26</v>
      </c>
      <c r="P616" s="27">
        <v>24</v>
      </c>
      <c r="Q616" s="2">
        <f>INDEX(Остановки,MATCH(R616,ИД_Остановки!$B$3:$B$467,0),1)</f>
        <v>349</v>
      </c>
      <c r="R616" s="45" t="s">
        <v>58</v>
      </c>
      <c r="S616" s="20">
        <v>0.47</v>
      </c>
    </row>
    <row r="617" spans="8:19" x14ac:dyDescent="0.25">
      <c r="H617">
        <v>4</v>
      </c>
      <c r="I617">
        <v>420</v>
      </c>
      <c r="J617">
        <v>115</v>
      </c>
      <c r="K617" t="b">
        <v>1</v>
      </c>
      <c r="N617" s="25" t="s">
        <v>512</v>
      </c>
      <c r="O617" s="2">
        <f>INDEX(Маршруты,MATCH(N617,$B$3:$B$498,0),1)</f>
        <v>26</v>
      </c>
      <c r="P617" s="27">
        <v>25</v>
      </c>
      <c r="Q617" s="2">
        <f>INDEX(Остановки,MATCH(R617,ИД_Остановки!$B$3:$B$467,0),1)</f>
        <v>101</v>
      </c>
      <c r="R617" s="45" t="s">
        <v>71</v>
      </c>
      <c r="S617" s="20">
        <v>0.28999999999999998</v>
      </c>
    </row>
    <row r="618" spans="8:19" x14ac:dyDescent="0.25">
      <c r="H618">
        <v>4</v>
      </c>
      <c r="I618">
        <v>426</v>
      </c>
      <c r="J618">
        <v>115</v>
      </c>
      <c r="K618" t="b">
        <v>1</v>
      </c>
      <c r="N618" s="30" t="s">
        <v>512</v>
      </c>
      <c r="O618" s="2">
        <f>INDEX(Маршруты,MATCH(N618,$B$3:$B$498,0),1)</f>
        <v>26</v>
      </c>
      <c r="P618" s="27">
        <v>26</v>
      </c>
      <c r="Q618" s="2">
        <f>INDEX(Остановки,MATCH(R618,ИД_Остановки!$B$3:$B$467,0),1)</f>
        <v>100</v>
      </c>
      <c r="R618" s="45" t="s">
        <v>70</v>
      </c>
      <c r="S618" s="20">
        <v>0.62</v>
      </c>
    </row>
    <row r="619" spans="8:19" x14ac:dyDescent="0.25">
      <c r="H619">
        <v>4</v>
      </c>
      <c r="I619">
        <v>432</v>
      </c>
      <c r="J619">
        <v>115</v>
      </c>
      <c r="K619" t="b">
        <v>1</v>
      </c>
      <c r="N619" s="25" t="s">
        <v>512</v>
      </c>
      <c r="O619" s="2">
        <f>INDEX(Маршруты,MATCH(N619,$B$3:$B$498,0),1)</f>
        <v>26</v>
      </c>
      <c r="P619" s="28">
        <v>27</v>
      </c>
      <c r="Q619" s="2">
        <f>INDEX(Остановки,MATCH(R619,ИД_Остановки!$B$3:$B$467,0),1)</f>
        <v>99</v>
      </c>
      <c r="R619" s="24" t="s">
        <v>287</v>
      </c>
      <c r="S619" s="20">
        <v>0.86</v>
      </c>
    </row>
    <row r="620" spans="8:19" x14ac:dyDescent="0.25">
      <c r="H620">
        <v>4</v>
      </c>
      <c r="I620">
        <v>438</v>
      </c>
      <c r="J620">
        <v>115</v>
      </c>
      <c r="K620" t="b">
        <v>1</v>
      </c>
      <c r="N620" s="30" t="s">
        <v>512</v>
      </c>
      <c r="O620" s="2">
        <f>INDEX(Маршруты,MATCH(N620,$B$3:$B$498,0),1)</f>
        <v>26</v>
      </c>
      <c r="P620" s="27">
        <v>28</v>
      </c>
      <c r="Q620" s="2">
        <f>INDEX(Остановки,MATCH(R620,ИД_Остановки!$B$3:$B$467,0),1)</f>
        <v>98</v>
      </c>
      <c r="R620" s="45" t="s">
        <v>286</v>
      </c>
      <c r="S620" s="20">
        <v>0.16</v>
      </c>
    </row>
    <row r="621" spans="8:19" x14ac:dyDescent="0.25">
      <c r="H621">
        <v>4</v>
      </c>
      <c r="I621">
        <v>444</v>
      </c>
      <c r="J621">
        <v>115</v>
      </c>
      <c r="K621" t="b">
        <v>1</v>
      </c>
      <c r="N621" s="30" t="s">
        <v>513</v>
      </c>
      <c r="O621" s="2">
        <f>INDEX(Маршруты,MATCH(N621,$B$3:$B$498,0),1)</f>
        <v>27</v>
      </c>
      <c r="P621" s="27">
        <v>1</v>
      </c>
      <c r="Q621" s="2">
        <f>INDEX(Остановки,MATCH(R621,ИД_Остановки!$B$3:$B$467,0),1)</f>
        <v>34</v>
      </c>
      <c r="R621" s="45" t="s">
        <v>613</v>
      </c>
      <c r="S621" s="20"/>
    </row>
    <row r="622" spans="8:19" x14ac:dyDescent="0.25">
      <c r="H622">
        <v>4</v>
      </c>
      <c r="I622">
        <v>450</v>
      </c>
      <c r="J622">
        <v>115</v>
      </c>
      <c r="K622" t="b">
        <v>1</v>
      </c>
      <c r="N622" s="30" t="s">
        <v>513</v>
      </c>
      <c r="O622" s="2">
        <f>INDEX(Маршруты,MATCH(N622,$B$3:$B$498,0),1)</f>
        <v>27</v>
      </c>
      <c r="P622" s="27">
        <v>2</v>
      </c>
      <c r="Q622" s="2">
        <f>INDEX(Остановки,MATCH(R622,ИД_Остановки!$B$3:$B$467,0),1)</f>
        <v>33</v>
      </c>
      <c r="R622" s="24" t="s">
        <v>29</v>
      </c>
      <c r="S622" s="20">
        <v>0.57999999999999996</v>
      </c>
    </row>
    <row r="623" spans="8:19" x14ac:dyDescent="0.25">
      <c r="H623">
        <v>4</v>
      </c>
      <c r="I623">
        <v>456</v>
      </c>
      <c r="J623">
        <v>115</v>
      </c>
      <c r="K623" t="b">
        <v>1</v>
      </c>
      <c r="N623" s="26" t="s">
        <v>513</v>
      </c>
      <c r="O623" s="2">
        <f>INDEX(Маршруты,MATCH(N623,$B$3:$B$498,0),1)</f>
        <v>27</v>
      </c>
      <c r="P623" s="27">
        <v>3</v>
      </c>
      <c r="Q623" s="2">
        <f>INDEX(Остановки,MATCH(R623,ИД_Остановки!$B$3:$B$467,0),1)</f>
        <v>32</v>
      </c>
      <c r="R623" s="45" t="s">
        <v>28</v>
      </c>
      <c r="S623" s="20">
        <v>0.45</v>
      </c>
    </row>
    <row r="624" spans="8:19" x14ac:dyDescent="0.25">
      <c r="H624">
        <v>4</v>
      </c>
      <c r="I624">
        <v>462</v>
      </c>
      <c r="J624">
        <v>115</v>
      </c>
      <c r="K624" t="b">
        <v>1</v>
      </c>
      <c r="N624" s="26" t="s">
        <v>513</v>
      </c>
      <c r="O624" s="2">
        <f>INDEX(Маршруты,MATCH(N624,$B$3:$B$498,0),1)</f>
        <v>27</v>
      </c>
      <c r="P624" s="27">
        <v>4</v>
      </c>
      <c r="Q624" s="2">
        <f>INDEX(Остановки,MATCH(R624,ИД_Остановки!$B$3:$B$467,0),1)</f>
        <v>102</v>
      </c>
      <c r="R624" s="45" t="s">
        <v>72</v>
      </c>
      <c r="S624" s="20">
        <v>0.24</v>
      </c>
    </row>
    <row r="625" spans="8:19" x14ac:dyDescent="0.25">
      <c r="H625">
        <v>4</v>
      </c>
      <c r="I625">
        <v>468</v>
      </c>
      <c r="J625">
        <v>115</v>
      </c>
      <c r="K625" t="b">
        <v>1</v>
      </c>
      <c r="N625" s="25" t="s">
        <v>513</v>
      </c>
      <c r="O625" s="2">
        <f>INDEX(Маршруты,MATCH(N625,$B$3:$B$498,0),1)</f>
        <v>27</v>
      </c>
      <c r="P625" s="27">
        <v>5</v>
      </c>
      <c r="Q625" s="2">
        <f>INDEX(Остановки,MATCH(R625,ИД_Остановки!$B$3:$B$467,0),1)</f>
        <v>31</v>
      </c>
      <c r="R625" s="45" t="s">
        <v>256</v>
      </c>
      <c r="S625" s="20">
        <v>0.28000000000000003</v>
      </c>
    </row>
    <row r="626" spans="8:19" x14ac:dyDescent="0.25">
      <c r="H626">
        <v>4</v>
      </c>
      <c r="I626">
        <v>474</v>
      </c>
      <c r="J626">
        <v>115</v>
      </c>
      <c r="K626" t="b">
        <v>1</v>
      </c>
      <c r="N626" s="26" t="s">
        <v>513</v>
      </c>
      <c r="O626" s="2">
        <f>INDEX(Маршруты,MATCH(N626,$B$3:$B$498,0),1)</f>
        <v>27</v>
      </c>
      <c r="P626" s="27">
        <v>6</v>
      </c>
      <c r="Q626" s="2">
        <f>INDEX(Остановки,MATCH(R626,ИД_Остановки!$B$3:$B$467,0),1)</f>
        <v>10</v>
      </c>
      <c r="R626" s="45" t="s">
        <v>247</v>
      </c>
      <c r="S626" s="20">
        <v>0.73</v>
      </c>
    </row>
    <row r="627" spans="8:19" x14ac:dyDescent="0.25">
      <c r="H627">
        <v>4</v>
      </c>
      <c r="I627">
        <v>480</v>
      </c>
      <c r="J627">
        <v>115</v>
      </c>
      <c r="K627" t="b">
        <v>1</v>
      </c>
      <c r="N627" s="30" t="s">
        <v>513</v>
      </c>
      <c r="O627" s="2">
        <f>INDEX(Маршруты,MATCH(N627,$B$3:$B$498,0),1)</f>
        <v>27</v>
      </c>
      <c r="P627" s="27">
        <v>7</v>
      </c>
      <c r="Q627" s="2">
        <f>INDEX(Остановки,MATCH(R627,ИД_Остановки!$B$3:$B$467,0),1)</f>
        <v>11</v>
      </c>
      <c r="R627" s="45" t="s">
        <v>248</v>
      </c>
      <c r="S627" s="20">
        <v>0.34</v>
      </c>
    </row>
    <row r="628" spans="8:19" x14ac:dyDescent="0.25">
      <c r="H628">
        <v>4</v>
      </c>
      <c r="I628">
        <v>486</v>
      </c>
      <c r="J628">
        <v>115</v>
      </c>
      <c r="K628" t="b">
        <v>1</v>
      </c>
      <c r="N628" s="25" t="s">
        <v>513</v>
      </c>
      <c r="O628" s="2">
        <f>INDEX(Маршруты,MATCH(N628,$B$3:$B$498,0),1)</f>
        <v>27</v>
      </c>
      <c r="P628" s="27">
        <v>8</v>
      </c>
      <c r="Q628" s="2">
        <f>INDEX(Остановки,MATCH(R628,ИД_Остановки!$B$3:$B$467,0),1)</f>
        <v>12</v>
      </c>
      <c r="R628" s="45" t="s">
        <v>13</v>
      </c>
      <c r="S628" s="20">
        <v>0.79</v>
      </c>
    </row>
    <row r="629" spans="8:19" x14ac:dyDescent="0.25">
      <c r="H629">
        <v>4</v>
      </c>
      <c r="I629">
        <v>492</v>
      </c>
      <c r="J629">
        <v>115</v>
      </c>
      <c r="K629" t="b">
        <v>1</v>
      </c>
      <c r="N629" s="25" t="s">
        <v>513</v>
      </c>
      <c r="O629" s="2">
        <f>INDEX(Маршруты,MATCH(N629,$B$3:$B$498,0),1)</f>
        <v>27</v>
      </c>
      <c r="P629" s="28">
        <v>9</v>
      </c>
      <c r="Q629" s="2">
        <f>INDEX(Остановки,MATCH(R629,ИД_Остановки!$B$3:$B$467,0),1)</f>
        <v>13</v>
      </c>
      <c r="R629" s="24" t="s">
        <v>249</v>
      </c>
      <c r="S629" s="20">
        <v>0.41</v>
      </c>
    </row>
    <row r="630" spans="8:19" x14ac:dyDescent="0.25">
      <c r="H630">
        <v>4</v>
      </c>
      <c r="I630">
        <v>498</v>
      </c>
      <c r="J630">
        <v>115</v>
      </c>
      <c r="K630" t="b">
        <v>1</v>
      </c>
      <c r="N630" s="26" t="s">
        <v>513</v>
      </c>
      <c r="O630" s="2">
        <f>INDEX(Маршруты,MATCH(N630,$B$3:$B$498,0),1)</f>
        <v>27</v>
      </c>
      <c r="P630" s="27">
        <v>10</v>
      </c>
      <c r="Q630" s="2">
        <f>INDEX(Остановки,MATCH(R630,ИД_Остановки!$B$3:$B$467,0),1)</f>
        <v>21</v>
      </c>
      <c r="R630" s="45" t="s">
        <v>21</v>
      </c>
      <c r="S630" s="20">
        <v>0.51</v>
      </c>
    </row>
    <row r="631" spans="8:19" x14ac:dyDescent="0.25">
      <c r="H631">
        <v>4</v>
      </c>
      <c r="I631">
        <v>504</v>
      </c>
      <c r="J631">
        <v>115</v>
      </c>
      <c r="K631" t="b">
        <v>1</v>
      </c>
      <c r="N631" s="30" t="s">
        <v>513</v>
      </c>
      <c r="O631" s="2">
        <f>INDEX(Маршруты,MATCH(N631,$B$3:$B$498,0),1)</f>
        <v>27</v>
      </c>
      <c r="P631" s="27">
        <v>11</v>
      </c>
      <c r="Q631" s="2">
        <f>INDEX(Остановки,MATCH(R631,ИД_Остановки!$B$3:$B$467,0),1)</f>
        <v>20</v>
      </c>
      <c r="R631" s="45" t="s">
        <v>20</v>
      </c>
      <c r="S631" s="20">
        <v>0.55000000000000004</v>
      </c>
    </row>
    <row r="632" spans="8:19" x14ac:dyDescent="0.25">
      <c r="H632">
        <v>4</v>
      </c>
      <c r="I632">
        <v>510</v>
      </c>
      <c r="J632">
        <v>115</v>
      </c>
      <c r="K632" t="b">
        <v>1</v>
      </c>
      <c r="N632" s="30" t="s">
        <v>513</v>
      </c>
      <c r="O632" s="2">
        <f>INDEX(Маршруты,MATCH(N632,$B$3:$B$498,0),1)</f>
        <v>27</v>
      </c>
      <c r="P632" s="27">
        <v>12</v>
      </c>
      <c r="Q632" s="2">
        <f>INDEX(Остановки,MATCH(R632,ИД_Остановки!$B$3:$B$467,0),1)</f>
        <v>19</v>
      </c>
      <c r="R632" s="24" t="s">
        <v>19</v>
      </c>
      <c r="S632" s="20">
        <v>0.53</v>
      </c>
    </row>
    <row r="633" spans="8:19" x14ac:dyDescent="0.25">
      <c r="H633">
        <v>4</v>
      </c>
      <c r="I633">
        <v>516</v>
      </c>
      <c r="J633">
        <v>115</v>
      </c>
      <c r="K633" t="b">
        <v>1</v>
      </c>
      <c r="N633" s="30" t="s">
        <v>513</v>
      </c>
      <c r="O633" s="2">
        <f>INDEX(Маршруты,MATCH(N633,$B$3:$B$498,0),1)</f>
        <v>27</v>
      </c>
      <c r="P633" s="27">
        <v>13</v>
      </c>
      <c r="Q633" s="2">
        <f>INDEX(Остановки,MATCH(R633,ИД_Остановки!$B$3:$B$467,0),1)</f>
        <v>18</v>
      </c>
      <c r="R633" s="45" t="s">
        <v>18</v>
      </c>
      <c r="S633" s="20">
        <v>0.61</v>
      </c>
    </row>
    <row r="634" spans="8:19" x14ac:dyDescent="0.25">
      <c r="H634">
        <v>4</v>
      </c>
      <c r="I634">
        <v>522</v>
      </c>
      <c r="J634">
        <v>115</v>
      </c>
      <c r="K634" t="b">
        <v>1</v>
      </c>
      <c r="N634" s="30" t="s">
        <v>513</v>
      </c>
      <c r="O634" s="2">
        <f>INDEX(Маршруты,MATCH(N634,$B$3:$B$498,0),1)</f>
        <v>27</v>
      </c>
      <c r="P634" s="27">
        <v>14</v>
      </c>
      <c r="Q634" s="2">
        <f>INDEX(Остановки,MATCH(R634,ИД_Остановки!$B$3:$B$467,0),1)</f>
        <v>17</v>
      </c>
      <c r="R634" s="45" t="s">
        <v>251</v>
      </c>
      <c r="S634" s="20">
        <v>0.25</v>
      </c>
    </row>
    <row r="635" spans="8:19" x14ac:dyDescent="0.25">
      <c r="H635">
        <v>4</v>
      </c>
      <c r="I635">
        <v>528</v>
      </c>
      <c r="J635">
        <v>115</v>
      </c>
      <c r="K635" t="b">
        <v>1</v>
      </c>
      <c r="N635" s="25" t="s">
        <v>513</v>
      </c>
      <c r="O635" s="2">
        <f>INDEX(Маршруты,MATCH(N635,$B$3:$B$498,0),1)</f>
        <v>27</v>
      </c>
      <c r="P635" s="27">
        <v>15</v>
      </c>
      <c r="Q635" s="2">
        <f>INDEX(Остановки,MATCH(R635,ИД_Остановки!$B$3:$B$467,0),1)</f>
        <v>16</v>
      </c>
      <c r="R635" s="45" t="s">
        <v>16</v>
      </c>
      <c r="S635" s="20">
        <v>0.68</v>
      </c>
    </row>
    <row r="636" spans="8:19" x14ac:dyDescent="0.25">
      <c r="H636">
        <v>4</v>
      </c>
      <c r="I636">
        <v>534</v>
      </c>
      <c r="J636">
        <v>115</v>
      </c>
      <c r="K636" t="b">
        <v>1</v>
      </c>
      <c r="N636" s="30" t="s">
        <v>514</v>
      </c>
      <c r="O636" s="2">
        <f>INDEX(Маршруты,MATCH(N636,$B$3:$B$498,0),1)</f>
        <v>28</v>
      </c>
      <c r="P636" s="28">
        <v>1</v>
      </c>
      <c r="Q636" s="2">
        <f>INDEX(Остановки,MATCH(R636,ИД_Остановки!$B$3:$B$467,0),1)</f>
        <v>16</v>
      </c>
      <c r="R636" s="24" t="s">
        <v>16</v>
      </c>
      <c r="S636" s="20"/>
    </row>
    <row r="637" spans="8:19" x14ac:dyDescent="0.25">
      <c r="H637">
        <v>4</v>
      </c>
      <c r="I637">
        <v>540</v>
      </c>
      <c r="J637">
        <v>115</v>
      </c>
      <c r="K637" t="b">
        <v>1</v>
      </c>
      <c r="N637" s="30" t="s">
        <v>514</v>
      </c>
      <c r="O637" s="2">
        <f>INDEX(Маршруты,MATCH(N637,$B$3:$B$498,0),1)</f>
        <v>28</v>
      </c>
      <c r="P637" s="28">
        <v>2</v>
      </c>
      <c r="Q637" s="2">
        <f>INDEX(Остановки,MATCH(R637,ИД_Остановки!$B$3:$B$467,0),1)</f>
        <v>17</v>
      </c>
      <c r="R637" s="24" t="s">
        <v>251</v>
      </c>
      <c r="S637" s="20">
        <v>0.68</v>
      </c>
    </row>
    <row r="638" spans="8:19" x14ac:dyDescent="0.25">
      <c r="H638">
        <v>4</v>
      </c>
      <c r="I638">
        <v>546</v>
      </c>
      <c r="J638">
        <v>115</v>
      </c>
      <c r="K638" t="b">
        <v>1</v>
      </c>
      <c r="N638" s="30" t="s">
        <v>514</v>
      </c>
      <c r="O638" s="2">
        <f>INDEX(Маршруты,MATCH(N638,$B$3:$B$498,0),1)</f>
        <v>28</v>
      </c>
      <c r="P638" s="27">
        <v>3</v>
      </c>
      <c r="Q638" s="2">
        <f>INDEX(Остановки,MATCH(R638,ИД_Остановки!$B$3:$B$467,0),1)</f>
        <v>18</v>
      </c>
      <c r="R638" s="45" t="s">
        <v>18</v>
      </c>
      <c r="S638" s="20">
        <v>0.25</v>
      </c>
    </row>
    <row r="639" spans="8:19" x14ac:dyDescent="0.25">
      <c r="H639">
        <v>4</v>
      </c>
      <c r="I639">
        <v>552</v>
      </c>
      <c r="J639">
        <v>115</v>
      </c>
      <c r="K639" t="b">
        <v>1</v>
      </c>
      <c r="N639" s="30" t="s">
        <v>514</v>
      </c>
      <c r="O639" s="2">
        <f>INDEX(Маршруты,MATCH(N639,$B$3:$B$498,0),1)</f>
        <v>28</v>
      </c>
      <c r="P639" s="27">
        <v>4</v>
      </c>
      <c r="Q639" s="2">
        <f>INDEX(Остановки,MATCH(R639,ИД_Остановки!$B$3:$B$467,0),1)</f>
        <v>19</v>
      </c>
      <c r="R639" s="45" t="s">
        <v>19</v>
      </c>
      <c r="S639" s="20">
        <v>0.61</v>
      </c>
    </row>
    <row r="640" spans="8:19" x14ac:dyDescent="0.25">
      <c r="H640">
        <v>4</v>
      </c>
      <c r="I640">
        <v>558</v>
      </c>
      <c r="J640">
        <v>115</v>
      </c>
      <c r="K640" t="b">
        <v>1</v>
      </c>
      <c r="N640" s="25" t="s">
        <v>514</v>
      </c>
      <c r="O640" s="2">
        <f>INDEX(Маршруты,MATCH(N640,$B$3:$B$498,0),1)</f>
        <v>28</v>
      </c>
      <c r="P640" s="27">
        <v>5</v>
      </c>
      <c r="Q640" s="2">
        <f>INDEX(Остановки,MATCH(R640,ИД_Остановки!$B$3:$B$467,0),1)</f>
        <v>20</v>
      </c>
      <c r="R640" s="45" t="s">
        <v>20</v>
      </c>
      <c r="S640" s="20">
        <v>0.53</v>
      </c>
    </row>
    <row r="641" spans="8:19" x14ac:dyDescent="0.25">
      <c r="H641">
        <v>4</v>
      </c>
      <c r="I641">
        <v>564</v>
      </c>
      <c r="J641">
        <v>115</v>
      </c>
      <c r="K641" t="b">
        <v>1</v>
      </c>
      <c r="N641" s="25" t="s">
        <v>514</v>
      </c>
      <c r="O641" s="2">
        <f>INDEX(Маршруты,MATCH(N641,$B$3:$B$498,0),1)</f>
        <v>28</v>
      </c>
      <c r="P641" s="27">
        <v>6</v>
      </c>
      <c r="Q641" s="2">
        <f>INDEX(Остановки,MATCH(R641,ИД_Остановки!$B$3:$B$467,0),1)</f>
        <v>21</v>
      </c>
      <c r="R641" s="45" t="s">
        <v>21</v>
      </c>
      <c r="S641" s="20">
        <v>0.55000000000000004</v>
      </c>
    </row>
    <row r="642" spans="8:19" x14ac:dyDescent="0.25">
      <c r="H642">
        <v>4</v>
      </c>
      <c r="I642">
        <v>570</v>
      </c>
      <c r="J642">
        <v>115</v>
      </c>
      <c r="K642" t="b">
        <v>1</v>
      </c>
      <c r="N642" s="30" t="s">
        <v>514</v>
      </c>
      <c r="O642" s="2">
        <f>INDEX(Маршруты,MATCH(N642,$B$3:$B$498,0),1)</f>
        <v>28</v>
      </c>
      <c r="P642" s="27">
        <v>7</v>
      </c>
      <c r="Q642" s="2">
        <f>INDEX(Остановки,MATCH(R642,ИД_Остановки!$B$3:$B$467,0),1)</f>
        <v>13</v>
      </c>
      <c r="R642" s="45" t="s">
        <v>249</v>
      </c>
      <c r="S642" s="20">
        <v>0.51</v>
      </c>
    </row>
    <row r="643" spans="8:19" x14ac:dyDescent="0.25">
      <c r="H643">
        <v>4</v>
      </c>
      <c r="I643">
        <v>576</v>
      </c>
      <c r="J643">
        <v>115</v>
      </c>
      <c r="K643" t="b">
        <v>1</v>
      </c>
      <c r="N643" s="14" t="s">
        <v>514</v>
      </c>
      <c r="O643" s="2">
        <f>INDEX(Маршруты,MATCH(N643,$B$3:$B$498,0),1)</f>
        <v>28</v>
      </c>
      <c r="P643" s="27">
        <v>8</v>
      </c>
      <c r="Q643" s="2">
        <f>INDEX(Остановки,MATCH(R643,ИД_Остановки!$B$3:$B$467,0),1)</f>
        <v>12</v>
      </c>
      <c r="R643" s="45" t="s">
        <v>13</v>
      </c>
      <c r="S643" s="20">
        <v>0.41</v>
      </c>
    </row>
    <row r="644" spans="8:19" x14ac:dyDescent="0.25">
      <c r="H644">
        <v>4</v>
      </c>
      <c r="I644">
        <v>582</v>
      </c>
      <c r="J644">
        <v>115</v>
      </c>
      <c r="K644" t="b">
        <v>1</v>
      </c>
      <c r="N644" s="30" t="s">
        <v>514</v>
      </c>
      <c r="O644" s="2">
        <f>INDEX(Маршруты,MATCH(N644,$B$3:$B$498,0),1)</f>
        <v>28</v>
      </c>
      <c r="P644" s="27">
        <v>9</v>
      </c>
      <c r="Q644" s="2">
        <f>INDEX(Остановки,MATCH(R644,ИД_Остановки!$B$3:$B$467,0),1)</f>
        <v>11</v>
      </c>
      <c r="R644" s="45" t="s">
        <v>248</v>
      </c>
      <c r="S644" s="20">
        <v>0.79</v>
      </c>
    </row>
    <row r="645" spans="8:19" x14ac:dyDescent="0.25">
      <c r="H645">
        <v>4</v>
      </c>
      <c r="I645">
        <v>588</v>
      </c>
      <c r="J645">
        <v>115</v>
      </c>
      <c r="K645" t="b">
        <v>1</v>
      </c>
      <c r="N645" s="25" t="s">
        <v>514</v>
      </c>
      <c r="O645" s="2">
        <f>INDEX(Маршруты,MATCH(N645,$B$3:$B$498,0),1)</f>
        <v>28</v>
      </c>
      <c r="P645" s="27">
        <v>10</v>
      </c>
      <c r="Q645" s="2">
        <f>INDEX(Остановки,MATCH(R645,ИД_Остановки!$B$3:$B$467,0),1)</f>
        <v>10</v>
      </c>
      <c r="R645" s="45" t="s">
        <v>247</v>
      </c>
      <c r="S645" s="20">
        <v>0.34</v>
      </c>
    </row>
    <row r="646" spans="8:19" x14ac:dyDescent="0.25">
      <c r="H646">
        <v>4</v>
      </c>
      <c r="I646">
        <v>594</v>
      </c>
      <c r="J646">
        <v>115</v>
      </c>
      <c r="K646" t="b">
        <v>1</v>
      </c>
      <c r="N646" s="30" t="s">
        <v>514</v>
      </c>
      <c r="O646" s="2">
        <f>INDEX(Маршруты,MATCH(N646,$B$3:$B$498,0),1)</f>
        <v>28</v>
      </c>
      <c r="P646" s="27">
        <v>11</v>
      </c>
      <c r="Q646" s="2">
        <f>INDEX(Остановки,MATCH(R646,ИД_Остановки!$B$3:$B$467,0),1)</f>
        <v>31</v>
      </c>
      <c r="R646" s="45" t="s">
        <v>256</v>
      </c>
      <c r="S646" s="20">
        <v>0.73</v>
      </c>
    </row>
    <row r="647" spans="8:19" x14ac:dyDescent="0.25">
      <c r="H647">
        <v>4</v>
      </c>
      <c r="I647">
        <v>600</v>
      </c>
      <c r="J647">
        <v>115</v>
      </c>
      <c r="K647" t="b">
        <v>1</v>
      </c>
      <c r="N647" s="25" t="s">
        <v>514</v>
      </c>
      <c r="O647" s="2">
        <f>INDEX(Маршруты,MATCH(N647,$B$3:$B$498,0),1)</f>
        <v>28</v>
      </c>
      <c r="P647" s="27">
        <v>12</v>
      </c>
      <c r="Q647" s="2">
        <f>INDEX(Остановки,MATCH(R647,ИД_Остановки!$B$3:$B$467,0),1)</f>
        <v>102</v>
      </c>
      <c r="R647" s="45" t="s">
        <v>72</v>
      </c>
      <c r="S647" s="20">
        <v>0.28000000000000003</v>
      </c>
    </row>
    <row r="648" spans="8:19" x14ac:dyDescent="0.25">
      <c r="H648">
        <v>4</v>
      </c>
      <c r="I648">
        <v>606</v>
      </c>
      <c r="J648">
        <v>115</v>
      </c>
      <c r="K648" t="b">
        <v>1</v>
      </c>
      <c r="N648" s="26" t="s">
        <v>514</v>
      </c>
      <c r="O648" s="2">
        <f>INDEX(Маршруты,MATCH(N648,$B$3:$B$498,0),1)</f>
        <v>28</v>
      </c>
      <c r="P648" s="27">
        <v>13</v>
      </c>
      <c r="Q648" s="2">
        <f>INDEX(Остановки,MATCH(R648,ИД_Остановки!$B$3:$B$467,0),1)</f>
        <v>32</v>
      </c>
      <c r="R648" s="45" t="s">
        <v>28</v>
      </c>
      <c r="S648" s="20">
        <v>0.24</v>
      </c>
    </row>
    <row r="649" spans="8:19" x14ac:dyDescent="0.25">
      <c r="H649">
        <v>4</v>
      </c>
      <c r="I649">
        <v>612</v>
      </c>
      <c r="J649">
        <v>115</v>
      </c>
      <c r="K649" t="b">
        <v>1</v>
      </c>
      <c r="N649" s="25" t="s">
        <v>514</v>
      </c>
      <c r="O649" s="2">
        <f>INDEX(Маршруты,MATCH(N649,$B$3:$B$498,0),1)</f>
        <v>28</v>
      </c>
      <c r="P649" s="27">
        <v>14</v>
      </c>
      <c r="Q649" s="2">
        <f>INDEX(Остановки,MATCH(R649,ИД_Остановки!$B$3:$B$467,0),1)</f>
        <v>33</v>
      </c>
      <c r="R649" s="45" t="s">
        <v>29</v>
      </c>
      <c r="S649" s="20">
        <v>0.45</v>
      </c>
    </row>
    <row r="650" spans="8:19" x14ac:dyDescent="0.25">
      <c r="H650">
        <v>4</v>
      </c>
      <c r="I650">
        <v>618</v>
      </c>
      <c r="J650">
        <v>115</v>
      </c>
      <c r="K650" t="b">
        <v>1</v>
      </c>
      <c r="N650" s="25" t="s">
        <v>514</v>
      </c>
      <c r="O650" s="2">
        <f>INDEX(Маршруты,MATCH(N650,$B$3:$B$498,0),1)</f>
        <v>28</v>
      </c>
      <c r="P650" s="27">
        <v>15</v>
      </c>
      <c r="Q650" s="2">
        <f>INDEX(Остановки,MATCH(R650,ИД_Остановки!$B$3:$B$467,0),1)</f>
        <v>34</v>
      </c>
      <c r="R650" s="45" t="s">
        <v>613</v>
      </c>
      <c r="S650" s="20">
        <v>0.57999999999999996</v>
      </c>
    </row>
    <row r="651" spans="8:19" x14ac:dyDescent="0.25">
      <c r="H651">
        <v>4</v>
      </c>
      <c r="I651">
        <v>624</v>
      </c>
      <c r="J651">
        <v>115</v>
      </c>
      <c r="K651" t="b">
        <v>1</v>
      </c>
      <c r="N651" s="30" t="s">
        <v>515</v>
      </c>
      <c r="O651" s="2">
        <f>INDEX(Маршруты,MATCH(N651,$B$3:$B$498,0),1)</f>
        <v>29</v>
      </c>
      <c r="P651" s="28">
        <v>1</v>
      </c>
      <c r="Q651" s="2">
        <f>INDEX(Остановки,MATCH(R651,ИД_Остановки!$B$3:$B$467,0),1)</f>
        <v>34</v>
      </c>
      <c r="R651" s="24" t="s">
        <v>613</v>
      </c>
      <c r="S651" s="21"/>
    </row>
    <row r="652" spans="8:19" x14ac:dyDescent="0.25">
      <c r="H652">
        <v>4</v>
      </c>
      <c r="I652">
        <v>630</v>
      </c>
      <c r="J652">
        <v>115</v>
      </c>
      <c r="K652" t="b">
        <v>1</v>
      </c>
      <c r="N652" s="30" t="s">
        <v>515</v>
      </c>
      <c r="O652" s="2">
        <f>INDEX(Маршруты,MATCH(N652,$B$3:$B$498,0),1)</f>
        <v>29</v>
      </c>
      <c r="P652" s="27">
        <v>2</v>
      </c>
      <c r="Q652" s="2">
        <f>INDEX(Остановки,MATCH(R652,ИД_Остановки!$B$3:$B$467,0),1)</f>
        <v>33</v>
      </c>
      <c r="R652" s="45" t="s">
        <v>29</v>
      </c>
      <c r="S652" s="20">
        <v>0.57999999999999996</v>
      </c>
    </row>
    <row r="653" spans="8:19" x14ac:dyDescent="0.25">
      <c r="H653">
        <v>4</v>
      </c>
      <c r="I653">
        <v>636</v>
      </c>
      <c r="J653">
        <v>115</v>
      </c>
      <c r="K653" t="b">
        <v>1</v>
      </c>
      <c r="N653" s="30" t="s">
        <v>515</v>
      </c>
      <c r="O653" s="2">
        <f>INDEX(Маршруты,MATCH(N653,$B$3:$B$498,0),1)</f>
        <v>29</v>
      </c>
      <c r="P653" s="27">
        <v>3</v>
      </c>
      <c r="Q653" s="2">
        <f>INDEX(Остановки,MATCH(R653,ИД_Остановки!$B$3:$B$467,0),1)</f>
        <v>32</v>
      </c>
      <c r="R653" s="45" t="s">
        <v>28</v>
      </c>
      <c r="S653" s="20">
        <v>0.45</v>
      </c>
    </row>
    <row r="654" spans="8:19" x14ac:dyDescent="0.25">
      <c r="H654">
        <v>4</v>
      </c>
      <c r="I654">
        <v>642</v>
      </c>
      <c r="J654">
        <v>115</v>
      </c>
      <c r="K654" t="b">
        <v>1</v>
      </c>
      <c r="N654" s="26" t="s">
        <v>515</v>
      </c>
      <c r="O654" s="2">
        <f>INDEX(Маршруты,MATCH(N654,$B$3:$B$498,0),1)</f>
        <v>29</v>
      </c>
      <c r="P654" s="27">
        <v>4</v>
      </c>
      <c r="Q654" s="2">
        <f>INDEX(Остановки,MATCH(R654,ИД_Остановки!$B$3:$B$467,0),1)</f>
        <v>102</v>
      </c>
      <c r="R654" s="45" t="s">
        <v>72</v>
      </c>
      <c r="S654" s="20">
        <v>0.24</v>
      </c>
    </row>
    <row r="655" spans="8:19" x14ac:dyDescent="0.25">
      <c r="H655">
        <v>4</v>
      </c>
      <c r="I655">
        <v>648</v>
      </c>
      <c r="J655">
        <v>115</v>
      </c>
      <c r="K655" t="b">
        <v>1</v>
      </c>
      <c r="N655" s="25" t="s">
        <v>515</v>
      </c>
      <c r="O655" s="2">
        <f>INDEX(Маршруты,MATCH(N655,$B$3:$B$498,0),1)</f>
        <v>29</v>
      </c>
      <c r="P655" s="28">
        <v>5</v>
      </c>
      <c r="Q655" s="2">
        <f>INDEX(Остановки,MATCH(R655,ИД_Остановки!$B$3:$B$467,0),1)</f>
        <v>31</v>
      </c>
      <c r="R655" s="24" t="s">
        <v>256</v>
      </c>
      <c r="S655" s="20">
        <v>0.28000000000000003</v>
      </c>
    </row>
    <row r="656" spans="8:19" x14ac:dyDescent="0.25">
      <c r="H656">
        <v>4</v>
      </c>
      <c r="I656">
        <v>654</v>
      </c>
      <c r="J656">
        <v>115</v>
      </c>
      <c r="K656" t="b">
        <v>1</v>
      </c>
      <c r="N656" s="25" t="s">
        <v>515</v>
      </c>
      <c r="O656" s="2">
        <f>INDEX(Маршруты,MATCH(N656,$B$3:$B$498,0),1)</f>
        <v>29</v>
      </c>
      <c r="P656" s="27">
        <v>6</v>
      </c>
      <c r="Q656" s="2">
        <f>INDEX(Остановки,MATCH(R656,ИД_Остановки!$B$3:$B$467,0),1)</f>
        <v>10</v>
      </c>
      <c r="R656" s="45" t="s">
        <v>247</v>
      </c>
      <c r="S656" s="20">
        <v>0.73</v>
      </c>
    </row>
    <row r="657" spans="8:19" x14ac:dyDescent="0.25">
      <c r="H657">
        <v>4</v>
      </c>
      <c r="I657">
        <v>660</v>
      </c>
      <c r="J657">
        <v>115</v>
      </c>
      <c r="K657" t="b">
        <v>1</v>
      </c>
      <c r="N657" s="25" t="s">
        <v>515</v>
      </c>
      <c r="O657" s="2">
        <f>INDEX(Маршруты,MATCH(N657,$B$3:$B$498,0),1)</f>
        <v>29</v>
      </c>
      <c r="P657" s="27">
        <v>7</v>
      </c>
      <c r="Q657" s="2">
        <f>INDEX(Остановки,MATCH(R657,ИД_Остановки!$B$3:$B$467,0),1)</f>
        <v>11</v>
      </c>
      <c r="R657" s="45" t="s">
        <v>248</v>
      </c>
      <c r="S657" s="20">
        <v>0.34</v>
      </c>
    </row>
    <row r="658" spans="8:19" x14ac:dyDescent="0.25">
      <c r="H658">
        <v>4</v>
      </c>
      <c r="I658">
        <v>666</v>
      </c>
      <c r="J658">
        <v>115</v>
      </c>
      <c r="K658" t="b">
        <v>1</v>
      </c>
      <c r="N658" s="25" t="s">
        <v>515</v>
      </c>
      <c r="O658" s="2">
        <f>INDEX(Маршруты,MATCH(N658,$B$3:$B$498,0),1)</f>
        <v>29</v>
      </c>
      <c r="P658" s="28">
        <v>8</v>
      </c>
      <c r="Q658" s="2">
        <f>INDEX(Остановки,MATCH(R658,ИД_Остановки!$B$3:$B$467,0),1)</f>
        <v>12</v>
      </c>
      <c r="R658" s="24" t="s">
        <v>13</v>
      </c>
      <c r="S658" s="20">
        <v>0.79</v>
      </c>
    </row>
    <row r="659" spans="8:19" x14ac:dyDescent="0.25">
      <c r="H659">
        <v>4</v>
      </c>
      <c r="I659">
        <v>672</v>
      </c>
      <c r="J659">
        <v>115</v>
      </c>
      <c r="K659" t="b">
        <v>1</v>
      </c>
      <c r="N659" s="25" t="s">
        <v>515</v>
      </c>
      <c r="O659" s="2">
        <f>INDEX(Маршруты,MATCH(N659,$B$3:$B$498,0),1)</f>
        <v>29</v>
      </c>
      <c r="P659" s="27">
        <v>9</v>
      </c>
      <c r="Q659" s="2">
        <f>INDEX(Остановки,MATCH(R659,ИД_Остановки!$B$3:$B$467,0),1)</f>
        <v>13</v>
      </c>
      <c r="R659" s="45" t="s">
        <v>249</v>
      </c>
      <c r="S659" s="20">
        <v>0.41</v>
      </c>
    </row>
    <row r="660" spans="8:19" x14ac:dyDescent="0.25">
      <c r="H660">
        <v>4</v>
      </c>
      <c r="I660">
        <v>678</v>
      </c>
      <c r="J660">
        <v>115</v>
      </c>
      <c r="K660" t="b">
        <v>1</v>
      </c>
      <c r="N660" s="30" t="s">
        <v>515</v>
      </c>
      <c r="O660" s="2">
        <f>INDEX(Маршруты,MATCH(N660,$B$3:$B$498,0),1)</f>
        <v>29</v>
      </c>
      <c r="P660" s="28">
        <v>10</v>
      </c>
      <c r="Q660" s="2">
        <f>INDEX(Остановки,MATCH(R660,ИД_Остановки!$B$3:$B$467,0),1)</f>
        <v>21</v>
      </c>
      <c r="R660" s="24" t="s">
        <v>21</v>
      </c>
      <c r="S660" s="20">
        <v>0.51</v>
      </c>
    </row>
    <row r="661" spans="8:19" x14ac:dyDescent="0.25">
      <c r="H661">
        <v>4</v>
      </c>
      <c r="I661">
        <v>684</v>
      </c>
      <c r="J661">
        <v>115</v>
      </c>
      <c r="K661" t="b">
        <v>1</v>
      </c>
      <c r="N661" s="30" t="s">
        <v>515</v>
      </c>
      <c r="O661" s="2">
        <f>INDEX(Маршруты,MATCH(N661,$B$3:$B$498,0),1)</f>
        <v>29</v>
      </c>
      <c r="P661" s="27">
        <v>11</v>
      </c>
      <c r="Q661" s="2">
        <f>INDEX(Остановки,MATCH(R661,ИД_Остановки!$B$3:$B$467,0),1)</f>
        <v>52</v>
      </c>
      <c r="R661" s="45" t="s">
        <v>262</v>
      </c>
      <c r="S661" s="20">
        <v>0.79</v>
      </c>
    </row>
    <row r="662" spans="8:19" x14ac:dyDescent="0.25">
      <c r="H662">
        <v>4</v>
      </c>
      <c r="I662">
        <v>690</v>
      </c>
      <c r="J662">
        <v>115</v>
      </c>
      <c r="K662" t="b">
        <v>1</v>
      </c>
      <c r="N662" s="30" t="s">
        <v>515</v>
      </c>
      <c r="O662" s="2">
        <f>INDEX(Маршруты,MATCH(N662,$B$3:$B$498,0),1)</f>
        <v>29</v>
      </c>
      <c r="P662" s="27">
        <v>12</v>
      </c>
      <c r="Q662" s="2">
        <f>INDEX(Остановки,MATCH(R662,ИД_Остановки!$B$3:$B$467,0),1)</f>
        <v>132</v>
      </c>
      <c r="R662" s="45" t="s">
        <v>307</v>
      </c>
      <c r="S662" s="20">
        <v>0.51</v>
      </c>
    </row>
    <row r="663" spans="8:19" x14ac:dyDescent="0.25">
      <c r="H663">
        <v>4</v>
      </c>
      <c r="I663">
        <v>696</v>
      </c>
      <c r="J663">
        <v>115</v>
      </c>
      <c r="K663" t="b">
        <v>1</v>
      </c>
      <c r="N663" s="25" t="s">
        <v>515</v>
      </c>
      <c r="O663" s="2">
        <f>INDEX(Маршруты,MATCH(N663,$B$3:$B$498,0),1)</f>
        <v>29</v>
      </c>
      <c r="P663" s="27">
        <v>13</v>
      </c>
      <c r="Q663" s="2">
        <f>INDEX(Остановки,MATCH(R663,ИД_Остановки!$B$3:$B$467,0),1)</f>
        <v>51</v>
      </c>
      <c r="R663" s="45" t="s">
        <v>261</v>
      </c>
      <c r="S663" s="20">
        <v>0.53</v>
      </c>
    </row>
    <row r="664" spans="8:19" x14ac:dyDescent="0.25">
      <c r="H664">
        <v>4</v>
      </c>
      <c r="I664">
        <v>702</v>
      </c>
      <c r="J664">
        <v>115</v>
      </c>
      <c r="K664" t="b">
        <v>1</v>
      </c>
      <c r="N664" s="25" t="s">
        <v>515</v>
      </c>
      <c r="O664" s="2">
        <f>INDEX(Маршруты,MATCH(N664,$B$3:$B$498,0),1)</f>
        <v>29</v>
      </c>
      <c r="P664" s="27">
        <v>14</v>
      </c>
      <c r="Q664" s="2">
        <f>INDEX(Остановки,MATCH(R664,ИД_Остановки!$B$3:$B$467,0),1)</f>
        <v>50</v>
      </c>
      <c r="R664" s="45" t="s">
        <v>260</v>
      </c>
      <c r="S664" s="20">
        <v>0.39</v>
      </c>
    </row>
    <row r="665" spans="8:19" x14ac:dyDescent="0.25">
      <c r="H665">
        <v>4</v>
      </c>
      <c r="I665">
        <v>708</v>
      </c>
      <c r="J665">
        <v>115</v>
      </c>
      <c r="K665" t="b">
        <v>1</v>
      </c>
      <c r="N665" s="25" t="s">
        <v>515</v>
      </c>
      <c r="O665" s="2">
        <f>INDEX(Маршруты,MATCH(N665,$B$3:$B$498,0),1)</f>
        <v>29</v>
      </c>
      <c r="P665" s="27">
        <v>15</v>
      </c>
      <c r="Q665" s="2">
        <f>INDEX(Остановки,MATCH(R665,ИД_Остановки!$B$3:$B$467,0),1)</f>
        <v>49</v>
      </c>
      <c r="R665" s="45" t="s">
        <v>43</v>
      </c>
      <c r="S665" s="20">
        <v>0.52</v>
      </c>
    </row>
    <row r="666" spans="8:19" x14ac:dyDescent="0.25">
      <c r="H666">
        <v>4</v>
      </c>
      <c r="I666">
        <v>714</v>
      </c>
      <c r="J666">
        <v>115</v>
      </c>
      <c r="K666" t="b">
        <v>1</v>
      </c>
      <c r="N666" s="26" t="s">
        <v>515</v>
      </c>
      <c r="O666" s="2">
        <f>INDEX(Маршруты,MATCH(N666,$B$3:$B$498,0),1)</f>
        <v>29</v>
      </c>
      <c r="P666" s="27">
        <v>16</v>
      </c>
      <c r="Q666" s="2">
        <f>INDEX(Остановки,MATCH(R666,ИД_Остановки!$B$3:$B$467,0),1)</f>
        <v>48</v>
      </c>
      <c r="R666" s="45" t="s">
        <v>42</v>
      </c>
      <c r="S666" s="20">
        <v>0.52</v>
      </c>
    </row>
    <row r="667" spans="8:19" x14ac:dyDescent="0.25">
      <c r="H667">
        <v>4</v>
      </c>
      <c r="I667">
        <v>720</v>
      </c>
      <c r="J667">
        <v>115</v>
      </c>
      <c r="K667" t="b">
        <v>1</v>
      </c>
      <c r="N667" s="25" t="s">
        <v>515</v>
      </c>
      <c r="O667" s="2">
        <f>INDEX(Маршруты,MATCH(N667,$B$3:$B$498,0),1)</f>
        <v>29</v>
      </c>
      <c r="P667" s="27">
        <v>17</v>
      </c>
      <c r="Q667" s="2">
        <f>INDEX(Остановки,MATCH(R667,ИД_Остановки!$B$3:$B$467,0),1)</f>
        <v>47</v>
      </c>
      <c r="R667" s="45" t="s">
        <v>259</v>
      </c>
      <c r="S667" s="20">
        <v>0.82</v>
      </c>
    </row>
    <row r="668" spans="8:19" x14ac:dyDescent="0.25">
      <c r="H668">
        <v>4</v>
      </c>
      <c r="I668">
        <v>726</v>
      </c>
      <c r="J668">
        <v>115</v>
      </c>
      <c r="K668" t="b">
        <v>1</v>
      </c>
      <c r="N668" s="26" t="s">
        <v>515</v>
      </c>
      <c r="O668" s="2">
        <f>INDEX(Маршруты,MATCH(N668,$B$3:$B$498,0),1)</f>
        <v>29</v>
      </c>
      <c r="P668" s="27">
        <v>18</v>
      </c>
      <c r="Q668" s="2">
        <f>INDEX(Остановки,MATCH(R668,ИД_Остановки!$B$3:$B$467,0),1)</f>
        <v>46</v>
      </c>
      <c r="R668" s="45" t="s">
        <v>41</v>
      </c>
      <c r="S668" s="20">
        <v>0.5</v>
      </c>
    </row>
    <row r="669" spans="8:19" x14ac:dyDescent="0.25">
      <c r="H669">
        <v>4</v>
      </c>
      <c r="I669">
        <v>732</v>
      </c>
      <c r="J669">
        <v>115</v>
      </c>
      <c r="K669" t="b">
        <v>1</v>
      </c>
      <c r="N669" s="25" t="s">
        <v>515</v>
      </c>
      <c r="O669" s="2">
        <f>INDEX(Маршруты,MATCH(N669,$B$3:$B$498,0),1)</f>
        <v>29</v>
      </c>
      <c r="P669" s="27">
        <v>19</v>
      </c>
      <c r="Q669" s="2">
        <f>INDEX(Остановки,MATCH(R669,ИД_Остановки!$B$3:$B$467,0),1)</f>
        <v>45</v>
      </c>
      <c r="R669" s="45" t="s">
        <v>40</v>
      </c>
      <c r="S669" s="20">
        <v>0.45</v>
      </c>
    </row>
    <row r="670" spans="8:19" x14ac:dyDescent="0.25">
      <c r="H670">
        <v>4</v>
      </c>
      <c r="I670">
        <v>738</v>
      </c>
      <c r="J670">
        <v>115</v>
      </c>
      <c r="K670" t="b">
        <v>1</v>
      </c>
      <c r="N670" s="25" t="s">
        <v>515</v>
      </c>
      <c r="O670" s="2">
        <f>INDEX(Маршруты,MATCH(N670,$B$3:$B$498,0),1)</f>
        <v>29</v>
      </c>
      <c r="P670" s="27">
        <v>20</v>
      </c>
      <c r="Q670" s="2">
        <f>INDEX(Остановки,MATCH(R670,ИД_Остановки!$B$3:$B$467,0),1)</f>
        <v>44</v>
      </c>
      <c r="R670" s="45" t="s">
        <v>258</v>
      </c>
      <c r="S670" s="20">
        <v>0.39</v>
      </c>
    </row>
    <row r="671" spans="8:19" x14ac:dyDescent="0.25">
      <c r="H671">
        <v>4</v>
      </c>
      <c r="I671">
        <v>744</v>
      </c>
      <c r="J671">
        <v>115</v>
      </c>
      <c r="K671" t="b">
        <v>1</v>
      </c>
      <c r="N671" s="30" t="s">
        <v>515</v>
      </c>
      <c r="O671" s="2">
        <f>INDEX(Маршруты,MATCH(N671,$B$3:$B$498,0),1)</f>
        <v>29</v>
      </c>
      <c r="P671" s="27">
        <v>21</v>
      </c>
      <c r="Q671" s="2">
        <f>INDEX(Остановки,MATCH(R671,ИД_Остановки!$B$3:$B$467,0),1)</f>
        <v>43</v>
      </c>
      <c r="R671" s="24" t="s">
        <v>39</v>
      </c>
      <c r="S671" s="20">
        <v>0.69</v>
      </c>
    </row>
    <row r="672" spans="8:19" x14ac:dyDescent="0.25">
      <c r="H672">
        <v>4</v>
      </c>
      <c r="I672">
        <v>750</v>
      </c>
      <c r="J672">
        <v>115</v>
      </c>
      <c r="K672" t="b">
        <v>1</v>
      </c>
      <c r="N672" s="25" t="s">
        <v>515</v>
      </c>
      <c r="O672" s="2">
        <f>INDEX(Маршруты,MATCH(N672,$B$3:$B$498,0),1)</f>
        <v>29</v>
      </c>
      <c r="P672" s="28">
        <v>22</v>
      </c>
      <c r="Q672" s="2">
        <f>INDEX(Остановки,MATCH(R672,ИД_Остановки!$B$3:$B$467,0),1)</f>
        <v>42</v>
      </c>
      <c r="R672" s="24" t="s">
        <v>38</v>
      </c>
      <c r="S672" s="20">
        <v>0.37</v>
      </c>
    </row>
    <row r="673" spans="8:19" x14ac:dyDescent="0.25">
      <c r="H673">
        <v>4</v>
      </c>
      <c r="I673">
        <v>756</v>
      </c>
      <c r="J673">
        <v>115</v>
      </c>
      <c r="K673" t="b">
        <v>1</v>
      </c>
      <c r="N673" s="30" t="s">
        <v>515</v>
      </c>
      <c r="O673" s="2">
        <f>INDEX(Маршруты,MATCH(N673,$B$3:$B$498,0),1)</f>
        <v>29</v>
      </c>
      <c r="P673" s="27">
        <v>23</v>
      </c>
      <c r="Q673" s="2">
        <f>INDEX(Остановки,MATCH(R673,ИД_Остановки!$B$3:$B$467,0),1)</f>
        <v>41</v>
      </c>
      <c r="R673" s="24" t="s">
        <v>37</v>
      </c>
      <c r="S673" s="20">
        <v>0.48</v>
      </c>
    </row>
    <row r="674" spans="8:19" x14ac:dyDescent="0.25">
      <c r="H674">
        <v>4</v>
      </c>
      <c r="I674">
        <v>762</v>
      </c>
      <c r="J674">
        <v>115</v>
      </c>
      <c r="K674" t="b">
        <v>1</v>
      </c>
      <c r="N674" s="30" t="s">
        <v>515</v>
      </c>
      <c r="O674" s="2">
        <f>INDEX(Маршруты,MATCH(N674,$B$3:$B$498,0),1)</f>
        <v>29</v>
      </c>
      <c r="P674" s="27">
        <v>24</v>
      </c>
      <c r="Q674" s="2">
        <f>INDEX(Остановки,MATCH(R674,ИД_Остановки!$B$3:$B$467,0),1)</f>
        <v>40</v>
      </c>
      <c r="R674" s="45" t="s">
        <v>36</v>
      </c>
      <c r="S674" s="20">
        <v>0.23</v>
      </c>
    </row>
    <row r="675" spans="8:19" x14ac:dyDescent="0.25">
      <c r="H675">
        <v>4</v>
      </c>
      <c r="I675">
        <v>768</v>
      </c>
      <c r="J675">
        <v>115</v>
      </c>
      <c r="K675" t="b">
        <v>1</v>
      </c>
      <c r="N675" s="25" t="s">
        <v>515</v>
      </c>
      <c r="O675" s="2">
        <f>INDEX(Маршруты,MATCH(N675,$B$3:$B$498,0),1)</f>
        <v>29</v>
      </c>
      <c r="P675" s="27">
        <v>25</v>
      </c>
      <c r="Q675" s="2">
        <f>INDEX(Остановки,MATCH(R675,ИД_Остановки!$B$3:$B$467,0),1)</f>
        <v>39</v>
      </c>
      <c r="R675" s="45" t="s">
        <v>257</v>
      </c>
      <c r="S675" s="20">
        <v>0.31</v>
      </c>
    </row>
    <row r="676" spans="8:19" x14ac:dyDescent="0.25">
      <c r="H676">
        <v>4</v>
      </c>
      <c r="I676">
        <v>774</v>
      </c>
      <c r="J676">
        <v>115</v>
      </c>
      <c r="K676" t="b">
        <v>1</v>
      </c>
      <c r="N676" s="25" t="s">
        <v>515</v>
      </c>
      <c r="O676" s="2">
        <f>INDEX(Маршруты,MATCH(N676,$B$3:$B$498,0),1)</f>
        <v>29</v>
      </c>
      <c r="P676" s="27">
        <v>26</v>
      </c>
      <c r="Q676" s="2">
        <f>INDEX(Остановки,MATCH(R676,ИД_Остановки!$B$3:$B$467,0),1)</f>
        <v>38</v>
      </c>
      <c r="R676" s="45" t="s">
        <v>35</v>
      </c>
      <c r="S676" s="20">
        <v>0.49</v>
      </c>
    </row>
    <row r="677" spans="8:19" x14ac:dyDescent="0.25">
      <c r="H677">
        <v>4</v>
      </c>
      <c r="I677">
        <v>780</v>
      </c>
      <c r="J677">
        <v>115</v>
      </c>
      <c r="K677" t="b">
        <v>1</v>
      </c>
      <c r="N677" s="30" t="s">
        <v>515</v>
      </c>
      <c r="O677" s="2">
        <f>INDEX(Маршруты,MATCH(N677,$B$3:$B$498,0),1)</f>
        <v>29</v>
      </c>
      <c r="P677" s="27">
        <v>27</v>
      </c>
      <c r="Q677" s="2">
        <f>INDEX(Остановки,MATCH(R677,ИД_Остановки!$B$3:$B$467,0),1)</f>
        <v>37</v>
      </c>
      <c r="R677" s="45" t="s">
        <v>34</v>
      </c>
      <c r="S677" s="20">
        <v>0.56999999999999995</v>
      </c>
    </row>
    <row r="678" spans="8:19" x14ac:dyDescent="0.25">
      <c r="H678">
        <v>4</v>
      </c>
      <c r="I678">
        <v>786</v>
      </c>
      <c r="J678">
        <v>115</v>
      </c>
      <c r="K678" t="b">
        <v>1</v>
      </c>
      <c r="N678" s="25" t="s">
        <v>515</v>
      </c>
      <c r="O678" s="2">
        <f>INDEX(Маршруты,MATCH(N678,$B$3:$B$498,0),1)</f>
        <v>29</v>
      </c>
      <c r="P678" s="27">
        <v>28</v>
      </c>
      <c r="Q678" s="2">
        <f>INDEX(Остановки,MATCH(R678,ИД_Остановки!$B$3:$B$467,0),1)</f>
        <v>36</v>
      </c>
      <c r="R678" s="45" t="s">
        <v>33</v>
      </c>
      <c r="S678" s="20">
        <v>0.57999999999999996</v>
      </c>
    </row>
    <row r="679" spans="8:19" x14ac:dyDescent="0.25">
      <c r="H679">
        <v>4</v>
      </c>
      <c r="I679">
        <v>792</v>
      </c>
      <c r="J679">
        <v>115</v>
      </c>
      <c r="K679" t="b">
        <v>1</v>
      </c>
      <c r="N679" s="26" t="s">
        <v>515</v>
      </c>
      <c r="O679" s="2">
        <f>INDEX(Маршруты,MATCH(N679,$B$3:$B$498,0),1)</f>
        <v>29</v>
      </c>
      <c r="P679" s="27">
        <v>29</v>
      </c>
      <c r="Q679" s="2">
        <f>INDEX(Остановки,MATCH(R679,ИД_Остановки!$B$3:$B$467,0),1)</f>
        <v>35</v>
      </c>
      <c r="R679" s="45" t="s">
        <v>31</v>
      </c>
      <c r="S679" s="20">
        <v>0.7</v>
      </c>
    </row>
    <row r="680" spans="8:19" x14ac:dyDescent="0.25">
      <c r="H680">
        <v>4</v>
      </c>
      <c r="I680">
        <v>798</v>
      </c>
      <c r="J680">
        <v>115</v>
      </c>
      <c r="K680" t="b">
        <v>1</v>
      </c>
      <c r="N680" s="30" t="s">
        <v>516</v>
      </c>
      <c r="O680" s="2">
        <f>INDEX(Маршруты,MATCH(N680,$B$3:$B$498,0),1)</f>
        <v>30</v>
      </c>
      <c r="P680" s="27">
        <v>1</v>
      </c>
      <c r="Q680" s="2">
        <f>INDEX(Остановки,MATCH(R680,ИД_Остановки!$B$3:$B$467,0),1)</f>
        <v>35</v>
      </c>
      <c r="R680" s="45" t="s">
        <v>31</v>
      </c>
      <c r="S680" s="20"/>
    </row>
    <row r="681" spans="8:19" x14ac:dyDescent="0.25">
      <c r="H681">
        <v>4</v>
      </c>
      <c r="I681">
        <v>804</v>
      </c>
      <c r="J681">
        <v>115</v>
      </c>
      <c r="K681" t="b">
        <v>1</v>
      </c>
      <c r="N681" s="30" t="s">
        <v>516</v>
      </c>
      <c r="O681" s="2">
        <f>INDEX(Маршруты,MATCH(N681,$B$3:$B$498,0),1)</f>
        <v>30</v>
      </c>
      <c r="P681" s="27">
        <v>2</v>
      </c>
      <c r="Q681" s="2">
        <f>INDEX(Остановки,MATCH(R681,ИД_Остановки!$B$3:$B$467,0),1)</f>
        <v>36</v>
      </c>
      <c r="R681" s="45" t="s">
        <v>33</v>
      </c>
      <c r="S681" s="20">
        <v>0.7</v>
      </c>
    </row>
    <row r="682" spans="8:19" x14ac:dyDescent="0.25">
      <c r="H682">
        <v>4</v>
      </c>
      <c r="I682">
        <v>810</v>
      </c>
      <c r="J682">
        <v>115</v>
      </c>
      <c r="K682" t="b">
        <v>1</v>
      </c>
      <c r="N682" s="30" t="s">
        <v>516</v>
      </c>
      <c r="O682" s="2">
        <f>INDEX(Маршруты,MATCH(N682,$B$3:$B$498,0),1)</f>
        <v>30</v>
      </c>
      <c r="P682" s="27">
        <v>3</v>
      </c>
      <c r="Q682" s="2">
        <f>INDEX(Остановки,MATCH(R682,ИД_Остановки!$B$3:$B$467,0),1)</f>
        <v>37</v>
      </c>
      <c r="R682" s="45" t="s">
        <v>34</v>
      </c>
      <c r="S682" s="20">
        <v>0.57999999999999996</v>
      </c>
    </row>
    <row r="683" spans="8:19" x14ac:dyDescent="0.25">
      <c r="H683">
        <v>4</v>
      </c>
      <c r="I683">
        <v>816</v>
      </c>
      <c r="J683">
        <v>115</v>
      </c>
      <c r="K683" t="b">
        <v>1</v>
      </c>
      <c r="N683" s="26" t="s">
        <v>516</v>
      </c>
      <c r="O683" s="2">
        <f>INDEX(Маршруты,MATCH(N683,$B$3:$B$498,0),1)</f>
        <v>30</v>
      </c>
      <c r="P683" s="27">
        <v>4</v>
      </c>
      <c r="Q683" s="2">
        <f>INDEX(Остановки,MATCH(R683,ИД_Остановки!$B$3:$B$467,0),1)</f>
        <v>38</v>
      </c>
      <c r="R683" s="45" t="s">
        <v>35</v>
      </c>
      <c r="S683" s="20">
        <v>0.56999999999999995</v>
      </c>
    </row>
    <row r="684" spans="8:19" x14ac:dyDescent="0.25">
      <c r="H684">
        <v>4</v>
      </c>
      <c r="I684">
        <v>822</v>
      </c>
      <c r="J684">
        <v>115</v>
      </c>
      <c r="K684" t="b">
        <v>1</v>
      </c>
      <c r="N684" s="30" t="s">
        <v>516</v>
      </c>
      <c r="O684" s="2">
        <f>INDEX(Маршруты,MATCH(N684,$B$3:$B$498,0),1)</f>
        <v>30</v>
      </c>
      <c r="P684" s="27">
        <v>5</v>
      </c>
      <c r="Q684" s="2">
        <f>INDEX(Остановки,MATCH(R684,ИД_Остановки!$B$3:$B$467,0),1)</f>
        <v>39</v>
      </c>
      <c r="R684" s="45" t="s">
        <v>257</v>
      </c>
      <c r="S684" s="20">
        <v>0.49</v>
      </c>
    </row>
    <row r="685" spans="8:19" x14ac:dyDescent="0.25">
      <c r="H685">
        <v>4</v>
      </c>
      <c r="I685">
        <v>828</v>
      </c>
      <c r="J685">
        <v>115</v>
      </c>
      <c r="K685" t="b">
        <v>1</v>
      </c>
      <c r="N685" s="25" t="s">
        <v>516</v>
      </c>
      <c r="O685" s="2">
        <f>INDEX(Маршруты,MATCH(N685,$B$3:$B$498,0),1)</f>
        <v>30</v>
      </c>
      <c r="P685" s="27">
        <v>6</v>
      </c>
      <c r="Q685" s="2">
        <f>INDEX(Остановки,MATCH(R685,ИД_Остановки!$B$3:$B$467,0),1)</f>
        <v>40</v>
      </c>
      <c r="R685" s="45" t="s">
        <v>36</v>
      </c>
      <c r="S685" s="20">
        <v>0.31</v>
      </c>
    </row>
    <row r="686" spans="8:19" x14ac:dyDescent="0.25">
      <c r="H686">
        <v>4</v>
      </c>
      <c r="I686">
        <v>834</v>
      </c>
      <c r="J686">
        <v>115</v>
      </c>
      <c r="K686" t="b">
        <v>1</v>
      </c>
      <c r="N686" s="26" t="s">
        <v>516</v>
      </c>
      <c r="O686" s="2">
        <f>INDEX(Маршруты,MATCH(N686,$B$3:$B$498,0),1)</f>
        <v>30</v>
      </c>
      <c r="P686" s="27">
        <v>7</v>
      </c>
      <c r="Q686" s="2">
        <f>INDEX(Остановки,MATCH(R686,ИД_Остановки!$B$3:$B$467,0),1)</f>
        <v>41</v>
      </c>
      <c r="R686" s="45" t="s">
        <v>37</v>
      </c>
      <c r="S686" s="20">
        <v>0.23</v>
      </c>
    </row>
    <row r="687" spans="8:19" x14ac:dyDescent="0.25">
      <c r="H687">
        <v>4</v>
      </c>
      <c r="I687">
        <v>840</v>
      </c>
      <c r="J687">
        <v>115</v>
      </c>
      <c r="K687" t="b">
        <v>1</v>
      </c>
      <c r="N687" s="26" t="s">
        <v>516</v>
      </c>
      <c r="O687" s="2">
        <f>INDEX(Маршруты,MATCH(N687,$B$3:$B$498,0),1)</f>
        <v>30</v>
      </c>
      <c r="P687" s="27">
        <v>8</v>
      </c>
      <c r="Q687" s="2">
        <f>INDEX(Остановки,MATCH(R687,ИД_Остановки!$B$3:$B$467,0),1)</f>
        <v>42</v>
      </c>
      <c r="R687" s="45" t="s">
        <v>38</v>
      </c>
      <c r="S687" s="20">
        <v>0.48</v>
      </c>
    </row>
    <row r="688" spans="8:19" x14ac:dyDescent="0.25">
      <c r="H688">
        <v>4</v>
      </c>
      <c r="I688">
        <v>846</v>
      </c>
      <c r="J688">
        <v>115</v>
      </c>
      <c r="K688" t="b">
        <v>1</v>
      </c>
      <c r="N688" s="25" t="s">
        <v>516</v>
      </c>
      <c r="O688" s="2">
        <f>INDEX(Маршруты,MATCH(N688,$B$3:$B$498,0),1)</f>
        <v>30</v>
      </c>
      <c r="P688" s="27">
        <v>9</v>
      </c>
      <c r="Q688" s="2">
        <f>INDEX(Остановки,MATCH(R688,ИД_Остановки!$B$3:$B$467,0),1)</f>
        <v>43</v>
      </c>
      <c r="R688" s="45" t="s">
        <v>39</v>
      </c>
      <c r="S688" s="20">
        <v>0.37</v>
      </c>
    </row>
    <row r="689" spans="8:19" x14ac:dyDescent="0.25">
      <c r="H689">
        <v>4</v>
      </c>
      <c r="I689">
        <v>852</v>
      </c>
      <c r="J689">
        <v>115</v>
      </c>
      <c r="K689" t="b">
        <v>1</v>
      </c>
      <c r="N689" s="24" t="s">
        <v>516</v>
      </c>
      <c r="O689" s="2">
        <f>INDEX(Маршруты,MATCH(N689,$B$3:$B$498,0),1)</f>
        <v>30</v>
      </c>
      <c r="P689" s="27">
        <v>10</v>
      </c>
      <c r="Q689" s="2">
        <f>INDEX(Остановки,MATCH(R689,ИД_Остановки!$B$3:$B$467,0),1)</f>
        <v>44</v>
      </c>
      <c r="R689" s="45" t="s">
        <v>258</v>
      </c>
      <c r="S689" s="20">
        <v>0.69</v>
      </c>
    </row>
    <row r="690" spans="8:19" x14ac:dyDescent="0.25">
      <c r="H690">
        <v>4</v>
      </c>
      <c r="I690">
        <v>858</v>
      </c>
      <c r="J690">
        <v>115</v>
      </c>
      <c r="K690" t="b">
        <v>1</v>
      </c>
      <c r="N690" s="26" t="s">
        <v>516</v>
      </c>
      <c r="O690" s="2">
        <f>INDEX(Маршруты,MATCH(N690,$B$3:$B$498,0),1)</f>
        <v>30</v>
      </c>
      <c r="P690" s="27">
        <v>11</v>
      </c>
      <c r="Q690" s="2">
        <f>INDEX(Остановки,MATCH(R690,ИД_Остановки!$B$3:$B$467,0),1)</f>
        <v>45</v>
      </c>
      <c r="R690" s="45" t="s">
        <v>40</v>
      </c>
      <c r="S690" s="20">
        <v>0.39</v>
      </c>
    </row>
    <row r="691" spans="8:19" x14ac:dyDescent="0.25">
      <c r="H691">
        <v>4</v>
      </c>
      <c r="I691">
        <v>864</v>
      </c>
      <c r="J691">
        <v>115</v>
      </c>
      <c r="K691" t="b">
        <v>1</v>
      </c>
      <c r="N691" s="25" t="s">
        <v>516</v>
      </c>
      <c r="O691" s="2">
        <f>INDEX(Маршруты,MATCH(N691,$B$3:$B$498,0),1)</f>
        <v>30</v>
      </c>
      <c r="P691" s="27">
        <v>12</v>
      </c>
      <c r="Q691" s="2">
        <f>INDEX(Остановки,MATCH(R691,ИД_Остановки!$B$3:$B$467,0),1)</f>
        <v>46</v>
      </c>
      <c r="R691" s="45" t="s">
        <v>41</v>
      </c>
      <c r="S691" s="20">
        <v>0.45</v>
      </c>
    </row>
    <row r="692" spans="8:19" x14ac:dyDescent="0.25">
      <c r="H692">
        <v>4</v>
      </c>
      <c r="I692">
        <v>870</v>
      </c>
      <c r="J692">
        <v>115</v>
      </c>
      <c r="K692" t="b">
        <v>1</v>
      </c>
      <c r="N692" s="25" t="s">
        <v>516</v>
      </c>
      <c r="O692" s="2">
        <f>INDEX(Маршруты,MATCH(N692,$B$3:$B$498,0),1)</f>
        <v>30</v>
      </c>
      <c r="P692" s="27">
        <v>13</v>
      </c>
      <c r="Q692" s="2">
        <f>INDEX(Остановки,MATCH(R692,ИД_Остановки!$B$3:$B$467,0),1)</f>
        <v>47</v>
      </c>
      <c r="R692" s="45" t="s">
        <v>259</v>
      </c>
      <c r="S692" s="20">
        <v>0.5</v>
      </c>
    </row>
    <row r="693" spans="8:19" x14ac:dyDescent="0.25">
      <c r="H693">
        <v>4</v>
      </c>
      <c r="I693">
        <v>876</v>
      </c>
      <c r="J693">
        <v>115</v>
      </c>
      <c r="K693" t="b">
        <v>1</v>
      </c>
      <c r="N693" s="25" t="s">
        <v>516</v>
      </c>
      <c r="O693" s="2">
        <f>INDEX(Маршруты,MATCH(N693,$B$3:$B$498,0),1)</f>
        <v>30</v>
      </c>
      <c r="P693" s="27">
        <v>14</v>
      </c>
      <c r="Q693" s="2">
        <f>INDEX(Остановки,MATCH(R693,ИД_Остановки!$B$3:$B$467,0),1)</f>
        <v>48</v>
      </c>
      <c r="R693" s="45" t="s">
        <v>42</v>
      </c>
      <c r="S693" s="20">
        <v>0.82</v>
      </c>
    </row>
    <row r="694" spans="8:19" x14ac:dyDescent="0.25">
      <c r="H694">
        <v>4</v>
      </c>
      <c r="I694">
        <v>882</v>
      </c>
      <c r="J694">
        <v>115</v>
      </c>
      <c r="K694" t="b">
        <v>1</v>
      </c>
      <c r="N694" s="25" t="s">
        <v>516</v>
      </c>
      <c r="O694" s="2">
        <f>INDEX(Маршруты,MATCH(N694,$B$3:$B$498,0),1)</f>
        <v>30</v>
      </c>
      <c r="P694" s="27">
        <v>15</v>
      </c>
      <c r="Q694" s="2">
        <f>INDEX(Остановки,MATCH(R694,ИД_Остановки!$B$3:$B$467,0),1)</f>
        <v>49</v>
      </c>
      <c r="R694" s="45" t="s">
        <v>43</v>
      </c>
      <c r="S694" s="20">
        <v>0.52</v>
      </c>
    </row>
    <row r="695" spans="8:19" x14ac:dyDescent="0.25">
      <c r="H695">
        <v>4</v>
      </c>
      <c r="I695">
        <v>888</v>
      </c>
      <c r="J695">
        <v>115</v>
      </c>
      <c r="K695" t="b">
        <v>1</v>
      </c>
      <c r="N695" s="30" t="s">
        <v>516</v>
      </c>
      <c r="O695" s="2">
        <f>INDEX(Маршруты,MATCH(N695,$B$3:$B$498,0),1)</f>
        <v>30</v>
      </c>
      <c r="P695" s="27">
        <v>16</v>
      </c>
      <c r="Q695" s="2">
        <f>INDEX(Остановки,MATCH(R695,ИД_Остановки!$B$3:$B$467,0),1)</f>
        <v>50</v>
      </c>
      <c r="R695" s="45" t="s">
        <v>260</v>
      </c>
      <c r="S695" s="20">
        <v>0.52</v>
      </c>
    </row>
    <row r="696" spans="8:19" x14ac:dyDescent="0.25">
      <c r="H696">
        <v>4</v>
      </c>
      <c r="I696">
        <v>894</v>
      </c>
      <c r="J696">
        <v>115</v>
      </c>
      <c r="K696" t="b">
        <v>1</v>
      </c>
      <c r="N696" s="25" t="s">
        <v>516</v>
      </c>
      <c r="O696" s="2">
        <f>INDEX(Маршруты,MATCH(N696,$B$3:$B$498,0),1)</f>
        <v>30</v>
      </c>
      <c r="P696" s="28">
        <v>17</v>
      </c>
      <c r="Q696" s="2">
        <f>INDEX(Остановки,MATCH(R696,ИД_Остановки!$B$3:$B$467,0),1)</f>
        <v>51</v>
      </c>
      <c r="R696" s="24" t="s">
        <v>261</v>
      </c>
      <c r="S696" s="20">
        <v>0.39</v>
      </c>
    </row>
    <row r="697" spans="8:19" x14ac:dyDescent="0.25">
      <c r="H697">
        <v>4</v>
      </c>
      <c r="I697">
        <v>900</v>
      </c>
      <c r="J697">
        <v>115</v>
      </c>
      <c r="K697" t="b">
        <v>1</v>
      </c>
      <c r="N697" s="25" t="s">
        <v>516</v>
      </c>
      <c r="O697" s="2">
        <f>INDEX(Маршруты,MATCH(N697,$B$3:$B$498,0),1)</f>
        <v>30</v>
      </c>
      <c r="P697" s="27">
        <v>18</v>
      </c>
      <c r="Q697" s="2">
        <f>INDEX(Остановки,MATCH(R697,ИД_Остановки!$B$3:$B$467,0),1)</f>
        <v>132</v>
      </c>
      <c r="R697" s="24" t="s">
        <v>307</v>
      </c>
      <c r="S697" s="20">
        <v>0.53</v>
      </c>
    </row>
    <row r="698" spans="8:19" x14ac:dyDescent="0.25">
      <c r="H698">
        <v>4</v>
      </c>
      <c r="I698">
        <v>906</v>
      </c>
      <c r="J698">
        <v>115</v>
      </c>
      <c r="K698" t="b">
        <v>1</v>
      </c>
      <c r="N698" s="25" t="s">
        <v>516</v>
      </c>
      <c r="O698" s="2">
        <f>INDEX(Маршруты,MATCH(N698,$B$3:$B$498,0),1)</f>
        <v>30</v>
      </c>
      <c r="P698" s="28">
        <v>19</v>
      </c>
      <c r="Q698" s="2">
        <f>INDEX(Остановки,MATCH(R698,ИД_Остановки!$B$3:$B$467,0),1)</f>
        <v>52</v>
      </c>
      <c r="R698" s="24" t="s">
        <v>262</v>
      </c>
      <c r="S698" s="20">
        <v>0.51</v>
      </c>
    </row>
    <row r="699" spans="8:19" x14ac:dyDescent="0.25">
      <c r="H699">
        <v>4</v>
      </c>
      <c r="I699">
        <v>912</v>
      </c>
      <c r="J699">
        <v>115</v>
      </c>
      <c r="K699" t="b">
        <v>1</v>
      </c>
      <c r="N699" s="25" t="s">
        <v>516</v>
      </c>
      <c r="O699" s="2">
        <f>INDEX(Маршруты,MATCH(N699,$B$3:$B$498,0),1)</f>
        <v>30</v>
      </c>
      <c r="P699" s="27">
        <v>20</v>
      </c>
      <c r="Q699" s="2">
        <f>INDEX(Остановки,MATCH(R699,ИД_Остановки!$B$3:$B$467,0),1)</f>
        <v>21</v>
      </c>
      <c r="R699" s="45" t="s">
        <v>21</v>
      </c>
      <c r="S699" s="20">
        <v>0.79</v>
      </c>
    </row>
    <row r="700" spans="8:19" x14ac:dyDescent="0.25">
      <c r="H700">
        <v>4</v>
      </c>
      <c r="I700">
        <v>918</v>
      </c>
      <c r="J700">
        <v>115</v>
      </c>
      <c r="K700" t="b">
        <v>1</v>
      </c>
      <c r="N700" s="25" t="s">
        <v>516</v>
      </c>
      <c r="O700" s="2">
        <f>INDEX(Маршруты,MATCH(N700,$B$3:$B$498,0),1)</f>
        <v>30</v>
      </c>
      <c r="P700" s="28">
        <v>21</v>
      </c>
      <c r="Q700" s="2">
        <f>INDEX(Остановки,MATCH(R700,ИД_Остановки!$B$3:$B$467,0),1)</f>
        <v>13</v>
      </c>
      <c r="R700" s="24" t="s">
        <v>249</v>
      </c>
      <c r="S700" s="20">
        <v>0.51</v>
      </c>
    </row>
    <row r="701" spans="8:19" x14ac:dyDescent="0.25">
      <c r="H701">
        <v>4</v>
      </c>
      <c r="I701">
        <v>924</v>
      </c>
      <c r="J701">
        <v>115</v>
      </c>
      <c r="K701" t="b">
        <v>1</v>
      </c>
      <c r="N701" s="26" t="s">
        <v>516</v>
      </c>
      <c r="O701" s="2">
        <f>INDEX(Маршруты,MATCH(N701,$B$3:$B$498,0),1)</f>
        <v>30</v>
      </c>
      <c r="P701" s="27">
        <v>22</v>
      </c>
      <c r="Q701" s="2">
        <f>INDEX(Остановки,MATCH(R701,ИД_Остановки!$B$3:$B$467,0),1)</f>
        <v>12</v>
      </c>
      <c r="R701" s="45" t="s">
        <v>13</v>
      </c>
      <c r="S701" s="20">
        <v>0.41</v>
      </c>
    </row>
    <row r="702" spans="8:19" x14ac:dyDescent="0.25">
      <c r="H702">
        <v>4</v>
      </c>
      <c r="I702">
        <v>930</v>
      </c>
      <c r="J702">
        <v>115</v>
      </c>
      <c r="K702" t="b">
        <v>1</v>
      </c>
      <c r="N702" s="30" t="s">
        <v>516</v>
      </c>
      <c r="O702" s="2">
        <f>INDEX(Маршруты,MATCH(N702,$B$3:$B$498,0),1)</f>
        <v>30</v>
      </c>
      <c r="P702" s="27">
        <v>23</v>
      </c>
      <c r="Q702" s="2">
        <f>INDEX(Остановки,MATCH(R702,ИД_Остановки!$B$3:$B$467,0),1)</f>
        <v>11</v>
      </c>
      <c r="R702" s="45" t="s">
        <v>248</v>
      </c>
      <c r="S702" s="20">
        <v>0.79</v>
      </c>
    </row>
    <row r="703" spans="8:19" x14ac:dyDescent="0.25">
      <c r="H703">
        <v>4</v>
      </c>
      <c r="I703">
        <v>936</v>
      </c>
      <c r="J703">
        <v>115</v>
      </c>
      <c r="K703" t="b">
        <v>1</v>
      </c>
      <c r="N703" s="25" t="s">
        <v>516</v>
      </c>
      <c r="O703" s="2">
        <f>INDEX(Маршруты,MATCH(N703,$B$3:$B$498,0),1)</f>
        <v>30</v>
      </c>
      <c r="P703" s="27">
        <v>24</v>
      </c>
      <c r="Q703" s="2">
        <f>INDEX(Остановки,MATCH(R703,ИД_Остановки!$B$3:$B$467,0),1)</f>
        <v>10</v>
      </c>
      <c r="R703" s="45" t="s">
        <v>247</v>
      </c>
      <c r="S703" s="20">
        <v>0.34</v>
      </c>
    </row>
    <row r="704" spans="8:19" x14ac:dyDescent="0.25">
      <c r="H704">
        <v>4</v>
      </c>
      <c r="I704">
        <v>942</v>
      </c>
      <c r="J704">
        <v>115</v>
      </c>
      <c r="K704" t="b">
        <v>1</v>
      </c>
      <c r="N704" s="25" t="s">
        <v>516</v>
      </c>
      <c r="O704" s="2">
        <f>INDEX(Маршруты,MATCH(N704,$B$3:$B$498,0),1)</f>
        <v>30</v>
      </c>
      <c r="P704" s="27">
        <v>25</v>
      </c>
      <c r="Q704" s="2">
        <f>INDEX(Остановки,MATCH(R704,ИД_Остановки!$B$3:$B$467,0),1)</f>
        <v>31</v>
      </c>
      <c r="R704" s="45" t="s">
        <v>256</v>
      </c>
      <c r="S704" s="20">
        <v>0.73</v>
      </c>
    </row>
    <row r="705" spans="8:19" x14ac:dyDescent="0.25">
      <c r="H705">
        <v>4</v>
      </c>
      <c r="I705">
        <v>948</v>
      </c>
      <c r="J705">
        <v>115</v>
      </c>
      <c r="K705" t="b">
        <v>1</v>
      </c>
      <c r="N705" s="25" t="s">
        <v>516</v>
      </c>
      <c r="O705" s="2">
        <f>INDEX(Маршруты,MATCH(N705,$B$3:$B$498,0),1)</f>
        <v>30</v>
      </c>
      <c r="P705" s="27">
        <v>26</v>
      </c>
      <c r="Q705" s="2">
        <f>INDEX(Остановки,MATCH(R705,ИД_Остановки!$B$3:$B$467,0),1)</f>
        <v>102</v>
      </c>
      <c r="R705" s="45" t="s">
        <v>72</v>
      </c>
      <c r="S705" s="20">
        <v>0.28000000000000003</v>
      </c>
    </row>
    <row r="706" spans="8:19" x14ac:dyDescent="0.25">
      <c r="H706">
        <v>4</v>
      </c>
      <c r="I706">
        <v>954</v>
      </c>
      <c r="J706">
        <v>115</v>
      </c>
      <c r="K706" t="b">
        <v>1</v>
      </c>
      <c r="N706" s="25" t="s">
        <v>516</v>
      </c>
      <c r="O706" s="2">
        <f>INDEX(Маршруты,MATCH(N706,$B$3:$B$498,0),1)</f>
        <v>30</v>
      </c>
      <c r="P706" s="27">
        <v>27</v>
      </c>
      <c r="Q706" s="2">
        <f>INDEX(Остановки,MATCH(R706,ИД_Остановки!$B$3:$B$467,0),1)</f>
        <v>32</v>
      </c>
      <c r="R706" s="45" t="s">
        <v>28</v>
      </c>
      <c r="S706" s="20">
        <v>0.24</v>
      </c>
    </row>
    <row r="707" spans="8:19" x14ac:dyDescent="0.25">
      <c r="H707">
        <v>5</v>
      </c>
      <c r="I707">
        <v>0</v>
      </c>
      <c r="J707">
        <v>115</v>
      </c>
      <c r="K707" t="b">
        <v>1</v>
      </c>
      <c r="N707" s="25" t="s">
        <v>516</v>
      </c>
      <c r="O707" s="2">
        <f>INDEX(Маршруты,MATCH(N707,$B$3:$B$498,0),1)</f>
        <v>30</v>
      </c>
      <c r="P707" s="27">
        <v>28</v>
      </c>
      <c r="Q707" s="2">
        <f>INDEX(Остановки,MATCH(R707,ИД_Остановки!$B$3:$B$467,0),1)</f>
        <v>33</v>
      </c>
      <c r="R707" s="45" t="s">
        <v>29</v>
      </c>
      <c r="S707" s="20">
        <v>0.45</v>
      </c>
    </row>
    <row r="708" spans="8:19" x14ac:dyDescent="0.25">
      <c r="H708">
        <v>5</v>
      </c>
      <c r="I708">
        <v>7</v>
      </c>
      <c r="J708">
        <v>115</v>
      </c>
      <c r="K708" t="b">
        <v>1</v>
      </c>
      <c r="N708" s="26" t="s">
        <v>516</v>
      </c>
      <c r="O708" s="2">
        <f>INDEX(Маршруты,MATCH(N708,$B$3:$B$498,0),1)</f>
        <v>30</v>
      </c>
      <c r="P708" s="27">
        <v>29</v>
      </c>
      <c r="Q708" s="2">
        <f>INDEX(Остановки,MATCH(R708,ИД_Остановки!$B$3:$B$467,0),1)</f>
        <v>34</v>
      </c>
      <c r="R708" s="45" t="s">
        <v>613</v>
      </c>
      <c r="S708" s="20">
        <v>0.57999999999999996</v>
      </c>
    </row>
    <row r="709" spans="8:19" x14ac:dyDescent="0.25">
      <c r="H709">
        <v>5</v>
      </c>
      <c r="I709">
        <v>14</v>
      </c>
      <c r="J709">
        <v>115</v>
      </c>
      <c r="K709" t="b">
        <v>1</v>
      </c>
      <c r="N709" s="30" t="s">
        <v>517</v>
      </c>
      <c r="O709" s="2">
        <f>INDEX(Маршруты,MATCH(N709,$B$3:$B$498,0),1)</f>
        <v>31</v>
      </c>
      <c r="P709" s="27">
        <v>1</v>
      </c>
      <c r="Q709" s="2">
        <f>INDEX(Остановки,MATCH(R709,ИД_Остановки!$B$3:$B$467,0),1)</f>
        <v>35</v>
      </c>
      <c r="R709" s="45" t="s">
        <v>31</v>
      </c>
      <c r="S709" s="20"/>
    </row>
    <row r="710" spans="8:19" x14ac:dyDescent="0.25">
      <c r="H710">
        <v>5</v>
      </c>
      <c r="I710">
        <v>21</v>
      </c>
      <c r="J710">
        <v>115</v>
      </c>
      <c r="K710" t="b">
        <v>1</v>
      </c>
      <c r="N710" s="30" t="s">
        <v>517</v>
      </c>
      <c r="O710" s="2">
        <f>INDEX(Маршруты,MATCH(N710,$B$3:$B$498,0),1)</f>
        <v>31</v>
      </c>
      <c r="P710" s="28">
        <v>2</v>
      </c>
      <c r="Q710" s="2">
        <f>INDEX(Остановки,MATCH(R710,ИД_Остановки!$B$3:$B$467,0),1)</f>
        <v>36</v>
      </c>
      <c r="R710" s="24" t="s">
        <v>33</v>
      </c>
      <c r="S710" s="21">
        <v>0.7</v>
      </c>
    </row>
    <row r="711" spans="8:19" x14ac:dyDescent="0.25">
      <c r="H711">
        <v>5</v>
      </c>
      <c r="I711">
        <v>28</v>
      </c>
      <c r="J711">
        <v>115</v>
      </c>
      <c r="K711" t="b">
        <v>1</v>
      </c>
      <c r="N711" s="26" t="s">
        <v>517</v>
      </c>
      <c r="O711" s="2">
        <f>INDEX(Маршруты,MATCH(N711,$B$3:$B$498,0),1)</f>
        <v>31</v>
      </c>
      <c r="P711" s="27">
        <v>3</v>
      </c>
      <c r="Q711" s="2">
        <f>INDEX(Остановки,MATCH(R711,ИД_Остановки!$B$3:$B$467,0),1)</f>
        <v>37</v>
      </c>
      <c r="R711" s="45" t="s">
        <v>34</v>
      </c>
      <c r="S711" s="20">
        <v>0.57999999999999996</v>
      </c>
    </row>
    <row r="712" spans="8:19" x14ac:dyDescent="0.25">
      <c r="H712">
        <v>5</v>
      </c>
      <c r="I712">
        <v>35</v>
      </c>
      <c r="J712">
        <v>115</v>
      </c>
      <c r="K712" t="b">
        <v>1</v>
      </c>
      <c r="N712" s="25" t="s">
        <v>517</v>
      </c>
      <c r="O712" s="2">
        <f>INDEX(Маршруты,MATCH(N712,$B$3:$B$498,0),1)</f>
        <v>31</v>
      </c>
      <c r="P712" s="27">
        <v>4</v>
      </c>
      <c r="Q712" s="2">
        <f>INDEX(Остановки,MATCH(R712,ИД_Остановки!$B$3:$B$467,0),1)</f>
        <v>38</v>
      </c>
      <c r="R712" s="45" t="s">
        <v>35</v>
      </c>
      <c r="S712" s="20">
        <v>0.56999999999999995</v>
      </c>
    </row>
    <row r="713" spans="8:19" x14ac:dyDescent="0.25">
      <c r="H713">
        <v>5</v>
      </c>
      <c r="I713">
        <v>42</v>
      </c>
      <c r="J713">
        <v>115</v>
      </c>
      <c r="K713" t="b">
        <v>1</v>
      </c>
      <c r="N713" s="25" t="s">
        <v>517</v>
      </c>
      <c r="O713" s="2">
        <f>INDEX(Маршруты,MATCH(N713,$B$3:$B$498,0),1)</f>
        <v>31</v>
      </c>
      <c r="P713" s="27">
        <v>5</v>
      </c>
      <c r="Q713" s="2">
        <f>INDEX(Остановки,MATCH(R713,ИД_Остановки!$B$3:$B$467,0),1)</f>
        <v>39</v>
      </c>
      <c r="R713" s="45" t="s">
        <v>257</v>
      </c>
      <c r="S713" s="20">
        <v>0.49</v>
      </c>
    </row>
    <row r="714" spans="8:19" x14ac:dyDescent="0.25">
      <c r="H714">
        <v>5</v>
      </c>
      <c r="I714">
        <v>49</v>
      </c>
      <c r="J714">
        <v>115</v>
      </c>
      <c r="K714" t="b">
        <v>1</v>
      </c>
      <c r="N714" s="25" t="s">
        <v>517</v>
      </c>
      <c r="O714" s="2">
        <f>INDEX(Маршруты,MATCH(N714,$B$3:$B$498,0),1)</f>
        <v>31</v>
      </c>
      <c r="P714" s="27">
        <v>6</v>
      </c>
      <c r="Q714" s="2">
        <f>INDEX(Остановки,MATCH(R714,ИД_Остановки!$B$3:$B$467,0),1)</f>
        <v>40</v>
      </c>
      <c r="R714" s="45" t="s">
        <v>36</v>
      </c>
      <c r="S714" s="20">
        <v>0.31</v>
      </c>
    </row>
    <row r="715" spans="8:19" x14ac:dyDescent="0.25">
      <c r="H715">
        <v>5</v>
      </c>
      <c r="I715">
        <v>56</v>
      </c>
      <c r="J715">
        <v>115</v>
      </c>
      <c r="K715" t="b">
        <v>1</v>
      </c>
      <c r="N715" s="30" t="s">
        <v>517</v>
      </c>
      <c r="O715" s="2">
        <f>INDEX(Маршруты,MATCH(N715,$B$3:$B$498,0),1)</f>
        <v>31</v>
      </c>
      <c r="P715" s="27">
        <v>7</v>
      </c>
      <c r="Q715" s="2">
        <f>INDEX(Остановки,MATCH(R715,ИД_Остановки!$B$3:$B$467,0),1)</f>
        <v>41</v>
      </c>
      <c r="R715" s="45" t="s">
        <v>37</v>
      </c>
      <c r="S715" s="20">
        <v>0.23</v>
      </c>
    </row>
    <row r="716" spans="8:19" x14ac:dyDescent="0.25">
      <c r="H716">
        <v>5</v>
      </c>
      <c r="I716">
        <v>63</v>
      </c>
      <c r="J716">
        <v>115</v>
      </c>
      <c r="K716" t="b">
        <v>1</v>
      </c>
      <c r="N716" s="25" t="s">
        <v>517</v>
      </c>
      <c r="O716" s="2">
        <f>INDEX(Маршруты,MATCH(N716,$B$3:$B$498,0),1)</f>
        <v>31</v>
      </c>
      <c r="P716" s="27">
        <v>8</v>
      </c>
      <c r="Q716" s="2">
        <f>INDEX(Остановки,MATCH(R716,ИД_Остановки!$B$3:$B$467,0),1)</f>
        <v>42</v>
      </c>
      <c r="R716" s="45" t="s">
        <v>38</v>
      </c>
      <c r="S716" s="20">
        <v>0.48</v>
      </c>
    </row>
    <row r="717" spans="8:19" x14ac:dyDescent="0.25">
      <c r="H717">
        <v>5</v>
      </c>
      <c r="I717">
        <v>70</v>
      </c>
      <c r="J717">
        <v>115</v>
      </c>
      <c r="K717" t="b">
        <v>1</v>
      </c>
      <c r="N717" s="25" t="s">
        <v>517</v>
      </c>
      <c r="O717" s="2">
        <f>INDEX(Маршруты,MATCH(N717,$B$3:$B$498,0),1)</f>
        <v>31</v>
      </c>
      <c r="P717" s="27">
        <v>9</v>
      </c>
      <c r="Q717" s="2">
        <f>INDEX(Остановки,MATCH(R717,ИД_Остановки!$B$3:$B$467,0),1)</f>
        <v>43</v>
      </c>
      <c r="R717" s="45" t="s">
        <v>39</v>
      </c>
      <c r="S717" s="20">
        <v>0.37</v>
      </c>
    </row>
    <row r="718" spans="8:19" x14ac:dyDescent="0.25">
      <c r="H718">
        <v>5</v>
      </c>
      <c r="I718">
        <v>77</v>
      </c>
      <c r="J718">
        <v>115</v>
      </c>
      <c r="K718" t="b">
        <v>1</v>
      </c>
      <c r="N718" s="25" t="s">
        <v>517</v>
      </c>
      <c r="O718" s="2">
        <f>INDEX(Маршруты,MATCH(N718,$B$3:$B$498,0),1)</f>
        <v>31</v>
      </c>
      <c r="P718" s="27">
        <v>10</v>
      </c>
      <c r="Q718" s="2">
        <f>INDEX(Остановки,MATCH(R718,ИД_Остановки!$B$3:$B$467,0),1)</f>
        <v>44</v>
      </c>
      <c r="R718" s="45" t="s">
        <v>258</v>
      </c>
      <c r="S718" s="20">
        <v>0.69</v>
      </c>
    </row>
    <row r="719" spans="8:19" x14ac:dyDescent="0.25">
      <c r="H719">
        <v>5</v>
      </c>
      <c r="I719">
        <v>84</v>
      </c>
      <c r="J719">
        <v>115</v>
      </c>
      <c r="K719" t="b">
        <v>1</v>
      </c>
      <c r="N719" s="30" t="s">
        <v>517</v>
      </c>
      <c r="O719" s="2">
        <f>INDEX(Маршруты,MATCH(N719,$B$3:$B$498,0),1)</f>
        <v>31</v>
      </c>
      <c r="P719" s="27">
        <v>11</v>
      </c>
      <c r="Q719" s="2">
        <f>INDEX(Остановки,MATCH(R719,ИД_Остановки!$B$3:$B$467,0),1)</f>
        <v>45</v>
      </c>
      <c r="R719" s="45" t="s">
        <v>40</v>
      </c>
      <c r="S719" s="20">
        <v>0.39</v>
      </c>
    </row>
    <row r="720" spans="8:19" x14ac:dyDescent="0.25">
      <c r="H720">
        <v>5</v>
      </c>
      <c r="I720">
        <v>91</v>
      </c>
      <c r="J720">
        <v>115</v>
      </c>
      <c r="K720" t="b">
        <v>1</v>
      </c>
      <c r="N720" s="25" t="s">
        <v>517</v>
      </c>
      <c r="O720" s="2">
        <f>INDEX(Маршруты,MATCH(N720,$B$3:$B$498,0),1)</f>
        <v>31</v>
      </c>
      <c r="P720" s="27">
        <v>12</v>
      </c>
      <c r="Q720" s="2">
        <f>INDEX(Остановки,MATCH(R720,ИД_Остановки!$B$3:$B$467,0),1)</f>
        <v>46</v>
      </c>
      <c r="R720" s="24" t="s">
        <v>41</v>
      </c>
      <c r="S720" s="20">
        <v>0.45</v>
      </c>
    </row>
    <row r="721" spans="8:19" x14ac:dyDescent="0.25">
      <c r="H721">
        <v>5</v>
      </c>
      <c r="I721">
        <v>98</v>
      </c>
      <c r="J721">
        <v>115</v>
      </c>
      <c r="K721" t="b">
        <v>1</v>
      </c>
      <c r="N721" s="30" t="s">
        <v>517</v>
      </c>
      <c r="O721" s="2">
        <f>INDEX(Маршруты,MATCH(N721,$B$3:$B$498,0),1)</f>
        <v>31</v>
      </c>
      <c r="P721" s="27">
        <v>13</v>
      </c>
      <c r="Q721" s="2">
        <f>INDEX(Остановки,MATCH(R721,ИД_Остановки!$B$3:$B$467,0),1)</f>
        <v>47</v>
      </c>
      <c r="R721" s="24" t="s">
        <v>259</v>
      </c>
      <c r="S721" s="20">
        <v>0.5</v>
      </c>
    </row>
    <row r="722" spans="8:19" x14ac:dyDescent="0.25">
      <c r="H722">
        <v>5</v>
      </c>
      <c r="I722">
        <v>105</v>
      </c>
      <c r="J722">
        <v>115</v>
      </c>
      <c r="K722" t="b">
        <v>1</v>
      </c>
      <c r="N722" s="30" t="s">
        <v>517</v>
      </c>
      <c r="O722" s="2">
        <f>INDEX(Маршруты,MATCH(N722,$B$3:$B$498,0),1)</f>
        <v>31</v>
      </c>
      <c r="P722" s="27">
        <v>14</v>
      </c>
      <c r="Q722" s="2">
        <f>INDEX(Остановки,MATCH(R722,ИД_Остановки!$B$3:$B$467,0),1)</f>
        <v>48</v>
      </c>
      <c r="R722" s="45" t="s">
        <v>42</v>
      </c>
      <c r="S722" s="20">
        <v>0.82</v>
      </c>
    </row>
    <row r="723" spans="8:19" x14ac:dyDescent="0.25">
      <c r="H723">
        <v>5</v>
      </c>
      <c r="I723">
        <v>112</v>
      </c>
      <c r="J723">
        <v>115</v>
      </c>
      <c r="K723" t="b">
        <v>1</v>
      </c>
      <c r="N723" s="25" t="s">
        <v>517</v>
      </c>
      <c r="O723" s="2">
        <f>INDEX(Маршруты,MATCH(N723,$B$3:$B$498,0),1)</f>
        <v>31</v>
      </c>
      <c r="P723" s="27">
        <v>15</v>
      </c>
      <c r="Q723" s="2">
        <f>INDEX(Остановки,MATCH(R723,ИД_Остановки!$B$3:$B$467,0),1)</f>
        <v>49</v>
      </c>
      <c r="R723" s="45" t="s">
        <v>43</v>
      </c>
      <c r="S723" s="20">
        <v>0.52</v>
      </c>
    </row>
    <row r="724" spans="8:19" x14ac:dyDescent="0.25">
      <c r="H724">
        <v>5</v>
      </c>
      <c r="I724">
        <v>119</v>
      </c>
      <c r="J724">
        <v>115</v>
      </c>
      <c r="K724" t="b">
        <v>1</v>
      </c>
      <c r="N724" s="25" t="s">
        <v>517</v>
      </c>
      <c r="O724" s="2">
        <f>INDEX(Маршруты,MATCH(N724,$B$3:$B$498,0),1)</f>
        <v>31</v>
      </c>
      <c r="P724" s="28">
        <v>16</v>
      </c>
      <c r="Q724" s="2">
        <f>INDEX(Остановки,MATCH(R724,ИД_Остановки!$B$3:$B$467,0),1)</f>
        <v>50</v>
      </c>
      <c r="R724" s="24" t="s">
        <v>260</v>
      </c>
      <c r="S724" s="20">
        <v>0.52</v>
      </c>
    </row>
    <row r="725" spans="8:19" x14ac:dyDescent="0.25">
      <c r="H725">
        <v>5</v>
      </c>
      <c r="I725">
        <v>126</v>
      </c>
      <c r="J725">
        <v>115</v>
      </c>
      <c r="K725" t="b">
        <v>1</v>
      </c>
      <c r="N725" s="25" t="s">
        <v>517</v>
      </c>
      <c r="O725" s="2">
        <f>INDEX(Маршруты,MATCH(N725,$B$3:$B$498,0),1)</f>
        <v>31</v>
      </c>
      <c r="P725" s="28">
        <v>17</v>
      </c>
      <c r="Q725" s="2">
        <f>INDEX(Остановки,MATCH(R725,ИД_Остановки!$B$3:$B$467,0),1)</f>
        <v>51</v>
      </c>
      <c r="R725" s="24" t="s">
        <v>261</v>
      </c>
      <c r="S725" s="20">
        <v>0.39</v>
      </c>
    </row>
    <row r="726" spans="8:19" x14ac:dyDescent="0.25">
      <c r="H726">
        <v>5</v>
      </c>
      <c r="I726">
        <v>133</v>
      </c>
      <c r="J726">
        <v>115</v>
      </c>
      <c r="K726" t="b">
        <v>1</v>
      </c>
      <c r="N726" s="25" t="s">
        <v>517</v>
      </c>
      <c r="O726" s="2">
        <f>INDEX(Маршруты,MATCH(N726,$B$3:$B$498,0),1)</f>
        <v>31</v>
      </c>
      <c r="P726" s="27">
        <v>18</v>
      </c>
      <c r="Q726" s="2">
        <f>INDEX(Остановки,MATCH(R726,ИД_Остановки!$B$3:$B$467,0),1)</f>
        <v>132</v>
      </c>
      <c r="R726" s="45" t="s">
        <v>307</v>
      </c>
      <c r="S726" s="20">
        <v>0.53</v>
      </c>
    </row>
    <row r="727" spans="8:19" x14ac:dyDescent="0.25">
      <c r="H727">
        <v>5</v>
      </c>
      <c r="I727">
        <v>140</v>
      </c>
      <c r="J727">
        <v>115</v>
      </c>
      <c r="K727" t="b">
        <v>1</v>
      </c>
      <c r="N727" s="25" t="s">
        <v>517</v>
      </c>
      <c r="O727" s="2">
        <f>INDEX(Маршруты,MATCH(N727,$B$3:$B$498,0),1)</f>
        <v>31</v>
      </c>
      <c r="P727" s="27">
        <v>19</v>
      </c>
      <c r="Q727" s="2">
        <f>INDEX(Остановки,MATCH(R727,ИД_Остановки!$B$3:$B$467,0),1)</f>
        <v>52</v>
      </c>
      <c r="R727" s="45" t="s">
        <v>262</v>
      </c>
      <c r="S727" s="20">
        <v>0.51</v>
      </c>
    </row>
    <row r="728" spans="8:19" x14ac:dyDescent="0.25">
      <c r="H728">
        <v>5</v>
      </c>
      <c r="I728">
        <v>147</v>
      </c>
      <c r="J728">
        <v>115</v>
      </c>
      <c r="K728" t="b">
        <v>1</v>
      </c>
      <c r="N728" s="25" t="s">
        <v>517</v>
      </c>
      <c r="O728" s="2">
        <f>INDEX(Маршруты,MATCH(N728,$B$3:$B$498,0),1)</f>
        <v>31</v>
      </c>
      <c r="P728" s="27">
        <v>20</v>
      </c>
      <c r="Q728" s="2">
        <f>INDEX(Остановки,MATCH(R728,ИД_Остановки!$B$3:$B$467,0),1)</f>
        <v>21</v>
      </c>
      <c r="R728" s="45" t="s">
        <v>21</v>
      </c>
      <c r="S728" s="20">
        <v>0.79</v>
      </c>
    </row>
    <row r="729" spans="8:19" x14ac:dyDescent="0.25">
      <c r="H729">
        <v>5</v>
      </c>
      <c r="I729">
        <v>154</v>
      </c>
      <c r="J729">
        <v>115</v>
      </c>
      <c r="K729" t="b">
        <v>1</v>
      </c>
      <c r="N729" s="25" t="s">
        <v>517</v>
      </c>
      <c r="O729" s="2">
        <f>INDEX(Маршруты,MATCH(N729,$B$3:$B$498,0),1)</f>
        <v>31</v>
      </c>
      <c r="P729" s="27">
        <v>21</v>
      </c>
      <c r="Q729" s="2">
        <f>INDEX(Остановки,MATCH(R729,ИД_Остановки!$B$3:$B$467,0),1)</f>
        <v>14</v>
      </c>
      <c r="R729" s="45" t="s">
        <v>250</v>
      </c>
      <c r="S729" s="20">
        <v>0.46</v>
      </c>
    </row>
    <row r="730" spans="8:19" x14ac:dyDescent="0.25">
      <c r="H730">
        <v>5</v>
      </c>
      <c r="I730">
        <v>161</v>
      </c>
      <c r="J730">
        <v>115</v>
      </c>
      <c r="K730" t="b">
        <v>1</v>
      </c>
      <c r="N730" s="30" t="s">
        <v>517</v>
      </c>
      <c r="O730" s="2">
        <f>INDEX(Маршруты,MATCH(N730,$B$3:$B$498,0),1)</f>
        <v>31</v>
      </c>
      <c r="P730" s="27">
        <v>22</v>
      </c>
      <c r="Q730" s="2">
        <f>INDEX(Остановки,MATCH(R730,ИД_Остановки!$B$3:$B$467,0),1)</f>
        <v>15</v>
      </c>
      <c r="R730" s="45" t="s">
        <v>15</v>
      </c>
      <c r="S730" s="20">
        <v>0.45</v>
      </c>
    </row>
    <row r="731" spans="8:19" x14ac:dyDescent="0.25">
      <c r="H731">
        <v>5</v>
      </c>
      <c r="I731">
        <v>168</v>
      </c>
      <c r="J731">
        <v>115</v>
      </c>
      <c r="K731" t="b">
        <v>1</v>
      </c>
      <c r="N731" s="30" t="s">
        <v>518</v>
      </c>
      <c r="O731" s="2">
        <f>INDEX(Маршруты,MATCH(N731,$B$3:$B$498,0),1)</f>
        <v>32</v>
      </c>
      <c r="P731" s="27">
        <v>1</v>
      </c>
      <c r="Q731" s="2">
        <f>INDEX(Остановки,MATCH(R731,ИД_Остановки!$B$3:$B$467,0),1)</f>
        <v>15</v>
      </c>
      <c r="R731" s="45" t="s">
        <v>15</v>
      </c>
      <c r="S731" s="20"/>
    </row>
    <row r="732" spans="8:19" x14ac:dyDescent="0.25">
      <c r="H732">
        <v>5</v>
      </c>
      <c r="I732">
        <v>175</v>
      </c>
      <c r="J732">
        <v>115</v>
      </c>
      <c r="K732" t="b">
        <v>1</v>
      </c>
      <c r="N732" s="30" t="s">
        <v>518</v>
      </c>
      <c r="O732" s="2">
        <f>INDEX(Маршруты,MATCH(N732,$B$3:$B$498,0),1)</f>
        <v>32</v>
      </c>
      <c r="P732" s="27">
        <v>2</v>
      </c>
      <c r="Q732" s="2">
        <f>INDEX(Остановки,MATCH(R732,ИД_Остановки!$B$3:$B$467,0),1)</f>
        <v>14</v>
      </c>
      <c r="R732" s="45" t="s">
        <v>250</v>
      </c>
      <c r="S732" s="20">
        <v>0.45</v>
      </c>
    </row>
    <row r="733" spans="8:19" x14ac:dyDescent="0.25">
      <c r="H733">
        <v>5</v>
      </c>
      <c r="I733">
        <v>182</v>
      </c>
      <c r="J733">
        <v>115</v>
      </c>
      <c r="K733" t="b">
        <v>1</v>
      </c>
      <c r="N733" s="26" t="s">
        <v>518</v>
      </c>
      <c r="O733" s="2">
        <f>INDEX(Маршруты,MATCH(N733,$B$3:$B$498,0),1)</f>
        <v>32</v>
      </c>
      <c r="P733" s="27">
        <v>3</v>
      </c>
      <c r="Q733" s="2">
        <f>INDEX(Остановки,MATCH(R733,ИД_Остановки!$B$3:$B$467,0),1)</f>
        <v>21</v>
      </c>
      <c r="R733" s="45" t="s">
        <v>21</v>
      </c>
      <c r="S733" s="20">
        <v>0.46</v>
      </c>
    </row>
    <row r="734" spans="8:19" x14ac:dyDescent="0.25">
      <c r="H734">
        <v>5</v>
      </c>
      <c r="I734">
        <v>189</v>
      </c>
      <c r="J734">
        <v>115</v>
      </c>
      <c r="K734" t="b">
        <v>1</v>
      </c>
      <c r="N734" s="30" t="s">
        <v>518</v>
      </c>
      <c r="O734" s="2">
        <f>INDEX(Маршруты,MATCH(N734,$B$3:$B$498,0),1)</f>
        <v>32</v>
      </c>
      <c r="P734" s="27">
        <v>4</v>
      </c>
      <c r="Q734" s="2">
        <f>INDEX(Остановки,MATCH(R734,ИД_Остановки!$B$3:$B$467,0),1)</f>
        <v>52</v>
      </c>
      <c r="R734" s="45" t="s">
        <v>262</v>
      </c>
      <c r="S734" s="20">
        <v>0.79</v>
      </c>
    </row>
    <row r="735" spans="8:19" x14ac:dyDescent="0.25">
      <c r="H735">
        <v>5</v>
      </c>
      <c r="I735">
        <v>196</v>
      </c>
      <c r="J735">
        <v>115</v>
      </c>
      <c r="K735" t="b">
        <v>1</v>
      </c>
      <c r="N735" s="30" t="s">
        <v>518</v>
      </c>
      <c r="O735" s="2">
        <f>INDEX(Маршруты,MATCH(N735,$B$3:$B$498,0),1)</f>
        <v>32</v>
      </c>
      <c r="P735" s="28">
        <v>5</v>
      </c>
      <c r="Q735" s="2">
        <f>INDEX(Остановки,MATCH(R735,ИД_Остановки!$B$3:$B$467,0),1)</f>
        <v>132</v>
      </c>
      <c r="R735" s="24" t="s">
        <v>307</v>
      </c>
      <c r="S735" s="20">
        <v>0.51</v>
      </c>
    </row>
    <row r="736" spans="8:19" x14ac:dyDescent="0.25">
      <c r="H736">
        <v>5</v>
      </c>
      <c r="I736">
        <v>203</v>
      </c>
      <c r="J736">
        <v>115</v>
      </c>
      <c r="K736" t="b">
        <v>1</v>
      </c>
      <c r="N736" s="30" t="s">
        <v>518</v>
      </c>
      <c r="O736" s="2">
        <f>INDEX(Маршруты,MATCH(N736,$B$3:$B$498,0),1)</f>
        <v>32</v>
      </c>
      <c r="P736" s="27">
        <v>6</v>
      </c>
      <c r="Q736" s="2">
        <f>INDEX(Остановки,MATCH(R736,ИД_Остановки!$B$3:$B$467,0),1)</f>
        <v>51</v>
      </c>
      <c r="R736" s="45" t="s">
        <v>261</v>
      </c>
      <c r="S736" s="20">
        <v>0.53</v>
      </c>
    </row>
    <row r="737" spans="8:19" x14ac:dyDescent="0.25">
      <c r="H737">
        <v>5</v>
      </c>
      <c r="I737">
        <v>210</v>
      </c>
      <c r="J737">
        <v>115</v>
      </c>
      <c r="K737" t="b">
        <v>1</v>
      </c>
      <c r="N737" s="30" t="s">
        <v>518</v>
      </c>
      <c r="O737" s="2">
        <f>INDEX(Маршруты,MATCH(N737,$B$3:$B$498,0),1)</f>
        <v>32</v>
      </c>
      <c r="P737" s="27">
        <v>7</v>
      </c>
      <c r="Q737" s="2">
        <f>INDEX(Остановки,MATCH(R737,ИД_Остановки!$B$3:$B$467,0),1)</f>
        <v>50</v>
      </c>
      <c r="R737" s="45" t="s">
        <v>260</v>
      </c>
      <c r="S737" s="20">
        <v>0.39</v>
      </c>
    </row>
    <row r="738" spans="8:19" x14ac:dyDescent="0.25">
      <c r="H738">
        <v>5</v>
      </c>
      <c r="I738">
        <v>217</v>
      </c>
      <c r="J738">
        <v>115</v>
      </c>
      <c r="K738" t="b">
        <v>1</v>
      </c>
      <c r="N738" s="30" t="s">
        <v>518</v>
      </c>
      <c r="O738" s="2">
        <f>INDEX(Маршруты,MATCH(N738,$B$3:$B$498,0),1)</f>
        <v>32</v>
      </c>
      <c r="P738" s="27">
        <v>8</v>
      </c>
      <c r="Q738" s="2">
        <f>INDEX(Остановки,MATCH(R738,ИД_Остановки!$B$3:$B$467,0),1)</f>
        <v>49</v>
      </c>
      <c r="R738" s="45" t="s">
        <v>43</v>
      </c>
      <c r="S738" s="20">
        <v>0.52</v>
      </c>
    </row>
    <row r="739" spans="8:19" x14ac:dyDescent="0.25">
      <c r="H739">
        <v>5</v>
      </c>
      <c r="I739">
        <v>224</v>
      </c>
      <c r="J739">
        <v>115</v>
      </c>
      <c r="K739" t="b">
        <v>1</v>
      </c>
      <c r="N739" s="30" t="s">
        <v>518</v>
      </c>
      <c r="O739" s="2">
        <f>INDEX(Маршруты,MATCH(N739,$B$3:$B$498,0),1)</f>
        <v>32</v>
      </c>
      <c r="P739" s="27">
        <v>9</v>
      </c>
      <c r="Q739" s="2">
        <f>INDEX(Остановки,MATCH(R739,ИД_Остановки!$B$3:$B$467,0),1)</f>
        <v>48</v>
      </c>
      <c r="R739" s="45" t="s">
        <v>42</v>
      </c>
      <c r="S739" s="20">
        <v>0.52</v>
      </c>
    </row>
    <row r="740" spans="8:19" x14ac:dyDescent="0.25">
      <c r="H740">
        <v>5</v>
      </c>
      <c r="I740">
        <v>231</v>
      </c>
      <c r="J740">
        <v>115</v>
      </c>
      <c r="K740" t="b">
        <v>1</v>
      </c>
      <c r="N740" s="30" t="s">
        <v>518</v>
      </c>
      <c r="O740" s="2">
        <f>INDEX(Маршруты,MATCH(N740,$B$3:$B$498,0),1)</f>
        <v>32</v>
      </c>
      <c r="P740" s="28">
        <v>10</v>
      </c>
      <c r="Q740" s="2">
        <f>INDEX(Остановки,MATCH(R740,ИД_Остановки!$B$3:$B$467,0),1)</f>
        <v>47</v>
      </c>
      <c r="R740" s="24" t="s">
        <v>259</v>
      </c>
      <c r="S740" s="20">
        <v>0.82</v>
      </c>
    </row>
    <row r="741" spans="8:19" x14ac:dyDescent="0.25">
      <c r="H741">
        <v>5</v>
      </c>
      <c r="I741">
        <v>238</v>
      </c>
      <c r="J741">
        <v>115</v>
      </c>
      <c r="K741" t="b">
        <v>1</v>
      </c>
      <c r="N741" s="30" t="s">
        <v>518</v>
      </c>
      <c r="O741" s="2">
        <f>INDEX(Маршруты,MATCH(N741,$B$3:$B$498,0),1)</f>
        <v>32</v>
      </c>
      <c r="P741" s="27">
        <v>11</v>
      </c>
      <c r="Q741" s="2">
        <f>INDEX(Остановки,MATCH(R741,ИД_Остановки!$B$3:$B$467,0),1)</f>
        <v>46</v>
      </c>
      <c r="R741" s="45" t="s">
        <v>41</v>
      </c>
      <c r="S741" s="20">
        <v>0.5</v>
      </c>
    </row>
    <row r="742" spans="8:19" x14ac:dyDescent="0.25">
      <c r="H742">
        <v>5</v>
      </c>
      <c r="I742">
        <v>245</v>
      </c>
      <c r="J742">
        <v>115</v>
      </c>
      <c r="K742" t="b">
        <v>1</v>
      </c>
      <c r="N742" s="26" t="s">
        <v>518</v>
      </c>
      <c r="O742" s="2">
        <f>INDEX(Маршруты,MATCH(N742,$B$3:$B$498,0),1)</f>
        <v>32</v>
      </c>
      <c r="P742" s="27">
        <v>12</v>
      </c>
      <c r="Q742" s="2">
        <f>INDEX(Остановки,MATCH(R742,ИД_Остановки!$B$3:$B$467,0),1)</f>
        <v>45</v>
      </c>
      <c r="R742" s="45" t="s">
        <v>40</v>
      </c>
      <c r="S742" s="20">
        <v>0.45</v>
      </c>
    </row>
    <row r="743" spans="8:19" x14ac:dyDescent="0.25">
      <c r="H743">
        <v>5</v>
      </c>
      <c r="I743">
        <v>252</v>
      </c>
      <c r="J743">
        <v>115</v>
      </c>
      <c r="K743" t="b">
        <v>1</v>
      </c>
      <c r="N743" s="30" t="s">
        <v>518</v>
      </c>
      <c r="O743" s="2">
        <f>INDEX(Маршруты,MATCH(N743,$B$3:$B$498,0),1)</f>
        <v>32</v>
      </c>
      <c r="P743" s="27">
        <v>13</v>
      </c>
      <c r="Q743" s="2">
        <f>INDEX(Остановки,MATCH(R743,ИД_Остановки!$B$3:$B$467,0),1)</f>
        <v>44</v>
      </c>
      <c r="R743" s="24" t="s">
        <v>258</v>
      </c>
      <c r="S743" s="20">
        <v>0.39</v>
      </c>
    </row>
    <row r="744" spans="8:19" x14ac:dyDescent="0.25">
      <c r="H744">
        <v>5</v>
      </c>
      <c r="I744">
        <v>259</v>
      </c>
      <c r="J744">
        <v>115</v>
      </c>
      <c r="K744" t="b">
        <v>1</v>
      </c>
      <c r="N744" s="30" t="s">
        <v>518</v>
      </c>
      <c r="O744" s="2">
        <f>INDEX(Маршруты,MATCH(N744,$B$3:$B$498,0),1)</f>
        <v>32</v>
      </c>
      <c r="P744" s="27">
        <v>14</v>
      </c>
      <c r="Q744" s="2">
        <f>INDEX(Остановки,MATCH(R744,ИД_Остановки!$B$3:$B$467,0),1)</f>
        <v>43</v>
      </c>
      <c r="R744" s="45" t="s">
        <v>39</v>
      </c>
      <c r="S744" s="20">
        <v>0.69</v>
      </c>
    </row>
    <row r="745" spans="8:19" x14ac:dyDescent="0.25">
      <c r="H745">
        <v>5</v>
      </c>
      <c r="I745">
        <v>266</v>
      </c>
      <c r="J745">
        <v>115</v>
      </c>
      <c r="K745" t="b">
        <v>1</v>
      </c>
      <c r="N745" s="26" t="s">
        <v>518</v>
      </c>
      <c r="O745" s="2">
        <f>INDEX(Маршруты,MATCH(N745,$B$3:$B$498,0),1)</f>
        <v>32</v>
      </c>
      <c r="P745" s="27">
        <v>15</v>
      </c>
      <c r="Q745" s="2">
        <f>INDEX(Остановки,MATCH(R745,ИД_Остановки!$B$3:$B$467,0),1)</f>
        <v>42</v>
      </c>
      <c r="R745" s="45" t="s">
        <v>38</v>
      </c>
      <c r="S745" s="20">
        <v>0.37</v>
      </c>
    </row>
    <row r="746" spans="8:19" x14ac:dyDescent="0.25">
      <c r="H746">
        <v>5</v>
      </c>
      <c r="I746">
        <v>273</v>
      </c>
      <c r="J746">
        <v>115</v>
      </c>
      <c r="K746" t="b">
        <v>1</v>
      </c>
      <c r="N746" s="30" t="s">
        <v>518</v>
      </c>
      <c r="O746" s="2">
        <f>INDEX(Маршруты,MATCH(N746,$B$3:$B$498,0),1)</f>
        <v>32</v>
      </c>
      <c r="P746" s="27">
        <v>16</v>
      </c>
      <c r="Q746" s="2">
        <f>INDEX(Остановки,MATCH(R746,ИД_Остановки!$B$3:$B$467,0),1)</f>
        <v>41</v>
      </c>
      <c r="R746" s="45" t="s">
        <v>37</v>
      </c>
      <c r="S746" s="20">
        <v>0.48</v>
      </c>
    </row>
    <row r="747" spans="8:19" x14ac:dyDescent="0.25">
      <c r="H747">
        <v>5</v>
      </c>
      <c r="I747">
        <v>280</v>
      </c>
      <c r="J747">
        <v>115</v>
      </c>
      <c r="K747" t="b">
        <v>1</v>
      </c>
      <c r="N747" s="30" t="s">
        <v>518</v>
      </c>
      <c r="O747" s="2">
        <f>INDEX(Маршруты,MATCH(N747,$B$3:$B$498,0),1)</f>
        <v>32</v>
      </c>
      <c r="P747" s="28">
        <v>17</v>
      </c>
      <c r="Q747" s="2">
        <f>INDEX(Остановки,MATCH(R747,ИД_Остановки!$B$3:$B$467,0),1)</f>
        <v>40</v>
      </c>
      <c r="R747" s="24" t="s">
        <v>36</v>
      </c>
      <c r="S747" s="20">
        <v>0.23</v>
      </c>
    </row>
    <row r="748" spans="8:19" x14ac:dyDescent="0.25">
      <c r="H748">
        <v>5</v>
      </c>
      <c r="I748">
        <v>287</v>
      </c>
      <c r="J748">
        <v>115</v>
      </c>
      <c r="K748" t="b">
        <v>1</v>
      </c>
      <c r="N748" s="30" t="s">
        <v>518</v>
      </c>
      <c r="O748" s="2">
        <f>INDEX(Маршруты,MATCH(N748,$B$3:$B$498,0),1)</f>
        <v>32</v>
      </c>
      <c r="P748" s="27">
        <v>18</v>
      </c>
      <c r="Q748" s="2">
        <f>INDEX(Остановки,MATCH(R748,ИД_Остановки!$B$3:$B$467,0),1)</f>
        <v>39</v>
      </c>
      <c r="R748" s="45" t="s">
        <v>257</v>
      </c>
      <c r="S748" s="20">
        <v>0.31</v>
      </c>
    </row>
    <row r="749" spans="8:19" x14ac:dyDescent="0.25">
      <c r="H749">
        <v>5</v>
      </c>
      <c r="I749">
        <v>294</v>
      </c>
      <c r="J749">
        <v>115</v>
      </c>
      <c r="K749" t="b">
        <v>1</v>
      </c>
      <c r="N749" s="30" t="s">
        <v>518</v>
      </c>
      <c r="O749" s="2">
        <f>INDEX(Маршруты,MATCH(N749,$B$3:$B$498,0),1)</f>
        <v>32</v>
      </c>
      <c r="P749" s="27">
        <v>19</v>
      </c>
      <c r="Q749" s="2">
        <f>INDEX(Остановки,MATCH(R749,ИД_Остановки!$B$3:$B$467,0),1)</f>
        <v>38</v>
      </c>
      <c r="R749" s="45" t="s">
        <v>35</v>
      </c>
      <c r="S749" s="20">
        <v>0.49</v>
      </c>
    </row>
    <row r="750" spans="8:19" x14ac:dyDescent="0.25">
      <c r="H750">
        <v>5</v>
      </c>
      <c r="I750">
        <v>301</v>
      </c>
      <c r="J750">
        <v>115</v>
      </c>
      <c r="K750" t="b">
        <v>1</v>
      </c>
      <c r="N750" s="30" t="s">
        <v>518</v>
      </c>
      <c r="O750" s="2">
        <f>INDEX(Маршруты,MATCH(N750,$B$3:$B$498,0),1)</f>
        <v>32</v>
      </c>
      <c r="P750" s="27">
        <v>20</v>
      </c>
      <c r="Q750" s="2">
        <f>INDEX(Остановки,MATCH(R750,ИД_Остановки!$B$3:$B$467,0),1)</f>
        <v>37</v>
      </c>
      <c r="R750" s="45" t="s">
        <v>34</v>
      </c>
      <c r="S750" s="20">
        <v>0.56999999999999995</v>
      </c>
    </row>
    <row r="751" spans="8:19" x14ac:dyDescent="0.25">
      <c r="H751">
        <v>5</v>
      </c>
      <c r="I751">
        <v>308</v>
      </c>
      <c r="J751">
        <v>115</v>
      </c>
      <c r="K751" t="b">
        <v>1</v>
      </c>
      <c r="N751" s="30" t="s">
        <v>518</v>
      </c>
      <c r="O751" s="2">
        <f>INDEX(Маршруты,MATCH(N751,$B$3:$B$498,0),1)</f>
        <v>32</v>
      </c>
      <c r="P751" s="28">
        <v>21</v>
      </c>
      <c r="Q751" s="2">
        <f>INDEX(Остановки,MATCH(R751,ИД_Остановки!$B$3:$B$467,0),1)</f>
        <v>36</v>
      </c>
      <c r="R751" s="24" t="s">
        <v>33</v>
      </c>
      <c r="S751" s="20">
        <v>0.57999999999999996</v>
      </c>
    </row>
    <row r="752" spans="8:19" x14ac:dyDescent="0.25">
      <c r="H752">
        <v>5</v>
      </c>
      <c r="I752">
        <v>315</v>
      </c>
      <c r="J752">
        <v>115</v>
      </c>
      <c r="K752" t="b">
        <v>1</v>
      </c>
      <c r="N752" s="30" t="s">
        <v>518</v>
      </c>
      <c r="O752" s="2">
        <f>INDEX(Маршруты,MATCH(N752,$B$3:$B$498,0),1)</f>
        <v>32</v>
      </c>
      <c r="P752" s="27">
        <v>22</v>
      </c>
      <c r="Q752" s="2">
        <f>INDEX(Остановки,MATCH(R752,ИД_Остановки!$B$3:$B$467,0),1)</f>
        <v>35</v>
      </c>
      <c r="R752" s="45" t="s">
        <v>31</v>
      </c>
      <c r="S752" s="20">
        <v>0.7</v>
      </c>
    </row>
    <row r="753" spans="8:19" x14ac:dyDescent="0.25">
      <c r="H753">
        <v>5</v>
      </c>
      <c r="I753">
        <v>322</v>
      </c>
      <c r="J753">
        <v>115</v>
      </c>
      <c r="K753" t="b">
        <v>1</v>
      </c>
      <c r="N753" s="30" t="s">
        <v>519</v>
      </c>
      <c r="O753" s="2">
        <f>INDEX(Маршруты,MATCH(N753,$B$3:$B$498,0),1)</f>
        <v>33</v>
      </c>
      <c r="P753" s="27">
        <v>1</v>
      </c>
      <c r="Q753" s="2">
        <f>INDEX(Остановки,MATCH(R753,ИД_Остановки!$B$3:$B$467,0),1)</f>
        <v>69</v>
      </c>
      <c r="R753" s="45" t="s">
        <v>269</v>
      </c>
      <c r="S753" s="20">
        <v>0.41</v>
      </c>
    </row>
    <row r="754" spans="8:19" x14ac:dyDescent="0.25">
      <c r="H754">
        <v>5</v>
      </c>
      <c r="I754">
        <v>329</v>
      </c>
      <c r="J754">
        <v>115</v>
      </c>
      <c r="K754" t="b">
        <v>1</v>
      </c>
      <c r="N754" s="30" t="s">
        <v>519</v>
      </c>
      <c r="O754" s="2">
        <f>INDEX(Маршруты,MATCH(N754,$B$3:$B$498,0),1)</f>
        <v>33</v>
      </c>
      <c r="P754" s="27">
        <v>2</v>
      </c>
      <c r="Q754" s="2">
        <f>INDEX(Остановки,MATCH(R754,ИД_Остановки!$B$3:$B$467,0),1)</f>
        <v>68</v>
      </c>
      <c r="R754" s="45" t="s">
        <v>55</v>
      </c>
      <c r="S754" s="20">
        <v>0.64</v>
      </c>
    </row>
    <row r="755" spans="8:19" x14ac:dyDescent="0.25">
      <c r="H755">
        <v>5</v>
      </c>
      <c r="I755">
        <v>336</v>
      </c>
      <c r="J755">
        <v>115</v>
      </c>
      <c r="K755" t="b">
        <v>1</v>
      </c>
      <c r="N755" s="30" t="s">
        <v>519</v>
      </c>
      <c r="O755" s="2">
        <f>INDEX(Маршруты,MATCH(N755,$B$3:$B$498,0),1)</f>
        <v>33</v>
      </c>
      <c r="P755" s="27">
        <v>3</v>
      </c>
      <c r="Q755" s="2">
        <f>INDEX(Остановки,MATCH(R755,ИД_Остановки!$B$3:$B$467,0),1)</f>
        <v>67</v>
      </c>
      <c r="R755" s="45" t="s">
        <v>54</v>
      </c>
      <c r="S755" s="20">
        <v>0.93</v>
      </c>
    </row>
    <row r="756" spans="8:19" x14ac:dyDescent="0.25">
      <c r="H756">
        <v>5</v>
      </c>
      <c r="I756">
        <v>343</v>
      </c>
      <c r="J756">
        <v>115</v>
      </c>
      <c r="K756" t="b">
        <v>1</v>
      </c>
      <c r="N756" s="25" t="s">
        <v>519</v>
      </c>
      <c r="O756" s="2">
        <f>INDEX(Маршруты,MATCH(N756,$B$3:$B$498,0),1)</f>
        <v>33</v>
      </c>
      <c r="P756" s="27">
        <v>4</v>
      </c>
      <c r="Q756" s="2">
        <f>INDEX(Остановки,MATCH(R756,ИД_Остановки!$B$3:$B$467,0),1)</f>
        <v>66</v>
      </c>
      <c r="R756" s="45" t="s">
        <v>53</v>
      </c>
      <c r="S756" s="20">
        <v>1.3</v>
      </c>
    </row>
    <row r="757" spans="8:19" x14ac:dyDescent="0.25">
      <c r="H757">
        <v>5</v>
      </c>
      <c r="I757">
        <v>350</v>
      </c>
      <c r="J757">
        <v>115</v>
      </c>
      <c r="K757" t="b">
        <v>1</v>
      </c>
      <c r="N757" s="25" t="s">
        <v>519</v>
      </c>
      <c r="O757" s="2">
        <f>INDEX(Маршруты,MATCH(N757,$B$3:$B$498,0),1)</f>
        <v>33</v>
      </c>
      <c r="P757" s="27">
        <v>5</v>
      </c>
      <c r="Q757" s="2">
        <f>INDEX(Остановки,MATCH(R757,ИД_Остановки!$B$3:$B$467,0),1)</f>
        <v>65</v>
      </c>
      <c r="R757" s="45" t="s">
        <v>52</v>
      </c>
      <c r="S757" s="20">
        <v>0.44</v>
      </c>
    </row>
    <row r="758" spans="8:19" x14ac:dyDescent="0.25">
      <c r="H758">
        <v>5</v>
      </c>
      <c r="I758">
        <v>357</v>
      </c>
      <c r="J758">
        <v>115</v>
      </c>
      <c r="K758" t="b">
        <v>1</v>
      </c>
      <c r="N758" s="26" t="s">
        <v>519</v>
      </c>
      <c r="O758" s="2">
        <f>INDEX(Маршруты,MATCH(N758,$B$3:$B$498,0),1)</f>
        <v>33</v>
      </c>
      <c r="P758" s="27">
        <v>6</v>
      </c>
      <c r="Q758" s="2">
        <f>INDEX(Остановки,MATCH(R758,ИД_Остановки!$B$3:$B$467,0),1)</f>
        <v>64</v>
      </c>
      <c r="R758" s="45" t="s">
        <v>50</v>
      </c>
      <c r="S758" s="20">
        <v>0.77</v>
      </c>
    </row>
    <row r="759" spans="8:19" x14ac:dyDescent="0.25">
      <c r="H759">
        <v>5</v>
      </c>
      <c r="I759">
        <v>364</v>
      </c>
      <c r="J759">
        <v>115</v>
      </c>
      <c r="K759" t="b">
        <v>1</v>
      </c>
      <c r="N759" s="30" t="s">
        <v>519</v>
      </c>
      <c r="O759" s="2">
        <f>INDEX(Маршруты,MATCH(N759,$B$3:$B$498,0),1)</f>
        <v>33</v>
      </c>
      <c r="P759" s="27">
        <v>7</v>
      </c>
      <c r="Q759" s="2">
        <f>INDEX(Остановки,MATCH(R759,ИД_Остановки!$B$3:$B$467,0),1)</f>
        <v>63</v>
      </c>
      <c r="R759" s="45" t="s">
        <v>268</v>
      </c>
      <c r="S759" s="20">
        <v>0.5</v>
      </c>
    </row>
    <row r="760" spans="8:19" x14ac:dyDescent="0.25">
      <c r="H760">
        <v>5</v>
      </c>
      <c r="I760">
        <v>371</v>
      </c>
      <c r="J760">
        <v>115</v>
      </c>
      <c r="K760" t="b">
        <v>1</v>
      </c>
      <c r="N760" s="26" t="s">
        <v>519</v>
      </c>
      <c r="O760" s="2">
        <f>INDEX(Маршруты,MATCH(N760,$B$3:$B$498,0),1)</f>
        <v>33</v>
      </c>
      <c r="P760" s="27">
        <v>8</v>
      </c>
      <c r="Q760" s="2">
        <f>INDEX(Остановки,MATCH(R760,ИД_Остановки!$B$3:$B$467,0),1)</f>
        <v>62</v>
      </c>
      <c r="R760" s="45" t="s">
        <v>49</v>
      </c>
      <c r="S760" s="20">
        <v>0.56999999999999995</v>
      </c>
    </row>
    <row r="761" spans="8:19" x14ac:dyDescent="0.25">
      <c r="H761">
        <v>5</v>
      </c>
      <c r="I761">
        <v>378</v>
      </c>
      <c r="J761">
        <v>115</v>
      </c>
      <c r="K761" t="b">
        <v>1</v>
      </c>
      <c r="N761" s="25" t="s">
        <v>519</v>
      </c>
      <c r="O761" s="2">
        <f>INDEX(Маршруты,MATCH(N761,$B$3:$B$498,0),1)</f>
        <v>33</v>
      </c>
      <c r="P761" s="27">
        <v>9</v>
      </c>
      <c r="Q761" s="2">
        <f>INDEX(Остановки,MATCH(R761,ИД_Остановки!$B$3:$B$467,0),1)</f>
        <v>61</v>
      </c>
      <c r="R761" s="45" t="s">
        <v>267</v>
      </c>
      <c r="S761" s="20">
        <v>0.49</v>
      </c>
    </row>
    <row r="762" spans="8:19" x14ac:dyDescent="0.25">
      <c r="H762">
        <v>5</v>
      </c>
      <c r="I762">
        <v>385</v>
      </c>
      <c r="J762">
        <v>115</v>
      </c>
      <c r="K762" t="b">
        <v>1</v>
      </c>
      <c r="N762" s="30" t="s">
        <v>519</v>
      </c>
      <c r="O762" s="2">
        <f>INDEX(Маршруты,MATCH(N762,$B$3:$B$498,0),1)</f>
        <v>33</v>
      </c>
      <c r="P762" s="27">
        <v>10</v>
      </c>
      <c r="Q762" s="2">
        <f>INDEX(Остановки,MATCH(R762,ИД_Остановки!$B$3:$B$467,0),1)</f>
        <v>60</v>
      </c>
      <c r="R762" s="45" t="s">
        <v>266</v>
      </c>
      <c r="S762" s="20">
        <v>0.42</v>
      </c>
    </row>
    <row r="763" spans="8:19" x14ac:dyDescent="0.25">
      <c r="H763">
        <v>5</v>
      </c>
      <c r="I763">
        <v>392</v>
      </c>
      <c r="J763">
        <v>115</v>
      </c>
      <c r="K763" t="b">
        <v>1</v>
      </c>
      <c r="N763" s="25" t="s">
        <v>519</v>
      </c>
      <c r="O763" s="2">
        <f>INDEX(Маршруты,MATCH(N763,$B$3:$B$498,0),1)</f>
        <v>33</v>
      </c>
      <c r="P763" s="27">
        <v>11</v>
      </c>
      <c r="Q763" s="2">
        <f>INDEX(Остановки,MATCH(R763,ИД_Остановки!$B$3:$B$467,0),1)</f>
        <v>59</v>
      </c>
      <c r="R763" s="45" t="s">
        <v>48</v>
      </c>
      <c r="S763" s="20">
        <v>0.56999999999999995</v>
      </c>
    </row>
    <row r="764" spans="8:19" x14ac:dyDescent="0.25">
      <c r="H764">
        <v>5</v>
      </c>
      <c r="I764">
        <v>399</v>
      </c>
      <c r="J764">
        <v>115</v>
      </c>
      <c r="K764" t="b">
        <v>1</v>
      </c>
      <c r="N764" s="30" t="s">
        <v>519</v>
      </c>
      <c r="O764" s="2">
        <f>INDEX(Маршруты,MATCH(N764,$B$3:$B$498,0),1)</f>
        <v>33</v>
      </c>
      <c r="P764" s="27">
        <v>12</v>
      </c>
      <c r="Q764" s="2">
        <f>INDEX(Остановки,MATCH(R764,ИД_Остановки!$B$3:$B$467,0),1)</f>
        <v>58</v>
      </c>
      <c r="R764" s="45" t="s">
        <v>265</v>
      </c>
      <c r="S764" s="20">
        <v>0.49</v>
      </c>
    </row>
    <row r="765" spans="8:19" x14ac:dyDescent="0.25">
      <c r="H765">
        <v>5</v>
      </c>
      <c r="I765">
        <v>406</v>
      </c>
      <c r="J765">
        <v>115</v>
      </c>
      <c r="K765" t="b">
        <v>1</v>
      </c>
      <c r="N765" s="30" t="s">
        <v>519</v>
      </c>
      <c r="O765" s="2">
        <f>INDEX(Маршруты,MATCH(N765,$B$3:$B$498,0),1)</f>
        <v>33</v>
      </c>
      <c r="P765" s="27">
        <v>13</v>
      </c>
      <c r="Q765" s="2">
        <f>INDEX(Остановки,MATCH(R765,ИД_Остановки!$B$3:$B$467,0),1)</f>
        <v>57</v>
      </c>
      <c r="R765" s="45" t="s">
        <v>47</v>
      </c>
      <c r="S765" s="20">
        <v>0.6</v>
      </c>
    </row>
    <row r="766" spans="8:19" x14ac:dyDescent="0.25">
      <c r="H766">
        <v>5</v>
      </c>
      <c r="I766">
        <v>413</v>
      </c>
      <c r="J766">
        <v>115</v>
      </c>
      <c r="K766" t="b">
        <v>1</v>
      </c>
      <c r="N766" s="30" t="s">
        <v>519</v>
      </c>
      <c r="O766" s="2">
        <f>INDEX(Маршруты,MATCH(N766,$B$3:$B$498,0),1)</f>
        <v>33</v>
      </c>
      <c r="P766" s="27">
        <v>14</v>
      </c>
      <c r="Q766" s="2">
        <f>INDEX(Остановки,MATCH(R766,ИД_Остановки!$B$3:$B$467,0),1)</f>
        <v>56</v>
      </c>
      <c r="R766" s="45" t="s">
        <v>264</v>
      </c>
      <c r="S766" s="20">
        <v>0.48</v>
      </c>
    </row>
    <row r="767" spans="8:19" x14ac:dyDescent="0.25">
      <c r="H767">
        <v>5</v>
      </c>
      <c r="I767">
        <v>420</v>
      </c>
      <c r="J767">
        <v>115</v>
      </c>
      <c r="K767" t="b">
        <v>1</v>
      </c>
      <c r="N767" s="25" t="s">
        <v>519</v>
      </c>
      <c r="O767" s="2">
        <f>INDEX(Маршруты,MATCH(N767,$B$3:$B$498,0),1)</f>
        <v>33</v>
      </c>
      <c r="P767" s="27">
        <v>15</v>
      </c>
      <c r="Q767" s="2">
        <f>INDEX(Остановки,MATCH(R767,ИД_Остановки!$B$3:$B$467,0),1)</f>
        <v>55</v>
      </c>
      <c r="R767" s="45" t="s">
        <v>263</v>
      </c>
      <c r="S767" s="20">
        <v>0.86</v>
      </c>
    </row>
    <row r="768" spans="8:19" x14ac:dyDescent="0.25">
      <c r="H768">
        <v>5</v>
      </c>
      <c r="I768">
        <v>427</v>
      </c>
      <c r="J768">
        <v>115</v>
      </c>
      <c r="K768" t="b">
        <v>1</v>
      </c>
      <c r="N768" s="25" t="s">
        <v>519</v>
      </c>
      <c r="O768" s="2">
        <f>INDEX(Маршруты,MATCH(N768,$B$3:$B$498,0),1)</f>
        <v>33</v>
      </c>
      <c r="P768" s="27">
        <v>16</v>
      </c>
      <c r="Q768" s="2">
        <f>INDEX(Остановки,MATCH(R768,ИД_Остановки!$B$3:$B$467,0),1)</f>
        <v>54</v>
      </c>
      <c r="R768" s="45" t="s">
        <v>45</v>
      </c>
      <c r="S768" s="20">
        <v>0.37</v>
      </c>
    </row>
    <row r="769" spans="8:19" x14ac:dyDescent="0.25">
      <c r="H769">
        <v>5</v>
      </c>
      <c r="I769">
        <v>434</v>
      </c>
      <c r="J769">
        <v>115</v>
      </c>
      <c r="K769" t="b">
        <v>1</v>
      </c>
      <c r="N769" s="25" t="s">
        <v>519</v>
      </c>
      <c r="O769" s="2">
        <f>INDEX(Маршруты,MATCH(N769,$B$3:$B$498,0),1)</f>
        <v>33</v>
      </c>
      <c r="P769" s="27">
        <v>17</v>
      </c>
      <c r="Q769" s="2">
        <f>INDEX(Остановки,MATCH(R769,ИД_Остановки!$B$3:$B$467,0),1)</f>
        <v>176</v>
      </c>
      <c r="R769" s="45" t="s">
        <v>111</v>
      </c>
      <c r="S769" s="20">
        <v>0.65</v>
      </c>
    </row>
    <row r="770" spans="8:19" x14ac:dyDescent="0.25">
      <c r="H770">
        <v>5</v>
      </c>
      <c r="I770">
        <v>441</v>
      </c>
      <c r="J770">
        <v>115</v>
      </c>
      <c r="K770" t="b">
        <v>1</v>
      </c>
      <c r="N770" s="30" t="s">
        <v>520</v>
      </c>
      <c r="O770" s="2">
        <f>INDEX(Маршруты,MATCH(N770,$B$3:$B$498,0),1)</f>
        <v>34</v>
      </c>
      <c r="P770" s="27">
        <v>1</v>
      </c>
      <c r="Q770" s="2">
        <f>INDEX(Остановки,MATCH(R770,ИД_Остановки!$B$3:$B$467,0),1)</f>
        <v>176</v>
      </c>
      <c r="R770" s="45" t="s">
        <v>111</v>
      </c>
      <c r="S770" s="20"/>
    </row>
    <row r="771" spans="8:19" x14ac:dyDescent="0.25">
      <c r="H771">
        <v>5</v>
      </c>
      <c r="I771">
        <v>448</v>
      </c>
      <c r="J771">
        <v>115</v>
      </c>
      <c r="K771" t="b">
        <v>1</v>
      </c>
      <c r="N771" s="30" t="s">
        <v>520</v>
      </c>
      <c r="O771" s="2">
        <f>INDEX(Маршруты,MATCH(N771,$B$3:$B$498,0),1)</f>
        <v>34</v>
      </c>
      <c r="P771" s="27">
        <v>2</v>
      </c>
      <c r="Q771" s="2">
        <f>INDEX(Остановки,MATCH(R771,ИД_Остановки!$B$3:$B$467,0),1)</f>
        <v>54</v>
      </c>
      <c r="R771" s="45" t="s">
        <v>45</v>
      </c>
      <c r="S771" s="20">
        <v>0.65</v>
      </c>
    </row>
    <row r="772" spans="8:19" x14ac:dyDescent="0.25">
      <c r="H772">
        <v>5</v>
      </c>
      <c r="I772">
        <v>455</v>
      </c>
      <c r="J772">
        <v>115</v>
      </c>
      <c r="K772" t="b">
        <v>1</v>
      </c>
      <c r="N772" s="30" t="s">
        <v>520</v>
      </c>
      <c r="O772" s="2">
        <f>INDEX(Маршруты,MATCH(N772,$B$3:$B$498,0),1)</f>
        <v>34</v>
      </c>
      <c r="P772" s="27">
        <v>3</v>
      </c>
      <c r="Q772" s="2">
        <f>INDEX(Остановки,MATCH(R772,ИД_Остановки!$B$3:$B$467,0),1)</f>
        <v>55</v>
      </c>
      <c r="R772" s="45" t="s">
        <v>263</v>
      </c>
      <c r="S772" s="20">
        <v>0.37</v>
      </c>
    </row>
    <row r="773" spans="8:19" x14ac:dyDescent="0.25">
      <c r="H773">
        <v>5</v>
      </c>
      <c r="I773">
        <v>462</v>
      </c>
      <c r="J773">
        <v>115</v>
      </c>
      <c r="K773" t="b">
        <v>1</v>
      </c>
      <c r="N773" s="30" t="s">
        <v>520</v>
      </c>
      <c r="O773" s="2">
        <f>INDEX(Маршруты,MATCH(N773,$B$3:$B$498,0),1)</f>
        <v>34</v>
      </c>
      <c r="P773" s="27">
        <v>4</v>
      </c>
      <c r="Q773" s="2">
        <f>INDEX(Остановки,MATCH(R773,ИД_Остановки!$B$3:$B$467,0),1)</f>
        <v>56</v>
      </c>
      <c r="R773" s="45" t="s">
        <v>264</v>
      </c>
      <c r="S773" s="20">
        <v>0.86</v>
      </c>
    </row>
    <row r="774" spans="8:19" x14ac:dyDescent="0.25">
      <c r="H774">
        <v>5</v>
      </c>
      <c r="I774">
        <v>469</v>
      </c>
      <c r="J774">
        <v>115</v>
      </c>
      <c r="K774" t="b">
        <v>1</v>
      </c>
      <c r="N774" s="30" t="s">
        <v>520</v>
      </c>
      <c r="O774" s="2">
        <f>INDEX(Маршруты,MATCH(N774,$B$3:$B$498,0),1)</f>
        <v>34</v>
      </c>
      <c r="P774" s="28">
        <v>5</v>
      </c>
      <c r="Q774" s="2">
        <f>INDEX(Остановки,MATCH(R774,ИД_Остановки!$B$3:$B$467,0),1)</f>
        <v>57</v>
      </c>
      <c r="R774" s="24" t="s">
        <v>47</v>
      </c>
      <c r="S774" s="20">
        <v>0.48</v>
      </c>
    </row>
    <row r="775" spans="8:19" x14ac:dyDescent="0.25">
      <c r="H775">
        <v>5</v>
      </c>
      <c r="I775">
        <v>476</v>
      </c>
      <c r="J775">
        <v>115</v>
      </c>
      <c r="K775" t="b">
        <v>1</v>
      </c>
      <c r="N775" s="25" t="s">
        <v>520</v>
      </c>
      <c r="O775" s="2">
        <f>INDEX(Маршруты,MATCH(N775,$B$3:$B$498,0),1)</f>
        <v>34</v>
      </c>
      <c r="P775" s="27">
        <v>6</v>
      </c>
      <c r="Q775" s="2">
        <f>INDEX(Остановки,MATCH(R775,ИД_Остановки!$B$3:$B$467,0),1)</f>
        <v>58</v>
      </c>
      <c r="R775" s="24" t="s">
        <v>265</v>
      </c>
      <c r="S775" s="20">
        <v>0.6</v>
      </c>
    </row>
    <row r="776" spans="8:19" x14ac:dyDescent="0.25">
      <c r="H776">
        <v>5</v>
      </c>
      <c r="I776">
        <v>483</v>
      </c>
      <c r="J776">
        <v>115</v>
      </c>
      <c r="K776" t="b">
        <v>1</v>
      </c>
      <c r="N776" s="25" t="s">
        <v>520</v>
      </c>
      <c r="O776" s="2">
        <f>INDEX(Маршруты,MATCH(N776,$B$3:$B$498,0),1)</f>
        <v>34</v>
      </c>
      <c r="P776" s="27">
        <v>7</v>
      </c>
      <c r="Q776" s="2">
        <f>INDEX(Остановки,MATCH(R776,ИД_Остановки!$B$3:$B$467,0),1)</f>
        <v>59</v>
      </c>
      <c r="R776" s="45" t="s">
        <v>48</v>
      </c>
      <c r="S776" s="20">
        <v>0.49</v>
      </c>
    </row>
    <row r="777" spans="8:19" x14ac:dyDescent="0.25">
      <c r="H777">
        <v>5</v>
      </c>
      <c r="I777">
        <v>490</v>
      </c>
      <c r="J777">
        <v>115</v>
      </c>
      <c r="K777" t="b">
        <v>1</v>
      </c>
      <c r="N777" s="30" t="s">
        <v>520</v>
      </c>
      <c r="O777" s="2">
        <f>INDEX(Маршруты,MATCH(N777,$B$3:$B$498,0),1)</f>
        <v>34</v>
      </c>
      <c r="P777" s="27">
        <v>8</v>
      </c>
      <c r="Q777" s="2">
        <f>INDEX(Остановки,MATCH(R777,ИД_Остановки!$B$3:$B$467,0),1)</f>
        <v>60</v>
      </c>
      <c r="R777" s="24" t="s">
        <v>266</v>
      </c>
      <c r="S777" s="20">
        <v>0.56999999999999995</v>
      </c>
    </row>
    <row r="778" spans="8:19" x14ac:dyDescent="0.25">
      <c r="H778">
        <v>5</v>
      </c>
      <c r="I778">
        <v>497</v>
      </c>
      <c r="J778">
        <v>115</v>
      </c>
      <c r="K778" t="b">
        <v>1</v>
      </c>
      <c r="N778" s="30" t="s">
        <v>520</v>
      </c>
      <c r="O778" s="2">
        <f>INDEX(Маршруты,MATCH(N778,$B$3:$B$498,0),1)</f>
        <v>34</v>
      </c>
      <c r="P778" s="27">
        <v>9</v>
      </c>
      <c r="Q778" s="2">
        <f>INDEX(Остановки,MATCH(R778,ИД_Остановки!$B$3:$B$467,0),1)</f>
        <v>61</v>
      </c>
      <c r="R778" s="45" t="s">
        <v>267</v>
      </c>
      <c r="S778" s="20">
        <v>0.42</v>
      </c>
    </row>
    <row r="779" spans="8:19" x14ac:dyDescent="0.25">
      <c r="H779">
        <v>5</v>
      </c>
      <c r="I779">
        <v>504</v>
      </c>
      <c r="J779">
        <v>115</v>
      </c>
      <c r="K779" t="b">
        <v>1</v>
      </c>
      <c r="N779" s="25" t="s">
        <v>520</v>
      </c>
      <c r="O779" s="2">
        <f>INDEX(Маршруты,MATCH(N779,$B$3:$B$498,0),1)</f>
        <v>34</v>
      </c>
      <c r="P779" s="27">
        <v>10</v>
      </c>
      <c r="Q779" s="2">
        <f>INDEX(Остановки,MATCH(R779,ИД_Остановки!$B$3:$B$467,0),1)</f>
        <v>62</v>
      </c>
      <c r="R779" s="45" t="s">
        <v>49</v>
      </c>
      <c r="S779" s="20">
        <v>0.49</v>
      </c>
    </row>
    <row r="780" spans="8:19" x14ac:dyDescent="0.25">
      <c r="H780">
        <v>5</v>
      </c>
      <c r="I780">
        <v>511</v>
      </c>
      <c r="J780">
        <v>115</v>
      </c>
      <c r="K780" t="b">
        <v>1</v>
      </c>
      <c r="N780" s="26" t="s">
        <v>520</v>
      </c>
      <c r="O780" s="2">
        <f>INDEX(Маршруты,MATCH(N780,$B$3:$B$498,0),1)</f>
        <v>34</v>
      </c>
      <c r="P780" s="27">
        <v>11</v>
      </c>
      <c r="Q780" s="2">
        <f>INDEX(Остановки,MATCH(R780,ИД_Остановки!$B$3:$B$467,0),1)</f>
        <v>63</v>
      </c>
      <c r="R780" s="45" t="s">
        <v>268</v>
      </c>
      <c r="S780" s="20">
        <v>0.56999999999999995</v>
      </c>
    </row>
    <row r="781" spans="8:19" x14ac:dyDescent="0.25">
      <c r="H781">
        <v>5</v>
      </c>
      <c r="I781">
        <v>518</v>
      </c>
      <c r="J781">
        <v>115</v>
      </c>
      <c r="K781" t="b">
        <v>1</v>
      </c>
      <c r="N781" s="25" t="s">
        <v>520</v>
      </c>
      <c r="O781" s="2">
        <f>INDEX(Маршруты,MATCH(N781,$B$3:$B$498,0),1)</f>
        <v>34</v>
      </c>
      <c r="P781" s="27">
        <v>12</v>
      </c>
      <c r="Q781" s="2">
        <f>INDEX(Остановки,MATCH(R781,ИД_Остановки!$B$3:$B$467,0),1)</f>
        <v>64</v>
      </c>
      <c r="R781" s="45" t="s">
        <v>50</v>
      </c>
      <c r="S781" s="20">
        <v>0.5</v>
      </c>
    </row>
    <row r="782" spans="8:19" x14ac:dyDescent="0.25">
      <c r="H782">
        <v>5</v>
      </c>
      <c r="I782">
        <v>525</v>
      </c>
      <c r="J782">
        <v>115</v>
      </c>
      <c r="K782" t="b">
        <v>1</v>
      </c>
      <c r="N782" s="25" t="s">
        <v>520</v>
      </c>
      <c r="O782" s="2">
        <f>INDEX(Маршруты,MATCH(N782,$B$3:$B$498,0),1)</f>
        <v>34</v>
      </c>
      <c r="P782" s="28">
        <v>13</v>
      </c>
      <c r="Q782" s="2">
        <f>INDEX(Остановки,MATCH(R782,ИД_Остановки!$B$3:$B$467,0),1)</f>
        <v>65</v>
      </c>
      <c r="R782" s="24" t="s">
        <v>52</v>
      </c>
      <c r="S782" s="20">
        <v>0.77</v>
      </c>
    </row>
    <row r="783" spans="8:19" x14ac:dyDescent="0.25">
      <c r="H783">
        <v>5</v>
      </c>
      <c r="I783">
        <v>532</v>
      </c>
      <c r="J783">
        <v>115</v>
      </c>
      <c r="K783" t="b">
        <v>1</v>
      </c>
      <c r="N783" s="25" t="s">
        <v>520</v>
      </c>
      <c r="O783" s="2">
        <f>INDEX(Маршруты,MATCH(N783,$B$3:$B$498,0),1)</f>
        <v>34</v>
      </c>
      <c r="P783" s="27">
        <v>14</v>
      </c>
      <c r="Q783" s="2">
        <f>INDEX(Остановки,MATCH(R783,ИД_Остановки!$B$3:$B$467,0),1)</f>
        <v>66</v>
      </c>
      <c r="R783" s="45" t="s">
        <v>53</v>
      </c>
      <c r="S783" s="20">
        <v>0.44</v>
      </c>
    </row>
    <row r="784" spans="8:19" x14ac:dyDescent="0.25">
      <c r="H784">
        <v>5</v>
      </c>
      <c r="I784">
        <v>539</v>
      </c>
      <c r="J784">
        <v>115</v>
      </c>
      <c r="K784" t="b">
        <v>1</v>
      </c>
      <c r="N784" s="30" t="s">
        <v>520</v>
      </c>
      <c r="O784" s="2">
        <f>INDEX(Маршруты,MATCH(N784,$B$3:$B$498,0),1)</f>
        <v>34</v>
      </c>
      <c r="P784" s="27">
        <v>15</v>
      </c>
      <c r="Q784" s="2">
        <f>INDEX(Остановки,MATCH(R784,ИД_Остановки!$B$3:$B$467,0),1)</f>
        <v>67</v>
      </c>
      <c r="R784" s="45" t="s">
        <v>54</v>
      </c>
      <c r="S784" s="20">
        <v>1.3</v>
      </c>
    </row>
    <row r="785" spans="8:19" x14ac:dyDescent="0.25">
      <c r="H785">
        <v>5</v>
      </c>
      <c r="I785">
        <v>546</v>
      </c>
      <c r="J785">
        <v>115</v>
      </c>
      <c r="K785" t="b">
        <v>1</v>
      </c>
      <c r="N785" s="25" t="s">
        <v>520</v>
      </c>
      <c r="O785" s="2">
        <f>INDEX(Маршруты,MATCH(N785,$B$3:$B$498,0),1)</f>
        <v>34</v>
      </c>
      <c r="P785" s="27">
        <v>16</v>
      </c>
      <c r="Q785" s="2">
        <f>INDEX(Остановки,MATCH(R785,ИД_Остановки!$B$3:$B$467,0),1)</f>
        <v>68</v>
      </c>
      <c r="R785" s="45" t="s">
        <v>55</v>
      </c>
      <c r="S785" s="20">
        <v>0.93</v>
      </c>
    </row>
    <row r="786" spans="8:19" x14ac:dyDescent="0.25">
      <c r="H786">
        <v>5</v>
      </c>
      <c r="I786">
        <v>553</v>
      </c>
      <c r="J786">
        <v>115</v>
      </c>
      <c r="K786" t="b">
        <v>1</v>
      </c>
      <c r="N786" s="30" t="s">
        <v>520</v>
      </c>
      <c r="O786" s="2">
        <f>INDEX(Маршруты,MATCH(N786,$B$3:$B$498,0),1)</f>
        <v>34</v>
      </c>
      <c r="P786" s="27">
        <v>17</v>
      </c>
      <c r="Q786" s="2">
        <f>INDEX(Остановки,MATCH(R786,ИД_Остановки!$B$3:$B$467,0),1)</f>
        <v>69</v>
      </c>
      <c r="R786" s="45" t="s">
        <v>269</v>
      </c>
      <c r="S786" s="20">
        <v>0.64</v>
      </c>
    </row>
    <row r="787" spans="8:19" x14ac:dyDescent="0.25">
      <c r="H787">
        <v>5</v>
      </c>
      <c r="I787">
        <v>560</v>
      </c>
      <c r="J787">
        <v>115</v>
      </c>
      <c r="K787" t="b">
        <v>1</v>
      </c>
      <c r="N787" s="30" t="s">
        <v>521</v>
      </c>
      <c r="O787" s="2">
        <f>INDEX(Маршруты,MATCH(N787,$B$3:$B$498,0),1)</f>
        <v>35</v>
      </c>
      <c r="P787" s="27">
        <v>1</v>
      </c>
      <c r="Q787" s="2">
        <f>INDEX(Остановки,MATCH(R787,ИД_Остановки!$B$3:$B$467,0),1)</f>
        <v>16</v>
      </c>
      <c r="R787" s="45" t="s">
        <v>16</v>
      </c>
      <c r="S787" s="20"/>
    </row>
    <row r="788" spans="8:19" x14ac:dyDescent="0.25">
      <c r="H788">
        <v>5</v>
      </c>
      <c r="I788">
        <v>567</v>
      </c>
      <c r="J788">
        <v>115</v>
      </c>
      <c r="K788" t="b">
        <v>1</v>
      </c>
      <c r="N788" s="32" t="s">
        <v>521</v>
      </c>
      <c r="O788" s="2">
        <f>INDEX(Маршруты,MATCH(N788,$B$3:$B$498,0),1)</f>
        <v>35</v>
      </c>
      <c r="P788" s="27">
        <v>2</v>
      </c>
      <c r="Q788" s="2">
        <f>INDEX(Остановки,MATCH(R788,ИД_Остановки!$B$3:$B$467,0),1)</f>
        <v>17</v>
      </c>
      <c r="R788" s="45" t="s">
        <v>251</v>
      </c>
      <c r="S788" s="20">
        <v>0.68</v>
      </c>
    </row>
    <row r="789" spans="8:19" x14ac:dyDescent="0.25">
      <c r="H789">
        <v>5</v>
      </c>
      <c r="I789">
        <v>574</v>
      </c>
      <c r="J789">
        <v>115</v>
      </c>
      <c r="K789" t="b">
        <v>1</v>
      </c>
      <c r="N789" s="30" t="s">
        <v>521</v>
      </c>
      <c r="O789" s="2">
        <f>INDEX(Маршруты,MATCH(N789,$B$3:$B$498,0),1)</f>
        <v>35</v>
      </c>
      <c r="P789" s="27">
        <v>3</v>
      </c>
      <c r="Q789" s="2">
        <f>INDEX(Остановки,MATCH(R789,ИД_Остановки!$B$3:$B$467,0),1)</f>
        <v>18</v>
      </c>
      <c r="R789" s="45" t="s">
        <v>18</v>
      </c>
      <c r="S789" s="20">
        <v>0.25</v>
      </c>
    </row>
    <row r="790" spans="8:19" x14ac:dyDescent="0.25">
      <c r="H790">
        <v>5</v>
      </c>
      <c r="I790">
        <v>581</v>
      </c>
      <c r="J790">
        <v>115</v>
      </c>
      <c r="K790" t="b">
        <v>1</v>
      </c>
      <c r="N790" s="30" t="s">
        <v>521</v>
      </c>
      <c r="O790" s="2">
        <f>INDEX(Маршруты,MATCH(N790,$B$3:$B$498,0),1)</f>
        <v>35</v>
      </c>
      <c r="P790" s="28">
        <v>4</v>
      </c>
      <c r="Q790" s="2">
        <f>INDEX(Остановки,MATCH(R790,ИД_Остановки!$B$3:$B$467,0),1)</f>
        <v>19</v>
      </c>
      <c r="R790" s="24" t="s">
        <v>19</v>
      </c>
      <c r="S790" s="21">
        <v>0.61</v>
      </c>
    </row>
    <row r="791" spans="8:19" x14ac:dyDescent="0.25">
      <c r="H791">
        <v>5</v>
      </c>
      <c r="I791">
        <v>588</v>
      </c>
      <c r="J791">
        <v>115</v>
      </c>
      <c r="K791" t="b">
        <v>1</v>
      </c>
      <c r="N791" s="26" t="s">
        <v>521</v>
      </c>
      <c r="O791" s="2">
        <f>INDEX(Маршруты,MATCH(N791,$B$3:$B$498,0),1)</f>
        <v>35</v>
      </c>
      <c r="P791" s="27">
        <v>5</v>
      </c>
      <c r="Q791" s="2">
        <f>INDEX(Остановки,MATCH(R791,ИД_Остановки!$B$3:$B$467,0),1)</f>
        <v>20</v>
      </c>
      <c r="R791" s="45" t="s">
        <v>20</v>
      </c>
      <c r="S791" s="20">
        <v>0.53</v>
      </c>
    </row>
    <row r="792" spans="8:19" x14ac:dyDescent="0.25">
      <c r="H792">
        <v>5</v>
      </c>
      <c r="I792">
        <v>595</v>
      </c>
      <c r="J792">
        <v>115</v>
      </c>
      <c r="K792" t="b">
        <v>1</v>
      </c>
      <c r="N792" s="25" t="s">
        <v>521</v>
      </c>
      <c r="O792" s="2">
        <f>INDEX(Маршруты,MATCH(N792,$B$3:$B$498,0),1)</f>
        <v>35</v>
      </c>
      <c r="P792" s="27">
        <v>6</v>
      </c>
      <c r="Q792" s="2">
        <f>INDEX(Остановки,MATCH(R792,ИД_Остановки!$B$3:$B$467,0),1)</f>
        <v>52</v>
      </c>
      <c r="R792" s="45" t="s">
        <v>262</v>
      </c>
      <c r="S792" s="20">
        <v>0.93</v>
      </c>
    </row>
    <row r="793" spans="8:19" x14ac:dyDescent="0.25">
      <c r="H793">
        <v>5</v>
      </c>
      <c r="I793">
        <v>602</v>
      </c>
      <c r="J793">
        <v>115</v>
      </c>
      <c r="K793" t="b">
        <v>1</v>
      </c>
      <c r="N793" s="26" t="s">
        <v>521</v>
      </c>
      <c r="O793" s="2">
        <f>INDEX(Маршруты,MATCH(N793,$B$3:$B$498,0),1)</f>
        <v>35</v>
      </c>
      <c r="P793" s="27">
        <v>7</v>
      </c>
      <c r="Q793" s="2">
        <f>INDEX(Остановки,MATCH(R793,ИД_Остановки!$B$3:$B$467,0),1)</f>
        <v>132</v>
      </c>
      <c r="R793" s="45" t="s">
        <v>307</v>
      </c>
      <c r="S793" s="20">
        <v>0.51</v>
      </c>
    </row>
    <row r="794" spans="8:19" x14ac:dyDescent="0.25">
      <c r="H794">
        <v>5</v>
      </c>
      <c r="I794">
        <v>609</v>
      </c>
      <c r="J794">
        <v>115</v>
      </c>
      <c r="K794" t="b">
        <v>1</v>
      </c>
      <c r="N794" s="25" t="s">
        <v>521</v>
      </c>
      <c r="O794" s="2">
        <f>INDEX(Маршруты,MATCH(N794,$B$3:$B$498,0),1)</f>
        <v>35</v>
      </c>
      <c r="P794" s="27">
        <v>8</v>
      </c>
      <c r="Q794" s="2">
        <f>INDEX(Остановки,MATCH(R794,ИД_Остановки!$B$3:$B$467,0),1)</f>
        <v>51</v>
      </c>
      <c r="R794" s="45" t="s">
        <v>261</v>
      </c>
      <c r="S794" s="20">
        <v>0.53</v>
      </c>
    </row>
    <row r="795" spans="8:19" x14ac:dyDescent="0.25">
      <c r="H795">
        <v>5</v>
      </c>
      <c r="I795">
        <v>616</v>
      </c>
      <c r="J795">
        <v>115</v>
      </c>
      <c r="K795" t="b">
        <v>1</v>
      </c>
      <c r="N795" s="30" t="s">
        <v>521</v>
      </c>
      <c r="O795" s="2">
        <f>INDEX(Маршруты,MATCH(N795,$B$3:$B$498,0),1)</f>
        <v>35</v>
      </c>
      <c r="P795" s="27">
        <v>9</v>
      </c>
      <c r="Q795" s="2">
        <f>INDEX(Остановки,MATCH(R795,ИД_Остановки!$B$3:$B$467,0),1)</f>
        <v>50</v>
      </c>
      <c r="R795" s="45" t="s">
        <v>260</v>
      </c>
      <c r="S795" s="20">
        <v>0.39</v>
      </c>
    </row>
    <row r="796" spans="8:19" x14ac:dyDescent="0.25">
      <c r="H796">
        <v>5</v>
      </c>
      <c r="I796">
        <v>623</v>
      </c>
      <c r="J796">
        <v>115</v>
      </c>
      <c r="K796" t="b">
        <v>1</v>
      </c>
      <c r="N796" s="26" t="s">
        <v>521</v>
      </c>
      <c r="O796" s="2">
        <f>INDEX(Маршруты,MATCH(N796,$B$3:$B$498,0),1)</f>
        <v>35</v>
      </c>
      <c r="P796" s="27">
        <v>10</v>
      </c>
      <c r="Q796" s="2">
        <f>INDEX(Остановки,MATCH(R796,ИД_Остановки!$B$3:$B$467,0),1)</f>
        <v>49</v>
      </c>
      <c r="R796" s="45" t="s">
        <v>43</v>
      </c>
      <c r="S796" s="20">
        <v>0.52</v>
      </c>
    </row>
    <row r="797" spans="8:19" x14ac:dyDescent="0.25">
      <c r="H797">
        <v>5</v>
      </c>
      <c r="I797">
        <v>630</v>
      </c>
      <c r="J797">
        <v>115</v>
      </c>
      <c r="K797" t="b">
        <v>1</v>
      </c>
      <c r="N797" s="25" t="s">
        <v>521</v>
      </c>
      <c r="O797" s="2">
        <f>INDEX(Маршруты,MATCH(N797,$B$3:$B$498,0),1)</f>
        <v>35</v>
      </c>
      <c r="P797" s="27">
        <v>11</v>
      </c>
      <c r="Q797" s="2">
        <f>INDEX(Остановки,MATCH(R797,ИД_Остановки!$B$3:$B$467,0),1)</f>
        <v>48</v>
      </c>
      <c r="R797" s="24" t="s">
        <v>42</v>
      </c>
      <c r="S797" s="20">
        <v>0.52</v>
      </c>
    </row>
    <row r="798" spans="8:19" x14ac:dyDescent="0.25">
      <c r="H798">
        <v>5</v>
      </c>
      <c r="I798">
        <v>637</v>
      </c>
      <c r="J798">
        <v>115</v>
      </c>
      <c r="K798" t="b">
        <v>1</v>
      </c>
      <c r="N798" s="25" t="s">
        <v>521</v>
      </c>
      <c r="O798" s="2">
        <f>INDEX(Маршруты,MATCH(N798,$B$3:$B$498,0),1)</f>
        <v>35</v>
      </c>
      <c r="P798" s="27">
        <v>12</v>
      </c>
      <c r="Q798" s="2">
        <f>INDEX(Остановки,MATCH(R798,ИД_Остановки!$B$3:$B$467,0),1)</f>
        <v>47</v>
      </c>
      <c r="R798" s="45" t="s">
        <v>259</v>
      </c>
      <c r="S798" s="20">
        <v>0.82</v>
      </c>
    </row>
    <row r="799" spans="8:19" x14ac:dyDescent="0.25">
      <c r="H799">
        <v>5</v>
      </c>
      <c r="I799">
        <v>644</v>
      </c>
      <c r="J799">
        <v>115</v>
      </c>
      <c r="K799" t="b">
        <v>1</v>
      </c>
      <c r="N799" s="25" t="s">
        <v>521</v>
      </c>
      <c r="O799" s="2">
        <f>INDEX(Маршруты,MATCH(N799,$B$3:$B$498,0),1)</f>
        <v>35</v>
      </c>
      <c r="P799" s="27">
        <v>13</v>
      </c>
      <c r="Q799" s="2">
        <f>INDEX(Остановки,MATCH(R799,ИД_Остановки!$B$3:$B$467,0),1)</f>
        <v>46</v>
      </c>
      <c r="R799" s="45" t="s">
        <v>41</v>
      </c>
      <c r="S799" s="20">
        <v>0.5</v>
      </c>
    </row>
    <row r="800" spans="8:19" x14ac:dyDescent="0.25">
      <c r="H800">
        <v>5</v>
      </c>
      <c r="I800">
        <v>651</v>
      </c>
      <c r="J800">
        <v>115</v>
      </c>
      <c r="K800" t="b">
        <v>1</v>
      </c>
      <c r="N800" s="30" t="s">
        <v>521</v>
      </c>
      <c r="O800" s="2">
        <f>INDEX(Маршруты,MATCH(N800,$B$3:$B$498,0),1)</f>
        <v>35</v>
      </c>
      <c r="P800" s="27">
        <v>14</v>
      </c>
      <c r="Q800" s="2">
        <f>INDEX(Остановки,MATCH(R800,ИД_Остановки!$B$3:$B$467,0),1)</f>
        <v>45</v>
      </c>
      <c r="R800" s="45" t="s">
        <v>40</v>
      </c>
      <c r="S800" s="20">
        <v>0.45</v>
      </c>
    </row>
    <row r="801" spans="8:19" x14ac:dyDescent="0.25">
      <c r="H801">
        <v>5</v>
      </c>
      <c r="I801">
        <v>658</v>
      </c>
      <c r="J801">
        <v>115</v>
      </c>
      <c r="K801" t="b">
        <v>1</v>
      </c>
      <c r="N801" s="30" t="s">
        <v>521</v>
      </c>
      <c r="O801" s="2">
        <f>INDEX(Маршруты,MATCH(N801,$B$3:$B$498,0),1)</f>
        <v>35</v>
      </c>
      <c r="P801" s="27">
        <v>15</v>
      </c>
      <c r="Q801" s="2">
        <f>INDEX(Остановки,MATCH(R801,ИД_Остановки!$B$3:$B$467,0),1)</f>
        <v>44</v>
      </c>
      <c r="R801" s="45" t="s">
        <v>258</v>
      </c>
      <c r="S801" s="20">
        <v>0.39</v>
      </c>
    </row>
    <row r="802" spans="8:19" x14ac:dyDescent="0.25">
      <c r="H802">
        <v>5</v>
      </c>
      <c r="I802">
        <v>665</v>
      </c>
      <c r="J802">
        <v>115</v>
      </c>
      <c r="K802" t="b">
        <v>1</v>
      </c>
      <c r="N802" s="30" t="s">
        <v>521</v>
      </c>
      <c r="O802" s="2">
        <f>INDEX(Маршруты,MATCH(N802,$B$3:$B$498,0),1)</f>
        <v>35</v>
      </c>
      <c r="P802" s="27">
        <v>16</v>
      </c>
      <c r="Q802" s="2">
        <f>INDEX(Остановки,MATCH(R802,ИД_Остановки!$B$3:$B$467,0),1)</f>
        <v>43</v>
      </c>
      <c r="R802" s="45" t="s">
        <v>39</v>
      </c>
      <c r="S802" s="20">
        <v>0.69</v>
      </c>
    </row>
    <row r="803" spans="8:19" x14ac:dyDescent="0.25">
      <c r="H803">
        <v>5</v>
      </c>
      <c r="I803">
        <v>672</v>
      </c>
      <c r="J803">
        <v>115</v>
      </c>
      <c r="K803" t="b">
        <v>1</v>
      </c>
      <c r="N803" s="30" t="s">
        <v>521</v>
      </c>
      <c r="O803" s="2">
        <f>INDEX(Маршруты,MATCH(N803,$B$3:$B$498,0),1)</f>
        <v>35</v>
      </c>
      <c r="P803" s="27">
        <v>17</v>
      </c>
      <c r="Q803" s="2">
        <f>INDEX(Остановки,MATCH(R803,ИД_Остановки!$B$3:$B$467,0),1)</f>
        <v>42</v>
      </c>
      <c r="R803" s="45" t="s">
        <v>38</v>
      </c>
      <c r="S803" s="20">
        <v>0.37</v>
      </c>
    </row>
    <row r="804" spans="8:19" x14ac:dyDescent="0.25">
      <c r="H804">
        <v>5</v>
      </c>
      <c r="I804">
        <v>679</v>
      </c>
      <c r="J804">
        <v>115</v>
      </c>
      <c r="K804" t="b">
        <v>1</v>
      </c>
      <c r="N804" s="25" t="s">
        <v>521</v>
      </c>
      <c r="O804" s="2">
        <f>INDEX(Маршруты,MATCH(N804,$B$3:$B$498,0),1)</f>
        <v>35</v>
      </c>
      <c r="P804" s="27">
        <v>18</v>
      </c>
      <c r="Q804" s="2">
        <f>INDEX(Остановки,MATCH(R804,ИД_Остановки!$B$3:$B$467,0),1)</f>
        <v>41</v>
      </c>
      <c r="R804" s="45" t="s">
        <v>37</v>
      </c>
      <c r="S804" s="20">
        <v>0.48</v>
      </c>
    </row>
    <row r="805" spans="8:19" x14ac:dyDescent="0.25">
      <c r="H805">
        <v>5</v>
      </c>
      <c r="I805">
        <v>686</v>
      </c>
      <c r="J805">
        <v>115</v>
      </c>
      <c r="K805" t="b">
        <v>1</v>
      </c>
      <c r="N805" s="25" t="s">
        <v>521</v>
      </c>
      <c r="O805" s="2">
        <f>INDEX(Маршруты,MATCH(N805,$B$3:$B$498,0),1)</f>
        <v>35</v>
      </c>
      <c r="P805" s="28">
        <v>19</v>
      </c>
      <c r="Q805" s="2">
        <f>INDEX(Остановки,MATCH(R805,ИД_Остановки!$B$3:$B$467,0),1)</f>
        <v>40</v>
      </c>
      <c r="R805" s="24" t="s">
        <v>36</v>
      </c>
      <c r="S805" s="20">
        <v>0.23</v>
      </c>
    </row>
    <row r="806" spans="8:19" x14ac:dyDescent="0.25">
      <c r="H806">
        <v>5</v>
      </c>
      <c r="I806">
        <v>693</v>
      </c>
      <c r="J806">
        <v>115</v>
      </c>
      <c r="K806" t="b">
        <v>1</v>
      </c>
      <c r="N806" s="30" t="s">
        <v>521</v>
      </c>
      <c r="O806" s="2">
        <f>INDEX(Маршруты,MATCH(N806,$B$3:$B$498,0),1)</f>
        <v>35</v>
      </c>
      <c r="P806" s="27">
        <v>20</v>
      </c>
      <c r="Q806" s="2">
        <f>INDEX(Остановки,MATCH(R806,ИД_Остановки!$B$3:$B$467,0),1)</f>
        <v>39</v>
      </c>
      <c r="R806" s="45" t="s">
        <v>257</v>
      </c>
      <c r="S806" s="20">
        <v>0.31</v>
      </c>
    </row>
    <row r="807" spans="8:19" x14ac:dyDescent="0.25">
      <c r="H807">
        <v>5</v>
      </c>
      <c r="I807">
        <v>700</v>
      </c>
      <c r="J807">
        <v>115</v>
      </c>
      <c r="K807" t="b">
        <v>1</v>
      </c>
      <c r="N807" s="30" t="s">
        <v>521</v>
      </c>
      <c r="O807" s="2">
        <f>INDEX(Маршруты,MATCH(N807,$B$3:$B$498,0),1)</f>
        <v>35</v>
      </c>
      <c r="P807" s="27">
        <v>21</v>
      </c>
      <c r="Q807" s="2">
        <f>INDEX(Остановки,MATCH(R807,ИД_Остановки!$B$3:$B$467,0),1)</f>
        <v>38</v>
      </c>
      <c r="R807" s="45" t="s">
        <v>35</v>
      </c>
      <c r="S807" s="20">
        <v>0.49</v>
      </c>
    </row>
    <row r="808" spans="8:19" x14ac:dyDescent="0.25">
      <c r="H808">
        <v>5</v>
      </c>
      <c r="I808">
        <v>707</v>
      </c>
      <c r="J808">
        <v>115</v>
      </c>
      <c r="K808" t="b">
        <v>1</v>
      </c>
      <c r="N808" s="30" t="s">
        <v>521</v>
      </c>
      <c r="O808" s="2">
        <f>INDEX(Маршруты,MATCH(N808,$B$3:$B$498,0),1)</f>
        <v>35</v>
      </c>
      <c r="P808" s="27">
        <v>22</v>
      </c>
      <c r="Q808" s="2">
        <f>INDEX(Остановки,MATCH(R808,ИД_Остановки!$B$3:$B$467,0),1)</f>
        <v>37</v>
      </c>
      <c r="R808" s="45" t="s">
        <v>34</v>
      </c>
      <c r="S808" s="20">
        <v>0.56999999999999995</v>
      </c>
    </row>
    <row r="809" spans="8:19" x14ac:dyDescent="0.25">
      <c r="H809">
        <v>5</v>
      </c>
      <c r="I809">
        <v>714</v>
      </c>
      <c r="J809">
        <v>115</v>
      </c>
      <c r="K809" t="b">
        <v>1</v>
      </c>
      <c r="N809" s="26" t="s">
        <v>521</v>
      </c>
      <c r="O809" s="2">
        <f>INDEX(Маршруты,MATCH(N809,$B$3:$B$498,0),1)</f>
        <v>35</v>
      </c>
      <c r="P809" s="27">
        <v>23</v>
      </c>
      <c r="Q809" s="2">
        <f>INDEX(Остановки,MATCH(R809,ИД_Остановки!$B$3:$B$467,0),1)</f>
        <v>36</v>
      </c>
      <c r="R809" s="45" t="s">
        <v>33</v>
      </c>
      <c r="S809" s="20">
        <v>0.57999999999999996</v>
      </c>
    </row>
    <row r="810" spans="8:19" x14ac:dyDescent="0.25">
      <c r="H810">
        <v>5</v>
      </c>
      <c r="I810">
        <v>721</v>
      </c>
      <c r="J810">
        <v>115</v>
      </c>
      <c r="K810" t="b">
        <v>1</v>
      </c>
      <c r="N810" s="30" t="s">
        <v>521</v>
      </c>
      <c r="O810" s="2">
        <f>INDEX(Маршруты,MATCH(N810,$B$3:$B$498,0),1)</f>
        <v>35</v>
      </c>
      <c r="P810" s="27">
        <v>24</v>
      </c>
      <c r="Q810" s="2">
        <f>INDEX(Остановки,MATCH(R810,ИД_Остановки!$B$3:$B$467,0),1)</f>
        <v>35</v>
      </c>
      <c r="R810" s="45" t="s">
        <v>31</v>
      </c>
      <c r="S810" s="20">
        <v>0.7</v>
      </c>
    </row>
    <row r="811" spans="8:19" x14ac:dyDescent="0.25">
      <c r="H811">
        <v>5</v>
      </c>
      <c r="I811">
        <v>728</v>
      </c>
      <c r="J811">
        <v>115</v>
      </c>
      <c r="K811" t="b">
        <v>1</v>
      </c>
      <c r="N811" s="30" t="s">
        <v>522</v>
      </c>
      <c r="O811" s="2">
        <f>INDEX(Маршруты,MATCH(N811,$B$3:$B$498,0),1)</f>
        <v>36</v>
      </c>
      <c r="P811" s="27">
        <v>1</v>
      </c>
      <c r="Q811" s="2">
        <f>INDEX(Остановки,MATCH(R811,ИД_Остановки!$B$3:$B$467,0),1)</f>
        <v>35</v>
      </c>
      <c r="R811" s="45" t="s">
        <v>31</v>
      </c>
      <c r="S811" s="20"/>
    </row>
    <row r="812" spans="8:19" x14ac:dyDescent="0.25">
      <c r="H812">
        <v>5</v>
      </c>
      <c r="I812">
        <v>735</v>
      </c>
      <c r="J812">
        <v>115</v>
      </c>
      <c r="K812" t="b">
        <v>1</v>
      </c>
      <c r="N812" s="30" t="s">
        <v>522</v>
      </c>
      <c r="O812" s="2">
        <f>INDEX(Маршруты,MATCH(N812,$B$3:$B$498,0),1)</f>
        <v>36</v>
      </c>
      <c r="P812" s="27">
        <v>2</v>
      </c>
      <c r="Q812" s="2">
        <f>INDEX(Остановки,MATCH(R812,ИД_Остановки!$B$3:$B$467,0),1)</f>
        <v>36</v>
      </c>
      <c r="R812" s="45" t="s">
        <v>33</v>
      </c>
      <c r="S812" s="20">
        <v>0.7</v>
      </c>
    </row>
    <row r="813" spans="8:19" x14ac:dyDescent="0.25">
      <c r="H813">
        <v>5</v>
      </c>
      <c r="I813">
        <v>742</v>
      </c>
      <c r="J813">
        <v>115</v>
      </c>
      <c r="K813" t="b">
        <v>1</v>
      </c>
      <c r="N813" s="30" t="s">
        <v>522</v>
      </c>
      <c r="O813" s="2">
        <f>INDEX(Маршруты,MATCH(N813,$B$3:$B$498,0),1)</f>
        <v>36</v>
      </c>
      <c r="P813" s="28">
        <v>3</v>
      </c>
      <c r="Q813" s="2">
        <f>INDEX(Остановки,MATCH(R813,ИД_Остановки!$B$3:$B$467,0),1)</f>
        <v>37</v>
      </c>
      <c r="R813" s="24" t="s">
        <v>34</v>
      </c>
      <c r="S813" s="21">
        <v>0.57999999999999996</v>
      </c>
    </row>
    <row r="814" spans="8:19" x14ac:dyDescent="0.25">
      <c r="H814">
        <v>5</v>
      </c>
      <c r="I814">
        <v>749</v>
      </c>
      <c r="J814">
        <v>115</v>
      </c>
      <c r="K814" t="b">
        <v>1</v>
      </c>
      <c r="N814" s="30" t="s">
        <v>522</v>
      </c>
      <c r="O814" s="2">
        <f>INDEX(Маршруты,MATCH(N814,$B$3:$B$498,0),1)</f>
        <v>36</v>
      </c>
      <c r="P814" s="27">
        <v>4</v>
      </c>
      <c r="Q814" s="2">
        <f>INDEX(Остановки,MATCH(R814,ИД_Остановки!$B$3:$B$467,0),1)</f>
        <v>38</v>
      </c>
      <c r="R814" s="45" t="s">
        <v>35</v>
      </c>
      <c r="S814" s="20">
        <v>0.56999999999999995</v>
      </c>
    </row>
    <row r="815" spans="8:19" x14ac:dyDescent="0.25">
      <c r="H815">
        <v>5</v>
      </c>
      <c r="I815">
        <v>756</v>
      </c>
      <c r="J815">
        <v>115</v>
      </c>
      <c r="K815" t="b">
        <v>1</v>
      </c>
      <c r="N815" s="30" t="s">
        <v>522</v>
      </c>
      <c r="O815" s="2">
        <f>INDEX(Маршруты,MATCH(N815,$B$3:$B$498,0),1)</f>
        <v>36</v>
      </c>
      <c r="P815" s="27">
        <v>5</v>
      </c>
      <c r="Q815" s="2">
        <f>INDEX(Остановки,MATCH(R815,ИД_Остановки!$B$3:$B$467,0),1)</f>
        <v>39</v>
      </c>
      <c r="R815" s="45" t="s">
        <v>257</v>
      </c>
      <c r="S815" s="20">
        <v>0.49</v>
      </c>
    </row>
    <row r="816" spans="8:19" x14ac:dyDescent="0.25">
      <c r="H816">
        <v>5</v>
      </c>
      <c r="I816">
        <v>763</v>
      </c>
      <c r="J816">
        <v>115</v>
      </c>
      <c r="K816" t="b">
        <v>1</v>
      </c>
      <c r="N816" s="25" t="s">
        <v>522</v>
      </c>
      <c r="O816" s="2">
        <f>INDEX(Маршруты,MATCH(N816,$B$3:$B$498,0),1)</f>
        <v>36</v>
      </c>
      <c r="P816" s="28">
        <v>6</v>
      </c>
      <c r="Q816" s="2">
        <f>INDEX(Остановки,MATCH(R816,ИД_Остановки!$B$3:$B$467,0),1)</f>
        <v>40</v>
      </c>
      <c r="R816" s="24" t="s">
        <v>36</v>
      </c>
      <c r="S816" s="20">
        <v>0.31</v>
      </c>
    </row>
    <row r="817" spans="8:19" x14ac:dyDescent="0.25">
      <c r="H817">
        <v>5</v>
      </c>
      <c r="I817">
        <v>770</v>
      </c>
      <c r="J817">
        <v>115</v>
      </c>
      <c r="K817" t="b">
        <v>1</v>
      </c>
      <c r="N817" s="30" t="s">
        <v>522</v>
      </c>
      <c r="O817" s="2">
        <f>INDEX(Маршруты,MATCH(N817,$B$3:$B$498,0),1)</f>
        <v>36</v>
      </c>
      <c r="P817" s="27">
        <v>7</v>
      </c>
      <c r="Q817" s="2">
        <f>INDEX(Остановки,MATCH(R817,ИД_Остановки!$B$3:$B$467,0),1)</f>
        <v>41</v>
      </c>
      <c r="R817" s="45" t="s">
        <v>37</v>
      </c>
      <c r="S817" s="20">
        <v>0.23</v>
      </c>
    </row>
    <row r="818" spans="8:19" x14ac:dyDescent="0.25">
      <c r="H818">
        <v>5</v>
      </c>
      <c r="I818">
        <v>777</v>
      </c>
      <c r="J818">
        <v>115</v>
      </c>
      <c r="K818" t="b">
        <v>1</v>
      </c>
      <c r="N818" s="30" t="s">
        <v>522</v>
      </c>
      <c r="O818" s="2">
        <f>INDEX(Маршруты,MATCH(N818,$B$3:$B$498,0),1)</f>
        <v>36</v>
      </c>
      <c r="P818" s="27">
        <v>8</v>
      </c>
      <c r="Q818" s="2">
        <f>INDEX(Остановки,MATCH(R818,ИД_Остановки!$B$3:$B$467,0),1)</f>
        <v>42</v>
      </c>
      <c r="R818" s="45" t="s">
        <v>38</v>
      </c>
      <c r="S818" s="20">
        <v>0.48</v>
      </c>
    </row>
    <row r="819" spans="8:19" x14ac:dyDescent="0.25">
      <c r="H819">
        <v>5</v>
      </c>
      <c r="I819">
        <v>784</v>
      </c>
      <c r="J819">
        <v>115</v>
      </c>
      <c r="K819" t="b">
        <v>1</v>
      </c>
      <c r="N819" s="25" t="s">
        <v>522</v>
      </c>
      <c r="O819" s="2">
        <f>INDEX(Маршруты,MATCH(N819,$B$3:$B$498,0),1)</f>
        <v>36</v>
      </c>
      <c r="P819" s="28">
        <v>9</v>
      </c>
      <c r="Q819" s="2">
        <f>INDEX(Остановки,MATCH(R819,ИД_Остановки!$B$3:$B$467,0),1)</f>
        <v>43</v>
      </c>
      <c r="R819" s="24" t="s">
        <v>39</v>
      </c>
      <c r="S819" s="20">
        <v>0.37</v>
      </c>
    </row>
    <row r="820" spans="8:19" x14ac:dyDescent="0.25">
      <c r="H820">
        <v>5</v>
      </c>
      <c r="I820">
        <v>791</v>
      </c>
      <c r="J820">
        <v>115</v>
      </c>
      <c r="K820" t="b">
        <v>1</v>
      </c>
      <c r="N820" s="25" t="s">
        <v>522</v>
      </c>
      <c r="O820" s="2">
        <f>INDEX(Маршруты,MATCH(N820,$B$3:$B$498,0),1)</f>
        <v>36</v>
      </c>
      <c r="P820" s="27">
        <v>10</v>
      </c>
      <c r="Q820" s="2">
        <f>INDEX(Остановки,MATCH(R820,ИД_Остановки!$B$3:$B$467,0),1)</f>
        <v>44</v>
      </c>
      <c r="R820" s="24" t="s">
        <v>258</v>
      </c>
      <c r="S820" s="20">
        <v>0.69</v>
      </c>
    </row>
    <row r="821" spans="8:19" x14ac:dyDescent="0.25">
      <c r="H821">
        <v>5</v>
      </c>
      <c r="I821">
        <v>798</v>
      </c>
      <c r="J821">
        <v>115</v>
      </c>
      <c r="K821" t="b">
        <v>1</v>
      </c>
      <c r="N821" s="25" t="s">
        <v>522</v>
      </c>
      <c r="O821" s="2">
        <f>INDEX(Маршруты,MATCH(N821,$B$3:$B$498,0),1)</f>
        <v>36</v>
      </c>
      <c r="P821" s="27">
        <v>11</v>
      </c>
      <c r="Q821" s="2">
        <f>INDEX(Остановки,MATCH(R821,ИД_Остановки!$B$3:$B$467,0),1)</f>
        <v>45</v>
      </c>
      <c r="R821" s="45" t="s">
        <v>40</v>
      </c>
      <c r="S821" s="20">
        <v>0.39</v>
      </c>
    </row>
    <row r="822" spans="8:19" x14ac:dyDescent="0.25">
      <c r="H822">
        <v>5</v>
      </c>
      <c r="I822">
        <v>805</v>
      </c>
      <c r="J822">
        <v>115</v>
      </c>
      <c r="K822" t="b">
        <v>1</v>
      </c>
      <c r="N822" s="25" t="s">
        <v>522</v>
      </c>
      <c r="O822" s="2">
        <f>INDEX(Маршруты,MATCH(N822,$B$3:$B$498,0),1)</f>
        <v>36</v>
      </c>
      <c r="P822" s="27">
        <v>12</v>
      </c>
      <c r="Q822" s="2">
        <f>INDEX(Остановки,MATCH(R822,ИД_Остановки!$B$3:$B$467,0),1)</f>
        <v>46</v>
      </c>
      <c r="R822" s="45" t="s">
        <v>41</v>
      </c>
      <c r="S822" s="20">
        <v>0.45</v>
      </c>
    </row>
    <row r="823" spans="8:19" x14ac:dyDescent="0.25">
      <c r="H823">
        <v>5</v>
      </c>
      <c r="I823">
        <v>812</v>
      </c>
      <c r="J823">
        <v>115</v>
      </c>
      <c r="K823" t="b">
        <v>1</v>
      </c>
      <c r="N823" s="30" t="s">
        <v>522</v>
      </c>
      <c r="O823" s="2">
        <f>INDEX(Маршруты,MATCH(N823,$B$3:$B$498,0),1)</f>
        <v>36</v>
      </c>
      <c r="P823" s="27">
        <v>13</v>
      </c>
      <c r="Q823" s="2">
        <f>INDEX(Остановки,MATCH(R823,ИД_Остановки!$B$3:$B$467,0),1)</f>
        <v>47</v>
      </c>
      <c r="R823" s="45" t="s">
        <v>259</v>
      </c>
      <c r="S823" s="20">
        <v>0.5</v>
      </c>
    </row>
    <row r="824" spans="8:19" x14ac:dyDescent="0.25">
      <c r="H824">
        <v>5</v>
      </c>
      <c r="I824">
        <v>819</v>
      </c>
      <c r="J824">
        <v>115</v>
      </c>
      <c r="K824" t="b">
        <v>1</v>
      </c>
      <c r="N824" s="30" t="s">
        <v>522</v>
      </c>
      <c r="O824" s="2">
        <f>INDEX(Маршруты,MATCH(N824,$B$3:$B$498,0),1)</f>
        <v>36</v>
      </c>
      <c r="P824" s="28">
        <v>14</v>
      </c>
      <c r="Q824" s="2">
        <f>INDEX(Остановки,MATCH(R824,ИД_Остановки!$B$3:$B$467,0),1)</f>
        <v>48</v>
      </c>
      <c r="R824" s="24" t="s">
        <v>42</v>
      </c>
      <c r="S824" s="20">
        <v>0.82</v>
      </c>
    </row>
    <row r="825" spans="8:19" x14ac:dyDescent="0.25">
      <c r="H825">
        <v>5</v>
      </c>
      <c r="I825">
        <v>826</v>
      </c>
      <c r="J825">
        <v>115</v>
      </c>
      <c r="K825" t="b">
        <v>1</v>
      </c>
      <c r="N825" s="25" t="s">
        <v>522</v>
      </c>
      <c r="O825" s="2">
        <f>INDEX(Маршруты,MATCH(N825,$B$3:$B$498,0),1)</f>
        <v>36</v>
      </c>
      <c r="P825" s="27">
        <v>15</v>
      </c>
      <c r="Q825" s="2">
        <f>INDEX(Остановки,MATCH(R825,ИД_Остановки!$B$3:$B$467,0),1)</f>
        <v>49</v>
      </c>
      <c r="R825" s="45" t="s">
        <v>43</v>
      </c>
      <c r="S825" s="20">
        <v>0.52</v>
      </c>
    </row>
    <row r="826" spans="8:19" x14ac:dyDescent="0.25">
      <c r="H826">
        <v>5</v>
      </c>
      <c r="I826">
        <v>833</v>
      </c>
      <c r="J826">
        <v>115</v>
      </c>
      <c r="K826" t="b">
        <v>1</v>
      </c>
      <c r="N826" s="30" t="s">
        <v>522</v>
      </c>
      <c r="O826" s="2">
        <f>INDEX(Маршруты,MATCH(N826,$B$3:$B$498,0),1)</f>
        <v>36</v>
      </c>
      <c r="P826" s="27">
        <v>16</v>
      </c>
      <c r="Q826" s="2">
        <f>INDEX(Остановки,MATCH(R826,ИД_Остановки!$B$3:$B$467,0),1)</f>
        <v>50</v>
      </c>
      <c r="R826" s="45" t="s">
        <v>260</v>
      </c>
      <c r="S826" s="20">
        <v>0.52</v>
      </c>
    </row>
    <row r="827" spans="8:19" x14ac:dyDescent="0.25">
      <c r="H827">
        <v>5</v>
      </c>
      <c r="I827">
        <v>840</v>
      </c>
      <c r="J827">
        <v>115</v>
      </c>
      <c r="K827" t="b">
        <v>1</v>
      </c>
      <c r="N827" s="25" t="s">
        <v>522</v>
      </c>
      <c r="O827" s="2">
        <f>INDEX(Маршруты,MATCH(N827,$B$3:$B$498,0),1)</f>
        <v>36</v>
      </c>
      <c r="P827" s="27">
        <v>17</v>
      </c>
      <c r="Q827" s="2">
        <f>INDEX(Остановки,MATCH(R827,ИД_Остановки!$B$3:$B$467,0),1)</f>
        <v>51</v>
      </c>
      <c r="R827" s="45" t="s">
        <v>261</v>
      </c>
      <c r="S827" s="20">
        <v>0.39</v>
      </c>
    </row>
    <row r="828" spans="8:19" x14ac:dyDescent="0.25">
      <c r="H828">
        <v>5</v>
      </c>
      <c r="I828">
        <v>847</v>
      </c>
      <c r="J828">
        <v>115</v>
      </c>
      <c r="K828" t="b">
        <v>1</v>
      </c>
      <c r="N828" s="30" t="s">
        <v>522</v>
      </c>
      <c r="O828" s="2">
        <f>INDEX(Маршруты,MATCH(N828,$B$3:$B$498,0),1)</f>
        <v>36</v>
      </c>
      <c r="P828" s="27">
        <v>18</v>
      </c>
      <c r="Q828" s="2">
        <f>INDEX(Остановки,MATCH(R828,ИД_Остановки!$B$3:$B$467,0),1)</f>
        <v>132</v>
      </c>
      <c r="R828" s="45" t="s">
        <v>307</v>
      </c>
      <c r="S828" s="20">
        <v>0.53</v>
      </c>
    </row>
    <row r="829" spans="8:19" x14ac:dyDescent="0.25">
      <c r="H829">
        <v>5</v>
      </c>
      <c r="I829">
        <v>854</v>
      </c>
      <c r="J829">
        <v>115</v>
      </c>
      <c r="K829" t="b">
        <v>1</v>
      </c>
      <c r="N829" s="24" t="s">
        <v>522</v>
      </c>
      <c r="O829" s="2">
        <f>INDEX(Маршруты,MATCH(N829,$B$3:$B$498,0),1)</f>
        <v>36</v>
      </c>
      <c r="P829" s="27">
        <v>19</v>
      </c>
      <c r="Q829" s="2">
        <f>INDEX(Остановки,MATCH(R829,ИД_Остановки!$B$3:$B$467,0),1)</f>
        <v>52</v>
      </c>
      <c r="R829" s="45" t="s">
        <v>262</v>
      </c>
      <c r="S829" s="20">
        <v>0.51</v>
      </c>
    </row>
    <row r="830" spans="8:19" x14ac:dyDescent="0.25">
      <c r="H830">
        <v>5</v>
      </c>
      <c r="I830">
        <v>861</v>
      </c>
      <c r="J830">
        <v>115</v>
      </c>
      <c r="K830" t="b">
        <v>1</v>
      </c>
      <c r="N830" s="25" t="s">
        <v>522</v>
      </c>
      <c r="O830" s="2">
        <f>INDEX(Маршруты,MATCH(N830,$B$3:$B$498,0),1)</f>
        <v>36</v>
      </c>
      <c r="P830" s="27">
        <v>20</v>
      </c>
      <c r="Q830" s="2">
        <f>INDEX(Остановки,MATCH(R830,ИД_Остановки!$B$3:$B$467,0),1)</f>
        <v>20</v>
      </c>
      <c r="R830" s="24" t="s">
        <v>20</v>
      </c>
      <c r="S830" s="20">
        <v>0.93</v>
      </c>
    </row>
    <row r="831" spans="8:19" x14ac:dyDescent="0.25">
      <c r="H831">
        <v>5</v>
      </c>
      <c r="I831">
        <v>868</v>
      </c>
      <c r="J831">
        <v>115</v>
      </c>
      <c r="K831" t="b">
        <v>1</v>
      </c>
      <c r="N831" s="25" t="s">
        <v>522</v>
      </c>
      <c r="O831" s="2">
        <f>INDEX(Маршруты,MATCH(N831,$B$3:$B$498,0),1)</f>
        <v>36</v>
      </c>
      <c r="P831" s="27">
        <v>21</v>
      </c>
      <c r="Q831" s="2">
        <f>INDEX(Остановки,MATCH(R831,ИД_Остановки!$B$3:$B$467,0),1)</f>
        <v>19</v>
      </c>
      <c r="R831" s="45" t="s">
        <v>19</v>
      </c>
      <c r="S831" s="20">
        <v>0.53</v>
      </c>
    </row>
    <row r="832" spans="8:19" x14ac:dyDescent="0.25">
      <c r="H832">
        <v>5</v>
      </c>
      <c r="I832">
        <v>875</v>
      </c>
      <c r="J832">
        <v>115</v>
      </c>
      <c r="K832" t="b">
        <v>1</v>
      </c>
      <c r="N832" s="25" t="s">
        <v>522</v>
      </c>
      <c r="O832" s="2">
        <f>INDEX(Маршруты,MATCH(N832,$B$3:$B$498,0),1)</f>
        <v>36</v>
      </c>
      <c r="P832" s="28">
        <v>22</v>
      </c>
      <c r="Q832" s="2">
        <f>INDEX(Остановки,MATCH(R832,ИД_Остановки!$B$3:$B$467,0),1)</f>
        <v>18</v>
      </c>
      <c r="R832" s="24" t="s">
        <v>18</v>
      </c>
      <c r="S832" s="20">
        <v>0.61</v>
      </c>
    </row>
    <row r="833" spans="8:19" x14ac:dyDescent="0.25">
      <c r="H833">
        <v>5</v>
      </c>
      <c r="I833">
        <v>882</v>
      </c>
      <c r="J833">
        <v>115</v>
      </c>
      <c r="K833" t="b">
        <v>1</v>
      </c>
      <c r="N833" s="30" t="s">
        <v>522</v>
      </c>
      <c r="O833" s="2">
        <f>INDEX(Маршруты,MATCH(N833,$B$3:$B$498,0),1)</f>
        <v>36</v>
      </c>
      <c r="P833" s="27">
        <v>23</v>
      </c>
      <c r="Q833" s="2">
        <f>INDEX(Остановки,MATCH(R833,ИД_Остановки!$B$3:$B$467,0),1)</f>
        <v>17</v>
      </c>
      <c r="R833" s="45" t="s">
        <v>251</v>
      </c>
      <c r="S833" s="20">
        <v>0.25</v>
      </c>
    </row>
    <row r="834" spans="8:19" x14ac:dyDescent="0.25">
      <c r="H834">
        <v>5</v>
      </c>
      <c r="I834">
        <v>889</v>
      </c>
      <c r="J834">
        <v>115</v>
      </c>
      <c r="K834" t="b">
        <v>1</v>
      </c>
      <c r="N834" s="25" t="s">
        <v>522</v>
      </c>
      <c r="O834" s="2">
        <f>INDEX(Маршруты,MATCH(N834,$B$3:$B$498,0),1)</f>
        <v>36</v>
      </c>
      <c r="P834" s="27">
        <v>24</v>
      </c>
      <c r="Q834" s="2">
        <f>INDEX(Остановки,MATCH(R834,ИД_Остановки!$B$3:$B$467,0),1)</f>
        <v>16</v>
      </c>
      <c r="R834" s="45" t="s">
        <v>16</v>
      </c>
      <c r="S834" s="20">
        <v>0.68</v>
      </c>
    </row>
    <row r="835" spans="8:19" x14ac:dyDescent="0.25">
      <c r="H835">
        <v>5</v>
      </c>
      <c r="I835">
        <v>896</v>
      </c>
      <c r="J835">
        <v>115</v>
      </c>
      <c r="K835" t="b">
        <v>1</v>
      </c>
      <c r="N835" s="30" t="s">
        <v>523</v>
      </c>
      <c r="O835" s="2">
        <f>INDEX(Маршруты,MATCH(N835,$B$3:$B$498,0),1)</f>
        <v>37</v>
      </c>
      <c r="P835" s="27">
        <v>1</v>
      </c>
      <c r="Q835" s="2">
        <f>INDEX(Остановки,MATCH(R835,ИД_Остановки!$B$3:$B$467,0),1)</f>
        <v>366</v>
      </c>
      <c r="R835" s="45" t="s">
        <v>201</v>
      </c>
      <c r="S835" s="20"/>
    </row>
    <row r="836" spans="8:19" x14ac:dyDescent="0.25">
      <c r="H836">
        <v>5</v>
      </c>
      <c r="I836">
        <v>903</v>
      </c>
      <c r="J836">
        <v>115</v>
      </c>
      <c r="K836" t="b">
        <v>1</v>
      </c>
      <c r="N836" s="30" t="s">
        <v>523</v>
      </c>
      <c r="O836" s="2">
        <f>INDEX(Маршруты,MATCH(N836,$B$3:$B$498,0),1)</f>
        <v>37</v>
      </c>
      <c r="P836" s="27">
        <v>2</v>
      </c>
      <c r="Q836" s="2">
        <f>INDEX(Остановки,MATCH(R836,ИД_Остановки!$B$3:$B$467,0),1)</f>
        <v>367</v>
      </c>
      <c r="R836" s="45" t="s">
        <v>202</v>
      </c>
      <c r="S836" s="20">
        <v>2.76</v>
      </c>
    </row>
    <row r="837" spans="8:19" x14ac:dyDescent="0.25">
      <c r="H837">
        <v>5</v>
      </c>
      <c r="I837">
        <v>910</v>
      </c>
      <c r="J837">
        <v>115</v>
      </c>
      <c r="K837" t="b">
        <v>1</v>
      </c>
      <c r="N837" s="30" t="s">
        <v>523</v>
      </c>
      <c r="O837" s="2">
        <f>INDEX(Маршруты,MATCH(N837,$B$3:$B$498,0),1)</f>
        <v>37</v>
      </c>
      <c r="P837" s="28">
        <v>3</v>
      </c>
      <c r="Q837" s="2">
        <f>INDEX(Остановки,MATCH(R837,ИД_Остановки!$B$3:$B$467,0),1)</f>
        <v>105</v>
      </c>
      <c r="R837" s="24" t="s">
        <v>290</v>
      </c>
      <c r="S837" s="20">
        <v>0.35</v>
      </c>
    </row>
    <row r="838" spans="8:19" x14ac:dyDescent="0.25">
      <c r="H838">
        <v>5</v>
      </c>
      <c r="I838">
        <v>917</v>
      </c>
      <c r="J838">
        <v>115</v>
      </c>
      <c r="K838" t="b">
        <v>1</v>
      </c>
      <c r="N838" s="25" t="s">
        <v>523</v>
      </c>
      <c r="O838" s="2">
        <f>INDEX(Маршруты,MATCH(N838,$B$3:$B$498,0),1)</f>
        <v>37</v>
      </c>
      <c r="P838" s="27">
        <v>4</v>
      </c>
      <c r="Q838" s="2">
        <f>INDEX(Остановки,MATCH(R838,ИД_Остановки!$B$3:$B$467,0),1)</f>
        <v>84</v>
      </c>
      <c r="R838" s="45" t="s">
        <v>281</v>
      </c>
      <c r="S838" s="20">
        <v>0.54</v>
      </c>
    </row>
    <row r="839" spans="8:19" x14ac:dyDescent="0.25">
      <c r="H839">
        <v>5</v>
      </c>
      <c r="I839">
        <v>924</v>
      </c>
      <c r="J839">
        <v>115</v>
      </c>
      <c r="K839" t="b">
        <v>1</v>
      </c>
      <c r="N839" s="30" t="s">
        <v>523</v>
      </c>
      <c r="O839" s="2">
        <f>INDEX(Маршруты,MATCH(N839,$B$3:$B$498,0),1)</f>
        <v>37</v>
      </c>
      <c r="P839" s="27">
        <v>5</v>
      </c>
      <c r="Q839" s="2">
        <f>INDEX(Остановки,MATCH(R839,ИД_Остановки!$B$3:$B$467,0),1)</f>
        <v>380</v>
      </c>
      <c r="R839" s="45" t="s">
        <v>438</v>
      </c>
      <c r="S839" s="20">
        <v>0.39</v>
      </c>
    </row>
    <row r="840" spans="8:19" x14ac:dyDescent="0.25">
      <c r="H840">
        <v>5</v>
      </c>
      <c r="I840">
        <v>931</v>
      </c>
      <c r="J840">
        <v>115</v>
      </c>
      <c r="K840" t="b">
        <v>1</v>
      </c>
      <c r="N840" s="25" t="s">
        <v>523</v>
      </c>
      <c r="O840" s="2">
        <f>INDEX(Маршруты,MATCH(N840,$B$3:$B$498,0),1)</f>
        <v>37</v>
      </c>
      <c r="P840" s="27">
        <v>6</v>
      </c>
      <c r="Q840" s="2">
        <f>INDEX(Остановки,MATCH(R840,ИД_Остановки!$B$3:$B$467,0),1)</f>
        <v>103</v>
      </c>
      <c r="R840" s="45" t="s">
        <v>288</v>
      </c>
      <c r="S840" s="20">
        <v>0.5</v>
      </c>
    </row>
    <row r="841" spans="8:19" x14ac:dyDescent="0.25">
      <c r="H841">
        <v>5</v>
      </c>
      <c r="I841">
        <v>938</v>
      </c>
      <c r="J841">
        <v>115</v>
      </c>
      <c r="K841" t="b">
        <v>1</v>
      </c>
      <c r="N841" s="30" t="s">
        <v>523</v>
      </c>
      <c r="O841" s="2">
        <f>INDEX(Маршруты,MATCH(N841,$B$3:$B$498,0),1)</f>
        <v>37</v>
      </c>
      <c r="P841" s="27">
        <v>7</v>
      </c>
      <c r="Q841" s="2">
        <f>INDEX(Остановки,MATCH(R841,ИД_Остановки!$B$3:$B$467,0),1)</f>
        <v>83</v>
      </c>
      <c r="R841" s="45" t="s">
        <v>280</v>
      </c>
      <c r="S841" s="20">
        <v>0.3</v>
      </c>
    </row>
    <row r="842" spans="8:19" x14ac:dyDescent="0.25">
      <c r="H842">
        <v>5</v>
      </c>
      <c r="I842">
        <v>945</v>
      </c>
      <c r="J842">
        <v>115</v>
      </c>
      <c r="K842" t="b">
        <v>1</v>
      </c>
      <c r="N842" s="30" t="s">
        <v>523</v>
      </c>
      <c r="O842" s="2">
        <f>INDEX(Маршруты,MATCH(N842,$B$3:$B$498,0),1)</f>
        <v>37</v>
      </c>
      <c r="P842" s="27">
        <v>8</v>
      </c>
      <c r="Q842" s="2">
        <f>INDEX(Остановки,MATCH(R842,ИД_Остановки!$B$3:$B$467,0),1)</f>
        <v>146</v>
      </c>
      <c r="R842" s="45" t="s">
        <v>315</v>
      </c>
      <c r="S842" s="20">
        <v>0.44</v>
      </c>
    </row>
    <row r="843" spans="8:19" x14ac:dyDescent="0.25">
      <c r="H843">
        <v>5</v>
      </c>
      <c r="I843">
        <v>952</v>
      </c>
      <c r="J843">
        <v>115</v>
      </c>
      <c r="K843" t="b">
        <v>1</v>
      </c>
      <c r="N843" s="30" t="s">
        <v>523</v>
      </c>
      <c r="O843" s="2">
        <f>INDEX(Маршруты,MATCH(N843,$B$3:$B$498,0),1)</f>
        <v>37</v>
      </c>
      <c r="P843" s="27">
        <v>9</v>
      </c>
      <c r="Q843" s="2">
        <f>INDEX(Остановки,MATCH(R843,ИД_Остановки!$B$3:$B$467,0),1)</f>
        <v>15</v>
      </c>
      <c r="R843" s="45" t="s">
        <v>15</v>
      </c>
      <c r="S843" s="20">
        <v>0.76</v>
      </c>
    </row>
    <row r="844" spans="8:19" x14ac:dyDescent="0.25">
      <c r="H844">
        <v>6</v>
      </c>
      <c r="I844">
        <v>0</v>
      </c>
      <c r="J844">
        <v>115</v>
      </c>
      <c r="K844" t="b">
        <v>1</v>
      </c>
      <c r="N844" s="30" t="s">
        <v>523</v>
      </c>
      <c r="O844" s="2">
        <f>INDEX(Маршруты,MATCH(N844,$B$3:$B$498,0),1)</f>
        <v>37</v>
      </c>
      <c r="P844" s="28">
        <v>10</v>
      </c>
      <c r="Q844" s="2">
        <f>INDEX(Остановки,MATCH(R844,ИД_Остановки!$B$3:$B$467,0),1)</f>
        <v>21</v>
      </c>
      <c r="R844" s="24" t="s">
        <v>21</v>
      </c>
      <c r="S844" s="21">
        <v>1.3</v>
      </c>
    </row>
    <row r="845" spans="8:19" x14ac:dyDescent="0.25">
      <c r="H845">
        <v>6</v>
      </c>
      <c r="I845">
        <v>7</v>
      </c>
      <c r="J845">
        <v>115</v>
      </c>
      <c r="K845" t="b">
        <v>1</v>
      </c>
      <c r="N845" s="25" t="s">
        <v>523</v>
      </c>
      <c r="O845" s="2">
        <f>INDEX(Маршруты,MATCH(N845,$B$3:$B$498,0),1)</f>
        <v>37</v>
      </c>
      <c r="P845" s="27">
        <v>11</v>
      </c>
      <c r="Q845" s="2">
        <f>INDEX(Остановки,MATCH(R845,ИД_Остановки!$B$3:$B$467,0),1)</f>
        <v>20</v>
      </c>
      <c r="R845" s="45" t="s">
        <v>20</v>
      </c>
      <c r="S845" s="20">
        <v>0.55000000000000004</v>
      </c>
    </row>
    <row r="846" spans="8:19" x14ac:dyDescent="0.25">
      <c r="H846">
        <v>6</v>
      </c>
      <c r="I846">
        <v>14</v>
      </c>
      <c r="J846">
        <v>115</v>
      </c>
      <c r="K846" t="b">
        <v>1</v>
      </c>
      <c r="N846" s="38" t="s">
        <v>523</v>
      </c>
      <c r="O846" s="2">
        <f>INDEX(Маршруты,MATCH(N846,$B$3:$B$498,0),1)</f>
        <v>37</v>
      </c>
      <c r="P846" s="27">
        <v>12</v>
      </c>
      <c r="Q846" s="2">
        <f>INDEX(Остановки,MATCH(R846,ИД_Остановки!$B$3:$B$467,0),1)</f>
        <v>19</v>
      </c>
      <c r="R846" s="46" t="s">
        <v>19</v>
      </c>
      <c r="S846" s="37">
        <v>0.53</v>
      </c>
    </row>
    <row r="847" spans="8:19" x14ac:dyDescent="0.25">
      <c r="H847">
        <v>6</v>
      </c>
      <c r="I847">
        <v>21</v>
      </c>
      <c r="J847">
        <v>115</v>
      </c>
      <c r="K847" t="b">
        <v>1</v>
      </c>
      <c r="N847" s="25" t="s">
        <v>523</v>
      </c>
      <c r="O847" s="2">
        <f>INDEX(Маршруты,MATCH(N847,$B$3:$B$498,0),1)</f>
        <v>37</v>
      </c>
      <c r="P847" s="27">
        <v>13</v>
      </c>
      <c r="Q847" s="2">
        <f>INDEX(Остановки,MATCH(R847,ИД_Остановки!$B$3:$B$467,0),1)</f>
        <v>18</v>
      </c>
      <c r="R847" s="45" t="s">
        <v>18</v>
      </c>
      <c r="S847" s="20">
        <v>0.61</v>
      </c>
    </row>
    <row r="848" spans="8:19" x14ac:dyDescent="0.25">
      <c r="H848">
        <v>6</v>
      </c>
      <c r="I848">
        <v>28</v>
      </c>
      <c r="J848">
        <v>115</v>
      </c>
      <c r="K848" t="b">
        <v>1</v>
      </c>
      <c r="N848" s="25" t="s">
        <v>523</v>
      </c>
      <c r="O848" s="2">
        <f>INDEX(Маршруты,MATCH(N848,$B$3:$B$498,0),1)</f>
        <v>37</v>
      </c>
      <c r="P848" s="27">
        <v>14</v>
      </c>
      <c r="Q848" s="2">
        <f>INDEX(Остановки,MATCH(R848,ИД_Остановки!$B$3:$B$467,0),1)</f>
        <v>17</v>
      </c>
      <c r="R848" s="45" t="s">
        <v>251</v>
      </c>
      <c r="S848" s="20">
        <v>0.25</v>
      </c>
    </row>
    <row r="849" spans="8:19" x14ac:dyDescent="0.25">
      <c r="H849">
        <v>6</v>
      </c>
      <c r="I849">
        <v>35</v>
      </c>
      <c r="J849">
        <v>115</v>
      </c>
      <c r="K849" t="b">
        <v>1</v>
      </c>
      <c r="N849" s="30" t="s">
        <v>523</v>
      </c>
      <c r="O849" s="2">
        <f>INDEX(Маршруты,MATCH(N849,$B$3:$B$498,0),1)</f>
        <v>37</v>
      </c>
      <c r="P849" s="27">
        <v>15</v>
      </c>
      <c r="Q849" s="2">
        <f>INDEX(Остановки,MATCH(R849,ИД_Остановки!$B$3:$B$467,0),1)</f>
        <v>16</v>
      </c>
      <c r="R849" s="45" t="s">
        <v>16</v>
      </c>
      <c r="S849" s="20">
        <v>0.68</v>
      </c>
    </row>
    <row r="850" spans="8:19" x14ac:dyDescent="0.25">
      <c r="H850">
        <v>6</v>
      </c>
      <c r="I850">
        <v>42</v>
      </c>
      <c r="J850">
        <v>115</v>
      </c>
      <c r="K850" t="b">
        <v>1</v>
      </c>
      <c r="N850" s="25" t="s">
        <v>523</v>
      </c>
      <c r="O850" s="2">
        <f>INDEX(Маршруты,MATCH(N850,$B$3:$B$498,0),1)</f>
        <v>37</v>
      </c>
      <c r="P850" s="27">
        <v>16</v>
      </c>
      <c r="Q850" s="2">
        <f>INDEX(Остановки,MATCH(R850,ИД_Остановки!$B$3:$B$467,0),1)</f>
        <v>370</v>
      </c>
      <c r="R850" s="45" t="s">
        <v>428</v>
      </c>
      <c r="S850" s="20">
        <v>0.44</v>
      </c>
    </row>
    <row r="851" spans="8:19" x14ac:dyDescent="0.25">
      <c r="H851">
        <v>6</v>
      </c>
      <c r="I851">
        <v>49</v>
      </c>
      <c r="J851">
        <v>115</v>
      </c>
      <c r="K851" t="b">
        <v>1</v>
      </c>
      <c r="N851" s="25" t="s">
        <v>523</v>
      </c>
      <c r="O851" s="2">
        <f>INDEX(Маршруты,MATCH(N851,$B$3:$B$498,0),1)</f>
        <v>37</v>
      </c>
      <c r="P851" s="27">
        <v>17</v>
      </c>
      <c r="Q851" s="2">
        <f>INDEX(Остановки,MATCH(R851,ИД_Остановки!$B$3:$B$467,0),1)</f>
        <v>430</v>
      </c>
      <c r="R851" s="45" t="s">
        <v>628</v>
      </c>
      <c r="S851" s="20">
        <v>0.88</v>
      </c>
    </row>
    <row r="852" spans="8:19" x14ac:dyDescent="0.25">
      <c r="H852">
        <v>6</v>
      </c>
      <c r="I852">
        <v>56</v>
      </c>
      <c r="J852">
        <v>115</v>
      </c>
      <c r="K852" t="b">
        <v>1</v>
      </c>
      <c r="N852" s="30" t="s">
        <v>523</v>
      </c>
      <c r="O852" s="2">
        <f>INDEX(Маршруты,MATCH(N852,$B$3:$B$498,0),1)</f>
        <v>37</v>
      </c>
      <c r="P852" s="27">
        <v>18</v>
      </c>
      <c r="Q852" s="2">
        <f>INDEX(Остановки,MATCH(R852,ИД_Остановки!$B$3:$B$467,0),1)</f>
        <v>368</v>
      </c>
      <c r="R852" s="45" t="s">
        <v>426</v>
      </c>
      <c r="S852" s="20">
        <v>0.56999999999999995</v>
      </c>
    </row>
    <row r="853" spans="8:19" x14ac:dyDescent="0.25">
      <c r="H853">
        <v>6</v>
      </c>
      <c r="I853">
        <v>63</v>
      </c>
      <c r="J853">
        <v>115</v>
      </c>
      <c r="K853" t="b">
        <v>1</v>
      </c>
      <c r="N853" s="25" t="s">
        <v>523</v>
      </c>
      <c r="O853" s="2">
        <f>INDEX(Маршруты,MATCH(N853,$B$3:$B$498,0),1)</f>
        <v>37</v>
      </c>
      <c r="P853" s="27">
        <v>19</v>
      </c>
      <c r="Q853" s="2">
        <f>INDEX(Остановки,MATCH(R853,ИД_Остановки!$B$3:$B$467,0),1)</f>
        <v>369</v>
      </c>
      <c r="R853" s="45" t="s">
        <v>427</v>
      </c>
      <c r="S853" s="20">
        <v>0.52</v>
      </c>
    </row>
    <row r="854" spans="8:19" x14ac:dyDescent="0.25">
      <c r="H854">
        <v>6</v>
      </c>
      <c r="I854">
        <v>70</v>
      </c>
      <c r="J854">
        <v>115</v>
      </c>
      <c r="K854" t="b">
        <v>1</v>
      </c>
      <c r="N854" s="30" t="s">
        <v>523</v>
      </c>
      <c r="O854" s="2">
        <f>INDEX(Маршруты,MATCH(N854,$B$3:$B$498,0),1)</f>
        <v>37</v>
      </c>
      <c r="P854" s="27">
        <v>20</v>
      </c>
      <c r="Q854" s="2">
        <f>INDEX(Остановки,MATCH(R854,ИД_Остановки!$B$3:$B$467,0),1)</f>
        <v>47</v>
      </c>
      <c r="R854" s="45" t="s">
        <v>259</v>
      </c>
      <c r="S854" s="20">
        <v>0.28000000000000003</v>
      </c>
    </row>
    <row r="855" spans="8:19" x14ac:dyDescent="0.25">
      <c r="H855">
        <v>6</v>
      </c>
      <c r="I855">
        <v>77</v>
      </c>
      <c r="J855">
        <v>115</v>
      </c>
      <c r="K855" t="b">
        <v>1</v>
      </c>
      <c r="N855" s="25" t="s">
        <v>523</v>
      </c>
      <c r="O855" s="2">
        <f>INDEX(Маршруты,MATCH(N855,$B$3:$B$498,0),1)</f>
        <v>37</v>
      </c>
      <c r="P855" s="27">
        <v>21</v>
      </c>
      <c r="Q855" s="2">
        <f>INDEX(Остановки,MATCH(R855,ИД_Остановки!$B$3:$B$467,0),1)</f>
        <v>145</v>
      </c>
      <c r="R855" s="45" t="s">
        <v>87</v>
      </c>
      <c r="S855" s="20">
        <v>0.77</v>
      </c>
    </row>
    <row r="856" spans="8:19" x14ac:dyDescent="0.25">
      <c r="H856">
        <v>6</v>
      </c>
      <c r="I856">
        <v>84</v>
      </c>
      <c r="J856">
        <v>115</v>
      </c>
      <c r="K856" t="b">
        <v>1</v>
      </c>
      <c r="N856" s="25" t="s">
        <v>523</v>
      </c>
      <c r="O856" s="2">
        <f>INDEX(Маршруты,MATCH(N856,$B$3:$B$498,0),1)</f>
        <v>37</v>
      </c>
      <c r="P856" s="27">
        <v>22</v>
      </c>
      <c r="Q856" s="2">
        <f>INDEX(Остановки,MATCH(R856,ИД_Остановки!$B$3:$B$467,0),1)</f>
        <v>48</v>
      </c>
      <c r="R856" s="45" t="s">
        <v>42</v>
      </c>
      <c r="S856" s="20">
        <v>0.38</v>
      </c>
    </row>
    <row r="857" spans="8:19" x14ac:dyDescent="0.25">
      <c r="H857">
        <v>6</v>
      </c>
      <c r="I857">
        <v>91</v>
      </c>
      <c r="J857">
        <v>115</v>
      </c>
      <c r="K857" t="b">
        <v>1</v>
      </c>
      <c r="N857" s="25" t="s">
        <v>523</v>
      </c>
      <c r="O857" s="2">
        <f>INDEX(Маршруты,MATCH(N857,$B$3:$B$498,0),1)</f>
        <v>37</v>
      </c>
      <c r="P857" s="27">
        <v>23</v>
      </c>
      <c r="Q857" s="2">
        <f>INDEX(Остановки,MATCH(R857,ИД_Остановки!$B$3:$B$467,0),1)</f>
        <v>136</v>
      </c>
      <c r="R857" s="45" t="s">
        <v>84</v>
      </c>
      <c r="S857" s="20">
        <v>0.5</v>
      </c>
    </row>
    <row r="858" spans="8:19" x14ac:dyDescent="0.25">
      <c r="H858">
        <v>6</v>
      </c>
      <c r="I858">
        <v>98</v>
      </c>
      <c r="J858">
        <v>115</v>
      </c>
      <c r="K858" t="b">
        <v>1</v>
      </c>
      <c r="N858" s="30" t="s">
        <v>523</v>
      </c>
      <c r="O858" s="2">
        <f>INDEX(Маршруты,MATCH(N858,$B$3:$B$498,0),1)</f>
        <v>37</v>
      </c>
      <c r="P858" s="27">
        <v>24</v>
      </c>
      <c r="Q858" s="2">
        <f>INDEX(Остановки,MATCH(R858,ИД_Остановки!$B$3:$B$467,0),1)</f>
        <v>224</v>
      </c>
      <c r="R858" s="45" t="s">
        <v>355</v>
      </c>
      <c r="S858" s="20">
        <v>1.65</v>
      </c>
    </row>
    <row r="859" spans="8:19" x14ac:dyDescent="0.25">
      <c r="H859">
        <v>6</v>
      </c>
      <c r="I859">
        <v>105</v>
      </c>
      <c r="J859">
        <v>115</v>
      </c>
      <c r="K859" t="b">
        <v>1</v>
      </c>
      <c r="N859" s="30" t="s">
        <v>524</v>
      </c>
      <c r="O859" s="2">
        <f>INDEX(Маршруты,MATCH(N859,$B$3:$B$498,0),1)</f>
        <v>38</v>
      </c>
      <c r="P859" s="27">
        <v>1</v>
      </c>
      <c r="Q859" s="2">
        <f>INDEX(Остановки,MATCH(R859,ИД_Остановки!$B$3:$B$467,0),1)</f>
        <v>224</v>
      </c>
      <c r="R859" s="45" t="s">
        <v>355</v>
      </c>
      <c r="S859" s="20"/>
    </row>
    <row r="860" spans="8:19" x14ac:dyDescent="0.25">
      <c r="H860">
        <v>6</v>
      </c>
      <c r="I860">
        <v>112</v>
      </c>
      <c r="J860">
        <v>115</v>
      </c>
      <c r="K860" t="b">
        <v>1</v>
      </c>
      <c r="N860" s="30" t="s">
        <v>524</v>
      </c>
      <c r="O860" s="2">
        <f>INDEX(Маршруты,MATCH(N860,$B$3:$B$498,0),1)</f>
        <v>38</v>
      </c>
      <c r="P860" s="27">
        <v>2</v>
      </c>
      <c r="Q860" s="2">
        <f>INDEX(Остановки,MATCH(R860,ИД_Остановки!$B$3:$B$467,0),1)</f>
        <v>136</v>
      </c>
      <c r="R860" s="45" t="s">
        <v>84</v>
      </c>
      <c r="S860" s="20">
        <v>1.65</v>
      </c>
    </row>
    <row r="861" spans="8:19" x14ac:dyDescent="0.25">
      <c r="H861">
        <v>6</v>
      </c>
      <c r="I861">
        <v>119</v>
      </c>
      <c r="J861">
        <v>115</v>
      </c>
      <c r="K861" t="b">
        <v>1</v>
      </c>
      <c r="N861" s="30" t="s">
        <v>524</v>
      </c>
      <c r="O861" s="2">
        <f>INDEX(Маршруты,MATCH(N861,$B$3:$B$498,0),1)</f>
        <v>38</v>
      </c>
      <c r="P861" s="28">
        <v>3</v>
      </c>
      <c r="Q861" s="2">
        <f>INDEX(Остановки,MATCH(R861,ИД_Остановки!$B$3:$B$467,0),1)</f>
        <v>48</v>
      </c>
      <c r="R861" s="24" t="s">
        <v>42</v>
      </c>
      <c r="S861" s="20">
        <v>0.5</v>
      </c>
    </row>
    <row r="862" spans="8:19" x14ac:dyDescent="0.25">
      <c r="H862">
        <v>6</v>
      </c>
      <c r="I862">
        <v>126</v>
      </c>
      <c r="J862">
        <v>115</v>
      </c>
      <c r="K862" t="b">
        <v>1</v>
      </c>
      <c r="N862" s="25" t="s">
        <v>524</v>
      </c>
      <c r="O862" s="2">
        <f>INDEX(Маршруты,MATCH(N862,$B$3:$B$498,0),1)</f>
        <v>38</v>
      </c>
      <c r="P862" s="27">
        <v>4</v>
      </c>
      <c r="Q862" s="2">
        <f>INDEX(Остановки,MATCH(R862,ИД_Остановки!$B$3:$B$467,0),1)</f>
        <v>145</v>
      </c>
      <c r="R862" s="45" t="s">
        <v>87</v>
      </c>
      <c r="S862" s="20">
        <v>0.38</v>
      </c>
    </row>
    <row r="863" spans="8:19" x14ac:dyDescent="0.25">
      <c r="H863">
        <v>6</v>
      </c>
      <c r="I863">
        <v>133</v>
      </c>
      <c r="J863">
        <v>115</v>
      </c>
      <c r="K863" t="b">
        <v>1</v>
      </c>
      <c r="N863" s="25" t="s">
        <v>524</v>
      </c>
      <c r="O863" s="2">
        <f>INDEX(Маршруты,MATCH(N863,$B$3:$B$498,0),1)</f>
        <v>38</v>
      </c>
      <c r="P863" s="27">
        <v>5</v>
      </c>
      <c r="Q863" s="2">
        <f>INDEX(Остановки,MATCH(R863,ИД_Остановки!$B$3:$B$467,0),1)</f>
        <v>47</v>
      </c>
      <c r="R863" s="45" t="s">
        <v>259</v>
      </c>
      <c r="S863" s="20">
        <v>0.77</v>
      </c>
    </row>
    <row r="864" spans="8:19" x14ac:dyDescent="0.25">
      <c r="H864">
        <v>6</v>
      </c>
      <c r="I864">
        <v>140</v>
      </c>
      <c r="J864">
        <v>115</v>
      </c>
      <c r="K864" t="b">
        <v>1</v>
      </c>
      <c r="N864" s="25" t="s">
        <v>524</v>
      </c>
      <c r="O864" s="2">
        <f>INDEX(Маршруты,MATCH(N864,$B$3:$B$498,0),1)</f>
        <v>38</v>
      </c>
      <c r="P864" s="27">
        <v>6</v>
      </c>
      <c r="Q864" s="2">
        <f>INDEX(Остановки,MATCH(R864,ИД_Остановки!$B$3:$B$467,0),1)</f>
        <v>369</v>
      </c>
      <c r="R864" s="45" t="s">
        <v>427</v>
      </c>
      <c r="S864" s="20">
        <v>0.28000000000000003</v>
      </c>
    </row>
    <row r="865" spans="8:19" x14ac:dyDescent="0.25">
      <c r="H865">
        <v>6</v>
      </c>
      <c r="I865">
        <v>147</v>
      </c>
      <c r="J865">
        <v>115</v>
      </c>
      <c r="K865" t="b">
        <v>1</v>
      </c>
      <c r="N865" s="30" t="s">
        <v>524</v>
      </c>
      <c r="O865" s="2">
        <f>INDEX(Маршруты,MATCH(N865,$B$3:$B$498,0),1)</f>
        <v>38</v>
      </c>
      <c r="P865" s="27">
        <v>7</v>
      </c>
      <c r="Q865" s="2">
        <f>INDEX(Остановки,MATCH(R865,ИД_Остановки!$B$3:$B$467,0),1)</f>
        <v>368</v>
      </c>
      <c r="R865" s="45" t="s">
        <v>426</v>
      </c>
      <c r="S865" s="20">
        <v>0.52</v>
      </c>
    </row>
    <row r="866" spans="8:19" x14ac:dyDescent="0.25">
      <c r="H866">
        <v>6</v>
      </c>
      <c r="I866">
        <v>154</v>
      </c>
      <c r="J866">
        <v>115</v>
      </c>
      <c r="K866" t="b">
        <v>1</v>
      </c>
      <c r="N866" s="30" t="s">
        <v>524</v>
      </c>
      <c r="O866" s="2">
        <f>INDEX(Маршруты,MATCH(N866,$B$3:$B$498,0),1)</f>
        <v>38</v>
      </c>
      <c r="P866" s="27">
        <v>8</v>
      </c>
      <c r="Q866" s="2">
        <f>INDEX(Остановки,MATCH(R866,ИД_Остановки!$B$3:$B$467,0),1)</f>
        <v>430</v>
      </c>
      <c r="R866" s="45" t="s">
        <v>628</v>
      </c>
      <c r="S866" s="20">
        <v>0.56999999999999995</v>
      </c>
    </row>
    <row r="867" spans="8:19" x14ac:dyDescent="0.25">
      <c r="H867">
        <v>6</v>
      </c>
      <c r="I867">
        <v>161</v>
      </c>
      <c r="J867">
        <v>115</v>
      </c>
      <c r="K867" t="b">
        <v>1</v>
      </c>
      <c r="N867" s="25" t="s">
        <v>524</v>
      </c>
      <c r="O867" s="2">
        <f>INDEX(Маршруты,MATCH(N867,$B$3:$B$498,0),1)</f>
        <v>38</v>
      </c>
      <c r="P867" s="27">
        <v>9</v>
      </c>
      <c r="Q867" s="2">
        <f>INDEX(Остановки,MATCH(R867,ИД_Остановки!$B$3:$B$467,0),1)</f>
        <v>370</v>
      </c>
      <c r="R867" s="24" t="s">
        <v>428</v>
      </c>
      <c r="S867" s="20">
        <v>0.88</v>
      </c>
    </row>
    <row r="868" spans="8:19" x14ac:dyDescent="0.25">
      <c r="H868">
        <v>6</v>
      </c>
      <c r="I868">
        <v>168</v>
      </c>
      <c r="J868">
        <v>115</v>
      </c>
      <c r="K868" t="b">
        <v>1</v>
      </c>
      <c r="N868" s="25" t="s">
        <v>524</v>
      </c>
      <c r="O868" s="2">
        <f>INDEX(Маршруты,MATCH(N868,$B$3:$B$498,0),1)</f>
        <v>38</v>
      </c>
      <c r="P868" s="28">
        <v>10</v>
      </c>
      <c r="Q868" s="2">
        <f>INDEX(Остановки,MATCH(R868,ИД_Остановки!$B$3:$B$467,0),1)</f>
        <v>16</v>
      </c>
      <c r="R868" s="24" t="s">
        <v>16</v>
      </c>
      <c r="S868" s="20">
        <v>0.44</v>
      </c>
    </row>
    <row r="869" spans="8:19" x14ac:dyDescent="0.25">
      <c r="H869">
        <v>6</v>
      </c>
      <c r="I869">
        <v>175</v>
      </c>
      <c r="J869">
        <v>115</v>
      </c>
      <c r="K869" t="b">
        <v>1</v>
      </c>
      <c r="N869" s="25" t="s">
        <v>524</v>
      </c>
      <c r="O869" s="2">
        <f>INDEX(Маршруты,MATCH(N869,$B$3:$B$498,0),1)</f>
        <v>38</v>
      </c>
      <c r="P869" s="28">
        <v>11</v>
      </c>
      <c r="Q869" s="2">
        <f>INDEX(Остановки,MATCH(R869,ИД_Остановки!$B$3:$B$467,0),1)</f>
        <v>17</v>
      </c>
      <c r="R869" s="24" t="s">
        <v>251</v>
      </c>
      <c r="S869" s="20">
        <v>0.68</v>
      </c>
    </row>
    <row r="870" spans="8:19" x14ac:dyDescent="0.25">
      <c r="H870">
        <v>6</v>
      </c>
      <c r="I870">
        <v>182</v>
      </c>
      <c r="J870">
        <v>115</v>
      </c>
      <c r="K870" t="b">
        <v>1</v>
      </c>
      <c r="N870" s="25" t="s">
        <v>524</v>
      </c>
      <c r="O870" s="2">
        <f>INDEX(Маршруты,MATCH(N870,$B$3:$B$498,0),1)</f>
        <v>38</v>
      </c>
      <c r="P870" s="27">
        <v>12</v>
      </c>
      <c r="Q870" s="2">
        <f>INDEX(Остановки,MATCH(R870,ИД_Остановки!$B$3:$B$467,0),1)</f>
        <v>18</v>
      </c>
      <c r="R870" s="24" t="s">
        <v>18</v>
      </c>
      <c r="S870" s="20">
        <v>0.25</v>
      </c>
    </row>
    <row r="871" spans="8:19" x14ac:dyDescent="0.25">
      <c r="H871">
        <v>6</v>
      </c>
      <c r="I871">
        <v>189</v>
      </c>
      <c r="J871">
        <v>115</v>
      </c>
      <c r="K871" t="b">
        <v>1</v>
      </c>
      <c r="N871" s="30" t="s">
        <v>524</v>
      </c>
      <c r="O871" s="2">
        <f>INDEX(Маршруты,MATCH(N871,$B$3:$B$498,0),1)</f>
        <v>38</v>
      </c>
      <c r="P871" s="27">
        <v>13</v>
      </c>
      <c r="Q871" s="2">
        <f>INDEX(Остановки,MATCH(R871,ИД_Остановки!$B$3:$B$467,0),1)</f>
        <v>19</v>
      </c>
      <c r="R871" s="45" t="s">
        <v>19</v>
      </c>
      <c r="S871" s="20">
        <v>0.61</v>
      </c>
    </row>
    <row r="872" spans="8:19" x14ac:dyDescent="0.25">
      <c r="H872">
        <v>6</v>
      </c>
      <c r="I872">
        <v>196</v>
      </c>
      <c r="J872">
        <v>115</v>
      </c>
      <c r="K872" t="b">
        <v>1</v>
      </c>
      <c r="N872" s="26" t="s">
        <v>524</v>
      </c>
      <c r="O872" s="2">
        <f>INDEX(Маршруты,MATCH(N872,$B$3:$B$498,0),1)</f>
        <v>38</v>
      </c>
      <c r="P872" s="27">
        <v>14</v>
      </c>
      <c r="Q872" s="2">
        <f>INDEX(Остановки,MATCH(R872,ИД_Остановки!$B$3:$B$467,0),1)</f>
        <v>20</v>
      </c>
      <c r="R872" s="45" t="s">
        <v>20</v>
      </c>
      <c r="S872" s="20">
        <v>0.53</v>
      </c>
    </row>
    <row r="873" spans="8:19" x14ac:dyDescent="0.25">
      <c r="H873">
        <v>6</v>
      </c>
      <c r="I873">
        <v>203</v>
      </c>
      <c r="J873">
        <v>115</v>
      </c>
      <c r="K873" t="b">
        <v>1</v>
      </c>
      <c r="N873" s="25" t="s">
        <v>524</v>
      </c>
      <c r="O873" s="2">
        <f>INDEX(Маршруты,MATCH(N873,$B$3:$B$498,0),1)</f>
        <v>38</v>
      </c>
      <c r="P873" s="27">
        <v>15</v>
      </c>
      <c r="Q873" s="2">
        <f>INDEX(Остановки,MATCH(R873,ИД_Остановки!$B$3:$B$467,0),1)</f>
        <v>21</v>
      </c>
      <c r="R873" s="45" t="s">
        <v>21</v>
      </c>
      <c r="S873" s="20">
        <v>0.55000000000000004</v>
      </c>
    </row>
    <row r="874" spans="8:19" x14ac:dyDescent="0.25">
      <c r="H874">
        <v>6</v>
      </c>
      <c r="I874">
        <v>210</v>
      </c>
      <c r="J874">
        <v>115</v>
      </c>
      <c r="K874" t="b">
        <v>1</v>
      </c>
      <c r="N874" s="32" t="s">
        <v>524</v>
      </c>
      <c r="O874" s="2">
        <f>INDEX(Маршруты,MATCH(N874,$B$3:$B$498,0),1)</f>
        <v>38</v>
      </c>
      <c r="P874" s="27">
        <v>16</v>
      </c>
      <c r="Q874" s="2">
        <f>INDEX(Остановки,MATCH(R874,ИД_Остановки!$B$3:$B$467,0),1)</f>
        <v>15</v>
      </c>
      <c r="R874" s="45" t="s">
        <v>15</v>
      </c>
      <c r="S874" s="20">
        <v>1.3</v>
      </c>
    </row>
    <row r="875" spans="8:19" x14ac:dyDescent="0.25">
      <c r="H875">
        <v>6</v>
      </c>
      <c r="I875">
        <v>217</v>
      </c>
      <c r="J875">
        <v>115</v>
      </c>
      <c r="K875" t="b">
        <v>1</v>
      </c>
      <c r="N875" s="30" t="s">
        <v>524</v>
      </c>
      <c r="O875" s="2">
        <f>INDEX(Маршруты,MATCH(N875,$B$3:$B$498,0),1)</f>
        <v>38</v>
      </c>
      <c r="P875" s="27">
        <v>17</v>
      </c>
      <c r="Q875" s="2">
        <f>INDEX(Остановки,MATCH(R875,ИД_Остановки!$B$3:$B$467,0),1)</f>
        <v>146</v>
      </c>
      <c r="R875" s="45" t="s">
        <v>315</v>
      </c>
      <c r="S875" s="20">
        <v>0.76</v>
      </c>
    </row>
    <row r="876" spans="8:19" x14ac:dyDescent="0.25">
      <c r="H876">
        <v>6</v>
      </c>
      <c r="I876">
        <v>224</v>
      </c>
      <c r="J876">
        <v>115</v>
      </c>
      <c r="K876" t="b">
        <v>1</v>
      </c>
      <c r="N876" s="25" t="s">
        <v>524</v>
      </c>
      <c r="O876" s="2">
        <f>INDEX(Маршруты,MATCH(N876,$B$3:$B$498,0),1)</f>
        <v>38</v>
      </c>
      <c r="P876" s="27">
        <v>18</v>
      </c>
      <c r="Q876" s="2">
        <f>INDEX(Остановки,MATCH(R876,ИД_Остановки!$B$3:$B$467,0),1)</f>
        <v>83</v>
      </c>
      <c r="R876" s="45" t="s">
        <v>280</v>
      </c>
      <c r="S876" s="20">
        <v>0.44</v>
      </c>
    </row>
    <row r="877" spans="8:19" x14ac:dyDescent="0.25">
      <c r="H877">
        <v>6</v>
      </c>
      <c r="I877">
        <v>231</v>
      </c>
      <c r="J877">
        <v>115</v>
      </c>
      <c r="K877" t="b">
        <v>1</v>
      </c>
      <c r="N877" s="25" t="s">
        <v>524</v>
      </c>
      <c r="O877" s="2">
        <f>INDEX(Маршруты,MATCH(N877,$B$3:$B$498,0),1)</f>
        <v>38</v>
      </c>
      <c r="P877" s="27">
        <v>19</v>
      </c>
      <c r="Q877" s="2">
        <f>INDEX(Остановки,MATCH(R877,ИД_Остановки!$B$3:$B$467,0),1)</f>
        <v>103</v>
      </c>
      <c r="R877" s="45" t="s">
        <v>288</v>
      </c>
      <c r="S877" s="20">
        <v>0.3</v>
      </c>
    </row>
    <row r="878" spans="8:19" x14ac:dyDescent="0.25">
      <c r="H878">
        <v>6</v>
      </c>
      <c r="I878">
        <v>238</v>
      </c>
      <c r="J878">
        <v>115</v>
      </c>
      <c r="K878" t="b">
        <v>1</v>
      </c>
      <c r="N878" s="25" t="s">
        <v>524</v>
      </c>
      <c r="O878" s="2">
        <f>INDEX(Маршруты,MATCH(N878,$B$3:$B$498,0),1)</f>
        <v>38</v>
      </c>
      <c r="P878" s="27">
        <v>20</v>
      </c>
      <c r="Q878" s="2">
        <f>INDEX(Остановки,MATCH(R878,ИД_Остановки!$B$3:$B$467,0),1)</f>
        <v>380</v>
      </c>
      <c r="R878" s="45" t="s">
        <v>438</v>
      </c>
      <c r="S878" s="20">
        <v>0.5</v>
      </c>
    </row>
    <row r="879" spans="8:19" x14ac:dyDescent="0.25">
      <c r="H879">
        <v>6</v>
      </c>
      <c r="I879">
        <v>245</v>
      </c>
      <c r="J879">
        <v>115</v>
      </c>
      <c r="K879" t="b">
        <v>1</v>
      </c>
      <c r="N879" s="30" t="s">
        <v>524</v>
      </c>
      <c r="O879" s="2">
        <f>INDEX(Маршруты,MATCH(N879,$B$3:$B$498,0),1)</f>
        <v>38</v>
      </c>
      <c r="P879" s="27">
        <v>21</v>
      </c>
      <c r="Q879" s="2">
        <f>INDEX(Остановки,MATCH(R879,ИД_Остановки!$B$3:$B$467,0),1)</f>
        <v>84</v>
      </c>
      <c r="R879" s="45" t="s">
        <v>281</v>
      </c>
      <c r="S879" s="20">
        <v>0.39</v>
      </c>
    </row>
    <row r="880" spans="8:19" x14ac:dyDescent="0.25">
      <c r="H880">
        <v>6</v>
      </c>
      <c r="I880">
        <v>252</v>
      </c>
      <c r="J880">
        <v>115</v>
      </c>
      <c r="K880" t="b">
        <v>1</v>
      </c>
      <c r="N880" s="25" t="s">
        <v>524</v>
      </c>
      <c r="O880" s="2">
        <f>INDEX(Маршруты,MATCH(N880,$B$3:$B$498,0),1)</f>
        <v>38</v>
      </c>
      <c r="P880" s="27">
        <v>22</v>
      </c>
      <c r="Q880" s="2">
        <f>INDEX(Остановки,MATCH(R880,ИД_Остановки!$B$3:$B$467,0),1)</f>
        <v>105</v>
      </c>
      <c r="R880" s="45" t="s">
        <v>290</v>
      </c>
      <c r="S880" s="20">
        <v>0.54</v>
      </c>
    </row>
    <row r="881" spans="8:19" x14ac:dyDescent="0.25">
      <c r="H881">
        <v>6</v>
      </c>
      <c r="I881">
        <v>259</v>
      </c>
      <c r="J881">
        <v>115</v>
      </c>
      <c r="K881" t="b">
        <v>1</v>
      </c>
      <c r="N881" s="30" t="s">
        <v>524</v>
      </c>
      <c r="O881" s="2">
        <f>INDEX(Маршруты,MATCH(N881,$B$3:$B$498,0),1)</f>
        <v>38</v>
      </c>
      <c r="P881" s="27">
        <v>23</v>
      </c>
      <c r="Q881" s="2">
        <f>INDEX(Остановки,MATCH(R881,ИД_Остановки!$B$3:$B$467,0),1)</f>
        <v>367</v>
      </c>
      <c r="R881" s="45" t="s">
        <v>202</v>
      </c>
      <c r="S881" s="20">
        <v>0.35</v>
      </c>
    </row>
    <row r="882" spans="8:19" x14ac:dyDescent="0.25">
      <c r="H882">
        <v>6</v>
      </c>
      <c r="I882">
        <v>266</v>
      </c>
      <c r="J882">
        <v>115</v>
      </c>
      <c r="K882" t="b">
        <v>1</v>
      </c>
      <c r="N882" s="30" t="s">
        <v>524</v>
      </c>
      <c r="O882" s="2">
        <f>INDEX(Маршруты,MATCH(N882,$B$3:$B$498,0),1)</f>
        <v>38</v>
      </c>
      <c r="P882" s="27">
        <v>24</v>
      </c>
      <c r="Q882" s="2">
        <f>INDEX(Остановки,MATCH(R882,ИД_Остановки!$B$3:$B$467,0),1)</f>
        <v>366</v>
      </c>
      <c r="R882" s="45" t="s">
        <v>201</v>
      </c>
      <c r="S882" s="20">
        <v>2.76</v>
      </c>
    </row>
    <row r="883" spans="8:19" x14ac:dyDescent="0.25">
      <c r="H883">
        <v>6</v>
      </c>
      <c r="I883">
        <v>273</v>
      </c>
      <c r="J883">
        <v>115</v>
      </c>
      <c r="K883" t="b">
        <v>1</v>
      </c>
      <c r="N883" s="30" t="s">
        <v>209</v>
      </c>
      <c r="O883" s="2">
        <f>INDEX(Маршруты,MATCH(N883,$B$3:$B$498,0),1)</f>
        <v>39</v>
      </c>
      <c r="P883" s="27">
        <v>1</v>
      </c>
      <c r="Q883" s="2">
        <f>INDEX(Остановки,MATCH(R883,ИД_Остановки!$B$3:$B$467,0),1)</f>
        <v>259</v>
      </c>
      <c r="R883" s="45" t="s">
        <v>138</v>
      </c>
      <c r="S883" s="20"/>
    </row>
    <row r="884" spans="8:19" x14ac:dyDescent="0.25">
      <c r="H884">
        <v>6</v>
      </c>
      <c r="I884">
        <v>280</v>
      </c>
      <c r="J884">
        <v>115</v>
      </c>
      <c r="K884" t="b">
        <v>1</v>
      </c>
      <c r="N884" s="30" t="s">
        <v>209</v>
      </c>
      <c r="O884" s="2">
        <f>INDEX(Маршруты,MATCH(N884,$B$3:$B$498,0),1)</f>
        <v>39</v>
      </c>
      <c r="P884" s="27">
        <v>2</v>
      </c>
      <c r="Q884" s="2">
        <f>INDEX(Остановки,MATCH(R884,ИД_Остановки!$B$3:$B$467,0),1)</f>
        <v>260</v>
      </c>
      <c r="R884" s="45" t="s">
        <v>379</v>
      </c>
      <c r="S884" s="20">
        <v>1.05</v>
      </c>
    </row>
    <row r="885" spans="8:19" x14ac:dyDescent="0.25">
      <c r="H885">
        <v>6</v>
      </c>
      <c r="I885">
        <v>287</v>
      </c>
      <c r="J885">
        <v>115</v>
      </c>
      <c r="K885" t="b">
        <v>1</v>
      </c>
      <c r="N885" s="30" t="s">
        <v>209</v>
      </c>
      <c r="O885" s="2">
        <f>INDEX(Маршруты,MATCH(N885,$B$3:$B$498,0),1)</f>
        <v>39</v>
      </c>
      <c r="P885" s="27">
        <v>3</v>
      </c>
      <c r="Q885" s="2">
        <f>INDEX(Остановки,MATCH(R885,ИД_Остановки!$B$3:$B$467,0),1)</f>
        <v>261</v>
      </c>
      <c r="R885" s="45" t="s">
        <v>139</v>
      </c>
      <c r="S885" s="20">
        <v>0.54</v>
      </c>
    </row>
    <row r="886" spans="8:19" x14ac:dyDescent="0.25">
      <c r="H886">
        <v>6</v>
      </c>
      <c r="I886">
        <v>294</v>
      </c>
      <c r="J886">
        <v>115</v>
      </c>
      <c r="K886" t="b">
        <v>1</v>
      </c>
      <c r="N886" s="30" t="s">
        <v>209</v>
      </c>
      <c r="O886" s="2">
        <f>INDEX(Маршруты,MATCH(N886,$B$3:$B$498,0),1)</f>
        <v>39</v>
      </c>
      <c r="P886" s="28">
        <v>4</v>
      </c>
      <c r="Q886" s="2">
        <f>INDEX(Остановки,MATCH(R886,ИД_Остановки!$B$3:$B$467,0),1)</f>
        <v>262</v>
      </c>
      <c r="R886" s="24" t="s">
        <v>140</v>
      </c>
      <c r="S886" s="20">
        <v>0.35</v>
      </c>
    </row>
    <row r="887" spans="8:19" x14ac:dyDescent="0.25">
      <c r="H887">
        <v>6</v>
      </c>
      <c r="I887">
        <v>301</v>
      </c>
      <c r="J887">
        <v>115</v>
      </c>
      <c r="K887" t="b">
        <v>1</v>
      </c>
      <c r="N887" s="25" t="s">
        <v>209</v>
      </c>
      <c r="O887" s="2">
        <f>INDEX(Маршруты,MATCH(N887,$B$3:$B$498,0),1)</f>
        <v>39</v>
      </c>
      <c r="P887" s="28">
        <v>5</v>
      </c>
      <c r="Q887" s="2">
        <f>INDEX(Остановки,MATCH(R887,ИД_Остановки!$B$3:$B$467,0),1)</f>
        <v>263</v>
      </c>
      <c r="R887" s="24" t="s">
        <v>380</v>
      </c>
      <c r="S887" s="21">
        <v>0.31</v>
      </c>
    </row>
    <row r="888" spans="8:19" x14ac:dyDescent="0.25">
      <c r="H888">
        <v>6</v>
      </c>
      <c r="I888">
        <v>308</v>
      </c>
      <c r="J888">
        <v>115</v>
      </c>
      <c r="K888" t="b">
        <v>1</v>
      </c>
      <c r="N888" s="25" t="s">
        <v>209</v>
      </c>
      <c r="O888" s="2">
        <f>INDEX(Маршруты,MATCH(N888,$B$3:$B$498,0),1)</f>
        <v>39</v>
      </c>
      <c r="P888" s="28">
        <v>6</v>
      </c>
      <c r="Q888" s="2">
        <f>INDEX(Остановки,MATCH(R888,ИД_Остановки!$B$3:$B$467,0),1)</f>
        <v>264</v>
      </c>
      <c r="R888" s="24" t="s">
        <v>381</v>
      </c>
      <c r="S888" s="20">
        <v>0.68</v>
      </c>
    </row>
    <row r="889" spans="8:19" x14ac:dyDescent="0.25">
      <c r="H889">
        <v>6</v>
      </c>
      <c r="I889">
        <v>315</v>
      </c>
      <c r="J889">
        <v>115</v>
      </c>
      <c r="K889" t="b">
        <v>1</v>
      </c>
      <c r="N889" s="25" t="s">
        <v>209</v>
      </c>
      <c r="O889" s="2">
        <f>INDEX(Маршруты,MATCH(N889,$B$3:$B$498,0),1)</f>
        <v>39</v>
      </c>
      <c r="P889" s="28">
        <v>7</v>
      </c>
      <c r="Q889" s="2">
        <f>INDEX(Остановки,MATCH(R889,ИД_Остановки!$B$3:$B$467,0),1)</f>
        <v>268</v>
      </c>
      <c r="R889" s="24" t="s">
        <v>383</v>
      </c>
      <c r="S889" s="20">
        <v>0.43</v>
      </c>
    </row>
    <row r="890" spans="8:19" x14ac:dyDescent="0.25">
      <c r="H890">
        <v>6</v>
      </c>
      <c r="I890">
        <v>322</v>
      </c>
      <c r="J890">
        <v>115</v>
      </c>
      <c r="K890" t="b">
        <v>1</v>
      </c>
      <c r="N890" s="25" t="s">
        <v>209</v>
      </c>
      <c r="O890" s="2">
        <f>INDEX(Маршруты,MATCH(N890,$B$3:$B$498,0),1)</f>
        <v>39</v>
      </c>
      <c r="P890" s="27">
        <v>8</v>
      </c>
      <c r="Q890" s="2">
        <f>INDEX(Остановки,MATCH(R890,ИД_Остановки!$B$3:$B$467,0),1)</f>
        <v>184</v>
      </c>
      <c r="R890" s="45" t="s">
        <v>112</v>
      </c>
      <c r="S890" s="20">
        <v>0.59</v>
      </c>
    </row>
    <row r="891" spans="8:19" x14ac:dyDescent="0.25">
      <c r="H891">
        <v>6</v>
      </c>
      <c r="I891">
        <v>329</v>
      </c>
      <c r="J891">
        <v>115</v>
      </c>
      <c r="K891" t="b">
        <v>1</v>
      </c>
      <c r="N891" s="25" t="s">
        <v>209</v>
      </c>
      <c r="O891" s="2">
        <f>INDEX(Маршруты,MATCH(N891,$B$3:$B$498,0),1)</f>
        <v>39</v>
      </c>
      <c r="P891" s="27">
        <v>9</v>
      </c>
      <c r="Q891" s="2">
        <f>INDEX(Остановки,MATCH(R891,ИД_Остановки!$B$3:$B$467,0),1)</f>
        <v>211</v>
      </c>
      <c r="R891" s="45" t="s">
        <v>122</v>
      </c>
      <c r="S891" s="20">
        <v>0.49</v>
      </c>
    </row>
    <row r="892" spans="8:19" x14ac:dyDescent="0.25">
      <c r="H892">
        <v>6</v>
      </c>
      <c r="I892">
        <v>336</v>
      </c>
      <c r="J892">
        <v>115</v>
      </c>
      <c r="K892" t="b">
        <v>1</v>
      </c>
      <c r="N892" s="14" t="s">
        <v>209</v>
      </c>
      <c r="O892" s="2">
        <f>INDEX(Маршруты,MATCH(N892,$B$3:$B$498,0),1)</f>
        <v>39</v>
      </c>
      <c r="P892" s="27">
        <v>10</v>
      </c>
      <c r="Q892" s="2">
        <f>INDEX(Остановки,MATCH(R892,ИД_Остановки!$B$3:$B$467,0),1)</f>
        <v>210</v>
      </c>
      <c r="R892" s="45" t="s">
        <v>347</v>
      </c>
      <c r="S892" s="20">
        <v>0.37</v>
      </c>
    </row>
    <row r="893" spans="8:19" x14ac:dyDescent="0.25">
      <c r="H893">
        <v>6</v>
      </c>
      <c r="I893">
        <v>343</v>
      </c>
      <c r="J893">
        <v>115</v>
      </c>
      <c r="K893" t="b">
        <v>1</v>
      </c>
      <c r="N893" s="30" t="s">
        <v>209</v>
      </c>
      <c r="O893" s="2">
        <f>INDEX(Маршруты,MATCH(N893,$B$3:$B$498,0),1)</f>
        <v>39</v>
      </c>
      <c r="P893" s="27">
        <v>11</v>
      </c>
      <c r="Q893" s="2">
        <f>INDEX(Остановки,MATCH(R893,ИД_Остановки!$B$3:$B$467,0),1)</f>
        <v>185</v>
      </c>
      <c r="R893" s="45" t="s">
        <v>331</v>
      </c>
      <c r="S893" s="20">
        <v>0.36</v>
      </c>
    </row>
    <row r="894" spans="8:19" x14ac:dyDescent="0.25">
      <c r="H894">
        <v>6</v>
      </c>
      <c r="I894">
        <v>350</v>
      </c>
      <c r="J894">
        <v>115</v>
      </c>
      <c r="K894" t="b">
        <v>1</v>
      </c>
      <c r="N894" s="25" t="s">
        <v>209</v>
      </c>
      <c r="O894" s="2">
        <f>INDEX(Маршруты,MATCH(N894,$B$3:$B$498,0),1)</f>
        <v>39</v>
      </c>
      <c r="P894" s="28">
        <v>12</v>
      </c>
      <c r="Q894" s="2">
        <f>INDEX(Остановки,MATCH(R894,ИД_Остановки!$B$3:$B$467,0),1)</f>
        <v>379</v>
      </c>
      <c r="R894" s="24" t="s">
        <v>437</v>
      </c>
      <c r="S894" s="20">
        <v>0.19</v>
      </c>
    </row>
    <row r="895" spans="8:19" x14ac:dyDescent="0.25">
      <c r="H895">
        <v>6</v>
      </c>
      <c r="I895">
        <v>357</v>
      </c>
      <c r="J895">
        <v>115</v>
      </c>
      <c r="K895" t="b">
        <v>1</v>
      </c>
      <c r="N895" s="30" t="s">
        <v>209</v>
      </c>
      <c r="O895" s="2">
        <f>INDEX(Маршруты,MATCH(N895,$B$3:$B$498,0),1)</f>
        <v>39</v>
      </c>
      <c r="P895" s="27">
        <v>13</v>
      </c>
      <c r="Q895" s="2">
        <f>INDEX(Остановки,MATCH(R895,ИД_Остановки!$B$3:$B$467,0),1)</f>
        <v>265</v>
      </c>
      <c r="R895" s="45" t="s">
        <v>141</v>
      </c>
      <c r="S895" s="20">
        <v>0.25</v>
      </c>
    </row>
    <row r="896" spans="8:19" x14ac:dyDescent="0.25">
      <c r="H896">
        <v>6</v>
      </c>
      <c r="I896">
        <v>364</v>
      </c>
      <c r="J896">
        <v>115</v>
      </c>
      <c r="K896" t="b">
        <v>1</v>
      </c>
      <c r="N896" s="25" t="s">
        <v>209</v>
      </c>
      <c r="O896" s="2">
        <f>INDEX(Маршруты,MATCH(N896,$B$3:$B$498,0),1)</f>
        <v>39</v>
      </c>
      <c r="P896" s="27">
        <v>14</v>
      </c>
      <c r="Q896" s="2">
        <f>INDEX(Остановки,MATCH(R896,ИД_Остановки!$B$3:$B$467,0),1)</f>
        <v>209</v>
      </c>
      <c r="R896" s="45" t="s">
        <v>346</v>
      </c>
      <c r="S896" s="20">
        <v>0.56999999999999995</v>
      </c>
    </row>
    <row r="897" spans="8:19" x14ac:dyDescent="0.25">
      <c r="H897">
        <v>6</v>
      </c>
      <c r="I897">
        <v>371</v>
      </c>
      <c r="J897">
        <v>115</v>
      </c>
      <c r="K897" t="b">
        <v>1</v>
      </c>
      <c r="N897" s="25" t="s">
        <v>209</v>
      </c>
      <c r="O897" s="2">
        <f>INDEX(Маршруты,MATCH(N897,$B$3:$B$498,0),1)</f>
        <v>39</v>
      </c>
      <c r="P897" s="27">
        <v>15</v>
      </c>
      <c r="Q897" s="2">
        <f>INDEX(Остановки,MATCH(R897,ИД_Остановки!$B$3:$B$467,0),1)</f>
        <v>266</v>
      </c>
      <c r="R897" s="45" t="s">
        <v>142</v>
      </c>
      <c r="S897" s="20">
        <v>0.33</v>
      </c>
    </row>
    <row r="898" spans="8:19" x14ac:dyDescent="0.25">
      <c r="H898">
        <v>6</v>
      </c>
      <c r="I898">
        <v>378</v>
      </c>
      <c r="J898">
        <v>115</v>
      </c>
      <c r="K898" t="b">
        <v>1</v>
      </c>
      <c r="N898" s="25" t="s">
        <v>209</v>
      </c>
      <c r="O898" s="2">
        <f>INDEX(Маршруты,MATCH(N898,$B$3:$B$498,0),1)</f>
        <v>39</v>
      </c>
      <c r="P898" s="27">
        <v>16</v>
      </c>
      <c r="Q898" s="2">
        <f>INDEX(Остановки,MATCH(R898,ИД_Остановки!$B$3:$B$467,0),1)</f>
        <v>267</v>
      </c>
      <c r="R898" s="45" t="s">
        <v>382</v>
      </c>
      <c r="S898" s="20">
        <v>0.27</v>
      </c>
    </row>
    <row r="899" spans="8:19" x14ac:dyDescent="0.25">
      <c r="H899">
        <v>6</v>
      </c>
      <c r="I899">
        <v>385</v>
      </c>
      <c r="J899">
        <v>115</v>
      </c>
      <c r="K899" t="b">
        <v>1</v>
      </c>
      <c r="N899" s="30" t="s">
        <v>209</v>
      </c>
      <c r="O899" s="2">
        <f>INDEX(Маршруты,MATCH(N899,$B$3:$B$498,0),1)</f>
        <v>39</v>
      </c>
      <c r="P899" s="27">
        <v>17</v>
      </c>
      <c r="Q899" s="2">
        <f>INDEX(Остановки,MATCH(R899,ИД_Остановки!$B$3:$B$467,0),1)</f>
        <v>241</v>
      </c>
      <c r="R899" s="45" t="s">
        <v>132</v>
      </c>
      <c r="S899" s="20">
        <v>0.7</v>
      </c>
    </row>
    <row r="900" spans="8:19" x14ac:dyDescent="0.25">
      <c r="H900">
        <v>6</v>
      </c>
      <c r="I900">
        <v>392</v>
      </c>
      <c r="J900">
        <v>115</v>
      </c>
      <c r="K900" t="b">
        <v>1</v>
      </c>
      <c r="N900" s="25" t="s">
        <v>209</v>
      </c>
      <c r="O900" s="2">
        <f>INDEX(Маршруты,MATCH(N900,$B$3:$B$498,0),1)</f>
        <v>39</v>
      </c>
      <c r="P900" s="27">
        <v>18</v>
      </c>
      <c r="Q900" s="2">
        <f>INDEX(Остановки,MATCH(R900,ИД_Остановки!$B$3:$B$467,0),1)</f>
        <v>206</v>
      </c>
      <c r="R900" s="24" t="s">
        <v>344</v>
      </c>
      <c r="S900" s="20">
        <v>0.45</v>
      </c>
    </row>
    <row r="901" spans="8:19" x14ac:dyDescent="0.25">
      <c r="H901">
        <v>6</v>
      </c>
      <c r="I901">
        <v>399</v>
      </c>
      <c r="J901">
        <v>115</v>
      </c>
      <c r="K901" t="b">
        <v>1</v>
      </c>
      <c r="N901" s="26" t="s">
        <v>209</v>
      </c>
      <c r="O901" s="2">
        <f>INDEX(Маршруты,MATCH(N901,$B$3:$B$498,0),1)</f>
        <v>39</v>
      </c>
      <c r="P901" s="27">
        <v>19</v>
      </c>
      <c r="Q901" s="2">
        <f>INDEX(Остановки,MATCH(R901,ИД_Остановки!$B$3:$B$467,0),1)</f>
        <v>256</v>
      </c>
      <c r="R901" s="45" t="s">
        <v>376</v>
      </c>
      <c r="S901" s="20">
        <v>0.49</v>
      </c>
    </row>
    <row r="902" spans="8:19" x14ac:dyDescent="0.25">
      <c r="H902">
        <v>6</v>
      </c>
      <c r="I902">
        <v>406</v>
      </c>
      <c r="J902">
        <v>115</v>
      </c>
      <c r="K902" t="b">
        <v>1</v>
      </c>
      <c r="N902" s="30" t="s">
        <v>209</v>
      </c>
      <c r="O902" s="2">
        <f>INDEX(Маршруты,MATCH(N902,$B$3:$B$498,0),1)</f>
        <v>39</v>
      </c>
      <c r="P902" s="27">
        <v>20</v>
      </c>
      <c r="Q902" s="2">
        <f>INDEX(Остановки,MATCH(R902,ИД_Остановки!$B$3:$B$467,0),1)</f>
        <v>204</v>
      </c>
      <c r="R902" s="45" t="s">
        <v>342</v>
      </c>
      <c r="S902" s="20">
        <v>0.68</v>
      </c>
    </row>
    <row r="903" spans="8:19" x14ac:dyDescent="0.25">
      <c r="H903">
        <v>6</v>
      </c>
      <c r="I903">
        <v>413</v>
      </c>
      <c r="J903">
        <v>115</v>
      </c>
      <c r="K903" t="b">
        <v>1</v>
      </c>
      <c r="N903" s="25" t="s">
        <v>209</v>
      </c>
      <c r="O903" s="2">
        <f>INDEX(Маршруты,MATCH(N903,$B$3:$B$498,0),1)</f>
        <v>39</v>
      </c>
      <c r="P903" s="27">
        <v>21</v>
      </c>
      <c r="Q903" s="2">
        <f>INDEX(Остановки,MATCH(R903,ИД_Остановки!$B$3:$B$467,0),1)</f>
        <v>33</v>
      </c>
      <c r="R903" s="45" t="s">
        <v>29</v>
      </c>
      <c r="S903" s="20">
        <v>0.3</v>
      </c>
    </row>
    <row r="904" spans="8:19" x14ac:dyDescent="0.25">
      <c r="H904">
        <v>6</v>
      </c>
      <c r="I904">
        <v>420</v>
      </c>
      <c r="J904">
        <v>115</v>
      </c>
      <c r="K904" t="b">
        <v>1</v>
      </c>
      <c r="N904" s="30" t="s">
        <v>209</v>
      </c>
      <c r="O904" s="2">
        <f>INDEX(Маршруты,MATCH(N904,$B$3:$B$498,0),1)</f>
        <v>39</v>
      </c>
      <c r="P904" s="28">
        <v>22</v>
      </c>
      <c r="Q904" s="2">
        <f>INDEX(Остановки,MATCH(R904,ИД_Остановки!$B$3:$B$467,0),1)</f>
        <v>93</v>
      </c>
      <c r="R904" s="24" t="s">
        <v>65</v>
      </c>
      <c r="S904" s="20">
        <v>0.52</v>
      </c>
    </row>
    <row r="905" spans="8:19" x14ac:dyDescent="0.25">
      <c r="H905">
        <v>6</v>
      </c>
      <c r="I905">
        <v>427</v>
      </c>
      <c r="J905">
        <v>115</v>
      </c>
      <c r="K905" t="b">
        <v>1</v>
      </c>
      <c r="N905" s="25" t="s">
        <v>209</v>
      </c>
      <c r="O905" s="2">
        <f>INDEX(Маршруты,MATCH(N905,$B$3:$B$498,0),1)</f>
        <v>39</v>
      </c>
      <c r="P905" s="27">
        <v>23</v>
      </c>
      <c r="Q905" s="2">
        <f>INDEX(Остановки,MATCH(R905,ИД_Остановки!$B$3:$B$467,0),1)</f>
        <v>82</v>
      </c>
      <c r="R905" s="45" t="s">
        <v>59</v>
      </c>
      <c r="S905" s="20">
        <v>0.52</v>
      </c>
    </row>
    <row r="906" spans="8:19" x14ac:dyDescent="0.25">
      <c r="H906">
        <v>6</v>
      </c>
      <c r="I906">
        <v>434</v>
      </c>
      <c r="J906">
        <v>115</v>
      </c>
      <c r="K906" t="b">
        <v>1</v>
      </c>
      <c r="N906" s="30" t="s">
        <v>209</v>
      </c>
      <c r="O906" s="2">
        <f>INDEX(Маршруты,MATCH(N906,$B$3:$B$498,0),1)</f>
        <v>39</v>
      </c>
      <c r="P906" s="27">
        <v>24</v>
      </c>
      <c r="Q906" s="2">
        <f>INDEX(Остановки,MATCH(R906,ИД_Остановки!$B$3:$B$467,0),1)</f>
        <v>83</v>
      </c>
      <c r="R906" s="45" t="s">
        <v>280</v>
      </c>
      <c r="S906" s="20">
        <v>1</v>
      </c>
    </row>
    <row r="907" spans="8:19" x14ac:dyDescent="0.25">
      <c r="H907">
        <v>6</v>
      </c>
      <c r="I907">
        <v>441</v>
      </c>
      <c r="J907">
        <v>115</v>
      </c>
      <c r="K907" t="b">
        <v>1</v>
      </c>
      <c r="N907" s="25" t="s">
        <v>209</v>
      </c>
      <c r="O907" s="2">
        <f>INDEX(Маршруты,MATCH(N907,$B$3:$B$498,0),1)</f>
        <v>39</v>
      </c>
      <c r="P907" s="27">
        <v>25</v>
      </c>
      <c r="Q907" s="2">
        <f>INDEX(Остановки,MATCH(R907,ИД_Остановки!$B$3:$B$467,0),1)</f>
        <v>103</v>
      </c>
      <c r="R907" s="45" t="s">
        <v>288</v>
      </c>
      <c r="S907" s="20">
        <v>0.3</v>
      </c>
    </row>
    <row r="908" spans="8:19" x14ac:dyDescent="0.25">
      <c r="H908">
        <v>6</v>
      </c>
      <c r="I908">
        <v>448</v>
      </c>
      <c r="J908">
        <v>115</v>
      </c>
      <c r="K908" t="b">
        <v>1</v>
      </c>
      <c r="N908" s="30" t="s">
        <v>209</v>
      </c>
      <c r="O908" s="2">
        <f>INDEX(Маршруты,MATCH(N908,$B$3:$B$498,0),1)</f>
        <v>39</v>
      </c>
      <c r="P908" s="27">
        <v>26</v>
      </c>
      <c r="Q908" s="2">
        <f>INDEX(Остановки,MATCH(R908,ИД_Остановки!$B$3:$B$467,0),1)</f>
        <v>380</v>
      </c>
      <c r="R908" s="45" t="s">
        <v>438</v>
      </c>
      <c r="S908" s="20">
        <v>0.5</v>
      </c>
    </row>
    <row r="909" spans="8:19" x14ac:dyDescent="0.25">
      <c r="H909">
        <v>6</v>
      </c>
      <c r="I909">
        <v>455</v>
      </c>
      <c r="J909">
        <v>115</v>
      </c>
      <c r="K909" t="b">
        <v>1</v>
      </c>
      <c r="N909" s="30" t="s">
        <v>209</v>
      </c>
      <c r="O909" s="2">
        <f>INDEX(Маршруты,MATCH(N909,$B$3:$B$498,0),1)</f>
        <v>39</v>
      </c>
      <c r="P909" s="27">
        <v>27</v>
      </c>
      <c r="Q909" s="2">
        <f>INDEX(Остановки,MATCH(R909,ИД_Остановки!$B$3:$B$467,0),1)</f>
        <v>84</v>
      </c>
      <c r="R909" s="45" t="s">
        <v>281</v>
      </c>
      <c r="S909" s="20">
        <v>0.39</v>
      </c>
    </row>
    <row r="910" spans="8:19" x14ac:dyDescent="0.25">
      <c r="H910">
        <v>6</v>
      </c>
      <c r="I910">
        <v>462</v>
      </c>
      <c r="J910">
        <v>115</v>
      </c>
      <c r="K910" t="b">
        <v>1</v>
      </c>
      <c r="N910" s="30" t="s">
        <v>210</v>
      </c>
      <c r="O910" s="2">
        <f>INDEX(Маршруты,MATCH(N910,$B$3:$B$498,0),1)</f>
        <v>40</v>
      </c>
      <c r="P910" s="27">
        <v>1</v>
      </c>
      <c r="Q910" s="2">
        <f>INDEX(Остановки,MATCH(R910,ИД_Остановки!$B$3:$B$467,0),1)</f>
        <v>84</v>
      </c>
      <c r="R910" s="45" t="s">
        <v>281</v>
      </c>
      <c r="S910" s="20"/>
    </row>
    <row r="911" spans="8:19" x14ac:dyDescent="0.25">
      <c r="H911">
        <v>6</v>
      </c>
      <c r="I911">
        <v>469</v>
      </c>
      <c r="J911">
        <v>115</v>
      </c>
      <c r="K911" t="b">
        <v>1</v>
      </c>
      <c r="N911" s="30" t="s">
        <v>210</v>
      </c>
      <c r="O911" s="2">
        <f>INDEX(Маршруты,MATCH(N911,$B$3:$B$498,0),1)</f>
        <v>40</v>
      </c>
      <c r="P911" s="28">
        <v>2</v>
      </c>
      <c r="Q911" s="2">
        <f>INDEX(Остановки,MATCH(R911,ИД_Остановки!$B$3:$B$467,0),1)</f>
        <v>380</v>
      </c>
      <c r="R911" s="24" t="s">
        <v>438</v>
      </c>
      <c r="S911" s="20">
        <v>0.39</v>
      </c>
    </row>
    <row r="912" spans="8:19" x14ac:dyDescent="0.25">
      <c r="H912">
        <v>6</v>
      </c>
      <c r="I912">
        <v>476</v>
      </c>
      <c r="J912">
        <v>115</v>
      </c>
      <c r="K912" t="b">
        <v>1</v>
      </c>
      <c r="N912" s="26" t="s">
        <v>210</v>
      </c>
      <c r="O912" s="2">
        <f>INDEX(Маршруты,MATCH(N912,$B$3:$B$498,0),1)</f>
        <v>40</v>
      </c>
      <c r="P912" s="27">
        <v>3</v>
      </c>
      <c r="Q912" s="2">
        <f>INDEX(Остановки,MATCH(R912,ИД_Остановки!$B$3:$B$467,0),1)</f>
        <v>103</v>
      </c>
      <c r="R912" s="45" t="s">
        <v>288</v>
      </c>
      <c r="S912" s="20">
        <v>0.5</v>
      </c>
    </row>
    <row r="913" spans="8:19" x14ac:dyDescent="0.25">
      <c r="H913">
        <v>6</v>
      </c>
      <c r="I913">
        <v>483</v>
      </c>
      <c r="J913">
        <v>115</v>
      </c>
      <c r="K913" t="b">
        <v>1</v>
      </c>
      <c r="N913" s="30" t="s">
        <v>210</v>
      </c>
      <c r="O913" s="2">
        <f>INDEX(Маршруты,MATCH(N913,$B$3:$B$498,0),1)</f>
        <v>40</v>
      </c>
      <c r="P913" s="27">
        <v>4</v>
      </c>
      <c r="Q913" s="2">
        <f>INDEX(Остановки,MATCH(R913,ИД_Остановки!$B$3:$B$467,0),1)</f>
        <v>83</v>
      </c>
      <c r="R913" s="45" t="s">
        <v>280</v>
      </c>
      <c r="S913" s="20">
        <v>0.3</v>
      </c>
    </row>
    <row r="914" spans="8:19" x14ac:dyDescent="0.25">
      <c r="H914">
        <v>6</v>
      </c>
      <c r="I914">
        <v>490</v>
      </c>
      <c r="J914">
        <v>115</v>
      </c>
      <c r="K914" t="b">
        <v>1</v>
      </c>
      <c r="N914" s="14" t="s">
        <v>210</v>
      </c>
      <c r="O914" s="2">
        <f>INDEX(Маршруты,MATCH(N914,$B$3:$B$498,0),1)</f>
        <v>40</v>
      </c>
      <c r="P914" s="27">
        <v>5</v>
      </c>
      <c r="Q914" s="2">
        <f>INDEX(Остановки,MATCH(R914,ИД_Остановки!$B$3:$B$467,0),1)</f>
        <v>82</v>
      </c>
      <c r="R914" s="45" t="s">
        <v>59</v>
      </c>
      <c r="S914" s="20">
        <v>1</v>
      </c>
    </row>
    <row r="915" spans="8:19" x14ac:dyDescent="0.25">
      <c r="H915">
        <v>6</v>
      </c>
      <c r="I915">
        <v>497</v>
      </c>
      <c r="J915">
        <v>115</v>
      </c>
      <c r="K915" t="b">
        <v>1</v>
      </c>
      <c r="N915" s="30" t="s">
        <v>210</v>
      </c>
      <c r="O915" s="2">
        <f>INDEX(Маршруты,MATCH(N915,$B$3:$B$498,0),1)</f>
        <v>40</v>
      </c>
      <c r="P915" s="27">
        <v>6</v>
      </c>
      <c r="Q915" s="2">
        <f>INDEX(Остановки,MATCH(R915,ИД_Остановки!$B$3:$B$467,0),1)</f>
        <v>93</v>
      </c>
      <c r="R915" s="45" t="s">
        <v>65</v>
      </c>
      <c r="S915" s="20">
        <v>0.52</v>
      </c>
    </row>
    <row r="916" spans="8:19" x14ac:dyDescent="0.25">
      <c r="H916">
        <v>6</v>
      </c>
      <c r="I916">
        <v>504</v>
      </c>
      <c r="J916">
        <v>115</v>
      </c>
      <c r="K916" t="b">
        <v>1</v>
      </c>
      <c r="N916" s="25" t="s">
        <v>210</v>
      </c>
      <c r="O916" s="2">
        <f>INDEX(Маршруты,MATCH(N916,$B$3:$B$498,0),1)</f>
        <v>40</v>
      </c>
      <c r="P916" s="27">
        <v>7</v>
      </c>
      <c r="Q916" s="2">
        <f>INDEX(Остановки,MATCH(R916,ИД_Остановки!$B$3:$B$467,0),1)</f>
        <v>33</v>
      </c>
      <c r="R916" s="45" t="s">
        <v>29</v>
      </c>
      <c r="S916" s="20">
        <v>0.52</v>
      </c>
    </row>
    <row r="917" spans="8:19" x14ac:dyDescent="0.25">
      <c r="H917">
        <v>6</v>
      </c>
      <c r="I917">
        <v>511</v>
      </c>
      <c r="J917">
        <v>115</v>
      </c>
      <c r="K917" t="b">
        <v>1</v>
      </c>
      <c r="N917" s="25" t="s">
        <v>210</v>
      </c>
      <c r="O917" s="2">
        <f>INDEX(Маршруты,MATCH(N917,$B$3:$B$498,0),1)</f>
        <v>40</v>
      </c>
      <c r="P917" s="28">
        <v>8</v>
      </c>
      <c r="Q917" s="2">
        <f>INDEX(Остановки,MATCH(R917,ИД_Остановки!$B$3:$B$467,0),1)</f>
        <v>204</v>
      </c>
      <c r="R917" s="24" t="s">
        <v>342</v>
      </c>
      <c r="S917" s="20">
        <v>0.3</v>
      </c>
    </row>
    <row r="918" spans="8:19" x14ac:dyDescent="0.25">
      <c r="H918">
        <v>6</v>
      </c>
      <c r="I918">
        <v>518</v>
      </c>
      <c r="J918">
        <v>115</v>
      </c>
      <c r="K918" t="b">
        <v>1</v>
      </c>
      <c r="N918" s="30" t="s">
        <v>210</v>
      </c>
      <c r="O918" s="2">
        <f>INDEX(Маршруты,MATCH(N918,$B$3:$B$498,0),1)</f>
        <v>40</v>
      </c>
      <c r="P918" s="27">
        <v>9</v>
      </c>
      <c r="Q918" s="2">
        <f>INDEX(Остановки,MATCH(R918,ИД_Остановки!$B$3:$B$467,0),1)</f>
        <v>256</v>
      </c>
      <c r="R918" s="45" t="s">
        <v>376</v>
      </c>
      <c r="S918" s="20">
        <v>0.68</v>
      </c>
    </row>
    <row r="919" spans="8:19" x14ac:dyDescent="0.25">
      <c r="H919">
        <v>6</v>
      </c>
      <c r="I919">
        <v>525</v>
      </c>
      <c r="J919">
        <v>115</v>
      </c>
      <c r="K919" t="b">
        <v>1</v>
      </c>
      <c r="N919" s="25" t="s">
        <v>210</v>
      </c>
      <c r="O919" s="2">
        <f>INDEX(Маршруты,MATCH(N919,$B$3:$B$498,0),1)</f>
        <v>40</v>
      </c>
      <c r="P919" s="27">
        <v>10</v>
      </c>
      <c r="Q919" s="2">
        <f>INDEX(Остановки,MATCH(R919,ИД_Остановки!$B$3:$B$467,0),1)</f>
        <v>206</v>
      </c>
      <c r="R919" s="45" t="s">
        <v>344</v>
      </c>
      <c r="S919" s="20">
        <v>0.49</v>
      </c>
    </row>
    <row r="920" spans="8:19" x14ac:dyDescent="0.25">
      <c r="H920">
        <v>6</v>
      </c>
      <c r="I920">
        <v>532</v>
      </c>
      <c r="J920">
        <v>115</v>
      </c>
      <c r="K920" t="b">
        <v>1</v>
      </c>
      <c r="N920" s="26" t="s">
        <v>210</v>
      </c>
      <c r="O920" s="2">
        <f>INDEX(Маршруты,MATCH(N920,$B$3:$B$498,0),1)</f>
        <v>40</v>
      </c>
      <c r="P920" s="27">
        <v>11</v>
      </c>
      <c r="Q920" s="2">
        <f>INDEX(Остановки,MATCH(R920,ИД_Остановки!$B$3:$B$467,0),1)</f>
        <v>241</v>
      </c>
      <c r="R920" s="45" t="s">
        <v>132</v>
      </c>
      <c r="S920" s="20">
        <v>0.45</v>
      </c>
    </row>
    <row r="921" spans="8:19" x14ac:dyDescent="0.25">
      <c r="H921">
        <v>6</v>
      </c>
      <c r="I921">
        <v>539</v>
      </c>
      <c r="J921">
        <v>115</v>
      </c>
      <c r="K921" t="b">
        <v>1</v>
      </c>
      <c r="N921" s="25" t="s">
        <v>210</v>
      </c>
      <c r="O921" s="2">
        <f>INDEX(Маршруты,MATCH(N921,$B$3:$B$498,0),1)</f>
        <v>40</v>
      </c>
      <c r="P921" s="27">
        <v>12</v>
      </c>
      <c r="Q921" s="2">
        <f>INDEX(Остановки,MATCH(R921,ИД_Остановки!$B$3:$B$467,0),1)</f>
        <v>267</v>
      </c>
      <c r="R921" s="45" t="s">
        <v>382</v>
      </c>
      <c r="S921" s="20">
        <v>0.7</v>
      </c>
    </row>
    <row r="922" spans="8:19" x14ac:dyDescent="0.25">
      <c r="H922">
        <v>6</v>
      </c>
      <c r="I922">
        <v>546</v>
      </c>
      <c r="J922">
        <v>115</v>
      </c>
      <c r="K922" t="b">
        <v>1</v>
      </c>
      <c r="N922" s="25" t="s">
        <v>210</v>
      </c>
      <c r="O922" s="2">
        <f>INDEX(Маршруты,MATCH(N922,$B$3:$B$498,0),1)</f>
        <v>40</v>
      </c>
      <c r="P922" s="27">
        <v>13</v>
      </c>
      <c r="Q922" s="2">
        <f>INDEX(Остановки,MATCH(R922,ИД_Остановки!$B$3:$B$467,0),1)</f>
        <v>266</v>
      </c>
      <c r="R922" s="45" t="s">
        <v>142</v>
      </c>
      <c r="S922" s="20">
        <v>0.27</v>
      </c>
    </row>
    <row r="923" spans="8:19" x14ac:dyDescent="0.25">
      <c r="H923">
        <v>6</v>
      </c>
      <c r="I923">
        <v>553</v>
      </c>
      <c r="J923">
        <v>115</v>
      </c>
      <c r="K923" t="b">
        <v>1</v>
      </c>
      <c r="N923" s="30" t="s">
        <v>210</v>
      </c>
      <c r="O923" s="2">
        <f>INDEX(Маршруты,MATCH(N923,$B$3:$B$498,0),1)</f>
        <v>40</v>
      </c>
      <c r="P923" s="27">
        <v>14</v>
      </c>
      <c r="Q923" s="2">
        <f>INDEX(Остановки,MATCH(R923,ИД_Остановки!$B$3:$B$467,0),1)</f>
        <v>209</v>
      </c>
      <c r="R923" s="45" t="s">
        <v>346</v>
      </c>
      <c r="S923" s="20">
        <v>0.33</v>
      </c>
    </row>
    <row r="924" spans="8:19" x14ac:dyDescent="0.25">
      <c r="H924">
        <v>6</v>
      </c>
      <c r="I924">
        <v>560</v>
      </c>
      <c r="J924">
        <v>115</v>
      </c>
      <c r="K924" t="b">
        <v>1</v>
      </c>
      <c r="N924" s="26" t="s">
        <v>210</v>
      </c>
      <c r="O924" s="2">
        <f>INDEX(Маршруты,MATCH(N924,$B$3:$B$498,0),1)</f>
        <v>40</v>
      </c>
      <c r="P924" s="27">
        <v>15</v>
      </c>
      <c r="Q924" s="2">
        <f>INDEX(Остановки,MATCH(R924,ИД_Остановки!$B$3:$B$467,0),1)</f>
        <v>265</v>
      </c>
      <c r="R924" s="45" t="s">
        <v>141</v>
      </c>
      <c r="S924" s="20">
        <v>0.56999999999999995</v>
      </c>
    </row>
    <row r="925" spans="8:19" x14ac:dyDescent="0.25">
      <c r="H925">
        <v>6</v>
      </c>
      <c r="I925">
        <v>567</v>
      </c>
      <c r="J925">
        <v>115</v>
      </c>
      <c r="K925" t="b">
        <v>1</v>
      </c>
      <c r="N925" s="25" t="s">
        <v>210</v>
      </c>
      <c r="O925" s="2">
        <f>INDEX(Маршруты,MATCH(N925,$B$3:$B$498,0),1)</f>
        <v>40</v>
      </c>
      <c r="P925" s="27">
        <v>16</v>
      </c>
      <c r="Q925" s="2">
        <f>INDEX(Остановки,MATCH(R925,ИД_Остановки!$B$3:$B$467,0),1)</f>
        <v>379</v>
      </c>
      <c r="R925" s="45" t="s">
        <v>437</v>
      </c>
      <c r="S925" s="20">
        <v>0.25</v>
      </c>
    </row>
    <row r="926" spans="8:19" x14ac:dyDescent="0.25">
      <c r="H926">
        <v>6</v>
      </c>
      <c r="I926">
        <v>574</v>
      </c>
      <c r="J926">
        <v>115</v>
      </c>
      <c r="K926" t="b">
        <v>1</v>
      </c>
      <c r="N926" s="25" t="s">
        <v>210</v>
      </c>
      <c r="O926" s="2">
        <f>INDEX(Маршруты,MATCH(N926,$B$3:$B$498,0),1)</f>
        <v>40</v>
      </c>
      <c r="P926" s="27">
        <v>17</v>
      </c>
      <c r="Q926" s="2">
        <f>INDEX(Остановки,MATCH(R926,ИД_Остановки!$B$3:$B$467,0),1)</f>
        <v>185</v>
      </c>
      <c r="R926" s="45" t="s">
        <v>331</v>
      </c>
      <c r="S926" s="20">
        <v>0.19</v>
      </c>
    </row>
    <row r="927" spans="8:19" x14ac:dyDescent="0.25">
      <c r="H927">
        <v>6</v>
      </c>
      <c r="I927">
        <v>581</v>
      </c>
      <c r="J927">
        <v>115</v>
      </c>
      <c r="K927" t="b">
        <v>1</v>
      </c>
      <c r="N927" s="25" t="s">
        <v>210</v>
      </c>
      <c r="O927" s="2">
        <f>INDEX(Маршруты,MATCH(N927,$B$3:$B$498,0),1)</f>
        <v>40</v>
      </c>
      <c r="P927" s="28">
        <v>18</v>
      </c>
      <c r="Q927" s="2">
        <f>INDEX(Остановки,MATCH(R927,ИД_Остановки!$B$3:$B$467,0),1)</f>
        <v>210</v>
      </c>
      <c r="R927" s="24" t="s">
        <v>347</v>
      </c>
      <c r="S927" s="20">
        <v>0.36</v>
      </c>
    </row>
    <row r="928" spans="8:19" x14ac:dyDescent="0.25">
      <c r="H928">
        <v>6</v>
      </c>
      <c r="I928">
        <v>588</v>
      </c>
      <c r="J928">
        <v>115</v>
      </c>
      <c r="K928" t="b">
        <v>1</v>
      </c>
      <c r="N928" s="30" t="s">
        <v>210</v>
      </c>
      <c r="O928" s="2">
        <f>INDEX(Маршруты,MATCH(N928,$B$3:$B$498,0),1)</f>
        <v>40</v>
      </c>
      <c r="P928" s="27">
        <v>19</v>
      </c>
      <c r="Q928" s="2">
        <f>INDEX(Остановки,MATCH(R928,ИД_Остановки!$B$3:$B$467,0),1)</f>
        <v>211</v>
      </c>
      <c r="R928" s="45" t="s">
        <v>122</v>
      </c>
      <c r="S928" s="20">
        <v>0.37</v>
      </c>
    </row>
    <row r="929" spans="8:19" x14ac:dyDescent="0.25">
      <c r="H929">
        <v>6</v>
      </c>
      <c r="I929">
        <v>595</v>
      </c>
      <c r="J929">
        <v>115</v>
      </c>
      <c r="K929" t="b">
        <v>1</v>
      </c>
      <c r="N929" s="25" t="s">
        <v>210</v>
      </c>
      <c r="O929" s="2">
        <f>INDEX(Маршруты,MATCH(N929,$B$3:$B$498,0),1)</f>
        <v>40</v>
      </c>
      <c r="P929" s="27">
        <v>20</v>
      </c>
      <c r="Q929" s="2">
        <f>INDEX(Остановки,MATCH(R929,ИД_Остановки!$B$3:$B$467,0),1)</f>
        <v>184</v>
      </c>
      <c r="R929" s="45" t="s">
        <v>112</v>
      </c>
      <c r="S929" s="20">
        <v>0.49</v>
      </c>
    </row>
    <row r="930" spans="8:19" x14ac:dyDescent="0.25">
      <c r="H930">
        <v>6</v>
      </c>
      <c r="I930">
        <v>602</v>
      </c>
      <c r="J930">
        <v>115</v>
      </c>
      <c r="K930" t="b">
        <v>1</v>
      </c>
      <c r="N930" s="30" t="s">
        <v>210</v>
      </c>
      <c r="O930" s="2">
        <f>INDEX(Маршруты,MATCH(N930,$B$3:$B$498,0),1)</f>
        <v>40</v>
      </c>
      <c r="P930" s="27">
        <v>21</v>
      </c>
      <c r="Q930" s="2">
        <f>INDEX(Остановки,MATCH(R930,ИД_Остановки!$B$3:$B$467,0),1)</f>
        <v>268</v>
      </c>
      <c r="R930" s="45" t="s">
        <v>383</v>
      </c>
      <c r="S930" s="20">
        <v>0.59</v>
      </c>
    </row>
    <row r="931" spans="8:19" x14ac:dyDescent="0.25">
      <c r="H931">
        <v>6</v>
      </c>
      <c r="I931">
        <v>609</v>
      </c>
      <c r="J931">
        <v>115</v>
      </c>
      <c r="K931" t="b">
        <v>1</v>
      </c>
      <c r="N931" s="14" t="s">
        <v>210</v>
      </c>
      <c r="O931" s="2">
        <f>INDEX(Маршруты,MATCH(N931,$B$3:$B$498,0),1)</f>
        <v>40</v>
      </c>
      <c r="P931" s="27">
        <v>22</v>
      </c>
      <c r="Q931" s="2">
        <f>INDEX(Остановки,MATCH(R931,ИД_Остановки!$B$3:$B$467,0),1)</f>
        <v>264</v>
      </c>
      <c r="R931" s="45" t="s">
        <v>381</v>
      </c>
      <c r="S931" s="20">
        <v>0.43</v>
      </c>
    </row>
    <row r="932" spans="8:19" x14ac:dyDescent="0.25">
      <c r="H932">
        <v>6</v>
      </c>
      <c r="I932">
        <v>616</v>
      </c>
      <c r="J932">
        <v>115</v>
      </c>
      <c r="K932" t="b">
        <v>1</v>
      </c>
      <c r="N932" s="30" t="s">
        <v>210</v>
      </c>
      <c r="O932" s="2">
        <f>INDEX(Маршруты,MATCH(N932,$B$3:$B$498,0),1)</f>
        <v>40</v>
      </c>
      <c r="P932" s="27">
        <v>23</v>
      </c>
      <c r="Q932" s="2">
        <f>INDEX(Остановки,MATCH(R932,ИД_Остановки!$B$3:$B$467,0),1)</f>
        <v>263</v>
      </c>
      <c r="R932" s="45" t="s">
        <v>380</v>
      </c>
      <c r="S932" s="20">
        <v>0.68</v>
      </c>
    </row>
    <row r="933" spans="8:19" x14ac:dyDescent="0.25">
      <c r="H933">
        <v>6</v>
      </c>
      <c r="I933">
        <v>623</v>
      </c>
      <c r="J933">
        <v>115</v>
      </c>
      <c r="K933" t="b">
        <v>1</v>
      </c>
      <c r="N933" s="25" t="s">
        <v>210</v>
      </c>
      <c r="O933" s="2">
        <f>INDEX(Маршруты,MATCH(N933,$B$3:$B$498,0),1)</f>
        <v>40</v>
      </c>
      <c r="P933" s="28">
        <v>24</v>
      </c>
      <c r="Q933" s="2">
        <f>INDEX(Остановки,MATCH(R933,ИД_Остановки!$B$3:$B$467,0),1)</f>
        <v>262</v>
      </c>
      <c r="R933" s="24" t="s">
        <v>140</v>
      </c>
      <c r="S933" s="20">
        <v>0.31</v>
      </c>
    </row>
    <row r="934" spans="8:19" x14ac:dyDescent="0.25">
      <c r="H934">
        <v>6</v>
      </c>
      <c r="I934">
        <v>630</v>
      </c>
      <c r="J934">
        <v>115</v>
      </c>
      <c r="K934" t="b">
        <v>1</v>
      </c>
      <c r="N934" s="30" t="s">
        <v>210</v>
      </c>
      <c r="O934" s="2">
        <f>INDEX(Маршруты,MATCH(N934,$B$3:$B$498,0),1)</f>
        <v>40</v>
      </c>
      <c r="P934" s="27">
        <v>25</v>
      </c>
      <c r="Q934" s="2">
        <f>INDEX(Остановки,MATCH(R934,ИД_Остановки!$B$3:$B$467,0),1)</f>
        <v>261</v>
      </c>
      <c r="R934" s="45" t="s">
        <v>139</v>
      </c>
      <c r="S934" s="20">
        <v>0.35</v>
      </c>
    </row>
    <row r="935" spans="8:19" x14ac:dyDescent="0.25">
      <c r="H935">
        <v>6</v>
      </c>
      <c r="I935">
        <v>637</v>
      </c>
      <c r="J935">
        <v>115</v>
      </c>
      <c r="K935" t="b">
        <v>1</v>
      </c>
      <c r="N935" s="25" t="s">
        <v>210</v>
      </c>
      <c r="O935" s="2">
        <f>INDEX(Маршруты,MATCH(N935,$B$3:$B$498,0),1)</f>
        <v>40</v>
      </c>
      <c r="P935" s="27">
        <v>26</v>
      </c>
      <c r="Q935" s="2">
        <f>INDEX(Остановки,MATCH(R935,ИД_Остановки!$B$3:$B$467,0),1)</f>
        <v>260</v>
      </c>
      <c r="R935" s="45" t="s">
        <v>379</v>
      </c>
      <c r="S935" s="20">
        <v>0.54</v>
      </c>
    </row>
    <row r="936" spans="8:19" x14ac:dyDescent="0.25">
      <c r="H936">
        <v>6</v>
      </c>
      <c r="I936">
        <v>644</v>
      </c>
      <c r="J936">
        <v>115</v>
      </c>
      <c r="K936" t="b">
        <v>1</v>
      </c>
      <c r="N936" s="25" t="s">
        <v>210</v>
      </c>
      <c r="O936" s="2">
        <f>INDEX(Маршруты,MATCH(N936,$B$3:$B$498,0),1)</f>
        <v>40</v>
      </c>
      <c r="P936" s="27">
        <v>27</v>
      </c>
      <c r="Q936" s="2">
        <f>INDEX(Остановки,MATCH(R936,ИД_Остановки!$B$3:$B$467,0),1)</f>
        <v>259</v>
      </c>
      <c r="R936" s="45" t="s">
        <v>138</v>
      </c>
      <c r="S936" s="20">
        <v>1.05</v>
      </c>
    </row>
    <row r="937" spans="8:19" x14ac:dyDescent="0.25">
      <c r="H937">
        <v>6</v>
      </c>
      <c r="I937">
        <v>651</v>
      </c>
      <c r="J937">
        <v>115</v>
      </c>
      <c r="K937" t="b">
        <v>1</v>
      </c>
      <c r="N937" s="30" t="s">
        <v>525</v>
      </c>
      <c r="O937" s="2">
        <f>INDEX(Маршруты,MATCH(N937,$B$3:$B$498,0),1)</f>
        <v>41</v>
      </c>
      <c r="P937" s="27">
        <v>1</v>
      </c>
      <c r="Q937" s="2">
        <f>INDEX(Остановки,MATCH(R937,ИД_Остановки!$B$3:$B$467,0),1)</f>
        <v>97</v>
      </c>
      <c r="R937" s="45" t="s">
        <v>69</v>
      </c>
      <c r="S937" s="20"/>
    </row>
    <row r="938" spans="8:19" x14ac:dyDescent="0.25">
      <c r="H938">
        <v>6</v>
      </c>
      <c r="I938">
        <v>658</v>
      </c>
      <c r="J938">
        <v>115</v>
      </c>
      <c r="K938" t="b">
        <v>1</v>
      </c>
      <c r="N938" s="30" t="s">
        <v>525</v>
      </c>
      <c r="O938" s="2">
        <f>INDEX(Маршруты,MATCH(N938,$B$3:$B$498,0),1)</f>
        <v>41</v>
      </c>
      <c r="P938" s="27">
        <v>2</v>
      </c>
      <c r="Q938" s="2">
        <f>INDEX(Остановки,MATCH(R938,ИД_Остановки!$B$3:$B$467,0),1)</f>
        <v>220</v>
      </c>
      <c r="R938" s="45" t="s">
        <v>352</v>
      </c>
      <c r="S938" s="20">
        <v>0.47</v>
      </c>
    </row>
    <row r="939" spans="8:19" x14ac:dyDescent="0.25">
      <c r="H939">
        <v>6</v>
      </c>
      <c r="I939">
        <v>665</v>
      </c>
      <c r="J939">
        <v>115</v>
      </c>
      <c r="K939" t="b">
        <v>1</v>
      </c>
      <c r="N939" s="26" t="s">
        <v>525</v>
      </c>
      <c r="O939" s="2">
        <f>INDEX(Маршруты,MATCH(N939,$B$3:$B$498,0),1)</f>
        <v>41</v>
      </c>
      <c r="P939" s="27">
        <v>3</v>
      </c>
      <c r="Q939" s="2">
        <f>INDEX(Остановки,MATCH(R939,ИД_Остановки!$B$3:$B$467,0),1)</f>
        <v>119</v>
      </c>
      <c r="R939" s="45" t="s">
        <v>165</v>
      </c>
      <c r="S939" s="20">
        <v>0.52</v>
      </c>
    </row>
    <row r="940" spans="8:19" x14ac:dyDescent="0.25">
      <c r="H940">
        <v>6</v>
      </c>
      <c r="I940">
        <v>672</v>
      </c>
      <c r="J940">
        <v>115</v>
      </c>
      <c r="K940" t="b">
        <v>1</v>
      </c>
      <c r="N940" s="25" t="s">
        <v>525</v>
      </c>
      <c r="O940" s="2">
        <f>INDEX(Маршруты,MATCH(N940,$B$3:$B$498,0),1)</f>
        <v>41</v>
      </c>
      <c r="P940" s="27">
        <v>4</v>
      </c>
      <c r="Q940" s="2">
        <f>INDEX(Остановки,MATCH(R940,ИД_Остановки!$B$3:$B$467,0),1)</f>
        <v>117</v>
      </c>
      <c r="R940" s="45" t="s">
        <v>298</v>
      </c>
      <c r="S940" s="20">
        <v>0.79</v>
      </c>
    </row>
    <row r="941" spans="8:19" x14ac:dyDescent="0.25">
      <c r="H941">
        <v>6</v>
      </c>
      <c r="I941">
        <v>679</v>
      </c>
      <c r="J941">
        <v>115</v>
      </c>
      <c r="K941" t="b">
        <v>1</v>
      </c>
      <c r="N941" s="25" t="s">
        <v>525</v>
      </c>
      <c r="O941" s="2">
        <f>INDEX(Маршруты,MATCH(N941,$B$3:$B$498,0),1)</f>
        <v>41</v>
      </c>
      <c r="P941" s="27">
        <v>5</v>
      </c>
      <c r="Q941" s="2">
        <f>INDEX(Остановки,MATCH(R941,ИД_Остановки!$B$3:$B$467,0),1)</f>
        <v>335</v>
      </c>
      <c r="R941" s="45" t="s">
        <v>191</v>
      </c>
      <c r="S941" s="20">
        <v>0.41</v>
      </c>
    </row>
    <row r="942" spans="8:19" x14ac:dyDescent="0.25">
      <c r="H942">
        <v>6</v>
      </c>
      <c r="I942">
        <v>686</v>
      </c>
      <c r="J942">
        <v>115</v>
      </c>
      <c r="K942" t="b">
        <v>1</v>
      </c>
      <c r="N942" s="26" t="s">
        <v>525</v>
      </c>
      <c r="O942" s="2">
        <f>INDEX(Маршруты,MATCH(N942,$B$3:$B$498,0),1)</f>
        <v>41</v>
      </c>
      <c r="P942" s="27">
        <v>6</v>
      </c>
      <c r="Q942" s="2">
        <f>INDEX(Остановки,MATCH(R942,ИД_Остановки!$B$3:$B$467,0),1)</f>
        <v>104</v>
      </c>
      <c r="R942" s="45" t="s">
        <v>289</v>
      </c>
      <c r="S942" s="20">
        <v>0.57999999999999996</v>
      </c>
    </row>
    <row r="943" spans="8:19" x14ac:dyDescent="0.25">
      <c r="H943">
        <v>6</v>
      </c>
      <c r="I943">
        <v>693</v>
      </c>
      <c r="J943">
        <v>115</v>
      </c>
      <c r="K943" t="b">
        <v>1</v>
      </c>
      <c r="N943" s="30" t="s">
        <v>525</v>
      </c>
      <c r="O943" s="2">
        <f>INDEX(Маршруты,MATCH(N943,$B$3:$B$498,0),1)</f>
        <v>41</v>
      </c>
      <c r="P943" s="27">
        <v>7</v>
      </c>
      <c r="Q943" s="2">
        <f>INDEX(Остановки,MATCH(R943,ИД_Остановки!$B$3:$B$467,0),1)</f>
        <v>81</v>
      </c>
      <c r="R943" s="24" t="s">
        <v>279</v>
      </c>
      <c r="S943" s="20">
        <v>0.34</v>
      </c>
    </row>
    <row r="944" spans="8:19" x14ac:dyDescent="0.25">
      <c r="H944">
        <v>6</v>
      </c>
      <c r="I944">
        <v>700</v>
      </c>
      <c r="J944">
        <v>115</v>
      </c>
      <c r="K944" t="b">
        <v>1</v>
      </c>
      <c r="N944" s="25" t="s">
        <v>525</v>
      </c>
      <c r="O944" s="2">
        <f>INDEX(Маршруты,MATCH(N944,$B$3:$B$498,0),1)</f>
        <v>41</v>
      </c>
      <c r="P944" s="27">
        <v>8</v>
      </c>
      <c r="Q944" s="2">
        <f>INDEX(Остановки,MATCH(R944,ИД_Остановки!$B$3:$B$467,0),1)</f>
        <v>413</v>
      </c>
      <c r="R944" s="45" t="s">
        <v>469</v>
      </c>
      <c r="S944" s="20">
        <v>0.6</v>
      </c>
    </row>
    <row r="945" spans="8:19" x14ac:dyDescent="0.25">
      <c r="H945">
        <v>6</v>
      </c>
      <c r="I945">
        <v>707</v>
      </c>
      <c r="J945">
        <v>115</v>
      </c>
      <c r="K945" t="b">
        <v>1</v>
      </c>
      <c r="N945" s="30" t="s">
        <v>525</v>
      </c>
      <c r="O945" s="2">
        <f>INDEX(Маршруты,MATCH(N945,$B$3:$B$498,0),1)</f>
        <v>41</v>
      </c>
      <c r="P945" s="27">
        <v>9</v>
      </c>
      <c r="Q945" s="2">
        <f>INDEX(Остановки,MATCH(R945,ИД_Остановки!$B$3:$B$467,0),1)</f>
        <v>412</v>
      </c>
      <c r="R945" s="45" t="s">
        <v>468</v>
      </c>
      <c r="S945" s="20">
        <v>0.57999999999999996</v>
      </c>
    </row>
    <row r="946" spans="8:19" x14ac:dyDescent="0.25">
      <c r="H946">
        <v>6</v>
      </c>
      <c r="I946">
        <v>714</v>
      </c>
      <c r="J946">
        <v>115</v>
      </c>
      <c r="K946" t="b">
        <v>1</v>
      </c>
      <c r="N946" s="30" t="s">
        <v>525</v>
      </c>
      <c r="O946" s="2">
        <f>INDEX(Маршруты,MATCH(N946,$B$3:$B$498,0),1)</f>
        <v>41</v>
      </c>
      <c r="P946" s="27">
        <v>10</v>
      </c>
      <c r="Q946" s="2">
        <f>INDEX(Остановки,MATCH(R946,ИД_Остановки!$B$3:$B$467,0),1)</f>
        <v>191</v>
      </c>
      <c r="R946" s="45" t="s">
        <v>334</v>
      </c>
      <c r="S946" s="20">
        <v>0.88</v>
      </c>
    </row>
    <row r="947" spans="8:19" x14ac:dyDescent="0.25">
      <c r="H947">
        <v>6</v>
      </c>
      <c r="I947">
        <v>721</v>
      </c>
      <c r="J947">
        <v>115</v>
      </c>
      <c r="K947" t="b">
        <v>1</v>
      </c>
      <c r="N947" s="25" t="s">
        <v>525</v>
      </c>
      <c r="O947" s="2">
        <f>INDEX(Маршруты,MATCH(N947,$B$3:$B$498,0),1)</f>
        <v>41</v>
      </c>
      <c r="P947" s="27">
        <v>11</v>
      </c>
      <c r="Q947" s="2">
        <f>INDEX(Остановки,MATCH(R947,ИД_Остановки!$B$3:$B$467,0),1)</f>
        <v>377</v>
      </c>
      <c r="R947" s="45" t="s">
        <v>435</v>
      </c>
      <c r="S947" s="20">
        <v>0.91</v>
      </c>
    </row>
    <row r="948" spans="8:19" x14ac:dyDescent="0.25">
      <c r="H948">
        <v>6</v>
      </c>
      <c r="I948">
        <v>728</v>
      </c>
      <c r="J948">
        <v>115</v>
      </c>
      <c r="K948" t="b">
        <v>1</v>
      </c>
      <c r="N948" s="30" t="s">
        <v>525</v>
      </c>
      <c r="O948" s="2">
        <f>INDEX(Маршруты,MATCH(N948,$B$3:$B$498,0),1)</f>
        <v>41</v>
      </c>
      <c r="P948" s="27">
        <v>12</v>
      </c>
      <c r="Q948" s="2">
        <f>INDEX(Остановки,MATCH(R948,ИД_Остановки!$B$3:$B$467,0),1)</f>
        <v>234</v>
      </c>
      <c r="R948" s="45" t="s">
        <v>362</v>
      </c>
      <c r="S948" s="20">
        <v>0.33</v>
      </c>
    </row>
    <row r="949" spans="8:19" x14ac:dyDescent="0.25">
      <c r="H949">
        <v>6</v>
      </c>
      <c r="I949">
        <v>735</v>
      </c>
      <c r="J949">
        <v>115</v>
      </c>
      <c r="K949" t="b">
        <v>1</v>
      </c>
      <c r="N949" s="30" t="s">
        <v>526</v>
      </c>
      <c r="O949" s="2">
        <f>INDEX(Маршруты,MATCH(N949,$B$3:$B$498,0),1)</f>
        <v>42</v>
      </c>
      <c r="P949" s="27">
        <v>1</v>
      </c>
      <c r="Q949" s="2">
        <f>INDEX(Остановки,MATCH(R949,ИД_Остановки!$B$3:$B$467,0),1)</f>
        <v>234</v>
      </c>
      <c r="R949" s="45" t="s">
        <v>362</v>
      </c>
      <c r="S949" s="20"/>
    </row>
    <row r="950" spans="8:19" x14ac:dyDescent="0.25">
      <c r="H950">
        <v>6</v>
      </c>
      <c r="I950">
        <v>742</v>
      </c>
      <c r="J950">
        <v>115</v>
      </c>
      <c r="K950" t="b">
        <v>1</v>
      </c>
      <c r="N950" s="30" t="s">
        <v>526</v>
      </c>
      <c r="O950" s="2">
        <f>INDEX(Маршруты,MATCH(N950,$B$3:$B$498,0),1)</f>
        <v>42</v>
      </c>
      <c r="P950" s="27">
        <v>2</v>
      </c>
      <c r="Q950" s="2">
        <f>INDEX(Остановки,MATCH(R950,ИД_Остановки!$B$3:$B$467,0),1)</f>
        <v>377</v>
      </c>
      <c r="R950" s="45" t="s">
        <v>435</v>
      </c>
      <c r="S950" s="20">
        <v>0.33</v>
      </c>
    </row>
    <row r="951" spans="8:19" x14ac:dyDescent="0.25">
      <c r="H951">
        <v>6</v>
      </c>
      <c r="I951">
        <v>749</v>
      </c>
      <c r="J951">
        <v>115</v>
      </c>
      <c r="K951" t="b">
        <v>1</v>
      </c>
      <c r="N951" s="30" t="s">
        <v>526</v>
      </c>
      <c r="O951" s="2">
        <f>INDEX(Маршруты,MATCH(N951,$B$3:$B$498,0),1)</f>
        <v>42</v>
      </c>
      <c r="P951" s="27">
        <v>3</v>
      </c>
      <c r="Q951" s="2">
        <f>INDEX(Остановки,MATCH(R951,ИД_Остановки!$B$3:$B$467,0),1)</f>
        <v>191</v>
      </c>
      <c r="R951" s="45" t="s">
        <v>334</v>
      </c>
      <c r="S951" s="20">
        <v>0.91</v>
      </c>
    </row>
    <row r="952" spans="8:19" x14ac:dyDescent="0.25">
      <c r="H952">
        <v>6</v>
      </c>
      <c r="I952">
        <v>756</v>
      </c>
      <c r="J952">
        <v>115</v>
      </c>
      <c r="K952" t="b">
        <v>1</v>
      </c>
      <c r="N952" s="25" t="s">
        <v>526</v>
      </c>
      <c r="O952" s="2">
        <f>INDEX(Маршруты,MATCH(N952,$B$3:$B$498,0),1)</f>
        <v>42</v>
      </c>
      <c r="P952" s="27">
        <v>4</v>
      </c>
      <c r="Q952" s="2">
        <f>INDEX(Остановки,MATCH(R952,ИД_Остановки!$B$3:$B$467,0),1)</f>
        <v>412</v>
      </c>
      <c r="R952" s="45" t="s">
        <v>468</v>
      </c>
      <c r="S952" s="20">
        <v>0.88</v>
      </c>
    </row>
    <row r="953" spans="8:19" x14ac:dyDescent="0.25">
      <c r="H953">
        <v>6</v>
      </c>
      <c r="I953">
        <v>763</v>
      </c>
      <c r="J953">
        <v>115</v>
      </c>
      <c r="K953" t="b">
        <v>1</v>
      </c>
      <c r="N953" s="25" t="s">
        <v>526</v>
      </c>
      <c r="O953" s="2">
        <f>INDEX(Маршруты,MATCH(N953,$B$3:$B$498,0),1)</f>
        <v>42</v>
      </c>
      <c r="P953" s="27">
        <v>5</v>
      </c>
      <c r="Q953" s="2">
        <f>INDEX(Остановки,MATCH(R953,ИД_Остановки!$B$3:$B$467,0),1)</f>
        <v>413</v>
      </c>
      <c r="R953" s="45" t="s">
        <v>469</v>
      </c>
      <c r="S953" s="20">
        <v>0.57999999999999996</v>
      </c>
    </row>
    <row r="954" spans="8:19" x14ac:dyDescent="0.25">
      <c r="H954">
        <v>6</v>
      </c>
      <c r="I954">
        <v>770</v>
      </c>
      <c r="J954">
        <v>115</v>
      </c>
      <c r="K954" t="b">
        <v>1</v>
      </c>
      <c r="N954" s="25" t="s">
        <v>526</v>
      </c>
      <c r="O954" s="2">
        <f>INDEX(Маршруты,MATCH(N954,$B$3:$B$498,0),1)</f>
        <v>42</v>
      </c>
      <c r="P954" s="27">
        <v>6</v>
      </c>
      <c r="Q954" s="2">
        <f>INDEX(Остановки,MATCH(R954,ИД_Остановки!$B$3:$B$467,0),1)</f>
        <v>81</v>
      </c>
      <c r="R954" s="45" t="s">
        <v>279</v>
      </c>
      <c r="S954" s="20">
        <v>0.6</v>
      </c>
    </row>
    <row r="955" spans="8:19" x14ac:dyDescent="0.25">
      <c r="H955">
        <v>6</v>
      </c>
      <c r="I955">
        <v>777</v>
      </c>
      <c r="J955">
        <v>115</v>
      </c>
      <c r="K955" t="b">
        <v>1</v>
      </c>
      <c r="N955" s="25" t="s">
        <v>526</v>
      </c>
      <c r="O955" s="2">
        <f>INDEX(Маршруты,MATCH(N955,$B$3:$B$498,0),1)</f>
        <v>42</v>
      </c>
      <c r="P955" s="28">
        <v>7</v>
      </c>
      <c r="Q955" s="2">
        <f>INDEX(Остановки,MATCH(R955,ИД_Остановки!$B$3:$B$467,0),1)</f>
        <v>104</v>
      </c>
      <c r="R955" s="24" t="s">
        <v>289</v>
      </c>
      <c r="S955" s="20">
        <v>0.34</v>
      </c>
    </row>
    <row r="956" spans="8:19" x14ac:dyDescent="0.25">
      <c r="H956">
        <v>6</v>
      </c>
      <c r="I956">
        <v>784</v>
      </c>
      <c r="J956">
        <v>115</v>
      </c>
      <c r="K956" t="b">
        <v>1</v>
      </c>
      <c r="N956" s="30" t="s">
        <v>526</v>
      </c>
      <c r="O956" s="2">
        <f>INDEX(Маршруты,MATCH(N956,$B$3:$B$498,0),1)</f>
        <v>42</v>
      </c>
      <c r="P956" s="27">
        <v>8</v>
      </c>
      <c r="Q956" s="2">
        <f>INDEX(Остановки,MATCH(R956,ИД_Остановки!$B$3:$B$467,0),1)</f>
        <v>335</v>
      </c>
      <c r="R956" s="45" t="s">
        <v>191</v>
      </c>
      <c r="S956" s="20">
        <v>0.57999999999999996</v>
      </c>
    </row>
    <row r="957" spans="8:19" x14ac:dyDescent="0.25">
      <c r="H957">
        <v>6</v>
      </c>
      <c r="I957">
        <v>791</v>
      </c>
      <c r="J957">
        <v>115</v>
      </c>
      <c r="K957" t="b">
        <v>1</v>
      </c>
      <c r="N957" s="25" t="s">
        <v>526</v>
      </c>
      <c r="O957" s="2">
        <f>INDEX(Маршруты,MATCH(N957,$B$3:$B$498,0),1)</f>
        <v>42</v>
      </c>
      <c r="P957" s="27">
        <v>9</v>
      </c>
      <c r="Q957" s="2">
        <f>INDEX(Остановки,MATCH(R957,ИД_Остановки!$B$3:$B$467,0),1)</f>
        <v>117</v>
      </c>
      <c r="R957" s="45" t="s">
        <v>298</v>
      </c>
      <c r="S957" s="20">
        <v>0.41</v>
      </c>
    </row>
    <row r="958" spans="8:19" x14ac:dyDescent="0.25">
      <c r="H958">
        <v>6</v>
      </c>
      <c r="I958">
        <v>798</v>
      </c>
      <c r="J958">
        <v>115</v>
      </c>
      <c r="K958" t="b">
        <v>1</v>
      </c>
      <c r="N958" s="30" t="s">
        <v>526</v>
      </c>
      <c r="O958" s="2">
        <f>INDEX(Маршруты,MATCH(N958,$B$3:$B$498,0),1)</f>
        <v>42</v>
      </c>
      <c r="P958" s="27">
        <v>10</v>
      </c>
      <c r="Q958" s="2">
        <f>INDEX(Остановки,MATCH(R958,ИД_Остановки!$B$3:$B$467,0),1)</f>
        <v>119</v>
      </c>
      <c r="R958" s="45" t="s">
        <v>165</v>
      </c>
      <c r="S958" s="20">
        <v>0.79</v>
      </c>
    </row>
    <row r="959" spans="8:19" x14ac:dyDescent="0.25">
      <c r="H959">
        <v>6</v>
      </c>
      <c r="I959">
        <v>805</v>
      </c>
      <c r="J959">
        <v>115</v>
      </c>
      <c r="K959" t="b">
        <v>1</v>
      </c>
      <c r="N959" s="25" t="s">
        <v>526</v>
      </c>
      <c r="O959" s="2">
        <f>INDEX(Маршруты,MATCH(N959,$B$3:$B$498,0),1)</f>
        <v>42</v>
      </c>
      <c r="P959" s="27">
        <v>11</v>
      </c>
      <c r="Q959" s="2">
        <f>INDEX(Остановки,MATCH(R959,ИД_Остановки!$B$3:$B$467,0),1)</f>
        <v>220</v>
      </c>
      <c r="R959" s="45" t="s">
        <v>352</v>
      </c>
      <c r="S959" s="20">
        <v>0.52</v>
      </c>
    </row>
    <row r="960" spans="8:19" x14ac:dyDescent="0.25">
      <c r="H960">
        <v>6</v>
      </c>
      <c r="I960">
        <v>812</v>
      </c>
      <c r="J960">
        <v>115</v>
      </c>
      <c r="K960" t="b">
        <v>1</v>
      </c>
      <c r="N960" s="30" t="s">
        <v>526</v>
      </c>
      <c r="O960" s="2">
        <f>INDEX(Маршруты,MATCH(N960,$B$3:$B$498,0),1)</f>
        <v>42</v>
      </c>
      <c r="P960" s="27">
        <v>12</v>
      </c>
      <c r="Q960" s="2">
        <f>INDEX(Остановки,MATCH(R960,ИД_Остановки!$B$3:$B$467,0),1)</f>
        <v>97</v>
      </c>
      <c r="R960" s="45" t="s">
        <v>69</v>
      </c>
      <c r="S960" s="20">
        <v>0.47</v>
      </c>
    </row>
    <row r="961" spans="8:19" x14ac:dyDescent="0.25">
      <c r="H961">
        <v>6</v>
      </c>
      <c r="I961">
        <v>819</v>
      </c>
      <c r="J961">
        <v>115</v>
      </c>
      <c r="K961" t="b">
        <v>1</v>
      </c>
      <c r="N961" s="30" t="s">
        <v>211</v>
      </c>
      <c r="O961" s="2">
        <f>INDEX(Маршруты,MATCH(N961,$B$3:$B$498,0),1)</f>
        <v>43</v>
      </c>
      <c r="P961" s="27">
        <v>1</v>
      </c>
      <c r="Q961" s="2">
        <f>INDEX(Остановки,MATCH(R961,ИД_Остановки!$B$3:$B$467,0),1)</f>
        <v>269</v>
      </c>
      <c r="R961" s="45" t="s">
        <v>143</v>
      </c>
      <c r="S961" s="20"/>
    </row>
    <row r="962" spans="8:19" x14ac:dyDescent="0.25">
      <c r="H962">
        <v>6</v>
      </c>
      <c r="I962">
        <v>826</v>
      </c>
      <c r="J962">
        <v>115</v>
      </c>
      <c r="K962" t="b">
        <v>1</v>
      </c>
      <c r="N962" s="30" t="s">
        <v>211</v>
      </c>
      <c r="O962" s="2">
        <f>INDEX(Маршруты,MATCH(N962,$B$3:$B$498,0),1)</f>
        <v>43</v>
      </c>
      <c r="P962" s="27">
        <v>2</v>
      </c>
      <c r="Q962" s="2">
        <f>INDEX(Остановки,MATCH(R962,ИД_Остановки!$B$3:$B$467,0),1)</f>
        <v>270</v>
      </c>
      <c r="R962" s="24" t="s">
        <v>384</v>
      </c>
      <c r="S962" s="20">
        <v>0.9</v>
      </c>
    </row>
    <row r="963" spans="8:19" x14ac:dyDescent="0.25">
      <c r="H963">
        <v>6</v>
      </c>
      <c r="I963">
        <v>833</v>
      </c>
      <c r="J963">
        <v>115</v>
      </c>
      <c r="K963" t="b">
        <v>1</v>
      </c>
      <c r="N963" s="30" t="s">
        <v>211</v>
      </c>
      <c r="O963" s="2">
        <f>INDEX(Маршруты,MATCH(N963,$B$3:$B$498,0),1)</f>
        <v>43</v>
      </c>
      <c r="P963" s="27">
        <v>3</v>
      </c>
      <c r="Q963" s="2">
        <f>INDEX(Остановки,MATCH(R963,ИД_Остановки!$B$3:$B$467,0),1)</f>
        <v>389</v>
      </c>
      <c r="R963" s="45" t="s">
        <v>446</v>
      </c>
      <c r="S963" s="20">
        <v>0.44</v>
      </c>
    </row>
    <row r="964" spans="8:19" x14ac:dyDescent="0.25">
      <c r="H964">
        <v>6</v>
      </c>
      <c r="I964">
        <v>840</v>
      </c>
      <c r="J964">
        <v>115</v>
      </c>
      <c r="K964" t="b">
        <v>1</v>
      </c>
      <c r="N964" s="30" t="s">
        <v>211</v>
      </c>
      <c r="O964" s="2">
        <f>INDEX(Маршруты,MATCH(N964,$B$3:$B$498,0),1)</f>
        <v>43</v>
      </c>
      <c r="P964" s="27">
        <v>4</v>
      </c>
      <c r="Q964" s="2">
        <f>INDEX(Остановки,MATCH(R964,ИД_Остановки!$B$3:$B$467,0),1)</f>
        <v>271</v>
      </c>
      <c r="R964" s="45" t="s">
        <v>144</v>
      </c>
      <c r="S964" s="20">
        <v>1.65</v>
      </c>
    </row>
    <row r="965" spans="8:19" x14ac:dyDescent="0.25">
      <c r="H965">
        <v>6</v>
      </c>
      <c r="I965">
        <v>847</v>
      </c>
      <c r="J965">
        <v>115</v>
      </c>
      <c r="K965" t="b">
        <v>1</v>
      </c>
      <c r="N965" s="25" t="s">
        <v>211</v>
      </c>
      <c r="O965" s="2">
        <f>INDEX(Маршруты,MATCH(N965,$B$3:$B$498,0),1)</f>
        <v>43</v>
      </c>
      <c r="P965" s="27">
        <v>5</v>
      </c>
      <c r="Q965" s="2">
        <f>INDEX(Остановки,MATCH(R965,ИД_Остановки!$B$3:$B$467,0),1)</f>
        <v>427</v>
      </c>
      <c r="R965" s="45" t="s">
        <v>483</v>
      </c>
      <c r="S965" s="20">
        <v>1</v>
      </c>
    </row>
    <row r="966" spans="8:19" x14ac:dyDescent="0.25">
      <c r="H966">
        <v>6</v>
      </c>
      <c r="I966">
        <v>854</v>
      </c>
      <c r="J966">
        <v>115</v>
      </c>
      <c r="K966" t="b">
        <v>1</v>
      </c>
      <c r="N966" s="25" t="s">
        <v>211</v>
      </c>
      <c r="O966" s="2">
        <f>INDEX(Маршруты,MATCH(N966,$B$3:$B$498,0),1)</f>
        <v>43</v>
      </c>
      <c r="P966" s="27">
        <v>6</v>
      </c>
      <c r="Q966" s="2">
        <f>INDEX(Остановки,MATCH(R966,ИД_Остановки!$B$3:$B$467,0),1)</f>
        <v>179</v>
      </c>
      <c r="R966" s="45" t="s">
        <v>328</v>
      </c>
      <c r="S966" s="20">
        <v>0.48</v>
      </c>
    </row>
    <row r="967" spans="8:19" x14ac:dyDescent="0.25">
      <c r="H967">
        <v>6</v>
      </c>
      <c r="I967">
        <v>861</v>
      </c>
      <c r="J967">
        <v>115</v>
      </c>
      <c r="K967" t="b">
        <v>1</v>
      </c>
      <c r="N967" s="24" t="s">
        <v>211</v>
      </c>
      <c r="O967" s="2">
        <f>INDEX(Маршруты,MATCH(N967,$B$3:$B$498,0),1)</f>
        <v>43</v>
      </c>
      <c r="P967" s="28">
        <v>7</v>
      </c>
      <c r="Q967" s="2">
        <f>INDEX(Остановки,MATCH(R967,ИД_Остановки!$B$3:$B$467,0),1)</f>
        <v>272</v>
      </c>
      <c r="R967" s="24" t="s">
        <v>145</v>
      </c>
      <c r="S967" s="21">
        <v>1.2</v>
      </c>
    </row>
    <row r="968" spans="8:19" x14ac:dyDescent="0.25">
      <c r="H968">
        <v>6</v>
      </c>
      <c r="I968">
        <v>868</v>
      </c>
      <c r="J968">
        <v>115</v>
      </c>
      <c r="K968" t="b">
        <v>1</v>
      </c>
      <c r="N968" s="30" t="s">
        <v>211</v>
      </c>
      <c r="O968" s="2">
        <f>INDEX(Маршруты,MATCH(N968,$B$3:$B$498,0),1)</f>
        <v>43</v>
      </c>
      <c r="P968" s="27">
        <v>8</v>
      </c>
      <c r="Q968" s="2">
        <f>INDEX(Остановки,MATCH(R968,ИД_Остановки!$B$3:$B$467,0),1)</f>
        <v>273</v>
      </c>
      <c r="R968" s="45" t="s">
        <v>146</v>
      </c>
      <c r="S968" s="20">
        <v>0.79</v>
      </c>
    </row>
    <row r="969" spans="8:19" x14ac:dyDescent="0.25">
      <c r="H969">
        <v>6</v>
      </c>
      <c r="I969">
        <v>875</v>
      </c>
      <c r="J969">
        <v>115</v>
      </c>
      <c r="K969" t="b">
        <v>1</v>
      </c>
      <c r="N969" s="25" t="s">
        <v>211</v>
      </c>
      <c r="O969" s="2">
        <f>INDEX(Маршруты,MATCH(N969,$B$3:$B$498,0),1)</f>
        <v>43</v>
      </c>
      <c r="P969" s="27">
        <v>9</v>
      </c>
      <c r="Q969" s="2">
        <f>INDEX(Остановки,MATCH(R969,ИД_Остановки!$B$3:$B$467,0),1)</f>
        <v>274</v>
      </c>
      <c r="R969" s="45" t="s">
        <v>147</v>
      </c>
      <c r="S969" s="20">
        <v>0.68</v>
      </c>
    </row>
    <row r="970" spans="8:19" x14ac:dyDescent="0.25">
      <c r="H970">
        <v>6</v>
      </c>
      <c r="I970">
        <v>882</v>
      </c>
      <c r="J970">
        <v>115</v>
      </c>
      <c r="K970" t="b">
        <v>1</v>
      </c>
      <c r="N970" s="25" t="s">
        <v>211</v>
      </c>
      <c r="O970" s="2">
        <f>INDEX(Маршруты,MATCH(N970,$B$3:$B$498,0),1)</f>
        <v>43</v>
      </c>
      <c r="P970" s="27">
        <v>10</v>
      </c>
      <c r="Q970" s="2">
        <f>INDEX(Остановки,MATCH(R970,ИД_Остановки!$B$3:$B$467,0),1)</f>
        <v>59</v>
      </c>
      <c r="R970" s="45" t="s">
        <v>48</v>
      </c>
      <c r="S970" s="20">
        <v>0.85</v>
      </c>
    </row>
    <row r="971" spans="8:19" x14ac:dyDescent="0.25">
      <c r="H971">
        <v>6</v>
      </c>
      <c r="I971">
        <v>889</v>
      </c>
      <c r="J971">
        <v>115</v>
      </c>
      <c r="K971" t="b">
        <v>1</v>
      </c>
      <c r="N971" s="30" t="s">
        <v>211</v>
      </c>
      <c r="O971" s="2">
        <f>INDEX(Маршруты,MATCH(N971,$B$3:$B$498,0),1)</f>
        <v>43</v>
      </c>
      <c r="P971" s="27">
        <v>11</v>
      </c>
      <c r="Q971" s="2">
        <f>INDEX(Остановки,MATCH(R971,ИД_Остановки!$B$3:$B$467,0),1)</f>
        <v>116</v>
      </c>
      <c r="R971" s="45" t="s">
        <v>75</v>
      </c>
      <c r="S971" s="20">
        <v>0.3</v>
      </c>
    </row>
    <row r="972" spans="8:19" x14ac:dyDescent="0.25">
      <c r="H972">
        <v>6</v>
      </c>
      <c r="I972">
        <v>896</v>
      </c>
      <c r="J972">
        <v>115</v>
      </c>
      <c r="K972" t="b">
        <v>1</v>
      </c>
      <c r="N972" s="25" t="s">
        <v>211</v>
      </c>
      <c r="O972" s="2">
        <f>INDEX(Маршруты,MATCH(N972,$B$3:$B$498,0),1)</f>
        <v>43</v>
      </c>
      <c r="P972" s="27">
        <v>12</v>
      </c>
      <c r="Q972" s="2">
        <f>INDEX(Остановки,MATCH(R972,ИД_Остановки!$B$3:$B$467,0),1)</f>
        <v>57</v>
      </c>
      <c r="R972" s="45" t="s">
        <v>47</v>
      </c>
      <c r="S972" s="20">
        <v>0.83</v>
      </c>
    </row>
    <row r="973" spans="8:19" x14ac:dyDescent="0.25">
      <c r="H973">
        <v>6</v>
      </c>
      <c r="I973">
        <v>903</v>
      </c>
      <c r="J973">
        <v>115</v>
      </c>
      <c r="K973" t="b">
        <v>1</v>
      </c>
      <c r="N973" s="30" t="s">
        <v>640</v>
      </c>
      <c r="O973" s="2">
        <f>INDEX(Маршруты,MATCH(N973,$B$3:$B$498,0),1)</f>
        <v>44</v>
      </c>
      <c r="P973" s="27">
        <v>1</v>
      </c>
      <c r="Q973" s="2">
        <f>INDEX(Остановки,MATCH(R973,ИД_Остановки!$B$3:$B$467,0),1)</f>
        <v>57</v>
      </c>
      <c r="R973" s="45" t="s">
        <v>47</v>
      </c>
      <c r="S973" s="20"/>
    </row>
    <row r="974" spans="8:19" x14ac:dyDescent="0.25">
      <c r="H974">
        <v>6</v>
      </c>
      <c r="I974">
        <v>910</v>
      </c>
      <c r="J974">
        <v>115</v>
      </c>
      <c r="K974" t="b">
        <v>1</v>
      </c>
      <c r="N974" s="30" t="s">
        <v>640</v>
      </c>
      <c r="O974" s="2">
        <f>INDEX(Маршруты,MATCH(N974,$B$3:$B$498,0),1)</f>
        <v>44</v>
      </c>
      <c r="P974" s="27">
        <v>2</v>
      </c>
      <c r="Q974" s="2">
        <f>INDEX(Остановки,MATCH(R974,ИД_Остановки!$B$3:$B$467,0),1)</f>
        <v>116</v>
      </c>
      <c r="R974" s="45" t="s">
        <v>75</v>
      </c>
      <c r="S974" s="20">
        <v>0.83</v>
      </c>
    </row>
    <row r="975" spans="8:19" x14ac:dyDescent="0.25">
      <c r="H975">
        <v>6</v>
      </c>
      <c r="I975">
        <v>917</v>
      </c>
      <c r="J975">
        <v>115</v>
      </c>
      <c r="K975" t="b">
        <v>1</v>
      </c>
      <c r="N975" s="30" t="s">
        <v>640</v>
      </c>
      <c r="O975" s="2">
        <f>INDEX(Маршруты,MATCH(N975,$B$3:$B$498,0),1)</f>
        <v>44</v>
      </c>
      <c r="P975" s="27">
        <v>3</v>
      </c>
      <c r="Q975" s="2">
        <f>INDEX(Остановки,MATCH(R975,ИД_Остановки!$B$3:$B$467,0),1)</f>
        <v>59</v>
      </c>
      <c r="R975" s="45" t="s">
        <v>48</v>
      </c>
      <c r="S975" s="20">
        <v>0.3</v>
      </c>
    </row>
    <row r="976" spans="8:19" x14ac:dyDescent="0.25">
      <c r="H976">
        <v>6</v>
      </c>
      <c r="I976">
        <v>924</v>
      </c>
      <c r="J976">
        <v>115</v>
      </c>
      <c r="K976" t="b">
        <v>1</v>
      </c>
      <c r="N976" s="30" t="s">
        <v>640</v>
      </c>
      <c r="O976" s="2">
        <f>INDEX(Маршруты,MATCH(N976,$B$3:$B$498,0),1)</f>
        <v>44</v>
      </c>
      <c r="P976" s="27">
        <v>4</v>
      </c>
      <c r="Q976" s="2">
        <f>INDEX(Остановки,MATCH(R976,ИД_Остановки!$B$3:$B$467,0),1)</f>
        <v>274</v>
      </c>
      <c r="R976" s="45" t="s">
        <v>147</v>
      </c>
      <c r="S976" s="20">
        <v>0.85</v>
      </c>
    </row>
    <row r="977" spans="8:19" x14ac:dyDescent="0.25">
      <c r="H977">
        <v>6</v>
      </c>
      <c r="I977">
        <v>931</v>
      </c>
      <c r="J977">
        <v>115</v>
      </c>
      <c r="K977" t="b">
        <v>1</v>
      </c>
      <c r="N977" s="25" t="s">
        <v>640</v>
      </c>
      <c r="O977" s="2">
        <f>INDEX(Маршруты,MATCH(N977,$B$3:$B$498,0),1)</f>
        <v>44</v>
      </c>
      <c r="P977" s="27">
        <v>5</v>
      </c>
      <c r="Q977" s="2">
        <f>INDEX(Остановки,MATCH(R977,ИД_Остановки!$B$3:$B$467,0),1)</f>
        <v>273</v>
      </c>
      <c r="R977" s="45" t="s">
        <v>146</v>
      </c>
      <c r="S977" s="20">
        <v>0.68</v>
      </c>
    </row>
    <row r="978" spans="8:19" x14ac:dyDescent="0.25">
      <c r="H978">
        <v>6</v>
      </c>
      <c r="I978">
        <v>938</v>
      </c>
      <c r="J978">
        <v>115</v>
      </c>
      <c r="K978" t="b">
        <v>1</v>
      </c>
      <c r="N978" s="25" t="s">
        <v>640</v>
      </c>
      <c r="O978" s="2">
        <f>INDEX(Маршруты,MATCH(N978,$B$3:$B$498,0),1)</f>
        <v>44</v>
      </c>
      <c r="P978" s="27">
        <v>6</v>
      </c>
      <c r="Q978" s="2">
        <f>INDEX(Остановки,MATCH(R978,ИД_Остановки!$B$3:$B$467,0),1)</f>
        <v>272</v>
      </c>
      <c r="R978" s="45" t="s">
        <v>145</v>
      </c>
      <c r="S978" s="20">
        <v>0.79</v>
      </c>
    </row>
    <row r="979" spans="8:19" x14ac:dyDescent="0.25">
      <c r="H979">
        <v>6</v>
      </c>
      <c r="I979">
        <v>945</v>
      </c>
      <c r="J979">
        <v>115</v>
      </c>
      <c r="K979" t="b">
        <v>1</v>
      </c>
      <c r="N979" s="25" t="s">
        <v>640</v>
      </c>
      <c r="O979" s="2">
        <f>INDEX(Маршруты,MATCH(N979,$B$3:$B$498,0),1)</f>
        <v>44</v>
      </c>
      <c r="P979" s="27">
        <v>7</v>
      </c>
      <c r="Q979" s="2">
        <f>INDEX(Остановки,MATCH(R979,ИД_Остановки!$B$3:$B$467,0),1)</f>
        <v>179</v>
      </c>
      <c r="R979" s="45" t="s">
        <v>328</v>
      </c>
      <c r="S979" s="20">
        <v>1.2</v>
      </c>
    </row>
    <row r="980" spans="8:19" x14ac:dyDescent="0.25">
      <c r="H980">
        <v>6</v>
      </c>
      <c r="I980">
        <v>952</v>
      </c>
      <c r="J980">
        <v>115</v>
      </c>
      <c r="K980" t="b">
        <v>1</v>
      </c>
      <c r="N980" s="25" t="s">
        <v>640</v>
      </c>
      <c r="O980" s="2">
        <f>INDEX(Маршруты,MATCH(N980,$B$3:$B$498,0),1)</f>
        <v>44</v>
      </c>
      <c r="P980" s="27">
        <v>8</v>
      </c>
      <c r="Q980" s="2">
        <f>INDEX(Остановки,MATCH(R980,ИД_Остановки!$B$3:$B$467,0),1)</f>
        <v>427</v>
      </c>
      <c r="R980" s="45" t="s">
        <v>483</v>
      </c>
      <c r="S980" s="20">
        <v>0.48</v>
      </c>
    </row>
    <row r="981" spans="8:19" x14ac:dyDescent="0.25">
      <c r="H981">
        <v>7</v>
      </c>
      <c r="I981">
        <v>0</v>
      </c>
      <c r="J981">
        <v>115</v>
      </c>
      <c r="K981" t="b">
        <v>1</v>
      </c>
      <c r="N981" s="26" t="s">
        <v>640</v>
      </c>
      <c r="O981" s="2">
        <f>INDEX(Маршруты,MATCH(N981,$B$3:$B$498,0),1)</f>
        <v>44</v>
      </c>
      <c r="P981" s="27">
        <v>9</v>
      </c>
      <c r="Q981" s="2">
        <f>INDEX(Остановки,MATCH(R981,ИД_Остановки!$B$3:$B$467,0),1)</f>
        <v>271</v>
      </c>
      <c r="R981" s="45" t="s">
        <v>144</v>
      </c>
      <c r="S981" s="20">
        <v>1</v>
      </c>
    </row>
    <row r="982" spans="8:19" x14ac:dyDescent="0.25">
      <c r="H982">
        <v>7</v>
      </c>
      <c r="I982">
        <v>3</v>
      </c>
      <c r="J982">
        <v>115</v>
      </c>
      <c r="K982" t="b">
        <v>1</v>
      </c>
      <c r="N982" s="30" t="s">
        <v>640</v>
      </c>
      <c r="O982" s="2">
        <f>INDEX(Маршруты,MATCH(N982,$B$3:$B$498,0),1)</f>
        <v>44</v>
      </c>
      <c r="P982" s="27">
        <v>10</v>
      </c>
      <c r="Q982" s="2">
        <f>INDEX(Остановки,MATCH(R982,ИД_Остановки!$B$3:$B$467,0),1)</f>
        <v>389</v>
      </c>
      <c r="R982" s="45" t="s">
        <v>446</v>
      </c>
      <c r="S982" s="20">
        <v>1.65</v>
      </c>
    </row>
    <row r="983" spans="8:19" x14ac:dyDescent="0.25">
      <c r="H983">
        <v>7</v>
      </c>
      <c r="I983">
        <v>6</v>
      </c>
      <c r="J983">
        <v>115</v>
      </c>
      <c r="K983" t="b">
        <v>1</v>
      </c>
      <c r="N983" s="30" t="s">
        <v>640</v>
      </c>
      <c r="O983" s="2">
        <f>INDEX(Маршруты,MATCH(N983,$B$3:$B$498,0),1)</f>
        <v>44</v>
      </c>
      <c r="P983" s="27">
        <v>11</v>
      </c>
      <c r="Q983" s="2">
        <f>INDEX(Остановки,MATCH(R983,ИД_Остановки!$B$3:$B$467,0),1)</f>
        <v>270</v>
      </c>
      <c r="R983" s="45" t="s">
        <v>384</v>
      </c>
      <c r="S983" s="20">
        <v>0.44</v>
      </c>
    </row>
    <row r="984" spans="8:19" x14ac:dyDescent="0.25">
      <c r="H984">
        <v>7</v>
      </c>
      <c r="I984">
        <v>9</v>
      </c>
      <c r="J984">
        <v>115</v>
      </c>
      <c r="K984" t="b">
        <v>1</v>
      </c>
      <c r="N984" s="30" t="s">
        <v>640</v>
      </c>
      <c r="O984" s="2">
        <f>INDEX(Маршруты,MATCH(N984,$B$3:$B$498,0),1)</f>
        <v>44</v>
      </c>
      <c r="P984" s="27">
        <v>12</v>
      </c>
      <c r="Q984" s="2">
        <f>INDEX(Остановки,MATCH(R984,ИД_Остановки!$B$3:$B$467,0),1)</f>
        <v>269</v>
      </c>
      <c r="R984" s="45" t="s">
        <v>143</v>
      </c>
      <c r="S984" s="20">
        <v>0.9</v>
      </c>
    </row>
    <row r="985" spans="8:19" x14ac:dyDescent="0.25">
      <c r="H985">
        <v>7</v>
      </c>
      <c r="I985">
        <v>12</v>
      </c>
      <c r="J985">
        <v>115</v>
      </c>
      <c r="K985" t="b">
        <v>1</v>
      </c>
      <c r="N985" s="30" t="s">
        <v>527</v>
      </c>
      <c r="O985" s="2">
        <f>INDEX(Маршруты,MATCH(N985,$B$3:$B$498,0),1)</f>
        <v>45</v>
      </c>
      <c r="P985" s="27">
        <v>1</v>
      </c>
      <c r="Q985" s="2">
        <f>INDEX(Остановки,MATCH(R985,ИД_Остановки!$B$3:$B$467,0),1)</f>
        <v>235</v>
      </c>
      <c r="R985" s="45" t="s">
        <v>363</v>
      </c>
      <c r="S985" s="20"/>
    </row>
    <row r="986" spans="8:19" x14ac:dyDescent="0.25">
      <c r="H986">
        <v>7</v>
      </c>
      <c r="I986">
        <v>15</v>
      </c>
      <c r="J986">
        <v>115</v>
      </c>
      <c r="K986" t="b">
        <v>1</v>
      </c>
      <c r="N986" s="30" t="s">
        <v>527</v>
      </c>
      <c r="O986" s="2">
        <f>INDEX(Маршруты,MATCH(N986,$B$3:$B$498,0),1)</f>
        <v>45</v>
      </c>
      <c r="P986" s="27">
        <v>2</v>
      </c>
      <c r="Q986" s="2">
        <f>INDEX(Остановки,MATCH(R986,ИД_Остановки!$B$3:$B$467,0),1)</f>
        <v>316</v>
      </c>
      <c r="R986" s="45" t="s">
        <v>182</v>
      </c>
      <c r="S986" s="20">
        <v>1.6</v>
      </c>
    </row>
    <row r="987" spans="8:19" x14ac:dyDescent="0.25">
      <c r="H987">
        <v>7</v>
      </c>
      <c r="I987">
        <v>18</v>
      </c>
      <c r="J987">
        <v>115</v>
      </c>
      <c r="K987" t="b">
        <v>1</v>
      </c>
      <c r="N987" s="30" t="s">
        <v>527</v>
      </c>
      <c r="O987" s="2">
        <f>INDEX(Маршруты,MATCH(N987,$B$3:$B$498,0),1)</f>
        <v>45</v>
      </c>
      <c r="P987" s="27">
        <v>3</v>
      </c>
      <c r="Q987" s="2">
        <f>INDEX(Остановки,MATCH(R987,ИД_Остановки!$B$3:$B$467,0),1)</f>
        <v>421</v>
      </c>
      <c r="R987" s="45" t="s">
        <v>477</v>
      </c>
      <c r="S987" s="20">
        <v>0.45</v>
      </c>
    </row>
    <row r="988" spans="8:19" x14ac:dyDescent="0.25">
      <c r="H988">
        <v>7</v>
      </c>
      <c r="I988">
        <v>21</v>
      </c>
      <c r="J988">
        <v>115</v>
      </c>
      <c r="K988" t="b">
        <v>1</v>
      </c>
      <c r="N988" s="30" t="s">
        <v>527</v>
      </c>
      <c r="O988" s="2">
        <f>INDEX(Маршруты,MATCH(N988,$B$3:$B$498,0),1)</f>
        <v>45</v>
      </c>
      <c r="P988" s="28">
        <v>4</v>
      </c>
      <c r="Q988" s="2">
        <f>INDEX(Остановки,MATCH(R988,ИД_Остановки!$B$3:$B$467,0),1)</f>
        <v>400</v>
      </c>
      <c r="R988" s="24" t="s">
        <v>457</v>
      </c>
      <c r="S988" s="20">
        <v>2.33</v>
      </c>
    </row>
    <row r="989" spans="8:19" x14ac:dyDescent="0.25">
      <c r="H989">
        <v>7</v>
      </c>
      <c r="I989">
        <v>24</v>
      </c>
      <c r="J989">
        <v>115</v>
      </c>
      <c r="K989" t="b">
        <v>1</v>
      </c>
      <c r="N989" s="25" t="s">
        <v>527</v>
      </c>
      <c r="O989" s="2">
        <f>INDEX(Маршруты,MATCH(N989,$B$3:$B$498,0),1)</f>
        <v>45</v>
      </c>
      <c r="P989" s="27">
        <v>5</v>
      </c>
      <c r="Q989" s="2">
        <f>INDEX(Остановки,MATCH(R989,ИД_Остановки!$B$3:$B$467,0),1)</f>
        <v>422</v>
      </c>
      <c r="R989" s="45" t="s">
        <v>478</v>
      </c>
      <c r="S989" s="20">
        <v>4.79</v>
      </c>
    </row>
    <row r="990" spans="8:19" x14ac:dyDescent="0.25">
      <c r="H990">
        <v>7</v>
      </c>
      <c r="I990">
        <v>27</v>
      </c>
      <c r="J990">
        <v>115</v>
      </c>
      <c r="K990" t="b">
        <v>1</v>
      </c>
      <c r="N990" s="26" t="s">
        <v>527</v>
      </c>
      <c r="O990" s="2">
        <f>INDEX(Маршруты,MATCH(N990,$B$3:$B$498,0),1)</f>
        <v>45</v>
      </c>
      <c r="P990" s="27">
        <v>6</v>
      </c>
      <c r="Q990" s="2">
        <f>INDEX(Остановки,MATCH(R990,ИД_Остановки!$B$3:$B$467,0),1)</f>
        <v>237</v>
      </c>
      <c r="R990" s="45" t="s">
        <v>364</v>
      </c>
      <c r="S990" s="20">
        <v>0.78</v>
      </c>
    </row>
    <row r="991" spans="8:19" x14ac:dyDescent="0.25">
      <c r="H991">
        <v>7</v>
      </c>
      <c r="I991">
        <v>30</v>
      </c>
      <c r="J991">
        <v>115</v>
      </c>
      <c r="K991" t="b">
        <v>1</v>
      </c>
      <c r="N991" s="25" t="s">
        <v>527</v>
      </c>
      <c r="O991" s="2">
        <f>INDEX(Маршруты,MATCH(N991,$B$3:$B$498,0),1)</f>
        <v>45</v>
      </c>
      <c r="P991" s="28">
        <v>7</v>
      </c>
      <c r="Q991" s="2">
        <f>INDEX(Остановки,MATCH(R991,ИД_Остановки!$B$3:$B$467,0),1)</f>
        <v>223</v>
      </c>
      <c r="R991" s="24" t="s">
        <v>166</v>
      </c>
      <c r="S991" s="20">
        <v>1.45</v>
      </c>
    </row>
    <row r="992" spans="8:19" x14ac:dyDescent="0.25">
      <c r="H992">
        <v>7</v>
      </c>
      <c r="I992">
        <v>33</v>
      </c>
      <c r="J992">
        <v>115</v>
      </c>
      <c r="K992" t="b">
        <v>1</v>
      </c>
      <c r="N992" s="30" t="s">
        <v>527</v>
      </c>
      <c r="O992" s="2">
        <f>INDEX(Маршруты,MATCH(N992,$B$3:$B$498,0),1)</f>
        <v>45</v>
      </c>
      <c r="P992" s="27">
        <v>8</v>
      </c>
      <c r="Q992" s="2">
        <f>INDEX(Остановки,MATCH(R992,ИД_Остановки!$B$3:$B$467,0),1)</f>
        <v>423</v>
      </c>
      <c r="R992" s="45" t="s">
        <v>479</v>
      </c>
      <c r="S992" s="20">
        <v>0.41</v>
      </c>
    </row>
    <row r="993" spans="8:19" x14ac:dyDescent="0.25">
      <c r="H993">
        <v>7</v>
      </c>
      <c r="I993">
        <v>36</v>
      </c>
      <c r="J993">
        <v>115</v>
      </c>
      <c r="K993" t="b">
        <v>1</v>
      </c>
      <c r="N993" s="30" t="s">
        <v>527</v>
      </c>
      <c r="O993" s="2">
        <f>INDEX(Маршруты,MATCH(N993,$B$3:$B$498,0),1)</f>
        <v>45</v>
      </c>
      <c r="P993" s="27">
        <v>9</v>
      </c>
      <c r="Q993" s="2">
        <f>INDEX(Остановки,MATCH(R993,ИД_Остановки!$B$3:$B$467,0),1)</f>
        <v>225</v>
      </c>
      <c r="R993" s="45" t="s">
        <v>356</v>
      </c>
      <c r="S993" s="20">
        <v>0.46</v>
      </c>
    </row>
    <row r="994" spans="8:19" x14ac:dyDescent="0.25">
      <c r="H994">
        <v>7</v>
      </c>
      <c r="I994">
        <v>39</v>
      </c>
      <c r="J994">
        <v>115</v>
      </c>
      <c r="K994" t="b">
        <v>1</v>
      </c>
      <c r="N994" s="25" t="s">
        <v>527</v>
      </c>
      <c r="O994" s="2">
        <f>INDEX(Маршруты,MATCH(N994,$B$3:$B$498,0),1)</f>
        <v>45</v>
      </c>
      <c r="P994" s="27">
        <v>10</v>
      </c>
      <c r="Q994" s="2">
        <f>INDEX(Остановки,MATCH(R994,ИД_Остановки!$B$3:$B$467,0),1)</f>
        <v>295</v>
      </c>
      <c r="R994" s="45" t="s">
        <v>619</v>
      </c>
      <c r="S994" s="20">
        <v>0.94</v>
      </c>
    </row>
    <row r="995" spans="8:19" x14ac:dyDescent="0.25">
      <c r="H995">
        <v>7</v>
      </c>
      <c r="I995">
        <v>42</v>
      </c>
      <c r="J995">
        <v>115</v>
      </c>
      <c r="K995" t="b">
        <v>1</v>
      </c>
      <c r="N995" s="25" t="s">
        <v>527</v>
      </c>
      <c r="O995" s="2">
        <f>INDEX(Маршруты,MATCH(N995,$B$3:$B$498,0),1)</f>
        <v>45</v>
      </c>
      <c r="P995" s="27">
        <v>11</v>
      </c>
      <c r="Q995" s="2">
        <f>INDEX(Остановки,MATCH(R995,ИД_Остановки!$B$3:$B$467,0),1)</f>
        <v>365</v>
      </c>
      <c r="R995" s="45" t="s">
        <v>425</v>
      </c>
      <c r="S995" s="20">
        <v>1.58</v>
      </c>
    </row>
    <row r="996" spans="8:19" x14ac:dyDescent="0.25">
      <c r="H996">
        <v>7</v>
      </c>
      <c r="I996">
        <v>45</v>
      </c>
      <c r="J996">
        <v>115</v>
      </c>
      <c r="K996" t="b">
        <v>1</v>
      </c>
      <c r="N996" s="25" t="s">
        <v>527</v>
      </c>
      <c r="O996" s="2">
        <f>INDEX(Маршруты,MATCH(N996,$B$3:$B$498,0),1)</f>
        <v>45</v>
      </c>
      <c r="P996" s="28">
        <v>12</v>
      </c>
      <c r="Q996" s="2">
        <f>INDEX(Остановки,MATCH(R996,ИД_Остановки!$B$3:$B$467,0),1)</f>
        <v>156</v>
      </c>
      <c r="R996" s="24" t="s">
        <v>321</v>
      </c>
      <c r="S996" s="20">
        <v>0.67</v>
      </c>
    </row>
    <row r="997" spans="8:19" x14ac:dyDescent="0.25">
      <c r="H997">
        <v>7</v>
      </c>
      <c r="I997">
        <v>48</v>
      </c>
      <c r="J997">
        <v>115</v>
      </c>
      <c r="K997" t="b">
        <v>1</v>
      </c>
      <c r="N997" s="30" t="s">
        <v>527</v>
      </c>
      <c r="O997" s="2">
        <f>INDEX(Маршруты,MATCH(N997,$B$3:$B$498,0),1)</f>
        <v>45</v>
      </c>
      <c r="P997" s="27">
        <v>13</v>
      </c>
      <c r="Q997" s="2">
        <f>INDEX(Остановки,MATCH(R997,ИД_Остановки!$B$3:$B$467,0),1)</f>
        <v>154</v>
      </c>
      <c r="R997" s="45" t="s">
        <v>94</v>
      </c>
      <c r="S997" s="20">
        <v>0.78</v>
      </c>
    </row>
    <row r="998" spans="8:19" x14ac:dyDescent="0.25">
      <c r="H998">
        <v>7</v>
      </c>
      <c r="I998">
        <v>51</v>
      </c>
      <c r="J998">
        <v>115</v>
      </c>
      <c r="K998" t="b">
        <v>1</v>
      </c>
      <c r="N998" s="25" t="s">
        <v>527</v>
      </c>
      <c r="O998" s="2">
        <f>INDEX(Маршруты,MATCH(N998,$B$3:$B$498,0),1)</f>
        <v>45</v>
      </c>
      <c r="P998" s="27">
        <v>14</v>
      </c>
      <c r="Q998" s="2">
        <f>INDEX(Остановки,MATCH(R998,ИД_Остановки!$B$3:$B$467,0),1)</f>
        <v>123</v>
      </c>
      <c r="R998" s="45" t="s">
        <v>301</v>
      </c>
      <c r="S998" s="20">
        <v>0.74</v>
      </c>
    </row>
    <row r="999" spans="8:19" x14ac:dyDescent="0.25">
      <c r="H999">
        <v>7</v>
      </c>
      <c r="I999">
        <v>54</v>
      </c>
      <c r="J999">
        <v>115</v>
      </c>
      <c r="K999" t="b">
        <v>1</v>
      </c>
      <c r="N999" s="30" t="s">
        <v>527</v>
      </c>
      <c r="O999" s="2">
        <f>INDEX(Маршруты,MATCH(N999,$B$3:$B$498,0),1)</f>
        <v>45</v>
      </c>
      <c r="P999" s="27">
        <v>15</v>
      </c>
      <c r="Q999" s="2">
        <f>INDEX(Остановки,MATCH(R999,ИД_Остановки!$B$3:$B$467,0),1)</f>
        <v>96</v>
      </c>
      <c r="R999" s="45" t="s">
        <v>285</v>
      </c>
      <c r="S999" s="20">
        <v>0.6</v>
      </c>
    </row>
    <row r="1000" spans="8:19" x14ac:dyDescent="0.25">
      <c r="H1000">
        <v>7</v>
      </c>
      <c r="I1000">
        <v>57</v>
      </c>
      <c r="J1000">
        <v>115</v>
      </c>
      <c r="K1000" t="b">
        <v>1</v>
      </c>
      <c r="N1000" s="26" t="s">
        <v>527</v>
      </c>
      <c r="O1000" s="2">
        <f>INDEX(Маршруты,MATCH(N1000,$B$3:$B$498,0),1)</f>
        <v>45</v>
      </c>
      <c r="P1000" s="27">
        <v>16</v>
      </c>
      <c r="Q1000" s="2">
        <f>INDEX(Остановки,MATCH(R1000,ИД_Остановки!$B$3:$B$467,0),1)</f>
        <v>122</v>
      </c>
      <c r="R1000" s="45" t="s">
        <v>77</v>
      </c>
      <c r="S1000" s="20">
        <v>0.52</v>
      </c>
    </row>
    <row r="1001" spans="8:19" x14ac:dyDescent="0.25">
      <c r="H1001">
        <v>7</v>
      </c>
      <c r="I1001">
        <v>60</v>
      </c>
      <c r="J1001">
        <v>115</v>
      </c>
      <c r="K1001" t="b">
        <v>1</v>
      </c>
      <c r="N1001" s="25" t="s">
        <v>527</v>
      </c>
      <c r="O1001" s="2">
        <f>INDEX(Маршруты,MATCH(N1001,$B$3:$B$498,0),1)</f>
        <v>45</v>
      </c>
      <c r="P1001" s="27">
        <v>17</v>
      </c>
      <c r="Q1001" s="2">
        <f>INDEX(Остановки,MATCH(R1001,ИД_Остановки!$B$3:$B$467,0),1)</f>
        <v>121</v>
      </c>
      <c r="R1001" s="45" t="s">
        <v>76</v>
      </c>
      <c r="S1001" s="20">
        <v>0.32</v>
      </c>
    </row>
    <row r="1002" spans="8:19" x14ac:dyDescent="0.25">
      <c r="H1002">
        <v>7</v>
      </c>
      <c r="I1002">
        <v>63</v>
      </c>
      <c r="J1002">
        <v>115</v>
      </c>
      <c r="K1002" t="b">
        <v>1</v>
      </c>
      <c r="N1002" s="25" t="s">
        <v>527</v>
      </c>
      <c r="O1002" s="2">
        <f>INDEX(Маршруты,MATCH(N1002,$B$3:$B$498,0),1)</f>
        <v>45</v>
      </c>
      <c r="P1002" s="27">
        <v>18</v>
      </c>
      <c r="Q1002" s="2">
        <f>INDEX(Остановки,MATCH(R1002,ИД_Остановки!$B$3:$B$467,0),1)</f>
        <v>120</v>
      </c>
      <c r="R1002" s="24" t="s">
        <v>300</v>
      </c>
      <c r="S1002" s="20">
        <v>0.31</v>
      </c>
    </row>
    <row r="1003" spans="8:19" x14ac:dyDescent="0.25">
      <c r="H1003">
        <v>7</v>
      </c>
      <c r="I1003">
        <v>66</v>
      </c>
      <c r="J1003">
        <v>115</v>
      </c>
      <c r="K1003" t="b">
        <v>1</v>
      </c>
      <c r="N1003" s="30" t="s">
        <v>527</v>
      </c>
      <c r="O1003" s="2">
        <f>INDEX(Маршруты,MATCH(N1003,$B$3:$B$498,0),1)</f>
        <v>45</v>
      </c>
      <c r="P1003" s="27">
        <v>19</v>
      </c>
      <c r="Q1003" s="2">
        <f>INDEX(Остановки,MATCH(R1003,ИД_Остановки!$B$3:$B$467,0),1)</f>
        <v>119</v>
      </c>
      <c r="R1003" s="45" t="s">
        <v>165</v>
      </c>
      <c r="S1003" s="20">
        <v>1.1200000000000001</v>
      </c>
    </row>
    <row r="1004" spans="8:19" x14ac:dyDescent="0.25">
      <c r="H1004">
        <v>7</v>
      </c>
      <c r="I1004">
        <v>69</v>
      </c>
      <c r="J1004">
        <v>115</v>
      </c>
      <c r="K1004" t="b">
        <v>1</v>
      </c>
      <c r="N1004" s="25" t="s">
        <v>527</v>
      </c>
      <c r="O1004" s="2">
        <f>INDEX(Маршруты,MATCH(N1004,$B$3:$B$498,0),1)</f>
        <v>45</v>
      </c>
      <c r="P1004" s="27">
        <v>20</v>
      </c>
      <c r="Q1004" s="2">
        <f>INDEX(Остановки,MATCH(R1004,ИД_Остановки!$B$3:$B$467,0),1)</f>
        <v>443</v>
      </c>
      <c r="R1004" s="45" t="s">
        <v>647</v>
      </c>
      <c r="S1004" s="20">
        <v>0.45</v>
      </c>
    </row>
    <row r="1005" spans="8:19" x14ac:dyDescent="0.25">
      <c r="H1005">
        <v>7</v>
      </c>
      <c r="I1005">
        <v>72</v>
      </c>
      <c r="J1005">
        <v>115</v>
      </c>
      <c r="K1005" t="b">
        <v>1</v>
      </c>
      <c r="N1005" s="30" t="s">
        <v>212</v>
      </c>
      <c r="O1005" s="2">
        <f>INDEX(Маршруты,MATCH(N1005,$B$3:$B$498,0),1)</f>
        <v>46</v>
      </c>
      <c r="P1005" s="27">
        <v>1</v>
      </c>
      <c r="Q1005" s="2">
        <f>INDEX(Остановки,MATCH(R1005,ИД_Остановки!$B$3:$B$467,0),1)</f>
        <v>275</v>
      </c>
      <c r="R1005" s="24" t="s">
        <v>385</v>
      </c>
      <c r="S1005" s="20"/>
    </row>
    <row r="1006" spans="8:19" x14ac:dyDescent="0.25">
      <c r="H1006">
        <v>7</v>
      </c>
      <c r="I1006">
        <v>75</v>
      </c>
      <c r="J1006">
        <v>115</v>
      </c>
      <c r="K1006" t="b">
        <v>1</v>
      </c>
      <c r="N1006" s="30" t="s">
        <v>212</v>
      </c>
      <c r="O1006" s="2">
        <f>INDEX(Маршруты,MATCH(N1006,$B$3:$B$498,0),1)</f>
        <v>46</v>
      </c>
      <c r="P1006" s="27">
        <v>2</v>
      </c>
      <c r="Q1006" s="2">
        <f>INDEX(Остановки,MATCH(R1006,ИД_Остановки!$B$3:$B$467,0),1)</f>
        <v>410</v>
      </c>
      <c r="R1006" s="45" t="s">
        <v>466</v>
      </c>
      <c r="S1006" s="20">
        <v>1.69</v>
      </c>
    </row>
    <row r="1007" spans="8:19" x14ac:dyDescent="0.25">
      <c r="H1007">
        <v>7</v>
      </c>
      <c r="I1007">
        <v>78</v>
      </c>
      <c r="J1007">
        <v>115</v>
      </c>
      <c r="K1007" t="b">
        <v>1</v>
      </c>
      <c r="N1007" s="30" t="s">
        <v>212</v>
      </c>
      <c r="O1007" s="2">
        <f>INDEX(Маршруты,MATCH(N1007,$B$3:$B$498,0),1)</f>
        <v>46</v>
      </c>
      <c r="P1007" s="28">
        <v>3</v>
      </c>
      <c r="Q1007" s="2">
        <f>INDEX(Остановки,MATCH(R1007,ИД_Остановки!$B$3:$B$467,0),1)</f>
        <v>387</v>
      </c>
      <c r="R1007" s="24" t="s">
        <v>150</v>
      </c>
      <c r="S1007" s="20">
        <v>19.7</v>
      </c>
    </row>
    <row r="1008" spans="8:19" x14ac:dyDescent="0.25">
      <c r="H1008">
        <v>7</v>
      </c>
      <c r="I1008">
        <v>81</v>
      </c>
      <c r="J1008">
        <v>115</v>
      </c>
      <c r="K1008" t="b">
        <v>1</v>
      </c>
      <c r="N1008" s="25" t="s">
        <v>212</v>
      </c>
      <c r="O1008" s="2">
        <f>INDEX(Маршруты,MATCH(N1008,$B$3:$B$498,0),1)</f>
        <v>46</v>
      </c>
      <c r="P1008" s="27">
        <v>4</v>
      </c>
      <c r="Q1008" s="2">
        <f>INDEX(Остановки,MATCH(R1008,ИД_Остановки!$B$3:$B$467,0),1)</f>
        <v>386</v>
      </c>
      <c r="R1008" s="45" t="s">
        <v>444</v>
      </c>
      <c r="S1008" s="20">
        <v>0.44</v>
      </c>
    </row>
    <row r="1009" spans="8:19" x14ac:dyDescent="0.25">
      <c r="H1009">
        <v>7</v>
      </c>
      <c r="I1009">
        <v>84</v>
      </c>
      <c r="J1009">
        <v>115</v>
      </c>
      <c r="K1009" t="b">
        <v>1</v>
      </c>
      <c r="N1009" s="30" t="s">
        <v>212</v>
      </c>
      <c r="O1009" s="2">
        <f>INDEX(Маршруты,MATCH(N1009,$B$3:$B$498,0),1)</f>
        <v>46</v>
      </c>
      <c r="P1009" s="27">
        <v>5</v>
      </c>
      <c r="Q1009" s="2">
        <f>INDEX(Остановки,MATCH(R1009,ИД_Остановки!$B$3:$B$467,0),1)</f>
        <v>279</v>
      </c>
      <c r="R1009" s="45" t="s">
        <v>387</v>
      </c>
      <c r="S1009" s="20">
        <v>0.51</v>
      </c>
    </row>
    <row r="1010" spans="8:19" x14ac:dyDescent="0.25">
      <c r="H1010">
        <v>7</v>
      </c>
      <c r="I1010">
        <v>87</v>
      </c>
      <c r="J1010">
        <v>115</v>
      </c>
      <c r="K1010" t="b">
        <v>1</v>
      </c>
      <c r="N1010" s="25" t="s">
        <v>212</v>
      </c>
      <c r="O1010" s="2">
        <f>INDEX(Маршруты,MATCH(N1010,$B$3:$B$498,0),1)</f>
        <v>46</v>
      </c>
      <c r="P1010" s="27">
        <v>6</v>
      </c>
      <c r="Q1010" s="2">
        <f>INDEX(Остановки,MATCH(R1010,ИД_Остановки!$B$3:$B$467,0),1)</f>
        <v>385</v>
      </c>
      <c r="R1010" s="45" t="s">
        <v>443</v>
      </c>
      <c r="S1010" s="20">
        <v>1.01</v>
      </c>
    </row>
    <row r="1011" spans="8:19" x14ac:dyDescent="0.25">
      <c r="H1011">
        <v>7</v>
      </c>
      <c r="I1011">
        <v>90</v>
      </c>
      <c r="J1011">
        <v>115</v>
      </c>
      <c r="K1011" t="b">
        <v>1</v>
      </c>
      <c r="N1011" s="30" t="s">
        <v>212</v>
      </c>
      <c r="O1011" s="2">
        <f>INDEX(Маршруты,MATCH(N1011,$B$3:$B$498,0),1)</f>
        <v>46</v>
      </c>
      <c r="P1011" s="27">
        <v>7</v>
      </c>
      <c r="Q1011" s="2">
        <f>INDEX(Остановки,MATCH(R1011,ИД_Остановки!$B$3:$B$467,0),1)</f>
        <v>278</v>
      </c>
      <c r="R1011" s="45" t="s">
        <v>386</v>
      </c>
      <c r="S1011" s="20">
        <v>0.46</v>
      </c>
    </row>
    <row r="1012" spans="8:19" x14ac:dyDescent="0.25">
      <c r="H1012">
        <v>7</v>
      </c>
      <c r="I1012">
        <v>93</v>
      </c>
      <c r="J1012">
        <v>115</v>
      </c>
      <c r="K1012" t="b">
        <v>1</v>
      </c>
      <c r="N1012" s="25" t="s">
        <v>212</v>
      </c>
      <c r="O1012" s="2">
        <f>INDEX(Маршруты,MATCH(N1012,$B$3:$B$498,0),1)</f>
        <v>46</v>
      </c>
      <c r="P1012" s="27">
        <v>8</v>
      </c>
      <c r="Q1012" s="2">
        <f>INDEX(Остановки,MATCH(R1012,ИД_Остановки!$B$3:$B$467,0),1)</f>
        <v>277</v>
      </c>
      <c r="R1012" s="45" t="s">
        <v>149</v>
      </c>
      <c r="S1012" s="20">
        <v>0.18</v>
      </c>
    </row>
    <row r="1013" spans="8:19" x14ac:dyDescent="0.25">
      <c r="H1013">
        <v>7</v>
      </c>
      <c r="I1013">
        <v>96</v>
      </c>
      <c r="J1013">
        <v>115</v>
      </c>
      <c r="K1013" t="b">
        <v>1</v>
      </c>
      <c r="N1013" s="25" t="s">
        <v>212</v>
      </c>
      <c r="O1013" s="2">
        <f>INDEX(Маршруты,MATCH(N1013,$B$3:$B$498,0),1)</f>
        <v>46</v>
      </c>
      <c r="P1013" s="27">
        <v>9</v>
      </c>
      <c r="Q1013" s="2">
        <f>INDEX(Остановки,MATCH(R1013,ИД_Остановки!$B$3:$B$467,0),1)</f>
        <v>276</v>
      </c>
      <c r="R1013" s="45" t="s">
        <v>148</v>
      </c>
      <c r="S1013" s="20">
        <v>0.8</v>
      </c>
    </row>
    <row r="1014" spans="8:19" x14ac:dyDescent="0.25">
      <c r="H1014">
        <v>7</v>
      </c>
      <c r="I1014">
        <v>99</v>
      </c>
      <c r="J1014">
        <v>115</v>
      </c>
      <c r="K1014" t="b">
        <v>1</v>
      </c>
      <c r="N1014" s="25" t="s">
        <v>212</v>
      </c>
      <c r="O1014" s="2">
        <f>INDEX(Маршруты,MATCH(N1014,$B$3:$B$498,0),1)</f>
        <v>46</v>
      </c>
      <c r="P1014" s="27">
        <v>10</v>
      </c>
      <c r="Q1014" s="2">
        <f>INDEX(Остановки,MATCH(R1014,ИД_Остановки!$B$3:$B$467,0),1)</f>
        <v>250</v>
      </c>
      <c r="R1014" s="45" t="s">
        <v>373</v>
      </c>
      <c r="S1014" s="20">
        <v>0.3</v>
      </c>
    </row>
    <row r="1015" spans="8:19" x14ac:dyDescent="0.25">
      <c r="H1015">
        <v>7</v>
      </c>
      <c r="I1015">
        <v>102</v>
      </c>
      <c r="J1015">
        <v>115</v>
      </c>
      <c r="K1015" t="b">
        <v>1</v>
      </c>
      <c r="N1015" s="25" t="s">
        <v>212</v>
      </c>
      <c r="O1015" s="2">
        <f>INDEX(Маршруты,MATCH(N1015,$B$3:$B$498,0),1)</f>
        <v>46</v>
      </c>
      <c r="P1015" s="27">
        <v>11</v>
      </c>
      <c r="Q1015" s="2">
        <f>INDEX(Остановки,MATCH(R1015,ИД_Остановки!$B$3:$B$467,0),1)</f>
        <v>222</v>
      </c>
      <c r="R1015" s="45" t="s">
        <v>354</v>
      </c>
      <c r="S1015" s="20">
        <v>0.64</v>
      </c>
    </row>
    <row r="1016" spans="8:19" x14ac:dyDescent="0.25">
      <c r="H1016">
        <v>7</v>
      </c>
      <c r="I1016">
        <v>105</v>
      </c>
      <c r="J1016">
        <v>115</v>
      </c>
      <c r="K1016" t="b">
        <v>1</v>
      </c>
      <c r="N1016" s="30" t="s">
        <v>212</v>
      </c>
      <c r="O1016" s="2">
        <f>INDEX(Маршруты,MATCH(N1016,$B$3:$B$498,0),1)</f>
        <v>46</v>
      </c>
      <c r="P1016" s="27">
        <v>12</v>
      </c>
      <c r="Q1016" s="2">
        <f>INDEX(Остановки,MATCH(R1016,ИД_Остановки!$B$3:$B$467,0),1)</f>
        <v>243</v>
      </c>
      <c r="R1016" s="45" t="s">
        <v>368</v>
      </c>
      <c r="S1016" s="20">
        <v>0.36</v>
      </c>
    </row>
    <row r="1017" spans="8:19" x14ac:dyDescent="0.25">
      <c r="H1017">
        <v>7</v>
      </c>
      <c r="I1017">
        <v>108</v>
      </c>
      <c r="J1017">
        <v>115</v>
      </c>
      <c r="K1017" t="b">
        <v>1</v>
      </c>
      <c r="N1017" s="25" t="s">
        <v>212</v>
      </c>
      <c r="O1017" s="2">
        <f>INDEX(Маршруты,MATCH(N1017,$B$3:$B$498,0),1)</f>
        <v>46</v>
      </c>
      <c r="P1017" s="27">
        <v>13</v>
      </c>
      <c r="Q1017" s="2">
        <f>INDEX(Остановки,MATCH(R1017,ИД_Остановки!$B$3:$B$467,0),1)</f>
        <v>251</v>
      </c>
      <c r="R1017" s="45" t="s">
        <v>164</v>
      </c>
      <c r="S1017" s="20">
        <v>0.7</v>
      </c>
    </row>
    <row r="1018" spans="8:19" x14ac:dyDescent="0.25">
      <c r="H1018">
        <v>7</v>
      </c>
      <c r="I1018">
        <v>111</v>
      </c>
      <c r="J1018">
        <v>115</v>
      </c>
      <c r="K1018" t="b">
        <v>1</v>
      </c>
      <c r="N1018" s="25" t="s">
        <v>212</v>
      </c>
      <c r="O1018" s="2">
        <f>INDEX(Маршруты,MATCH(N1018,$B$3:$B$498,0),1)</f>
        <v>46</v>
      </c>
      <c r="P1018" s="27">
        <v>14</v>
      </c>
      <c r="Q1018" s="2">
        <f>INDEX(Остановки,MATCH(R1018,ИД_Остановки!$B$3:$B$467,0),1)</f>
        <v>244</v>
      </c>
      <c r="R1018" s="45" t="s">
        <v>133</v>
      </c>
      <c r="S1018" s="20">
        <v>0.64</v>
      </c>
    </row>
    <row r="1019" spans="8:19" x14ac:dyDescent="0.25">
      <c r="H1019">
        <v>7</v>
      </c>
      <c r="I1019">
        <v>114</v>
      </c>
      <c r="J1019">
        <v>115</v>
      </c>
      <c r="K1019" t="b">
        <v>1</v>
      </c>
      <c r="N1019" s="25" t="s">
        <v>212</v>
      </c>
      <c r="O1019" s="2">
        <f>INDEX(Маршруты,MATCH(N1019,$B$3:$B$498,0),1)</f>
        <v>46</v>
      </c>
      <c r="P1019" s="27">
        <v>15</v>
      </c>
      <c r="Q1019" s="2">
        <f>INDEX(Остановки,MATCH(R1019,ИД_Остановки!$B$3:$B$467,0),1)</f>
        <v>258</v>
      </c>
      <c r="R1019" s="45" t="s">
        <v>378</v>
      </c>
      <c r="S1019" s="20">
        <v>0.215</v>
      </c>
    </row>
    <row r="1020" spans="8:19" x14ac:dyDescent="0.25">
      <c r="H1020">
        <v>7</v>
      </c>
      <c r="I1020">
        <v>117</v>
      </c>
      <c r="J1020">
        <v>115</v>
      </c>
      <c r="K1020" t="b">
        <v>1</v>
      </c>
      <c r="N1020" s="25" t="s">
        <v>212</v>
      </c>
      <c r="O1020" s="2">
        <f>INDEX(Маршруты,MATCH(N1020,$B$3:$B$498,0),1)</f>
        <v>46</v>
      </c>
      <c r="P1020" s="27">
        <v>16</v>
      </c>
      <c r="Q1020" s="2">
        <f>INDEX(Остановки,MATCH(R1020,ИД_Остановки!$B$3:$B$467,0),1)</f>
        <v>245</v>
      </c>
      <c r="R1020" s="45" t="s">
        <v>369</v>
      </c>
      <c r="S1020" s="20">
        <v>0.3</v>
      </c>
    </row>
    <row r="1021" spans="8:19" x14ac:dyDescent="0.25">
      <c r="H1021">
        <v>7</v>
      </c>
      <c r="I1021">
        <v>120</v>
      </c>
      <c r="J1021">
        <v>115</v>
      </c>
      <c r="K1021" t="b">
        <v>1</v>
      </c>
      <c r="N1021" s="26" t="s">
        <v>212</v>
      </c>
      <c r="O1021" s="2">
        <f>INDEX(Маршруты,MATCH(N1021,$B$3:$B$498,0),1)</f>
        <v>46</v>
      </c>
      <c r="P1021" s="27">
        <v>17</v>
      </c>
      <c r="Q1021" s="2">
        <f>INDEX(Остановки,MATCH(R1021,ИД_Остановки!$B$3:$B$467,0),1)</f>
        <v>236</v>
      </c>
      <c r="R1021" s="45" t="s">
        <v>130</v>
      </c>
      <c r="S1021" s="20">
        <v>0.38</v>
      </c>
    </row>
    <row r="1022" spans="8:19" x14ac:dyDescent="0.25">
      <c r="H1022">
        <v>7</v>
      </c>
      <c r="I1022">
        <v>123</v>
      </c>
      <c r="J1022">
        <v>115</v>
      </c>
      <c r="K1022" t="b">
        <v>1</v>
      </c>
      <c r="N1022" s="30" t="s">
        <v>212</v>
      </c>
      <c r="O1022" s="2">
        <f>INDEX(Маршруты,MATCH(N1022,$B$3:$B$498,0),1)</f>
        <v>46</v>
      </c>
      <c r="P1022" s="27">
        <v>18</v>
      </c>
      <c r="Q1022" s="2">
        <f>INDEX(Остановки,MATCH(R1022,ИД_Остановки!$B$3:$B$467,0),1)</f>
        <v>252</v>
      </c>
      <c r="R1022" s="45" t="s">
        <v>135</v>
      </c>
      <c r="S1022" s="20">
        <v>0.59</v>
      </c>
    </row>
    <row r="1023" spans="8:19" x14ac:dyDescent="0.25">
      <c r="H1023">
        <v>7</v>
      </c>
      <c r="I1023">
        <v>126</v>
      </c>
      <c r="J1023">
        <v>115</v>
      </c>
      <c r="K1023" t="b">
        <v>1</v>
      </c>
      <c r="N1023" s="25" t="s">
        <v>212</v>
      </c>
      <c r="O1023" s="2">
        <f>INDEX(Маршруты,MATCH(N1023,$B$3:$B$498,0),1)</f>
        <v>46</v>
      </c>
      <c r="P1023" s="27">
        <v>19</v>
      </c>
      <c r="Q1023" s="2">
        <f>INDEX(Остановки,MATCH(R1023,ИД_Остановки!$B$3:$B$467,0),1)</f>
        <v>288</v>
      </c>
      <c r="R1023" s="45" t="s">
        <v>388</v>
      </c>
      <c r="S1023" s="20">
        <v>0.28999999999999998</v>
      </c>
    </row>
    <row r="1024" spans="8:19" x14ac:dyDescent="0.25">
      <c r="H1024">
        <v>7</v>
      </c>
      <c r="I1024">
        <v>129</v>
      </c>
      <c r="J1024">
        <v>115</v>
      </c>
      <c r="K1024" t="b">
        <v>1</v>
      </c>
      <c r="N1024" s="26" t="s">
        <v>212</v>
      </c>
      <c r="O1024" s="2">
        <f>INDEX(Маршруты,MATCH(N1024,$B$3:$B$498,0),1)</f>
        <v>46</v>
      </c>
      <c r="P1024" s="27">
        <v>20</v>
      </c>
      <c r="Q1024" s="2">
        <f>INDEX(Остановки,MATCH(R1024,ИД_Остановки!$B$3:$B$467,0),1)</f>
        <v>254</v>
      </c>
      <c r="R1024" s="45" t="s">
        <v>136</v>
      </c>
      <c r="S1024" s="20">
        <v>0.79</v>
      </c>
    </row>
    <row r="1025" spans="8:19" x14ac:dyDescent="0.25">
      <c r="H1025">
        <v>7</v>
      </c>
      <c r="I1025">
        <v>132</v>
      </c>
      <c r="J1025">
        <v>115</v>
      </c>
      <c r="K1025" t="b">
        <v>1</v>
      </c>
      <c r="N1025" s="25" t="s">
        <v>212</v>
      </c>
      <c r="O1025" s="2">
        <f>INDEX(Маршруты,MATCH(N1025,$B$3:$B$498,0),1)</f>
        <v>46</v>
      </c>
      <c r="P1025" s="28">
        <v>21</v>
      </c>
      <c r="Q1025" s="2">
        <f>INDEX(Остановки,MATCH(R1025,ИД_Остановки!$B$3:$B$467,0),1)</f>
        <v>403</v>
      </c>
      <c r="R1025" s="24" t="s">
        <v>99</v>
      </c>
      <c r="S1025" s="20">
        <v>1</v>
      </c>
    </row>
    <row r="1026" spans="8:19" x14ac:dyDescent="0.25">
      <c r="H1026">
        <v>7</v>
      </c>
      <c r="I1026">
        <v>135</v>
      </c>
      <c r="J1026">
        <v>115</v>
      </c>
      <c r="K1026" t="b">
        <v>1</v>
      </c>
      <c r="N1026" s="30" t="s">
        <v>212</v>
      </c>
      <c r="O1026" s="2">
        <f>INDEX(Маршруты,MATCH(N1026,$B$3:$B$498,0),1)</f>
        <v>46</v>
      </c>
      <c r="P1026" s="27">
        <v>22</v>
      </c>
      <c r="Q1026" s="2">
        <f>INDEX(Остановки,MATCH(R1026,ИД_Остановки!$B$3:$B$467,0),1)</f>
        <v>337</v>
      </c>
      <c r="R1026" s="45" t="s">
        <v>407</v>
      </c>
      <c r="S1026" s="20">
        <v>0.59</v>
      </c>
    </row>
    <row r="1027" spans="8:19" x14ac:dyDescent="0.25">
      <c r="H1027">
        <v>7</v>
      </c>
      <c r="I1027">
        <v>138</v>
      </c>
      <c r="J1027">
        <v>115</v>
      </c>
      <c r="K1027" t="b">
        <v>1</v>
      </c>
      <c r="N1027" s="30" t="s">
        <v>212</v>
      </c>
      <c r="O1027" s="2">
        <f>INDEX(Маршруты,MATCH(N1027,$B$3:$B$498,0),1)</f>
        <v>46</v>
      </c>
      <c r="P1027" s="27">
        <v>23</v>
      </c>
      <c r="Q1027" s="2">
        <f>INDEX(Остановки,MATCH(R1027,ИД_Остановки!$B$3:$B$467,0),1)</f>
        <v>22</v>
      </c>
      <c r="R1027" s="45" t="s">
        <v>22</v>
      </c>
      <c r="S1027" s="20">
        <v>0.39</v>
      </c>
    </row>
    <row r="1028" spans="8:19" x14ac:dyDescent="0.25">
      <c r="H1028">
        <v>7</v>
      </c>
      <c r="I1028">
        <v>141</v>
      </c>
      <c r="J1028">
        <v>115</v>
      </c>
      <c r="K1028" t="b">
        <v>1</v>
      </c>
      <c r="N1028" s="25" t="s">
        <v>212</v>
      </c>
      <c r="O1028" s="2">
        <f>INDEX(Маршруты,MATCH(N1028,$B$3:$B$498,0),1)</f>
        <v>46</v>
      </c>
      <c r="P1028" s="27">
        <v>24</v>
      </c>
      <c r="Q1028" s="2">
        <f>INDEX(Остановки,MATCH(R1028,ИД_Остановки!$B$3:$B$467,0),1)</f>
        <v>199</v>
      </c>
      <c r="R1028" s="45" t="s">
        <v>118</v>
      </c>
      <c r="S1028" s="20">
        <v>0.42</v>
      </c>
    </row>
    <row r="1029" spans="8:19" x14ac:dyDescent="0.25">
      <c r="H1029">
        <v>7</v>
      </c>
      <c r="I1029">
        <v>144</v>
      </c>
      <c r="J1029">
        <v>115</v>
      </c>
      <c r="K1029" t="b">
        <v>1</v>
      </c>
      <c r="N1029" s="30" t="s">
        <v>212</v>
      </c>
      <c r="O1029" s="2">
        <f>INDEX(Маршруты,MATCH(N1029,$B$3:$B$498,0),1)</f>
        <v>46</v>
      </c>
      <c r="P1029" s="27">
        <v>25</v>
      </c>
      <c r="Q1029" s="2">
        <f>INDEX(Остановки,MATCH(R1029,ИД_Остановки!$B$3:$B$467,0),1)</f>
        <v>200</v>
      </c>
      <c r="R1029" s="45" t="s">
        <v>119</v>
      </c>
      <c r="S1029" s="20">
        <v>0.75</v>
      </c>
    </row>
    <row r="1030" spans="8:19" x14ac:dyDescent="0.25">
      <c r="H1030">
        <v>7</v>
      </c>
      <c r="I1030">
        <v>147</v>
      </c>
      <c r="J1030">
        <v>115</v>
      </c>
      <c r="K1030" t="b">
        <v>1</v>
      </c>
      <c r="N1030" s="30" t="s">
        <v>212</v>
      </c>
      <c r="O1030" s="2">
        <f>INDEX(Маршруты,MATCH(N1030,$B$3:$B$498,0),1)</f>
        <v>46</v>
      </c>
      <c r="P1030" s="27">
        <v>26</v>
      </c>
      <c r="Q1030" s="2">
        <f>INDEX(Остановки,MATCH(R1030,ИД_Остановки!$B$3:$B$467,0),1)</f>
        <v>24</v>
      </c>
      <c r="R1030" s="45" t="s">
        <v>252</v>
      </c>
      <c r="S1030" s="20">
        <v>0.46</v>
      </c>
    </row>
    <row r="1031" spans="8:19" x14ac:dyDescent="0.25">
      <c r="H1031">
        <v>7</v>
      </c>
      <c r="I1031">
        <v>150</v>
      </c>
      <c r="J1031">
        <v>115</v>
      </c>
      <c r="K1031" t="b">
        <v>1</v>
      </c>
      <c r="N1031" s="30" t="s">
        <v>212</v>
      </c>
      <c r="O1031" s="2">
        <f>INDEX(Маршруты,MATCH(N1031,$B$3:$B$498,0),1)</f>
        <v>46</v>
      </c>
      <c r="P1031" s="27">
        <v>27</v>
      </c>
      <c r="Q1031" s="2">
        <f>INDEX(Остановки,MATCH(R1031,ИД_Остановки!$B$3:$B$467,0),1)</f>
        <v>441</v>
      </c>
      <c r="R1031" s="45" t="s">
        <v>645</v>
      </c>
      <c r="S1031" s="20">
        <v>1.3</v>
      </c>
    </row>
    <row r="1032" spans="8:19" x14ac:dyDescent="0.25">
      <c r="H1032">
        <v>7</v>
      </c>
      <c r="I1032">
        <v>153</v>
      </c>
      <c r="J1032">
        <v>115</v>
      </c>
      <c r="K1032" t="b">
        <v>1</v>
      </c>
      <c r="N1032" s="30" t="s">
        <v>213</v>
      </c>
      <c r="O1032" s="2">
        <f>INDEX(Маршруты,MATCH(N1032,$B$3:$B$498,0),1)</f>
        <v>47</v>
      </c>
      <c r="P1032" s="27">
        <v>1</v>
      </c>
      <c r="Q1032" s="2">
        <f>INDEX(Остановки,MATCH(R1032,ИД_Остановки!$B$3:$B$467,0),1)</f>
        <v>441</v>
      </c>
      <c r="R1032" s="45" t="s">
        <v>645</v>
      </c>
      <c r="S1032" s="20"/>
    </row>
    <row r="1033" spans="8:19" x14ac:dyDescent="0.25">
      <c r="H1033">
        <v>7</v>
      </c>
      <c r="I1033">
        <v>156</v>
      </c>
      <c r="J1033">
        <v>115</v>
      </c>
      <c r="K1033" t="b">
        <v>1</v>
      </c>
      <c r="N1033" s="30" t="s">
        <v>213</v>
      </c>
      <c r="O1033" s="2">
        <f>INDEX(Маршруты,MATCH(N1033,$B$3:$B$498,0),1)</f>
        <v>47</v>
      </c>
      <c r="P1033" s="27">
        <v>2</v>
      </c>
      <c r="Q1033" s="2">
        <f>INDEX(Остановки,MATCH(R1033,ИД_Остановки!$B$3:$B$467,0),1)</f>
        <v>24</v>
      </c>
      <c r="R1033" s="45" t="s">
        <v>252</v>
      </c>
      <c r="S1033" s="20">
        <v>1.3</v>
      </c>
    </row>
    <row r="1034" spans="8:19" x14ac:dyDescent="0.25">
      <c r="H1034">
        <v>7</v>
      </c>
      <c r="I1034">
        <v>159</v>
      </c>
      <c r="J1034">
        <v>115</v>
      </c>
      <c r="K1034" t="b">
        <v>1</v>
      </c>
      <c r="N1034" s="26" t="s">
        <v>213</v>
      </c>
      <c r="O1034" s="2">
        <f>INDEX(Маршруты,MATCH(N1034,$B$3:$B$498,0),1)</f>
        <v>47</v>
      </c>
      <c r="P1034" s="27">
        <v>3</v>
      </c>
      <c r="Q1034" s="2">
        <f>INDEX(Остановки,MATCH(R1034,ИД_Остановки!$B$3:$B$467,0),1)</f>
        <v>200</v>
      </c>
      <c r="R1034" s="45" t="s">
        <v>119</v>
      </c>
      <c r="S1034" s="20">
        <v>0.46</v>
      </c>
    </row>
    <row r="1035" spans="8:19" x14ac:dyDescent="0.25">
      <c r="H1035">
        <v>7</v>
      </c>
      <c r="I1035">
        <v>162</v>
      </c>
      <c r="J1035">
        <v>115</v>
      </c>
      <c r="K1035" t="b">
        <v>1</v>
      </c>
      <c r="N1035" s="30" t="s">
        <v>213</v>
      </c>
      <c r="O1035" s="2">
        <f>INDEX(Маршруты,MATCH(N1035,$B$3:$B$498,0),1)</f>
        <v>47</v>
      </c>
      <c r="P1035" s="27">
        <v>4</v>
      </c>
      <c r="Q1035" s="2">
        <f>INDEX(Остановки,MATCH(R1035,ИД_Остановки!$B$3:$B$467,0),1)</f>
        <v>199</v>
      </c>
      <c r="R1035" s="45" t="s">
        <v>118</v>
      </c>
      <c r="S1035" s="20">
        <v>0.75</v>
      </c>
    </row>
    <row r="1036" spans="8:19" x14ac:dyDescent="0.25">
      <c r="H1036">
        <v>7</v>
      </c>
      <c r="I1036">
        <v>165</v>
      </c>
      <c r="J1036">
        <v>115</v>
      </c>
      <c r="K1036" t="b">
        <v>1</v>
      </c>
      <c r="N1036" s="30" t="s">
        <v>213</v>
      </c>
      <c r="O1036" s="2">
        <f>INDEX(Маршруты,MATCH(N1036,$B$3:$B$498,0),1)</f>
        <v>47</v>
      </c>
      <c r="P1036" s="27">
        <v>5</v>
      </c>
      <c r="Q1036" s="2">
        <f>INDEX(Остановки,MATCH(R1036,ИД_Остановки!$B$3:$B$467,0),1)</f>
        <v>22</v>
      </c>
      <c r="R1036" s="24" t="s">
        <v>22</v>
      </c>
      <c r="S1036" s="20">
        <v>0.42</v>
      </c>
    </row>
    <row r="1037" spans="8:19" x14ac:dyDescent="0.25">
      <c r="H1037">
        <v>7</v>
      </c>
      <c r="I1037">
        <v>168</v>
      </c>
      <c r="J1037">
        <v>115</v>
      </c>
      <c r="K1037" t="b">
        <v>1</v>
      </c>
      <c r="N1037" s="30" t="s">
        <v>213</v>
      </c>
      <c r="O1037" s="2">
        <f>INDEX(Маршруты,MATCH(N1037,$B$3:$B$498,0),1)</f>
        <v>47</v>
      </c>
      <c r="P1037" s="27">
        <v>6</v>
      </c>
      <c r="Q1037" s="2">
        <f>INDEX(Остановки,MATCH(R1037,ИД_Остановки!$B$3:$B$467,0),1)</f>
        <v>337</v>
      </c>
      <c r="R1037" s="45" t="s">
        <v>407</v>
      </c>
      <c r="S1037" s="20">
        <v>0.39</v>
      </c>
    </row>
    <row r="1038" spans="8:19" x14ac:dyDescent="0.25">
      <c r="H1038">
        <v>7</v>
      </c>
      <c r="I1038">
        <v>171</v>
      </c>
      <c r="J1038">
        <v>115</v>
      </c>
      <c r="K1038" t="b">
        <v>1</v>
      </c>
      <c r="N1038" s="30" t="s">
        <v>213</v>
      </c>
      <c r="O1038" s="2">
        <f>INDEX(Маршруты,MATCH(N1038,$B$3:$B$498,0),1)</f>
        <v>47</v>
      </c>
      <c r="P1038" s="27">
        <v>7</v>
      </c>
      <c r="Q1038" s="2">
        <f>INDEX(Остановки,MATCH(R1038,ИД_Остановки!$B$3:$B$467,0),1)</f>
        <v>403</v>
      </c>
      <c r="R1038" s="45" t="s">
        <v>99</v>
      </c>
      <c r="S1038" s="20">
        <v>0.59</v>
      </c>
    </row>
    <row r="1039" spans="8:19" x14ac:dyDescent="0.25">
      <c r="H1039">
        <v>7</v>
      </c>
      <c r="I1039">
        <v>174</v>
      </c>
      <c r="J1039">
        <v>115</v>
      </c>
      <c r="K1039" t="b">
        <v>1</v>
      </c>
      <c r="N1039" s="30" t="s">
        <v>213</v>
      </c>
      <c r="O1039" s="2">
        <f>INDEX(Маршруты,MATCH(N1039,$B$3:$B$498,0),1)</f>
        <v>47</v>
      </c>
      <c r="P1039" s="27">
        <v>8</v>
      </c>
      <c r="Q1039" s="2">
        <f>INDEX(Остановки,MATCH(R1039,ИД_Остановки!$B$3:$B$467,0),1)</f>
        <v>254</v>
      </c>
      <c r="R1039" s="45" t="s">
        <v>136</v>
      </c>
      <c r="S1039" s="20">
        <v>1</v>
      </c>
    </row>
    <row r="1040" spans="8:19" x14ac:dyDescent="0.25">
      <c r="H1040">
        <v>7</v>
      </c>
      <c r="I1040">
        <v>177</v>
      </c>
      <c r="J1040">
        <v>115</v>
      </c>
      <c r="K1040" t="b">
        <v>1</v>
      </c>
      <c r="N1040" s="30" t="s">
        <v>213</v>
      </c>
      <c r="O1040" s="2">
        <f>INDEX(Маршруты,MATCH(N1040,$B$3:$B$498,0),1)</f>
        <v>47</v>
      </c>
      <c r="P1040" s="27">
        <v>9</v>
      </c>
      <c r="Q1040" s="2">
        <f>INDEX(Остановки,MATCH(R1040,ИД_Остановки!$B$3:$B$467,0),1)</f>
        <v>288</v>
      </c>
      <c r="R1040" s="45" t="s">
        <v>388</v>
      </c>
      <c r="S1040" s="20">
        <v>0.79</v>
      </c>
    </row>
    <row r="1041" spans="8:19" x14ac:dyDescent="0.25">
      <c r="H1041">
        <v>7</v>
      </c>
      <c r="I1041">
        <v>180</v>
      </c>
      <c r="J1041">
        <v>115</v>
      </c>
      <c r="K1041" t="b">
        <v>1</v>
      </c>
      <c r="N1041" s="30" t="s">
        <v>213</v>
      </c>
      <c r="O1041" s="2">
        <f>INDEX(Маршруты,MATCH(N1041,$B$3:$B$498,0),1)</f>
        <v>47</v>
      </c>
      <c r="P1041" s="27">
        <v>10</v>
      </c>
      <c r="Q1041" s="2">
        <f>INDEX(Остановки,MATCH(R1041,ИД_Остановки!$B$3:$B$467,0),1)</f>
        <v>252</v>
      </c>
      <c r="R1041" s="45" t="s">
        <v>135</v>
      </c>
      <c r="S1041" s="20">
        <v>0.28999999999999998</v>
      </c>
    </row>
    <row r="1042" spans="8:19" x14ac:dyDescent="0.25">
      <c r="H1042">
        <v>7</v>
      </c>
      <c r="I1042">
        <v>183</v>
      </c>
      <c r="J1042">
        <v>115</v>
      </c>
      <c r="K1042" t="b">
        <v>1</v>
      </c>
      <c r="N1042" s="30" t="s">
        <v>213</v>
      </c>
      <c r="O1042" s="2">
        <f>INDEX(Маршруты,MATCH(N1042,$B$3:$B$498,0),1)</f>
        <v>47</v>
      </c>
      <c r="P1042" s="27">
        <v>11</v>
      </c>
      <c r="Q1042" s="2">
        <f>INDEX(Остановки,MATCH(R1042,ИД_Остановки!$B$3:$B$467,0),1)</f>
        <v>236</v>
      </c>
      <c r="R1042" s="45" t="s">
        <v>130</v>
      </c>
      <c r="S1042" s="20">
        <v>0.59</v>
      </c>
    </row>
    <row r="1043" spans="8:19" x14ac:dyDescent="0.25">
      <c r="H1043">
        <v>7</v>
      </c>
      <c r="I1043">
        <v>186</v>
      </c>
      <c r="J1043">
        <v>115</v>
      </c>
      <c r="K1043" t="b">
        <v>1</v>
      </c>
      <c r="N1043" s="30" t="s">
        <v>213</v>
      </c>
      <c r="O1043" s="2">
        <f>INDEX(Маршруты,MATCH(N1043,$B$3:$B$498,0),1)</f>
        <v>47</v>
      </c>
      <c r="P1043" s="27">
        <v>12</v>
      </c>
      <c r="Q1043" s="2">
        <f>INDEX(Остановки,MATCH(R1043,ИД_Остановки!$B$3:$B$467,0),1)</f>
        <v>245</v>
      </c>
      <c r="R1043" s="45" t="s">
        <v>369</v>
      </c>
      <c r="S1043" s="20">
        <v>0.38</v>
      </c>
    </row>
    <row r="1044" spans="8:19" x14ac:dyDescent="0.25">
      <c r="H1044">
        <v>7</v>
      </c>
      <c r="I1044">
        <v>189</v>
      </c>
      <c r="J1044">
        <v>115</v>
      </c>
      <c r="K1044" t="b">
        <v>1</v>
      </c>
      <c r="N1044" s="26" t="s">
        <v>213</v>
      </c>
      <c r="O1044" s="2">
        <f>INDEX(Маршруты,MATCH(N1044,$B$3:$B$498,0),1)</f>
        <v>47</v>
      </c>
      <c r="P1044" s="27">
        <v>13</v>
      </c>
      <c r="Q1044" s="2">
        <f>INDEX(Остановки,MATCH(R1044,ИД_Остановки!$B$3:$B$467,0),1)</f>
        <v>258</v>
      </c>
      <c r="R1044" s="45" t="s">
        <v>378</v>
      </c>
      <c r="S1044" s="20">
        <v>0.3</v>
      </c>
    </row>
    <row r="1045" spans="8:19" x14ac:dyDescent="0.25">
      <c r="H1045">
        <v>7</v>
      </c>
      <c r="I1045">
        <v>192</v>
      </c>
      <c r="J1045">
        <v>115</v>
      </c>
      <c r="K1045" t="b">
        <v>1</v>
      </c>
      <c r="N1045" s="25" t="s">
        <v>213</v>
      </c>
      <c r="O1045" s="2">
        <f>INDEX(Маршруты,MATCH(N1045,$B$3:$B$498,0),1)</f>
        <v>47</v>
      </c>
      <c r="P1045" s="27">
        <v>14</v>
      </c>
      <c r="Q1045" s="2">
        <f>INDEX(Остановки,MATCH(R1045,ИД_Остановки!$B$3:$B$467,0),1)</f>
        <v>244</v>
      </c>
      <c r="R1045" s="45" t="s">
        <v>133</v>
      </c>
      <c r="S1045" s="20">
        <v>0.215</v>
      </c>
    </row>
    <row r="1046" spans="8:19" x14ac:dyDescent="0.25">
      <c r="H1046">
        <v>7</v>
      </c>
      <c r="I1046">
        <v>195</v>
      </c>
      <c r="J1046">
        <v>115</v>
      </c>
      <c r="K1046" t="b">
        <v>1</v>
      </c>
      <c r="N1046" s="30" t="s">
        <v>213</v>
      </c>
      <c r="O1046" s="2">
        <f>INDEX(Маршруты,MATCH(N1046,$B$3:$B$498,0),1)</f>
        <v>47</v>
      </c>
      <c r="P1046" s="27">
        <v>15</v>
      </c>
      <c r="Q1046" s="2">
        <f>INDEX(Остановки,MATCH(R1046,ИД_Остановки!$B$3:$B$467,0),1)</f>
        <v>251</v>
      </c>
      <c r="R1046" s="45" t="s">
        <v>164</v>
      </c>
      <c r="S1046" s="20">
        <v>0.64</v>
      </c>
    </row>
    <row r="1047" spans="8:19" x14ac:dyDescent="0.25">
      <c r="H1047">
        <v>7</v>
      </c>
      <c r="I1047">
        <v>198</v>
      </c>
      <c r="J1047">
        <v>115</v>
      </c>
      <c r="K1047" t="b">
        <v>1</v>
      </c>
      <c r="N1047" s="30" t="s">
        <v>213</v>
      </c>
      <c r="O1047" s="2">
        <f>INDEX(Маршруты,MATCH(N1047,$B$3:$B$498,0),1)</f>
        <v>47</v>
      </c>
      <c r="P1047" s="27">
        <v>16</v>
      </c>
      <c r="Q1047" s="2">
        <f>INDEX(Остановки,MATCH(R1047,ИД_Остановки!$B$3:$B$467,0),1)</f>
        <v>243</v>
      </c>
      <c r="R1047" s="45" t="s">
        <v>368</v>
      </c>
      <c r="S1047" s="20">
        <v>0.7</v>
      </c>
    </row>
    <row r="1048" spans="8:19" x14ac:dyDescent="0.25">
      <c r="H1048">
        <v>7</v>
      </c>
      <c r="I1048">
        <v>201</v>
      </c>
      <c r="J1048">
        <v>115</v>
      </c>
      <c r="K1048" t="b">
        <v>1</v>
      </c>
      <c r="N1048" s="30" t="s">
        <v>213</v>
      </c>
      <c r="O1048" s="2">
        <f>INDEX(Маршруты,MATCH(N1048,$B$3:$B$498,0),1)</f>
        <v>47</v>
      </c>
      <c r="P1048" s="27">
        <v>17</v>
      </c>
      <c r="Q1048" s="2">
        <f>INDEX(Остановки,MATCH(R1048,ИД_Остановки!$B$3:$B$467,0),1)</f>
        <v>222</v>
      </c>
      <c r="R1048" s="45" t="s">
        <v>354</v>
      </c>
      <c r="S1048" s="20">
        <v>0.36</v>
      </c>
    </row>
    <row r="1049" spans="8:19" x14ac:dyDescent="0.25">
      <c r="H1049">
        <v>7</v>
      </c>
      <c r="I1049">
        <v>204</v>
      </c>
      <c r="J1049">
        <v>115</v>
      </c>
      <c r="K1049" t="b">
        <v>1</v>
      </c>
      <c r="N1049" s="30" t="s">
        <v>213</v>
      </c>
      <c r="O1049" s="2">
        <f>INDEX(Маршруты,MATCH(N1049,$B$3:$B$498,0),1)</f>
        <v>47</v>
      </c>
      <c r="P1049" s="27">
        <v>18</v>
      </c>
      <c r="Q1049" s="2">
        <f>INDEX(Остановки,MATCH(R1049,ИД_Остановки!$B$3:$B$467,0),1)</f>
        <v>250</v>
      </c>
      <c r="R1049" s="45" t="s">
        <v>373</v>
      </c>
      <c r="S1049" s="20">
        <v>0.64</v>
      </c>
    </row>
    <row r="1050" spans="8:19" x14ac:dyDescent="0.25">
      <c r="H1050">
        <v>7</v>
      </c>
      <c r="I1050">
        <v>207</v>
      </c>
      <c r="J1050">
        <v>115</v>
      </c>
      <c r="K1050" t="b">
        <v>1</v>
      </c>
      <c r="N1050" s="30" t="s">
        <v>213</v>
      </c>
      <c r="O1050" s="2">
        <f>INDEX(Маршруты,MATCH(N1050,$B$3:$B$498,0),1)</f>
        <v>47</v>
      </c>
      <c r="P1050" s="27">
        <v>19</v>
      </c>
      <c r="Q1050" s="2">
        <f>INDEX(Остановки,MATCH(R1050,ИД_Остановки!$B$3:$B$467,0),1)</f>
        <v>276</v>
      </c>
      <c r="R1050" s="45" t="s">
        <v>148</v>
      </c>
      <c r="S1050" s="20">
        <v>0.3</v>
      </c>
    </row>
    <row r="1051" spans="8:19" x14ac:dyDescent="0.25">
      <c r="H1051">
        <v>7</v>
      </c>
      <c r="I1051">
        <v>210</v>
      </c>
      <c r="J1051">
        <v>115</v>
      </c>
      <c r="K1051" t="b">
        <v>1</v>
      </c>
      <c r="N1051" s="30" t="s">
        <v>213</v>
      </c>
      <c r="O1051" s="2">
        <f>INDEX(Маршруты,MATCH(N1051,$B$3:$B$498,0),1)</f>
        <v>47</v>
      </c>
      <c r="P1051" s="27">
        <v>20</v>
      </c>
      <c r="Q1051" s="2">
        <f>INDEX(Остановки,MATCH(R1051,ИД_Остановки!$B$3:$B$467,0),1)</f>
        <v>277</v>
      </c>
      <c r="R1051" s="45" t="s">
        <v>149</v>
      </c>
      <c r="S1051" s="20">
        <v>0.8</v>
      </c>
    </row>
    <row r="1052" spans="8:19" x14ac:dyDescent="0.25">
      <c r="H1052">
        <v>7</v>
      </c>
      <c r="I1052">
        <v>213</v>
      </c>
      <c r="J1052">
        <v>115</v>
      </c>
      <c r="K1052" t="b">
        <v>1</v>
      </c>
      <c r="N1052" s="30" t="s">
        <v>213</v>
      </c>
      <c r="O1052" s="2">
        <f>INDEX(Маршруты,MATCH(N1052,$B$3:$B$498,0),1)</f>
        <v>47</v>
      </c>
      <c r="P1052" s="27">
        <v>21</v>
      </c>
      <c r="Q1052" s="2">
        <f>INDEX(Остановки,MATCH(R1052,ИД_Остановки!$B$3:$B$467,0),1)</f>
        <v>278</v>
      </c>
      <c r="R1052" s="45" t="s">
        <v>386</v>
      </c>
      <c r="S1052" s="20">
        <v>0.18</v>
      </c>
    </row>
    <row r="1053" spans="8:19" x14ac:dyDescent="0.25">
      <c r="H1053">
        <v>7</v>
      </c>
      <c r="I1053">
        <v>216</v>
      </c>
      <c r="J1053">
        <v>115</v>
      </c>
      <c r="K1053" t="b">
        <v>1</v>
      </c>
      <c r="N1053" s="30" t="s">
        <v>213</v>
      </c>
      <c r="O1053" s="2">
        <f>INDEX(Маршруты,MATCH(N1053,$B$3:$B$498,0),1)</f>
        <v>47</v>
      </c>
      <c r="P1053" s="27">
        <v>22</v>
      </c>
      <c r="Q1053" s="2">
        <f>INDEX(Остановки,MATCH(R1053,ИД_Остановки!$B$3:$B$467,0),1)</f>
        <v>385</v>
      </c>
      <c r="R1053" s="45" t="s">
        <v>443</v>
      </c>
      <c r="S1053" s="20">
        <v>0.46</v>
      </c>
    </row>
    <row r="1054" spans="8:19" x14ac:dyDescent="0.25">
      <c r="H1054">
        <v>7</v>
      </c>
      <c r="I1054">
        <v>219</v>
      </c>
      <c r="J1054">
        <v>115</v>
      </c>
      <c r="K1054" t="b">
        <v>1</v>
      </c>
      <c r="N1054" s="25" t="s">
        <v>213</v>
      </c>
      <c r="O1054" s="2">
        <f>INDEX(Маршруты,MATCH(N1054,$B$3:$B$498,0),1)</f>
        <v>47</v>
      </c>
      <c r="P1054" s="27">
        <v>23</v>
      </c>
      <c r="Q1054" s="2">
        <f>INDEX(Остановки,MATCH(R1054,ИД_Остановки!$B$3:$B$467,0),1)</f>
        <v>279</v>
      </c>
      <c r="R1054" s="45" t="s">
        <v>387</v>
      </c>
      <c r="S1054" s="20">
        <v>1.01</v>
      </c>
    </row>
    <row r="1055" spans="8:19" x14ac:dyDescent="0.25">
      <c r="H1055">
        <v>7</v>
      </c>
      <c r="I1055">
        <v>222</v>
      </c>
      <c r="J1055">
        <v>115</v>
      </c>
      <c r="K1055" t="b">
        <v>1</v>
      </c>
      <c r="N1055" s="25" t="s">
        <v>213</v>
      </c>
      <c r="O1055" s="2">
        <f>INDEX(Маршруты,MATCH(N1055,$B$3:$B$498,0),1)</f>
        <v>47</v>
      </c>
      <c r="P1055" s="27">
        <v>24</v>
      </c>
      <c r="Q1055" s="2">
        <f>INDEX(Остановки,MATCH(R1055,ИД_Остановки!$B$3:$B$467,0),1)</f>
        <v>386</v>
      </c>
      <c r="R1055" s="45" t="s">
        <v>444</v>
      </c>
      <c r="S1055" s="20">
        <v>0.51</v>
      </c>
    </row>
    <row r="1056" spans="8:19" x14ac:dyDescent="0.25">
      <c r="H1056">
        <v>7</v>
      </c>
      <c r="I1056">
        <v>225</v>
      </c>
      <c r="J1056">
        <v>115</v>
      </c>
      <c r="K1056" t="b">
        <v>1</v>
      </c>
      <c r="N1056" s="25" t="s">
        <v>213</v>
      </c>
      <c r="O1056" s="2">
        <f>INDEX(Маршруты,MATCH(N1056,$B$3:$B$498,0),1)</f>
        <v>47</v>
      </c>
      <c r="P1056" s="27">
        <v>25</v>
      </c>
      <c r="Q1056" s="2">
        <f>INDEX(Остановки,MATCH(R1056,ИД_Остановки!$B$3:$B$467,0),1)</f>
        <v>387</v>
      </c>
      <c r="R1056" s="45" t="s">
        <v>150</v>
      </c>
      <c r="S1056" s="20">
        <v>0.44</v>
      </c>
    </row>
    <row r="1057" spans="8:19" x14ac:dyDescent="0.25">
      <c r="H1057">
        <v>7</v>
      </c>
      <c r="I1057">
        <v>228</v>
      </c>
      <c r="J1057">
        <v>115</v>
      </c>
      <c r="K1057" t="b">
        <v>1</v>
      </c>
      <c r="N1057" s="30" t="s">
        <v>213</v>
      </c>
      <c r="O1057" s="2">
        <f>INDEX(Маршруты,MATCH(N1057,$B$3:$B$498,0),1)</f>
        <v>47</v>
      </c>
      <c r="P1057" s="27">
        <v>26</v>
      </c>
      <c r="Q1057" s="2">
        <f>INDEX(Остановки,MATCH(R1057,ИД_Остановки!$B$3:$B$467,0),1)</f>
        <v>410</v>
      </c>
      <c r="R1057" s="45" t="s">
        <v>466</v>
      </c>
      <c r="S1057" s="20">
        <v>19.7</v>
      </c>
    </row>
    <row r="1058" spans="8:19" x14ac:dyDescent="0.25">
      <c r="H1058">
        <v>7</v>
      </c>
      <c r="I1058">
        <v>231</v>
      </c>
      <c r="J1058">
        <v>115</v>
      </c>
      <c r="K1058" t="b">
        <v>1</v>
      </c>
      <c r="N1058" s="30" t="s">
        <v>213</v>
      </c>
      <c r="O1058" s="2">
        <f>INDEX(Маршруты,MATCH(N1058,$B$3:$B$498,0),1)</f>
        <v>47</v>
      </c>
      <c r="P1058" s="27">
        <v>27</v>
      </c>
      <c r="Q1058" s="2">
        <f>INDEX(Остановки,MATCH(R1058,ИД_Остановки!$B$3:$B$467,0),1)</f>
        <v>275</v>
      </c>
      <c r="R1058" s="45" t="s">
        <v>385</v>
      </c>
      <c r="S1058" s="20">
        <v>1.69</v>
      </c>
    </row>
    <row r="1059" spans="8:19" x14ac:dyDescent="0.25">
      <c r="H1059">
        <v>7</v>
      </c>
      <c r="I1059">
        <v>234</v>
      </c>
      <c r="J1059">
        <v>115</v>
      </c>
      <c r="K1059" t="b">
        <v>1</v>
      </c>
      <c r="N1059" s="30" t="s">
        <v>528</v>
      </c>
      <c r="O1059" s="2">
        <f>INDEX(Маршруты,MATCH(N1059,$B$3:$B$498,0),1)</f>
        <v>48</v>
      </c>
      <c r="P1059" s="27">
        <v>1</v>
      </c>
      <c r="Q1059" s="2">
        <f>INDEX(Остановки,MATCH(R1059,ИД_Остановки!$B$3:$B$467,0),1)</f>
        <v>135</v>
      </c>
      <c r="R1059" s="45" t="s">
        <v>83</v>
      </c>
      <c r="S1059" s="20"/>
    </row>
    <row r="1060" spans="8:19" x14ac:dyDescent="0.25">
      <c r="H1060">
        <v>7</v>
      </c>
      <c r="I1060">
        <v>237</v>
      </c>
      <c r="J1060">
        <v>115</v>
      </c>
      <c r="K1060" t="b">
        <v>1</v>
      </c>
      <c r="N1060" s="30" t="s">
        <v>528</v>
      </c>
      <c r="O1060" s="2">
        <f>INDEX(Маршруты,MATCH(N1060,$B$3:$B$498,0),1)</f>
        <v>48</v>
      </c>
      <c r="P1060" s="27">
        <v>2</v>
      </c>
      <c r="Q1060" s="2">
        <f>INDEX(Остановки,MATCH(R1060,ИД_Остановки!$B$3:$B$467,0),1)</f>
        <v>395</v>
      </c>
      <c r="R1060" s="45" t="s">
        <v>452</v>
      </c>
      <c r="S1060" s="20">
        <v>0.75</v>
      </c>
    </row>
    <row r="1061" spans="8:19" x14ac:dyDescent="0.25">
      <c r="H1061">
        <v>7</v>
      </c>
      <c r="I1061">
        <v>240</v>
      </c>
      <c r="J1061">
        <v>115</v>
      </c>
      <c r="K1061" t="b">
        <v>1</v>
      </c>
      <c r="N1061" s="30" t="s">
        <v>528</v>
      </c>
      <c r="O1061" s="2">
        <f>INDEX(Маршруты,MATCH(N1061,$B$3:$B$498,0),1)</f>
        <v>48</v>
      </c>
      <c r="P1061" s="27">
        <v>3</v>
      </c>
      <c r="Q1061" s="2">
        <f>INDEX(Остановки,MATCH(R1061,ИД_Остановки!$B$3:$B$467,0),1)</f>
        <v>21</v>
      </c>
      <c r="R1061" s="45" t="s">
        <v>21</v>
      </c>
      <c r="S1061" s="20">
        <v>1.1499999999999999</v>
      </c>
    </row>
    <row r="1062" spans="8:19" x14ac:dyDescent="0.25">
      <c r="H1062">
        <v>7</v>
      </c>
      <c r="I1062">
        <v>243</v>
      </c>
      <c r="J1062">
        <v>115</v>
      </c>
      <c r="K1062" t="b">
        <v>1</v>
      </c>
      <c r="N1062" s="25" t="s">
        <v>528</v>
      </c>
      <c r="O1062" s="2">
        <f>INDEX(Маршруты,MATCH(N1062,$B$3:$B$498,0),1)</f>
        <v>48</v>
      </c>
      <c r="P1062" s="27">
        <v>4</v>
      </c>
      <c r="Q1062" s="2">
        <f>INDEX(Остановки,MATCH(R1062,ИД_Остановки!$B$3:$B$467,0),1)</f>
        <v>241</v>
      </c>
      <c r="R1062" s="45" t="s">
        <v>132</v>
      </c>
      <c r="S1062" s="20">
        <v>1.56</v>
      </c>
    </row>
    <row r="1063" spans="8:19" x14ac:dyDescent="0.25">
      <c r="H1063">
        <v>7</v>
      </c>
      <c r="I1063">
        <v>246</v>
      </c>
      <c r="J1063">
        <v>115</v>
      </c>
      <c r="K1063" t="b">
        <v>1</v>
      </c>
      <c r="N1063" s="25" t="s">
        <v>528</v>
      </c>
      <c r="O1063" s="2">
        <f>INDEX(Маршруты,MATCH(N1063,$B$3:$B$498,0),1)</f>
        <v>48</v>
      </c>
      <c r="P1063" s="27">
        <v>5</v>
      </c>
      <c r="Q1063" s="2">
        <f>INDEX(Остановки,MATCH(R1063,ИД_Остановки!$B$3:$B$467,0),1)</f>
        <v>207</v>
      </c>
      <c r="R1063" s="45" t="s">
        <v>345</v>
      </c>
      <c r="S1063" s="20">
        <v>0.74</v>
      </c>
    </row>
    <row r="1064" spans="8:19" x14ac:dyDescent="0.25">
      <c r="H1064">
        <v>7</v>
      </c>
      <c r="I1064">
        <v>249</v>
      </c>
      <c r="J1064">
        <v>115</v>
      </c>
      <c r="K1064" t="b">
        <v>1</v>
      </c>
      <c r="N1064" s="30" t="s">
        <v>528</v>
      </c>
      <c r="O1064" s="2">
        <f>INDEX(Маршруты,MATCH(N1064,$B$3:$B$498,0),1)</f>
        <v>48</v>
      </c>
      <c r="P1064" s="27">
        <v>6</v>
      </c>
      <c r="Q1064" s="2">
        <f>INDEX(Остановки,MATCH(R1064,ИД_Остановки!$B$3:$B$467,0),1)</f>
        <v>208</v>
      </c>
      <c r="R1064" s="45" t="s">
        <v>121</v>
      </c>
      <c r="S1064" s="20">
        <v>0.56999999999999995</v>
      </c>
    </row>
    <row r="1065" spans="8:19" x14ac:dyDescent="0.25">
      <c r="H1065">
        <v>7</v>
      </c>
      <c r="I1065">
        <v>252</v>
      </c>
      <c r="J1065">
        <v>115</v>
      </c>
      <c r="K1065" t="b">
        <v>1</v>
      </c>
      <c r="N1065" s="30" t="s">
        <v>528</v>
      </c>
      <c r="O1065" s="2">
        <f>INDEX(Маршруты,MATCH(N1065,$B$3:$B$498,0),1)</f>
        <v>48</v>
      </c>
      <c r="P1065" s="27">
        <v>7</v>
      </c>
      <c r="Q1065" s="2">
        <f>INDEX(Остановки,MATCH(R1065,ИД_Остановки!$B$3:$B$467,0),1)</f>
        <v>3</v>
      </c>
      <c r="R1065" s="45" t="s">
        <v>243</v>
      </c>
      <c r="S1065" s="20">
        <v>0.9</v>
      </c>
    </row>
    <row r="1066" spans="8:19" x14ac:dyDescent="0.25">
      <c r="H1066">
        <v>7</v>
      </c>
      <c r="I1066">
        <v>255</v>
      </c>
      <c r="J1066">
        <v>115</v>
      </c>
      <c r="K1066" t="b">
        <v>1</v>
      </c>
      <c r="N1066" s="25" t="s">
        <v>528</v>
      </c>
      <c r="O1066" s="2">
        <f>INDEX(Маршруты,MATCH(N1066,$B$3:$B$498,0),1)</f>
        <v>48</v>
      </c>
      <c r="P1066" s="27">
        <v>8</v>
      </c>
      <c r="Q1066" s="2">
        <f>INDEX(Остановки,MATCH(R1066,ИД_Остановки!$B$3:$B$467,0),1)</f>
        <v>228</v>
      </c>
      <c r="R1066" s="24" t="s">
        <v>127</v>
      </c>
      <c r="S1066" s="20">
        <v>1.18</v>
      </c>
    </row>
    <row r="1067" spans="8:19" x14ac:dyDescent="0.25">
      <c r="H1067">
        <v>7</v>
      </c>
      <c r="I1067">
        <v>258</v>
      </c>
      <c r="J1067">
        <v>115</v>
      </c>
      <c r="K1067" t="b">
        <v>1</v>
      </c>
      <c r="N1067" s="26" t="s">
        <v>528</v>
      </c>
      <c r="O1067" s="2">
        <f>INDEX(Маршруты,MATCH(N1067,$B$3:$B$498,0),1)</f>
        <v>48</v>
      </c>
      <c r="P1067" s="27">
        <v>9</v>
      </c>
      <c r="Q1067" s="2">
        <f>INDEX(Остановки,MATCH(R1067,ИД_Остановки!$B$3:$B$467,0),1)</f>
        <v>238</v>
      </c>
      <c r="R1067" s="45" t="s">
        <v>131</v>
      </c>
      <c r="S1067" s="20">
        <v>0.94</v>
      </c>
    </row>
    <row r="1068" spans="8:19" x14ac:dyDescent="0.25">
      <c r="H1068">
        <v>7</v>
      </c>
      <c r="I1068">
        <v>261</v>
      </c>
      <c r="J1068">
        <v>115</v>
      </c>
      <c r="K1068" t="b">
        <v>1</v>
      </c>
      <c r="N1068" s="25" t="s">
        <v>528</v>
      </c>
      <c r="O1068" s="2">
        <f>INDEX(Маршруты,MATCH(N1068,$B$3:$B$498,0),1)</f>
        <v>48</v>
      </c>
      <c r="P1068" s="27">
        <v>10</v>
      </c>
      <c r="Q1068" s="2">
        <f>INDEX(Остановки,MATCH(R1068,ИД_Остановки!$B$3:$B$467,0),1)</f>
        <v>257</v>
      </c>
      <c r="R1068" s="45" t="s">
        <v>377</v>
      </c>
      <c r="S1068" s="20">
        <v>0.56000000000000005</v>
      </c>
    </row>
    <row r="1069" spans="8:19" x14ac:dyDescent="0.25">
      <c r="H1069">
        <v>7</v>
      </c>
      <c r="I1069">
        <v>264</v>
      </c>
      <c r="J1069">
        <v>115</v>
      </c>
      <c r="K1069" t="b">
        <v>1</v>
      </c>
      <c r="N1069" s="30" t="s">
        <v>528</v>
      </c>
      <c r="O1069" s="2">
        <f>INDEX(Маршруты,MATCH(N1069,$B$3:$B$498,0),1)</f>
        <v>48</v>
      </c>
      <c r="P1069" s="27">
        <v>11</v>
      </c>
      <c r="Q1069" s="2">
        <f>INDEX(Остановки,MATCH(R1069,ИД_Остановки!$B$3:$B$467,0),1)</f>
        <v>255</v>
      </c>
      <c r="R1069" s="45" t="s">
        <v>137</v>
      </c>
      <c r="S1069" s="20">
        <v>0.61</v>
      </c>
    </row>
    <row r="1070" spans="8:19" x14ac:dyDescent="0.25">
      <c r="H1070">
        <v>7</v>
      </c>
      <c r="I1070">
        <v>267</v>
      </c>
      <c r="J1070">
        <v>115</v>
      </c>
      <c r="K1070" t="b">
        <v>1</v>
      </c>
      <c r="N1070" s="25" t="s">
        <v>528</v>
      </c>
      <c r="O1070" s="2">
        <f>INDEX(Маршруты,MATCH(N1070,$B$3:$B$498,0),1)</f>
        <v>48</v>
      </c>
      <c r="P1070" s="27">
        <v>12</v>
      </c>
      <c r="Q1070" s="2">
        <f>INDEX(Остановки,MATCH(R1070,ИД_Остановки!$B$3:$B$467,0),1)</f>
        <v>200</v>
      </c>
      <c r="R1070" s="45" t="s">
        <v>119</v>
      </c>
      <c r="S1070" s="20">
        <v>0.67</v>
      </c>
    </row>
    <row r="1071" spans="8:19" x14ac:dyDescent="0.25">
      <c r="H1071">
        <v>7</v>
      </c>
      <c r="I1071">
        <v>270</v>
      </c>
      <c r="J1071">
        <v>115</v>
      </c>
      <c r="K1071" t="b">
        <v>1</v>
      </c>
      <c r="N1071" s="25" t="s">
        <v>528</v>
      </c>
      <c r="O1071" s="2">
        <f>INDEX(Маршруты,MATCH(N1071,$B$3:$B$498,0),1)</f>
        <v>48</v>
      </c>
      <c r="P1071" s="27">
        <v>13</v>
      </c>
      <c r="Q1071" s="2">
        <f>INDEX(Остановки,MATCH(R1071,ИД_Остановки!$B$3:$B$467,0),1)</f>
        <v>199</v>
      </c>
      <c r="R1071" s="45" t="s">
        <v>118</v>
      </c>
      <c r="S1071" s="20">
        <v>0.75</v>
      </c>
    </row>
    <row r="1072" spans="8:19" x14ac:dyDescent="0.25">
      <c r="H1072">
        <v>7</v>
      </c>
      <c r="I1072">
        <v>273</v>
      </c>
      <c r="J1072">
        <v>115</v>
      </c>
      <c r="K1072" t="b">
        <v>1</v>
      </c>
      <c r="N1072" s="25" t="s">
        <v>528</v>
      </c>
      <c r="O1072" s="2">
        <f>INDEX(Маршруты,MATCH(N1072,$B$3:$B$498,0),1)</f>
        <v>48</v>
      </c>
      <c r="P1072" s="27">
        <v>14</v>
      </c>
      <c r="Q1072" s="2">
        <f>INDEX(Остановки,MATCH(R1072,ИД_Остановки!$B$3:$B$467,0),1)</f>
        <v>22</v>
      </c>
      <c r="R1072" s="45" t="s">
        <v>22</v>
      </c>
      <c r="S1072" s="20">
        <v>0.42</v>
      </c>
    </row>
    <row r="1073" spans="8:19" x14ac:dyDescent="0.25">
      <c r="H1073">
        <v>7</v>
      </c>
      <c r="I1073">
        <v>276</v>
      </c>
      <c r="J1073">
        <v>115</v>
      </c>
      <c r="K1073" t="b">
        <v>1</v>
      </c>
      <c r="N1073" s="25" t="s">
        <v>528</v>
      </c>
      <c r="O1073" s="2">
        <f>INDEX(Маршруты,MATCH(N1073,$B$3:$B$498,0),1)</f>
        <v>48</v>
      </c>
      <c r="P1073" s="27">
        <v>15</v>
      </c>
      <c r="Q1073" s="2">
        <f>INDEX(Остановки,MATCH(R1073,ИД_Остановки!$B$3:$B$467,0),1)</f>
        <v>337</v>
      </c>
      <c r="R1073" s="45" t="s">
        <v>407</v>
      </c>
      <c r="S1073" s="20">
        <v>0.39</v>
      </c>
    </row>
    <row r="1074" spans="8:19" x14ac:dyDescent="0.25">
      <c r="H1074">
        <v>7</v>
      </c>
      <c r="I1074">
        <v>279</v>
      </c>
      <c r="J1074">
        <v>115</v>
      </c>
      <c r="K1074" t="b">
        <v>1</v>
      </c>
      <c r="N1074" s="25" t="s">
        <v>528</v>
      </c>
      <c r="O1074" s="2">
        <f>INDEX(Маршруты,MATCH(N1074,$B$3:$B$498,0),1)</f>
        <v>48</v>
      </c>
      <c r="P1074" s="27">
        <v>16</v>
      </c>
      <c r="Q1074" s="2">
        <f>INDEX(Остановки,MATCH(R1074,ИД_Остановки!$B$3:$B$467,0),1)</f>
        <v>403</v>
      </c>
      <c r="R1074" s="45" t="s">
        <v>99</v>
      </c>
      <c r="S1074" s="20">
        <v>0.59</v>
      </c>
    </row>
    <row r="1075" spans="8:19" x14ac:dyDescent="0.25">
      <c r="H1075">
        <v>7</v>
      </c>
      <c r="I1075">
        <v>282</v>
      </c>
      <c r="J1075">
        <v>115</v>
      </c>
      <c r="K1075" t="b">
        <v>1</v>
      </c>
      <c r="N1075" s="25" t="s">
        <v>528</v>
      </c>
      <c r="O1075" s="2">
        <f>INDEX(Маршруты,MATCH(N1075,$B$3:$B$498,0),1)</f>
        <v>48</v>
      </c>
      <c r="P1075" s="28">
        <v>17</v>
      </c>
      <c r="Q1075" s="2">
        <f>INDEX(Остановки,MATCH(R1075,ИД_Остановки!$B$3:$B$467,0),1)</f>
        <v>254</v>
      </c>
      <c r="R1075" s="24" t="s">
        <v>136</v>
      </c>
      <c r="S1075" s="20">
        <v>1</v>
      </c>
    </row>
    <row r="1076" spans="8:19" x14ac:dyDescent="0.25">
      <c r="H1076">
        <v>7</v>
      </c>
      <c r="I1076">
        <v>285</v>
      </c>
      <c r="J1076">
        <v>115</v>
      </c>
      <c r="K1076" t="b">
        <v>1</v>
      </c>
      <c r="N1076" s="26" t="s">
        <v>528</v>
      </c>
      <c r="O1076" s="2">
        <f>INDEX(Маршруты,MATCH(N1076,$B$3:$B$498,0),1)</f>
        <v>48</v>
      </c>
      <c r="P1076" s="27">
        <v>18</v>
      </c>
      <c r="Q1076" s="2">
        <f>INDEX(Остановки,MATCH(R1076,ИД_Остановки!$B$3:$B$467,0),1)</f>
        <v>288</v>
      </c>
      <c r="R1076" s="45" t="s">
        <v>388</v>
      </c>
      <c r="S1076" s="20">
        <v>0.79</v>
      </c>
    </row>
    <row r="1077" spans="8:19" x14ac:dyDescent="0.25">
      <c r="H1077">
        <v>7</v>
      </c>
      <c r="I1077">
        <v>288</v>
      </c>
      <c r="J1077">
        <v>115</v>
      </c>
      <c r="K1077" t="b">
        <v>1</v>
      </c>
      <c r="N1077" s="30" t="s">
        <v>528</v>
      </c>
      <c r="O1077" s="2">
        <f>INDEX(Маршруты,MATCH(N1077,$B$3:$B$498,0),1)</f>
        <v>48</v>
      </c>
      <c r="P1077" s="27">
        <v>19</v>
      </c>
      <c r="Q1077" s="2">
        <f>INDEX(Остановки,MATCH(R1077,ИД_Остановки!$B$3:$B$467,0),1)</f>
        <v>376</v>
      </c>
      <c r="R1077" s="45" t="s">
        <v>434</v>
      </c>
      <c r="S1077" s="20">
        <v>1.2</v>
      </c>
    </row>
    <row r="1078" spans="8:19" x14ac:dyDescent="0.25">
      <c r="H1078">
        <v>7</v>
      </c>
      <c r="I1078">
        <v>291</v>
      </c>
      <c r="J1078">
        <v>115</v>
      </c>
      <c r="K1078" t="b">
        <v>1</v>
      </c>
      <c r="N1078" s="30" t="s">
        <v>528</v>
      </c>
      <c r="O1078" s="2">
        <f>INDEX(Маршруты,MATCH(N1078,$B$3:$B$498,0),1)</f>
        <v>48</v>
      </c>
      <c r="P1078" s="27">
        <v>20</v>
      </c>
      <c r="Q1078" s="2">
        <f>INDEX(Остановки,MATCH(R1078,ИД_Остановки!$B$3:$B$467,0),1)</f>
        <v>392</v>
      </c>
      <c r="R1078" s="24" t="s">
        <v>449</v>
      </c>
      <c r="S1078" s="20">
        <v>0.42</v>
      </c>
    </row>
    <row r="1079" spans="8:19" x14ac:dyDescent="0.25">
      <c r="H1079">
        <v>7</v>
      </c>
      <c r="I1079">
        <v>294</v>
      </c>
      <c r="J1079">
        <v>115</v>
      </c>
      <c r="K1079" t="b">
        <v>1</v>
      </c>
      <c r="N1079" s="25" t="s">
        <v>528</v>
      </c>
      <c r="O1079" s="2">
        <f>INDEX(Маршруты,MATCH(N1079,$B$3:$B$498,0),1)</f>
        <v>48</v>
      </c>
      <c r="P1079" s="27">
        <v>21</v>
      </c>
      <c r="Q1079" s="2">
        <f>INDEX(Остановки,MATCH(R1079,ИД_Остановки!$B$3:$B$467,0),1)</f>
        <v>375</v>
      </c>
      <c r="R1079" s="45" t="s">
        <v>433</v>
      </c>
      <c r="S1079" s="20">
        <v>0.44</v>
      </c>
    </row>
    <row r="1080" spans="8:19" x14ac:dyDescent="0.25">
      <c r="H1080">
        <v>7</v>
      </c>
      <c r="I1080">
        <v>297</v>
      </c>
      <c r="J1080">
        <v>115</v>
      </c>
      <c r="K1080" t="b">
        <v>1</v>
      </c>
      <c r="N1080" s="25" t="s">
        <v>528</v>
      </c>
      <c r="O1080" s="2">
        <f>INDEX(Маршруты,MATCH(N1080,$B$3:$B$498,0),1)</f>
        <v>48</v>
      </c>
      <c r="P1080" s="27">
        <v>22</v>
      </c>
      <c r="Q1080" s="2">
        <f>INDEX(Остановки,MATCH(R1080,ИД_Остановки!$B$3:$B$467,0),1)</f>
        <v>253</v>
      </c>
      <c r="R1080" s="45" t="s">
        <v>375</v>
      </c>
      <c r="S1080" s="20">
        <v>0.68</v>
      </c>
    </row>
    <row r="1081" spans="8:19" x14ac:dyDescent="0.25">
      <c r="H1081">
        <v>7</v>
      </c>
      <c r="I1081">
        <v>300</v>
      </c>
      <c r="J1081">
        <v>115</v>
      </c>
      <c r="K1081" t="b">
        <v>1</v>
      </c>
      <c r="N1081" s="30" t="s">
        <v>528</v>
      </c>
      <c r="O1081" s="2">
        <f>INDEX(Маршруты,MATCH(N1081,$B$3:$B$498,0),1)</f>
        <v>48</v>
      </c>
      <c r="P1081" s="27">
        <v>23</v>
      </c>
      <c r="Q1081" s="2">
        <f>INDEX(Остановки,MATCH(R1081,ИД_Остановки!$B$3:$B$467,0),1)</f>
        <v>393</v>
      </c>
      <c r="R1081" s="45" t="s">
        <v>450</v>
      </c>
      <c r="S1081" s="20">
        <v>3.25</v>
      </c>
    </row>
    <row r="1082" spans="8:19" x14ac:dyDescent="0.25">
      <c r="H1082">
        <v>7</v>
      </c>
      <c r="I1082">
        <v>303</v>
      </c>
      <c r="J1082">
        <v>115</v>
      </c>
      <c r="K1082" t="b">
        <v>1</v>
      </c>
      <c r="N1082" s="25" t="s">
        <v>528</v>
      </c>
      <c r="O1082" s="2">
        <f>INDEX(Маршруты,MATCH(N1082,$B$3:$B$498,0),1)</f>
        <v>48</v>
      </c>
      <c r="P1082" s="27">
        <v>24</v>
      </c>
      <c r="Q1082" s="2">
        <f>INDEX(Остановки,MATCH(R1082,ИД_Остановки!$B$3:$B$467,0),1)</f>
        <v>181</v>
      </c>
      <c r="R1082" s="45" t="s">
        <v>96</v>
      </c>
      <c r="S1082" s="20">
        <v>4.1399999999999997</v>
      </c>
    </row>
    <row r="1083" spans="8:19" x14ac:dyDescent="0.25">
      <c r="H1083">
        <v>7</v>
      </c>
      <c r="I1083">
        <v>306</v>
      </c>
      <c r="J1083">
        <v>115</v>
      </c>
      <c r="K1083" t="b">
        <v>1</v>
      </c>
      <c r="N1083" s="26" t="s">
        <v>528</v>
      </c>
      <c r="O1083" s="2">
        <f>INDEX(Маршруты,MATCH(N1083,$B$3:$B$498,0),1)</f>
        <v>48</v>
      </c>
      <c r="P1083" s="27">
        <v>25</v>
      </c>
      <c r="Q1083" s="2">
        <f>INDEX(Остановки,MATCH(R1083,ИД_Остановки!$B$3:$B$467,0),1)</f>
        <v>182</v>
      </c>
      <c r="R1083" s="45" t="s">
        <v>97</v>
      </c>
      <c r="S1083" s="20">
        <v>15</v>
      </c>
    </row>
    <row r="1084" spans="8:19" x14ac:dyDescent="0.25">
      <c r="H1084">
        <v>7</v>
      </c>
      <c r="I1084">
        <v>309</v>
      </c>
      <c r="J1084">
        <v>115</v>
      </c>
      <c r="K1084" t="b">
        <v>1</v>
      </c>
      <c r="N1084" s="25" t="s">
        <v>528</v>
      </c>
      <c r="O1084" s="2">
        <f>INDEX(Маршруты,MATCH(N1084,$B$3:$B$498,0),1)</f>
        <v>48</v>
      </c>
      <c r="P1084" s="27">
        <v>26</v>
      </c>
      <c r="Q1084" s="2">
        <f>INDEX(Остановки,MATCH(R1084,ИД_Остановки!$B$3:$B$467,0),1)</f>
        <v>418</v>
      </c>
      <c r="R1084" s="45" t="s">
        <v>474</v>
      </c>
      <c r="S1084" s="20">
        <v>5.67</v>
      </c>
    </row>
    <row r="1085" spans="8:19" x14ac:dyDescent="0.25">
      <c r="H1085">
        <v>7</v>
      </c>
      <c r="I1085">
        <v>312</v>
      </c>
      <c r="J1085">
        <v>115</v>
      </c>
      <c r="K1085" t="b">
        <v>1</v>
      </c>
      <c r="N1085" s="30" t="s">
        <v>528</v>
      </c>
      <c r="O1085" s="2">
        <f>INDEX(Маршруты,MATCH(N1085,$B$3:$B$498,0),1)</f>
        <v>48</v>
      </c>
      <c r="P1085" s="28">
        <v>27</v>
      </c>
      <c r="Q1085" s="2">
        <f>INDEX(Остановки,MATCH(R1085,ИД_Остановки!$B$3:$B$467,0),1)</f>
        <v>162</v>
      </c>
      <c r="R1085" s="24" t="s">
        <v>100</v>
      </c>
      <c r="S1085" s="20">
        <v>7.28</v>
      </c>
    </row>
    <row r="1086" spans="8:19" x14ac:dyDescent="0.25">
      <c r="H1086">
        <v>7</v>
      </c>
      <c r="I1086">
        <v>315</v>
      </c>
      <c r="J1086">
        <v>115</v>
      </c>
      <c r="K1086" t="b">
        <v>1</v>
      </c>
      <c r="N1086" s="30" t="s">
        <v>529</v>
      </c>
      <c r="O1086" s="2">
        <f>INDEX(Маршруты,MATCH(N1086,$B$3:$B$498,0),1)</f>
        <v>49</v>
      </c>
      <c r="P1086" s="27">
        <v>1</v>
      </c>
      <c r="Q1086" s="2">
        <f>INDEX(Остановки,MATCH(R1086,ИД_Остановки!$B$3:$B$467,0),1)</f>
        <v>162</v>
      </c>
      <c r="R1086" s="45" t="s">
        <v>100</v>
      </c>
      <c r="S1086" s="20"/>
    </row>
    <row r="1087" spans="8:19" x14ac:dyDescent="0.25">
      <c r="H1087">
        <v>7</v>
      </c>
      <c r="I1087">
        <v>318</v>
      </c>
      <c r="J1087">
        <v>115</v>
      </c>
      <c r="K1087" t="b">
        <v>1</v>
      </c>
      <c r="N1087" s="30" t="s">
        <v>529</v>
      </c>
      <c r="O1087" s="2">
        <f>INDEX(Маршруты,MATCH(N1087,$B$3:$B$498,0),1)</f>
        <v>49</v>
      </c>
      <c r="P1087" s="27">
        <v>2</v>
      </c>
      <c r="Q1087" s="2">
        <f>INDEX(Остановки,MATCH(R1087,ИД_Остановки!$B$3:$B$467,0),1)</f>
        <v>418</v>
      </c>
      <c r="R1087" s="45" t="s">
        <v>474</v>
      </c>
      <c r="S1087" s="20">
        <v>7.28</v>
      </c>
    </row>
    <row r="1088" spans="8:19" x14ac:dyDescent="0.25">
      <c r="H1088">
        <v>7</v>
      </c>
      <c r="I1088">
        <v>321</v>
      </c>
      <c r="J1088">
        <v>115</v>
      </c>
      <c r="K1088" t="b">
        <v>1</v>
      </c>
      <c r="N1088" s="30" t="s">
        <v>529</v>
      </c>
      <c r="O1088" s="2">
        <f>INDEX(Маршруты,MATCH(N1088,$B$3:$B$498,0),1)</f>
        <v>49</v>
      </c>
      <c r="P1088" s="27">
        <v>3</v>
      </c>
      <c r="Q1088" s="2">
        <f>INDEX(Остановки,MATCH(R1088,ИД_Остановки!$B$3:$B$467,0),1)</f>
        <v>182</v>
      </c>
      <c r="R1088" s="45" t="s">
        <v>97</v>
      </c>
      <c r="S1088" s="20">
        <v>5.67</v>
      </c>
    </row>
    <row r="1089" spans="8:19" x14ac:dyDescent="0.25">
      <c r="H1089">
        <v>7</v>
      </c>
      <c r="I1089">
        <v>324</v>
      </c>
      <c r="J1089">
        <v>115</v>
      </c>
      <c r="K1089" t="b">
        <v>1</v>
      </c>
      <c r="N1089" s="26" t="s">
        <v>529</v>
      </c>
      <c r="O1089" s="2">
        <f>INDEX(Маршруты,MATCH(N1089,$B$3:$B$498,0),1)</f>
        <v>49</v>
      </c>
      <c r="P1089" s="27">
        <v>4</v>
      </c>
      <c r="Q1089" s="2">
        <f>INDEX(Остановки,MATCH(R1089,ИД_Остановки!$B$3:$B$467,0),1)</f>
        <v>181</v>
      </c>
      <c r="R1089" s="45" t="s">
        <v>96</v>
      </c>
      <c r="S1089" s="20">
        <v>15</v>
      </c>
    </row>
    <row r="1090" spans="8:19" x14ac:dyDescent="0.25">
      <c r="H1090">
        <v>7</v>
      </c>
      <c r="I1090">
        <v>327</v>
      </c>
      <c r="J1090">
        <v>115</v>
      </c>
      <c r="K1090" t="b">
        <v>1</v>
      </c>
      <c r="N1090" s="32" t="s">
        <v>529</v>
      </c>
      <c r="O1090" s="2">
        <f>INDEX(Маршруты,MATCH(N1090,$B$3:$B$498,0),1)</f>
        <v>49</v>
      </c>
      <c r="P1090" s="27">
        <v>5</v>
      </c>
      <c r="Q1090" s="2">
        <f>INDEX(Остановки,MATCH(R1090,ИД_Остановки!$B$3:$B$467,0),1)</f>
        <v>393</v>
      </c>
      <c r="R1090" s="45" t="s">
        <v>450</v>
      </c>
      <c r="S1090" s="20">
        <v>4.1399999999999997</v>
      </c>
    </row>
    <row r="1091" spans="8:19" x14ac:dyDescent="0.25">
      <c r="H1091">
        <v>7</v>
      </c>
      <c r="I1091">
        <v>330</v>
      </c>
      <c r="J1091">
        <v>115</v>
      </c>
      <c r="K1091" t="b">
        <v>1</v>
      </c>
      <c r="N1091" s="30" t="s">
        <v>529</v>
      </c>
      <c r="O1091" s="2">
        <f>INDEX(Маршруты,MATCH(N1091,$B$3:$B$498,0),1)</f>
        <v>49</v>
      </c>
      <c r="P1091" s="27">
        <v>6</v>
      </c>
      <c r="Q1091" s="2">
        <f>INDEX(Остановки,MATCH(R1091,ИД_Остановки!$B$3:$B$467,0),1)</f>
        <v>253</v>
      </c>
      <c r="R1091" s="45" t="s">
        <v>375</v>
      </c>
      <c r="S1091" s="20">
        <v>3.25</v>
      </c>
    </row>
    <row r="1092" spans="8:19" x14ac:dyDescent="0.25">
      <c r="H1092">
        <v>7</v>
      </c>
      <c r="I1092">
        <v>333</v>
      </c>
      <c r="J1092">
        <v>115</v>
      </c>
      <c r="K1092" t="b">
        <v>1</v>
      </c>
      <c r="N1092" s="30" t="s">
        <v>529</v>
      </c>
      <c r="O1092" s="2">
        <f>INDEX(Маршруты,MATCH(N1092,$B$3:$B$498,0),1)</f>
        <v>49</v>
      </c>
      <c r="P1092" s="27">
        <v>7</v>
      </c>
      <c r="Q1092" s="2">
        <f>INDEX(Остановки,MATCH(R1092,ИД_Остановки!$B$3:$B$467,0),1)</f>
        <v>375</v>
      </c>
      <c r="R1092" s="45" t="s">
        <v>433</v>
      </c>
      <c r="S1092" s="20">
        <v>0.68</v>
      </c>
    </row>
    <row r="1093" spans="8:19" x14ac:dyDescent="0.25">
      <c r="H1093">
        <v>7</v>
      </c>
      <c r="I1093">
        <v>336</v>
      </c>
      <c r="J1093">
        <v>115</v>
      </c>
      <c r="K1093" t="b">
        <v>1</v>
      </c>
      <c r="N1093" s="30" t="s">
        <v>529</v>
      </c>
      <c r="O1093" s="2">
        <f>INDEX(Маршруты,MATCH(N1093,$B$3:$B$498,0),1)</f>
        <v>49</v>
      </c>
      <c r="P1093" s="27">
        <v>8</v>
      </c>
      <c r="Q1093" s="2">
        <f>INDEX(Остановки,MATCH(R1093,ИД_Остановки!$B$3:$B$467,0),1)</f>
        <v>392</v>
      </c>
      <c r="R1093" s="45" t="s">
        <v>449</v>
      </c>
      <c r="S1093" s="20">
        <v>0.44</v>
      </c>
    </row>
    <row r="1094" spans="8:19" x14ac:dyDescent="0.25">
      <c r="H1094">
        <v>7</v>
      </c>
      <c r="I1094">
        <v>339</v>
      </c>
      <c r="J1094">
        <v>115</v>
      </c>
      <c r="K1094" t="b">
        <v>1</v>
      </c>
      <c r="N1094" s="30" t="s">
        <v>529</v>
      </c>
      <c r="O1094" s="2">
        <f>INDEX(Маршруты,MATCH(N1094,$B$3:$B$498,0),1)</f>
        <v>49</v>
      </c>
      <c r="P1094" s="27">
        <v>9</v>
      </c>
      <c r="Q1094" s="2">
        <f>INDEX(Остановки,MATCH(R1094,ИД_Остановки!$B$3:$B$467,0),1)</f>
        <v>376</v>
      </c>
      <c r="R1094" s="45" t="s">
        <v>434</v>
      </c>
      <c r="S1094" s="20">
        <v>0.42</v>
      </c>
    </row>
    <row r="1095" spans="8:19" x14ac:dyDescent="0.25">
      <c r="H1095">
        <v>7</v>
      </c>
      <c r="I1095">
        <v>342</v>
      </c>
      <c r="J1095">
        <v>115</v>
      </c>
      <c r="K1095" t="b">
        <v>1</v>
      </c>
      <c r="N1095" s="30" t="s">
        <v>529</v>
      </c>
      <c r="O1095" s="2">
        <f>INDEX(Маршруты,MATCH(N1095,$B$3:$B$498,0),1)</f>
        <v>49</v>
      </c>
      <c r="P1095" s="27">
        <v>10</v>
      </c>
      <c r="Q1095" s="2">
        <f>INDEX(Остановки,MATCH(R1095,ИД_Остановки!$B$3:$B$467,0),1)</f>
        <v>288</v>
      </c>
      <c r="R1095" s="45" t="s">
        <v>388</v>
      </c>
      <c r="S1095" s="20">
        <v>1.2</v>
      </c>
    </row>
    <row r="1096" spans="8:19" x14ac:dyDescent="0.25">
      <c r="H1096">
        <v>7</v>
      </c>
      <c r="I1096">
        <v>345</v>
      </c>
      <c r="J1096">
        <v>115</v>
      </c>
      <c r="K1096" t="b">
        <v>1</v>
      </c>
      <c r="N1096" s="30" t="s">
        <v>529</v>
      </c>
      <c r="O1096" s="2">
        <f>INDEX(Маршруты,MATCH(N1096,$B$3:$B$498,0),1)</f>
        <v>49</v>
      </c>
      <c r="P1096" s="27">
        <v>11</v>
      </c>
      <c r="Q1096" s="2">
        <f>INDEX(Остановки,MATCH(R1096,ИД_Остановки!$B$3:$B$467,0),1)</f>
        <v>254</v>
      </c>
      <c r="R1096" s="45" t="s">
        <v>136</v>
      </c>
      <c r="S1096" s="20">
        <v>0.79</v>
      </c>
    </row>
    <row r="1097" spans="8:19" x14ac:dyDescent="0.25">
      <c r="H1097">
        <v>7</v>
      </c>
      <c r="I1097">
        <v>348</v>
      </c>
      <c r="J1097">
        <v>115</v>
      </c>
      <c r="K1097" t="b">
        <v>1</v>
      </c>
      <c r="N1097" s="30" t="s">
        <v>529</v>
      </c>
      <c r="O1097" s="2">
        <f>INDEX(Маршруты,MATCH(N1097,$B$3:$B$498,0),1)</f>
        <v>49</v>
      </c>
      <c r="P1097" s="27">
        <v>12</v>
      </c>
      <c r="Q1097" s="2">
        <f>INDEX(Остановки,MATCH(R1097,ИД_Остановки!$B$3:$B$467,0),1)</f>
        <v>403</v>
      </c>
      <c r="R1097" s="45" t="s">
        <v>99</v>
      </c>
      <c r="S1097" s="20">
        <v>1</v>
      </c>
    </row>
    <row r="1098" spans="8:19" x14ac:dyDescent="0.25">
      <c r="H1098">
        <v>7</v>
      </c>
      <c r="I1098">
        <v>351</v>
      </c>
      <c r="J1098">
        <v>115</v>
      </c>
      <c r="K1098" t="b">
        <v>1</v>
      </c>
      <c r="N1098" s="26" t="s">
        <v>529</v>
      </c>
      <c r="O1098" s="2">
        <f>INDEX(Маршруты,MATCH(N1098,$B$3:$B$498,0),1)</f>
        <v>49</v>
      </c>
      <c r="P1098" s="27">
        <v>13</v>
      </c>
      <c r="Q1098" s="2">
        <f>INDEX(Остановки,MATCH(R1098,ИД_Остановки!$B$3:$B$467,0),1)</f>
        <v>337</v>
      </c>
      <c r="R1098" s="45" t="s">
        <v>407</v>
      </c>
      <c r="S1098" s="20">
        <v>0.59</v>
      </c>
    </row>
    <row r="1099" spans="8:19" x14ac:dyDescent="0.25">
      <c r="H1099">
        <v>7</v>
      </c>
      <c r="I1099">
        <v>354</v>
      </c>
      <c r="J1099">
        <v>115</v>
      </c>
      <c r="K1099" t="b">
        <v>1</v>
      </c>
      <c r="N1099" s="26" t="s">
        <v>529</v>
      </c>
      <c r="O1099" s="2">
        <f>INDEX(Маршруты,MATCH(N1099,$B$3:$B$498,0),1)</f>
        <v>49</v>
      </c>
      <c r="P1099" s="27">
        <v>14</v>
      </c>
      <c r="Q1099" s="2">
        <f>INDEX(Остановки,MATCH(R1099,ИД_Остановки!$B$3:$B$467,0),1)</f>
        <v>22</v>
      </c>
      <c r="R1099" s="45" t="s">
        <v>22</v>
      </c>
      <c r="S1099" s="20">
        <v>0.39</v>
      </c>
    </row>
    <row r="1100" spans="8:19" x14ac:dyDescent="0.25">
      <c r="H1100">
        <v>7</v>
      </c>
      <c r="I1100">
        <v>357</v>
      </c>
      <c r="J1100">
        <v>115</v>
      </c>
      <c r="K1100" t="b">
        <v>1</v>
      </c>
      <c r="N1100" s="30" t="s">
        <v>529</v>
      </c>
      <c r="O1100" s="2">
        <f>INDEX(Маршруты,MATCH(N1100,$B$3:$B$498,0),1)</f>
        <v>49</v>
      </c>
      <c r="P1100" s="27">
        <v>15</v>
      </c>
      <c r="Q1100" s="2">
        <f>INDEX(Остановки,MATCH(R1100,ИД_Остановки!$B$3:$B$467,0),1)</f>
        <v>199</v>
      </c>
      <c r="R1100" s="45" t="s">
        <v>118</v>
      </c>
      <c r="S1100" s="20">
        <v>0.42</v>
      </c>
    </row>
    <row r="1101" spans="8:19" x14ac:dyDescent="0.25">
      <c r="H1101">
        <v>7</v>
      </c>
      <c r="I1101">
        <v>360</v>
      </c>
      <c r="J1101">
        <v>115</v>
      </c>
      <c r="K1101" t="b">
        <v>1</v>
      </c>
      <c r="N1101" s="25" t="s">
        <v>529</v>
      </c>
      <c r="O1101" s="2">
        <f>INDEX(Маршруты,MATCH(N1101,$B$3:$B$498,0),1)</f>
        <v>49</v>
      </c>
      <c r="P1101" s="27">
        <v>16</v>
      </c>
      <c r="Q1101" s="2">
        <f>INDEX(Остановки,MATCH(R1101,ИД_Остановки!$B$3:$B$467,0),1)</f>
        <v>200</v>
      </c>
      <c r="R1101" s="45" t="s">
        <v>119</v>
      </c>
      <c r="S1101" s="20">
        <v>0.75</v>
      </c>
    </row>
    <row r="1102" spans="8:19" x14ac:dyDescent="0.25">
      <c r="H1102">
        <v>7</v>
      </c>
      <c r="I1102">
        <v>363</v>
      </c>
      <c r="J1102">
        <v>115</v>
      </c>
      <c r="K1102" t="b">
        <v>1</v>
      </c>
      <c r="N1102" s="30" t="s">
        <v>529</v>
      </c>
      <c r="O1102" s="2">
        <f>INDEX(Маршруты,MATCH(N1102,$B$3:$B$498,0),1)</f>
        <v>49</v>
      </c>
      <c r="P1102" s="27">
        <v>17</v>
      </c>
      <c r="Q1102" s="2">
        <f>INDEX(Остановки,MATCH(R1102,ИД_Остановки!$B$3:$B$467,0),1)</f>
        <v>255</v>
      </c>
      <c r="R1102" s="45" t="s">
        <v>137</v>
      </c>
      <c r="S1102" s="20">
        <v>0.67</v>
      </c>
    </row>
    <row r="1103" spans="8:19" x14ac:dyDescent="0.25">
      <c r="H1103">
        <v>7</v>
      </c>
      <c r="I1103">
        <v>366</v>
      </c>
      <c r="J1103">
        <v>115</v>
      </c>
      <c r="K1103" t="b">
        <v>1</v>
      </c>
      <c r="N1103" s="25" t="s">
        <v>529</v>
      </c>
      <c r="O1103" s="2">
        <f>INDEX(Маршруты,MATCH(N1103,$B$3:$B$498,0),1)</f>
        <v>49</v>
      </c>
      <c r="P1103" s="27">
        <v>18</v>
      </c>
      <c r="Q1103" s="2">
        <f>INDEX(Остановки,MATCH(R1103,ИД_Остановки!$B$3:$B$467,0),1)</f>
        <v>257</v>
      </c>
      <c r="R1103" s="45" t="s">
        <v>377</v>
      </c>
      <c r="S1103" s="20">
        <v>0.61</v>
      </c>
    </row>
    <row r="1104" spans="8:19" x14ac:dyDescent="0.25">
      <c r="H1104">
        <v>7</v>
      </c>
      <c r="I1104">
        <v>369</v>
      </c>
      <c r="J1104">
        <v>115</v>
      </c>
      <c r="K1104" t="b">
        <v>1</v>
      </c>
      <c r="N1104" s="24" t="s">
        <v>529</v>
      </c>
      <c r="O1104" s="2">
        <f>INDEX(Маршруты,MATCH(N1104,$B$3:$B$498,0),1)</f>
        <v>49</v>
      </c>
      <c r="P1104" s="27">
        <v>19</v>
      </c>
      <c r="Q1104" s="2">
        <f>INDEX(Остановки,MATCH(R1104,ИД_Остановки!$B$3:$B$467,0),1)</f>
        <v>238</v>
      </c>
      <c r="R1104" s="45" t="s">
        <v>131</v>
      </c>
      <c r="S1104" s="20">
        <v>0.56000000000000005</v>
      </c>
    </row>
    <row r="1105" spans="8:19" x14ac:dyDescent="0.25">
      <c r="H1105">
        <v>7</v>
      </c>
      <c r="I1105">
        <v>372</v>
      </c>
      <c r="J1105">
        <v>115</v>
      </c>
      <c r="K1105" t="b">
        <v>1</v>
      </c>
      <c r="N1105" s="32" t="s">
        <v>529</v>
      </c>
      <c r="O1105" s="2">
        <f>INDEX(Маршруты,MATCH(N1105,$B$3:$B$498,0),1)</f>
        <v>49</v>
      </c>
      <c r="P1105" s="27">
        <v>20</v>
      </c>
      <c r="Q1105" s="2">
        <f>INDEX(Остановки,MATCH(R1105,ИД_Остановки!$B$3:$B$467,0),1)</f>
        <v>228</v>
      </c>
      <c r="R1105" s="45" t="s">
        <v>127</v>
      </c>
      <c r="S1105" s="20">
        <v>0.94</v>
      </c>
    </row>
    <row r="1106" spans="8:19" x14ac:dyDescent="0.25">
      <c r="H1106">
        <v>7</v>
      </c>
      <c r="I1106">
        <v>375</v>
      </c>
      <c r="J1106">
        <v>115</v>
      </c>
      <c r="K1106" t="b">
        <v>1</v>
      </c>
      <c r="N1106" s="25" t="s">
        <v>529</v>
      </c>
      <c r="O1106" s="2">
        <f>INDEX(Маршруты,MATCH(N1106,$B$3:$B$498,0),1)</f>
        <v>49</v>
      </c>
      <c r="P1106" s="27">
        <v>21</v>
      </c>
      <c r="Q1106" s="2">
        <f>INDEX(Остановки,MATCH(R1106,ИД_Остановки!$B$3:$B$467,0),1)</f>
        <v>3</v>
      </c>
      <c r="R1106" s="45" t="s">
        <v>243</v>
      </c>
      <c r="S1106" s="20">
        <v>1.18</v>
      </c>
    </row>
    <row r="1107" spans="8:19" x14ac:dyDescent="0.25">
      <c r="H1107">
        <v>7</v>
      </c>
      <c r="I1107">
        <v>378</v>
      </c>
      <c r="J1107">
        <v>115</v>
      </c>
      <c r="K1107" t="b">
        <v>1</v>
      </c>
      <c r="N1107" s="25" t="s">
        <v>529</v>
      </c>
      <c r="O1107" s="2">
        <f>INDEX(Маршруты,MATCH(N1107,$B$3:$B$498,0),1)</f>
        <v>49</v>
      </c>
      <c r="P1107" s="27">
        <v>22</v>
      </c>
      <c r="Q1107" s="2">
        <f>INDEX(Остановки,MATCH(R1107,ИД_Остановки!$B$3:$B$467,0),1)</f>
        <v>208</v>
      </c>
      <c r="R1107" s="45" t="s">
        <v>121</v>
      </c>
      <c r="S1107" s="20">
        <v>0.9</v>
      </c>
    </row>
    <row r="1108" spans="8:19" x14ac:dyDescent="0.25">
      <c r="H1108">
        <v>7</v>
      </c>
      <c r="I1108">
        <v>381</v>
      </c>
      <c r="J1108">
        <v>115</v>
      </c>
      <c r="K1108" t="b">
        <v>1</v>
      </c>
      <c r="N1108" s="26" t="s">
        <v>529</v>
      </c>
      <c r="O1108" s="2">
        <f>INDEX(Маршруты,MATCH(N1108,$B$3:$B$498,0),1)</f>
        <v>49</v>
      </c>
      <c r="P1108" s="27">
        <v>23</v>
      </c>
      <c r="Q1108" s="2">
        <f>INDEX(Остановки,MATCH(R1108,ИД_Остановки!$B$3:$B$467,0),1)</f>
        <v>207</v>
      </c>
      <c r="R1108" s="45" t="s">
        <v>345</v>
      </c>
      <c r="S1108" s="20">
        <v>0.56999999999999995</v>
      </c>
    </row>
    <row r="1109" spans="8:19" x14ac:dyDescent="0.25">
      <c r="H1109">
        <v>7</v>
      </c>
      <c r="I1109">
        <v>384</v>
      </c>
      <c r="J1109">
        <v>115</v>
      </c>
      <c r="K1109" t="b">
        <v>1</v>
      </c>
      <c r="N1109" s="25" t="s">
        <v>529</v>
      </c>
      <c r="O1109" s="2">
        <f>INDEX(Маршруты,MATCH(N1109,$B$3:$B$498,0),1)</f>
        <v>49</v>
      </c>
      <c r="P1109" s="28">
        <v>24</v>
      </c>
      <c r="Q1109" s="2">
        <f>INDEX(Остановки,MATCH(R1109,ИД_Остановки!$B$3:$B$467,0),1)</f>
        <v>241</v>
      </c>
      <c r="R1109" s="24" t="s">
        <v>132</v>
      </c>
      <c r="S1109" s="20">
        <v>0.74</v>
      </c>
    </row>
    <row r="1110" spans="8:19" x14ac:dyDescent="0.25">
      <c r="H1110">
        <v>7</v>
      </c>
      <c r="I1110">
        <v>387</v>
      </c>
      <c r="J1110">
        <v>115</v>
      </c>
      <c r="K1110" t="b">
        <v>1</v>
      </c>
      <c r="N1110" s="30" t="s">
        <v>529</v>
      </c>
      <c r="O1110" s="2">
        <f>INDEX(Маршруты,MATCH(N1110,$B$3:$B$498,0),1)</f>
        <v>49</v>
      </c>
      <c r="P1110" s="27">
        <v>25</v>
      </c>
      <c r="Q1110" s="2">
        <f>INDEX(Остановки,MATCH(R1110,ИД_Остановки!$B$3:$B$467,0),1)</f>
        <v>21</v>
      </c>
      <c r="R1110" s="45" t="s">
        <v>21</v>
      </c>
      <c r="S1110" s="20">
        <v>1.56</v>
      </c>
    </row>
    <row r="1111" spans="8:19" x14ac:dyDescent="0.25">
      <c r="H1111">
        <v>7</v>
      </c>
      <c r="I1111">
        <v>390</v>
      </c>
      <c r="J1111">
        <v>115</v>
      </c>
      <c r="K1111" t="b">
        <v>1</v>
      </c>
      <c r="N1111" s="26" t="s">
        <v>529</v>
      </c>
      <c r="O1111" s="2">
        <f>INDEX(Маршруты,MATCH(N1111,$B$3:$B$498,0),1)</f>
        <v>49</v>
      </c>
      <c r="P1111" s="27">
        <v>26</v>
      </c>
      <c r="Q1111" s="2">
        <f>INDEX(Остановки,MATCH(R1111,ИД_Остановки!$B$3:$B$467,0),1)</f>
        <v>395</v>
      </c>
      <c r="R1111" s="45" t="s">
        <v>452</v>
      </c>
      <c r="S1111" s="20">
        <v>1.1499999999999999</v>
      </c>
    </row>
    <row r="1112" spans="8:19" x14ac:dyDescent="0.25">
      <c r="H1112">
        <v>7</v>
      </c>
      <c r="I1112">
        <v>393</v>
      </c>
      <c r="J1112">
        <v>115</v>
      </c>
      <c r="K1112" t="b">
        <v>1</v>
      </c>
      <c r="N1112" s="30" t="s">
        <v>529</v>
      </c>
      <c r="O1112" s="2">
        <f>INDEX(Маршруты,MATCH(N1112,$B$3:$B$498,0),1)</f>
        <v>49</v>
      </c>
      <c r="P1112" s="27">
        <v>27</v>
      </c>
      <c r="Q1112" s="2">
        <f>INDEX(Остановки,MATCH(R1112,ИД_Остановки!$B$3:$B$467,0),1)</f>
        <v>135</v>
      </c>
      <c r="R1112" s="45" t="s">
        <v>83</v>
      </c>
      <c r="S1112" s="20">
        <v>0.75</v>
      </c>
    </row>
    <row r="1113" spans="8:19" x14ac:dyDescent="0.25">
      <c r="H1113">
        <v>7</v>
      </c>
      <c r="I1113">
        <v>396</v>
      </c>
      <c r="J1113">
        <v>115</v>
      </c>
      <c r="K1113" t="b">
        <v>1</v>
      </c>
      <c r="N1113" s="30" t="s">
        <v>214</v>
      </c>
      <c r="O1113" s="2">
        <f>INDEX(Маршруты,MATCH(N1113,$B$3:$B$498,0),1)</f>
        <v>50</v>
      </c>
      <c r="P1113" s="27">
        <v>1</v>
      </c>
      <c r="Q1113" s="2">
        <f>INDEX(Остановки,MATCH(R1113,ИД_Остановки!$B$3:$B$467,0),1)</f>
        <v>284</v>
      </c>
      <c r="R1113" s="45" t="s">
        <v>155</v>
      </c>
      <c r="S1113" s="20"/>
    </row>
    <row r="1114" spans="8:19" x14ac:dyDescent="0.25">
      <c r="H1114">
        <v>7</v>
      </c>
      <c r="I1114">
        <v>399</v>
      </c>
      <c r="J1114">
        <v>115</v>
      </c>
      <c r="K1114" t="b">
        <v>1</v>
      </c>
      <c r="N1114" s="30" t="s">
        <v>214</v>
      </c>
      <c r="O1114" s="2">
        <f>INDEX(Маршруты,MATCH(N1114,$B$3:$B$498,0),1)</f>
        <v>50</v>
      </c>
      <c r="P1114" s="27">
        <v>2</v>
      </c>
      <c r="Q1114" s="2">
        <f>INDEX(Остановки,MATCH(R1114,ИД_Остановки!$B$3:$B$467,0),1)</f>
        <v>192</v>
      </c>
      <c r="R1114" s="45" t="s">
        <v>335</v>
      </c>
      <c r="S1114" s="20">
        <v>0.62</v>
      </c>
    </row>
    <row r="1115" spans="8:19" x14ac:dyDescent="0.25">
      <c r="H1115">
        <v>7</v>
      </c>
      <c r="I1115">
        <v>402</v>
      </c>
      <c r="J1115">
        <v>115</v>
      </c>
      <c r="K1115" t="b">
        <v>1</v>
      </c>
      <c r="N1115" s="30" t="s">
        <v>214</v>
      </c>
      <c r="O1115" s="2">
        <f>INDEX(Маршруты,MATCH(N1115,$B$3:$B$498,0),1)</f>
        <v>50</v>
      </c>
      <c r="P1115" s="28">
        <v>3</v>
      </c>
      <c r="Q1115" s="2">
        <f>INDEX(Остановки,MATCH(R1115,ИД_Остановки!$B$3:$B$467,0),1)</f>
        <v>196</v>
      </c>
      <c r="R1115" s="24" t="s">
        <v>337</v>
      </c>
      <c r="S1115" s="21">
        <v>0.61</v>
      </c>
    </row>
    <row r="1116" spans="8:19" x14ac:dyDescent="0.25">
      <c r="H1116">
        <v>7</v>
      </c>
      <c r="I1116">
        <v>405</v>
      </c>
      <c r="J1116">
        <v>115</v>
      </c>
      <c r="K1116" t="b">
        <v>1</v>
      </c>
      <c r="N1116" s="25" t="s">
        <v>214</v>
      </c>
      <c r="O1116" s="2">
        <f>INDEX(Маршруты,MATCH(N1116,$B$3:$B$498,0),1)</f>
        <v>50</v>
      </c>
      <c r="P1116" s="27">
        <v>4</v>
      </c>
      <c r="Q1116" s="2">
        <f>INDEX(Остановки,MATCH(R1116,ИД_Остановки!$B$3:$B$467,0),1)</f>
        <v>198</v>
      </c>
      <c r="R1116" s="45" t="s">
        <v>339</v>
      </c>
      <c r="S1116" s="20">
        <v>1</v>
      </c>
    </row>
    <row r="1117" spans="8:19" x14ac:dyDescent="0.25">
      <c r="H1117">
        <v>7</v>
      </c>
      <c r="I1117">
        <v>408</v>
      </c>
      <c r="J1117">
        <v>115</v>
      </c>
      <c r="K1117" t="b">
        <v>1</v>
      </c>
      <c r="N1117" s="25" t="s">
        <v>214</v>
      </c>
      <c r="O1117" s="2">
        <f>INDEX(Маршруты,MATCH(N1117,$B$3:$B$498,0),1)</f>
        <v>50</v>
      </c>
      <c r="P1117" s="27">
        <v>5</v>
      </c>
      <c r="Q1117" s="2">
        <f>INDEX(Остановки,MATCH(R1117,ИД_Остановки!$B$3:$B$467,0),1)</f>
        <v>373</v>
      </c>
      <c r="R1117" s="45" t="s">
        <v>431</v>
      </c>
      <c r="S1117" s="20">
        <v>0.45</v>
      </c>
    </row>
    <row r="1118" spans="8:19" x14ac:dyDescent="0.25">
      <c r="H1118">
        <v>7</v>
      </c>
      <c r="I1118">
        <v>411</v>
      </c>
      <c r="J1118">
        <v>115</v>
      </c>
      <c r="K1118" t="b">
        <v>1</v>
      </c>
      <c r="N1118" s="25" t="s">
        <v>214</v>
      </c>
      <c r="O1118" s="2">
        <f>INDEX(Маршруты,MATCH(N1118,$B$3:$B$498,0),1)</f>
        <v>50</v>
      </c>
      <c r="P1118" s="27">
        <v>6</v>
      </c>
      <c r="Q1118" s="2">
        <f>INDEX(Остановки,MATCH(R1118,ИД_Остановки!$B$3:$B$467,0),1)</f>
        <v>22</v>
      </c>
      <c r="R1118" s="45" t="s">
        <v>22</v>
      </c>
      <c r="S1118" s="20">
        <v>0.42</v>
      </c>
    </row>
    <row r="1119" spans="8:19" x14ac:dyDescent="0.25">
      <c r="H1119">
        <v>7</v>
      </c>
      <c r="I1119">
        <v>414</v>
      </c>
      <c r="J1119">
        <v>115</v>
      </c>
      <c r="K1119" t="b">
        <v>1</v>
      </c>
      <c r="N1119" s="30" t="s">
        <v>214</v>
      </c>
      <c r="O1119" s="2">
        <f>INDEX(Маршруты,MATCH(N1119,$B$3:$B$498,0),1)</f>
        <v>50</v>
      </c>
      <c r="P1119" s="27">
        <v>7</v>
      </c>
      <c r="Q1119" s="2">
        <f>INDEX(Остановки,MATCH(R1119,ИД_Остановки!$B$3:$B$467,0),1)</f>
        <v>199</v>
      </c>
      <c r="R1119" s="45" t="s">
        <v>118</v>
      </c>
      <c r="S1119" s="20">
        <v>0.42</v>
      </c>
    </row>
    <row r="1120" spans="8:19" x14ac:dyDescent="0.25">
      <c r="H1120">
        <v>7</v>
      </c>
      <c r="I1120">
        <v>417</v>
      </c>
      <c r="J1120">
        <v>115</v>
      </c>
      <c r="K1120" t="b">
        <v>1</v>
      </c>
      <c r="N1120" s="14" t="s">
        <v>214</v>
      </c>
      <c r="O1120" s="2">
        <f>INDEX(Маршруты,MATCH(N1120,$B$3:$B$498,0),1)</f>
        <v>50</v>
      </c>
      <c r="P1120" s="27">
        <v>8</v>
      </c>
      <c r="Q1120" s="2">
        <f>INDEX(Остановки,MATCH(R1120,ИД_Остановки!$B$3:$B$467,0),1)</f>
        <v>200</v>
      </c>
      <c r="R1120" s="45" t="s">
        <v>119</v>
      </c>
      <c r="S1120" s="20">
        <v>0.75</v>
      </c>
    </row>
    <row r="1121" spans="8:19" x14ac:dyDescent="0.25">
      <c r="H1121">
        <v>7</v>
      </c>
      <c r="I1121">
        <v>420</v>
      </c>
      <c r="J1121">
        <v>115</v>
      </c>
      <c r="K1121" t="b">
        <v>1</v>
      </c>
      <c r="N1121" s="30" t="s">
        <v>214</v>
      </c>
      <c r="O1121" s="2">
        <f>INDEX(Маршруты,MATCH(N1121,$B$3:$B$498,0),1)</f>
        <v>50</v>
      </c>
      <c r="P1121" s="27">
        <v>9</v>
      </c>
      <c r="Q1121" s="2">
        <f>INDEX(Остановки,MATCH(R1121,ИД_Остановки!$B$3:$B$467,0),1)</f>
        <v>24</v>
      </c>
      <c r="R1121" s="45" t="s">
        <v>252</v>
      </c>
      <c r="S1121" s="20">
        <v>0.46</v>
      </c>
    </row>
    <row r="1122" spans="8:19" x14ac:dyDescent="0.25">
      <c r="H1122">
        <v>7</v>
      </c>
      <c r="I1122">
        <v>423</v>
      </c>
      <c r="J1122">
        <v>115</v>
      </c>
      <c r="K1122" t="b">
        <v>1</v>
      </c>
      <c r="N1122" s="30" t="s">
        <v>214</v>
      </c>
      <c r="O1122" s="2">
        <f>INDEX(Маршруты,MATCH(N1122,$B$3:$B$498,0),1)</f>
        <v>50</v>
      </c>
      <c r="P1122" s="27">
        <v>10</v>
      </c>
      <c r="Q1122" s="2">
        <f>INDEX(Остановки,MATCH(R1122,ИД_Остановки!$B$3:$B$467,0),1)</f>
        <v>201</v>
      </c>
      <c r="R1122" s="45" t="s">
        <v>340</v>
      </c>
      <c r="S1122" s="20">
        <v>0.38</v>
      </c>
    </row>
    <row r="1123" spans="8:19" x14ac:dyDescent="0.25">
      <c r="H1123">
        <v>7</v>
      </c>
      <c r="I1123">
        <v>426</v>
      </c>
      <c r="J1123">
        <v>115</v>
      </c>
      <c r="K1123" t="b">
        <v>1</v>
      </c>
      <c r="N1123" s="25" t="s">
        <v>214</v>
      </c>
      <c r="O1123" s="2">
        <f>INDEX(Маршруты,MATCH(N1123,$B$3:$B$498,0),1)</f>
        <v>50</v>
      </c>
      <c r="P1123" s="27">
        <v>11</v>
      </c>
      <c r="Q1123" s="2">
        <f>INDEX(Остановки,MATCH(R1123,ИД_Остановки!$B$3:$B$467,0),1)</f>
        <v>25</v>
      </c>
      <c r="R1123" s="45" t="s">
        <v>612</v>
      </c>
      <c r="S1123" s="20">
        <v>0.23</v>
      </c>
    </row>
    <row r="1124" spans="8:19" x14ac:dyDescent="0.25">
      <c r="H1124">
        <v>7</v>
      </c>
      <c r="I1124">
        <v>429</v>
      </c>
      <c r="J1124">
        <v>115</v>
      </c>
      <c r="K1124" t="b">
        <v>1</v>
      </c>
      <c r="N1124" s="30" t="s">
        <v>214</v>
      </c>
      <c r="O1124" s="2">
        <f>INDEX(Маршруты,MATCH(N1124,$B$3:$B$498,0),1)</f>
        <v>50</v>
      </c>
      <c r="P1124" s="27">
        <v>12</v>
      </c>
      <c r="Q1124" s="2">
        <f>INDEX(Остановки,MATCH(R1124,ИД_Остановки!$B$3:$B$467,0),1)</f>
        <v>26</v>
      </c>
      <c r="R1124" s="45" t="s">
        <v>254</v>
      </c>
      <c r="S1124" s="20">
        <v>0.53</v>
      </c>
    </row>
    <row r="1125" spans="8:19" x14ac:dyDescent="0.25">
      <c r="H1125">
        <v>7</v>
      </c>
      <c r="I1125">
        <v>432</v>
      </c>
      <c r="J1125">
        <v>115</v>
      </c>
      <c r="K1125" t="b">
        <v>1</v>
      </c>
      <c r="N1125" s="30" t="s">
        <v>214</v>
      </c>
      <c r="O1125" s="2">
        <f>INDEX(Маршруты,MATCH(N1125,$B$3:$B$498,0),1)</f>
        <v>50</v>
      </c>
      <c r="P1125" s="27">
        <v>13</v>
      </c>
      <c r="Q1125" s="2">
        <f>INDEX(Остановки,MATCH(R1125,ИД_Остановки!$B$3:$B$467,0),1)</f>
        <v>372</v>
      </c>
      <c r="R1125" s="45" t="s">
        <v>430</v>
      </c>
      <c r="S1125" s="20">
        <v>0.45</v>
      </c>
    </row>
    <row r="1126" spans="8:19" x14ac:dyDescent="0.25">
      <c r="H1126">
        <v>7</v>
      </c>
      <c r="I1126">
        <v>435</v>
      </c>
      <c r="J1126">
        <v>115</v>
      </c>
      <c r="K1126" t="b">
        <v>1</v>
      </c>
      <c r="N1126" s="25" t="s">
        <v>214</v>
      </c>
      <c r="O1126" s="2">
        <f>INDEX(Маршруты,MATCH(N1126,$B$3:$B$498,0),1)</f>
        <v>50</v>
      </c>
      <c r="P1126" s="27">
        <v>14</v>
      </c>
      <c r="Q1126" s="2">
        <f>INDEX(Остановки,MATCH(R1126,ИД_Остановки!$B$3:$B$467,0),1)</f>
        <v>371</v>
      </c>
      <c r="R1126" s="45" t="s">
        <v>429</v>
      </c>
      <c r="S1126" s="20">
        <v>0.51</v>
      </c>
    </row>
    <row r="1127" spans="8:19" x14ac:dyDescent="0.25">
      <c r="H1127">
        <v>7</v>
      </c>
      <c r="I1127">
        <v>438</v>
      </c>
      <c r="J1127">
        <v>115</v>
      </c>
      <c r="K1127" t="b">
        <v>1</v>
      </c>
      <c r="N1127" s="25" t="s">
        <v>214</v>
      </c>
      <c r="O1127" s="2">
        <f>INDEX(Маршруты,MATCH(N1127,$B$3:$B$498,0),1)</f>
        <v>50</v>
      </c>
      <c r="P1127" s="27">
        <v>15</v>
      </c>
      <c r="Q1127" s="2">
        <f>INDEX(Остановки,MATCH(R1127,ИД_Остановки!$B$3:$B$467,0),1)</f>
        <v>99</v>
      </c>
      <c r="R1127" s="45" t="s">
        <v>287</v>
      </c>
      <c r="S1127" s="20">
        <v>1.5</v>
      </c>
    </row>
    <row r="1128" spans="8:19" x14ac:dyDescent="0.25">
      <c r="H1128">
        <v>7</v>
      </c>
      <c r="I1128">
        <v>441</v>
      </c>
      <c r="J1128">
        <v>115</v>
      </c>
      <c r="K1128" t="b">
        <v>1</v>
      </c>
      <c r="N1128" s="25" t="s">
        <v>214</v>
      </c>
      <c r="O1128" s="2">
        <f>INDEX(Маршруты,MATCH(N1128,$B$3:$B$498,0),1)</f>
        <v>50</v>
      </c>
      <c r="P1128" s="27">
        <v>16</v>
      </c>
      <c r="Q1128" s="2">
        <f>INDEX(Остановки,MATCH(R1128,ИД_Остановки!$B$3:$B$467,0),1)</f>
        <v>98</v>
      </c>
      <c r="R1128" s="45" t="s">
        <v>286</v>
      </c>
      <c r="S1128" s="20">
        <v>0.16</v>
      </c>
    </row>
    <row r="1129" spans="8:19" x14ac:dyDescent="0.25">
      <c r="H1129">
        <v>7</v>
      </c>
      <c r="I1129">
        <v>444</v>
      </c>
      <c r="J1129">
        <v>115</v>
      </c>
      <c r="K1129" t="b">
        <v>1</v>
      </c>
      <c r="N1129" s="25" t="s">
        <v>214</v>
      </c>
      <c r="O1129" s="2">
        <f>INDEX(Маршруты,MATCH(N1129,$B$3:$B$498,0),1)</f>
        <v>50</v>
      </c>
      <c r="P1129" s="27">
        <v>17</v>
      </c>
      <c r="Q1129" s="2">
        <f>INDEX(Остановки,MATCH(R1129,ИД_Остановки!$B$3:$B$467,0),1)</f>
        <v>231</v>
      </c>
      <c r="R1129" s="24" t="s">
        <v>360</v>
      </c>
      <c r="S1129" s="20">
        <v>0.42</v>
      </c>
    </row>
    <row r="1130" spans="8:19" x14ac:dyDescent="0.25">
      <c r="H1130">
        <v>7</v>
      </c>
      <c r="I1130">
        <v>447</v>
      </c>
      <c r="J1130">
        <v>115</v>
      </c>
      <c r="K1130" t="b">
        <v>1</v>
      </c>
      <c r="N1130" s="30" t="s">
        <v>215</v>
      </c>
      <c r="O1130" s="2">
        <f>INDEX(Маршруты,MATCH(N1130,$B$3:$B$498,0),1)</f>
        <v>51</v>
      </c>
      <c r="P1130" s="27">
        <v>1</v>
      </c>
      <c r="Q1130" s="2">
        <f>INDEX(Остановки,MATCH(R1130,ИД_Остановки!$B$3:$B$467,0),1)</f>
        <v>231</v>
      </c>
      <c r="R1130" s="45" t="s">
        <v>360</v>
      </c>
      <c r="S1130" s="20"/>
    </row>
    <row r="1131" spans="8:19" x14ac:dyDescent="0.25">
      <c r="H1131">
        <v>7</v>
      </c>
      <c r="I1131">
        <v>450</v>
      </c>
      <c r="J1131">
        <v>115</v>
      </c>
      <c r="K1131" t="b">
        <v>1</v>
      </c>
      <c r="N1131" s="30" t="s">
        <v>215</v>
      </c>
      <c r="O1131" s="2">
        <f>INDEX(Маршруты,MATCH(N1131,$B$3:$B$498,0),1)</f>
        <v>51</v>
      </c>
      <c r="P1131" s="28">
        <v>2</v>
      </c>
      <c r="Q1131" s="2">
        <f>INDEX(Остановки,MATCH(R1131,ИД_Остановки!$B$3:$B$467,0),1)</f>
        <v>98</v>
      </c>
      <c r="R1131" s="24" t="s">
        <v>286</v>
      </c>
      <c r="S1131" s="20">
        <v>0.42</v>
      </c>
    </row>
    <row r="1132" spans="8:19" x14ac:dyDescent="0.25">
      <c r="H1132">
        <v>7</v>
      </c>
      <c r="I1132">
        <v>453</v>
      </c>
      <c r="J1132">
        <v>115</v>
      </c>
      <c r="K1132" t="b">
        <v>1</v>
      </c>
      <c r="N1132" s="30" t="s">
        <v>215</v>
      </c>
      <c r="O1132" s="2">
        <f>INDEX(Маршруты,MATCH(N1132,$B$3:$B$498,0),1)</f>
        <v>51</v>
      </c>
      <c r="P1132" s="27">
        <v>3</v>
      </c>
      <c r="Q1132" s="2">
        <f>INDEX(Остановки,MATCH(R1132,ИД_Остановки!$B$3:$B$467,0),1)</f>
        <v>99</v>
      </c>
      <c r="R1132" s="45" t="s">
        <v>287</v>
      </c>
      <c r="S1132" s="20">
        <v>0.16</v>
      </c>
    </row>
    <row r="1133" spans="8:19" x14ac:dyDescent="0.25">
      <c r="H1133">
        <v>7</v>
      </c>
      <c r="I1133">
        <v>456</v>
      </c>
      <c r="J1133">
        <v>115</v>
      </c>
      <c r="K1133" t="b">
        <v>1</v>
      </c>
      <c r="N1133" s="30" t="s">
        <v>215</v>
      </c>
      <c r="O1133" s="2">
        <f>INDEX(Маршруты,MATCH(N1133,$B$3:$B$498,0),1)</f>
        <v>51</v>
      </c>
      <c r="P1133" s="27">
        <v>4</v>
      </c>
      <c r="Q1133" s="2">
        <f>INDEX(Остановки,MATCH(R1133,ИД_Остановки!$B$3:$B$467,0),1)</f>
        <v>371</v>
      </c>
      <c r="R1133" s="45" t="s">
        <v>429</v>
      </c>
      <c r="S1133" s="20">
        <v>1.5</v>
      </c>
    </row>
    <row r="1134" spans="8:19" x14ac:dyDescent="0.25">
      <c r="H1134">
        <v>7</v>
      </c>
      <c r="I1134">
        <v>459</v>
      </c>
      <c r="J1134">
        <v>115</v>
      </c>
      <c r="K1134" t="b">
        <v>1</v>
      </c>
      <c r="N1134" s="25" t="s">
        <v>215</v>
      </c>
      <c r="O1134" s="2">
        <f>INDEX(Маршруты,MATCH(N1134,$B$3:$B$498,0),1)</f>
        <v>51</v>
      </c>
      <c r="P1134" s="27">
        <v>5</v>
      </c>
      <c r="Q1134" s="2">
        <f>INDEX(Остановки,MATCH(R1134,ИД_Остановки!$B$3:$B$467,0),1)</f>
        <v>372</v>
      </c>
      <c r="R1134" s="24" t="s">
        <v>430</v>
      </c>
      <c r="S1134" s="20">
        <v>0.51</v>
      </c>
    </row>
    <row r="1135" spans="8:19" x14ac:dyDescent="0.25">
      <c r="H1135">
        <v>7</v>
      </c>
      <c r="I1135">
        <v>462</v>
      </c>
      <c r="J1135">
        <v>115</v>
      </c>
      <c r="K1135" t="b">
        <v>1</v>
      </c>
      <c r="N1135" s="30" t="s">
        <v>215</v>
      </c>
      <c r="O1135" s="2">
        <f>INDEX(Маршруты,MATCH(N1135,$B$3:$B$498,0),1)</f>
        <v>51</v>
      </c>
      <c r="P1135" s="28">
        <v>6</v>
      </c>
      <c r="Q1135" s="2">
        <f>INDEX(Остановки,MATCH(R1135,ИД_Остановки!$B$3:$B$467,0),1)</f>
        <v>26</v>
      </c>
      <c r="R1135" s="24" t="s">
        <v>254</v>
      </c>
      <c r="S1135" s="20">
        <v>0.45</v>
      </c>
    </row>
    <row r="1136" spans="8:19" x14ac:dyDescent="0.25">
      <c r="H1136">
        <v>7</v>
      </c>
      <c r="I1136">
        <v>465</v>
      </c>
      <c r="J1136">
        <v>115</v>
      </c>
      <c r="K1136" t="b">
        <v>1</v>
      </c>
      <c r="N1136" s="30" t="s">
        <v>215</v>
      </c>
      <c r="O1136" s="2">
        <f>INDEX(Маршруты,MATCH(N1136,$B$3:$B$498,0),1)</f>
        <v>51</v>
      </c>
      <c r="P1136" s="27">
        <v>7</v>
      </c>
      <c r="Q1136" s="2">
        <f>INDEX(Остановки,MATCH(R1136,ИД_Остановки!$B$3:$B$467,0),1)</f>
        <v>25</v>
      </c>
      <c r="R1136" s="45" t="s">
        <v>612</v>
      </c>
      <c r="S1136" s="20">
        <v>0.53</v>
      </c>
    </row>
    <row r="1137" spans="8:19" x14ac:dyDescent="0.25">
      <c r="H1137">
        <v>7</v>
      </c>
      <c r="I1137">
        <v>468</v>
      </c>
      <c r="J1137">
        <v>115</v>
      </c>
      <c r="K1137" t="b">
        <v>1</v>
      </c>
      <c r="N1137" s="26" t="s">
        <v>215</v>
      </c>
      <c r="O1137" s="2">
        <f>INDEX(Маршруты,MATCH(N1137,$B$3:$B$498,0),1)</f>
        <v>51</v>
      </c>
      <c r="P1137" s="27">
        <v>8</v>
      </c>
      <c r="Q1137" s="2">
        <f>INDEX(Остановки,MATCH(R1137,ИД_Остановки!$B$3:$B$467,0),1)</f>
        <v>201</v>
      </c>
      <c r="R1137" s="45" t="s">
        <v>340</v>
      </c>
      <c r="S1137" s="20">
        <v>0.23</v>
      </c>
    </row>
    <row r="1138" spans="8:19" x14ac:dyDescent="0.25">
      <c r="H1138">
        <v>7</v>
      </c>
      <c r="I1138">
        <v>471</v>
      </c>
      <c r="J1138">
        <v>115</v>
      </c>
      <c r="K1138" t="b">
        <v>1</v>
      </c>
      <c r="N1138" s="25" t="s">
        <v>215</v>
      </c>
      <c r="O1138" s="2">
        <f>INDEX(Маршруты,MATCH(N1138,$B$3:$B$498,0),1)</f>
        <v>51</v>
      </c>
      <c r="P1138" s="27">
        <v>9</v>
      </c>
      <c r="Q1138" s="2">
        <f>INDEX(Остановки,MATCH(R1138,ИД_Остановки!$B$3:$B$467,0),1)</f>
        <v>24</v>
      </c>
      <c r="R1138" s="45" t="s">
        <v>252</v>
      </c>
      <c r="S1138" s="20">
        <v>0.38</v>
      </c>
    </row>
    <row r="1139" spans="8:19" x14ac:dyDescent="0.25">
      <c r="H1139">
        <v>7</v>
      </c>
      <c r="I1139">
        <v>474</v>
      </c>
      <c r="J1139">
        <v>115</v>
      </c>
      <c r="K1139" t="b">
        <v>1</v>
      </c>
      <c r="N1139" s="30" t="s">
        <v>215</v>
      </c>
      <c r="O1139" s="2">
        <f>INDEX(Маршруты,MATCH(N1139,$B$3:$B$498,0),1)</f>
        <v>51</v>
      </c>
      <c r="P1139" s="27">
        <v>10</v>
      </c>
      <c r="Q1139" s="2">
        <f>INDEX(Остановки,MATCH(R1139,ИД_Остановки!$B$3:$B$467,0),1)</f>
        <v>200</v>
      </c>
      <c r="R1139" s="45" t="s">
        <v>119</v>
      </c>
      <c r="S1139" s="20">
        <v>0.46</v>
      </c>
    </row>
    <row r="1140" spans="8:19" x14ac:dyDescent="0.25">
      <c r="H1140">
        <v>7</v>
      </c>
      <c r="I1140">
        <v>477</v>
      </c>
      <c r="J1140">
        <v>115</v>
      </c>
      <c r="K1140" t="b">
        <v>1</v>
      </c>
      <c r="N1140" s="25" t="s">
        <v>215</v>
      </c>
      <c r="O1140" s="2">
        <f>INDEX(Маршруты,MATCH(N1140,$B$3:$B$498,0),1)</f>
        <v>51</v>
      </c>
      <c r="P1140" s="27">
        <v>11</v>
      </c>
      <c r="Q1140" s="2">
        <f>INDEX(Остановки,MATCH(R1140,ИД_Остановки!$B$3:$B$467,0),1)</f>
        <v>199</v>
      </c>
      <c r="R1140" s="45" t="s">
        <v>118</v>
      </c>
      <c r="S1140" s="20">
        <v>0.75</v>
      </c>
    </row>
    <row r="1141" spans="8:19" x14ac:dyDescent="0.25">
      <c r="H1141">
        <v>7</v>
      </c>
      <c r="I1141">
        <v>480</v>
      </c>
      <c r="J1141">
        <v>115</v>
      </c>
      <c r="K1141" t="b">
        <v>1</v>
      </c>
      <c r="N1141" s="30" t="s">
        <v>215</v>
      </c>
      <c r="O1141" s="2">
        <f>INDEX(Маршруты,MATCH(N1141,$B$3:$B$498,0),1)</f>
        <v>51</v>
      </c>
      <c r="P1141" s="27">
        <v>12</v>
      </c>
      <c r="Q1141" s="2">
        <f>INDEX(Остановки,MATCH(R1141,ИД_Остановки!$B$3:$B$467,0),1)</f>
        <v>22</v>
      </c>
      <c r="R1141" s="45" t="s">
        <v>22</v>
      </c>
      <c r="S1141" s="20">
        <v>0.42</v>
      </c>
    </row>
    <row r="1142" spans="8:19" x14ac:dyDescent="0.25">
      <c r="H1142">
        <v>7</v>
      </c>
      <c r="I1142">
        <v>483</v>
      </c>
      <c r="J1142">
        <v>115</v>
      </c>
      <c r="K1142" t="b">
        <v>1</v>
      </c>
      <c r="N1142" s="30" t="s">
        <v>215</v>
      </c>
      <c r="O1142" s="2">
        <f>INDEX(Маршруты,MATCH(N1142,$B$3:$B$498,0),1)</f>
        <v>51</v>
      </c>
      <c r="P1142" s="28">
        <v>13</v>
      </c>
      <c r="Q1142" s="2">
        <f>INDEX(Остановки,MATCH(R1142,ИД_Остановки!$B$3:$B$467,0),1)</f>
        <v>373</v>
      </c>
      <c r="R1142" s="24" t="s">
        <v>431</v>
      </c>
      <c r="S1142" s="20">
        <v>0.42</v>
      </c>
    </row>
    <row r="1143" spans="8:19" x14ac:dyDescent="0.25">
      <c r="H1143">
        <v>7</v>
      </c>
      <c r="I1143">
        <v>486</v>
      </c>
      <c r="J1143">
        <v>115</v>
      </c>
      <c r="K1143" t="b">
        <v>1</v>
      </c>
      <c r="N1143" s="25" t="s">
        <v>215</v>
      </c>
      <c r="O1143" s="2">
        <f>INDEX(Маршруты,MATCH(N1143,$B$3:$B$498,0),1)</f>
        <v>51</v>
      </c>
      <c r="P1143" s="27">
        <v>14</v>
      </c>
      <c r="Q1143" s="2">
        <f>INDEX(Остановки,MATCH(R1143,ИД_Остановки!$B$3:$B$467,0),1)</f>
        <v>198</v>
      </c>
      <c r="R1143" s="45" t="s">
        <v>339</v>
      </c>
      <c r="S1143" s="20">
        <v>0.45</v>
      </c>
    </row>
    <row r="1144" spans="8:19" x14ac:dyDescent="0.25">
      <c r="H1144">
        <v>7</v>
      </c>
      <c r="I1144">
        <v>489</v>
      </c>
      <c r="J1144">
        <v>115</v>
      </c>
      <c r="K1144" t="b">
        <v>1</v>
      </c>
      <c r="N1144" s="25" t="s">
        <v>215</v>
      </c>
      <c r="O1144" s="2">
        <f>INDEX(Маршруты,MATCH(N1144,$B$3:$B$498,0),1)</f>
        <v>51</v>
      </c>
      <c r="P1144" s="27">
        <v>15</v>
      </c>
      <c r="Q1144" s="2">
        <f>INDEX(Остановки,MATCH(R1144,ИД_Остановки!$B$3:$B$467,0),1)</f>
        <v>196</v>
      </c>
      <c r="R1144" s="45" t="s">
        <v>337</v>
      </c>
      <c r="S1144" s="20">
        <v>1</v>
      </c>
    </row>
    <row r="1145" spans="8:19" x14ac:dyDescent="0.25">
      <c r="H1145">
        <v>7</v>
      </c>
      <c r="I1145">
        <v>492</v>
      </c>
      <c r="J1145">
        <v>115</v>
      </c>
      <c r="K1145" t="b">
        <v>1</v>
      </c>
      <c r="N1145" s="30" t="s">
        <v>215</v>
      </c>
      <c r="O1145" s="2">
        <f>INDEX(Маршруты,MATCH(N1145,$B$3:$B$498,0),1)</f>
        <v>51</v>
      </c>
      <c r="P1145" s="27">
        <v>16</v>
      </c>
      <c r="Q1145" s="2">
        <f>INDEX(Остановки,MATCH(R1145,ИД_Остановки!$B$3:$B$467,0),1)</f>
        <v>192</v>
      </c>
      <c r="R1145" s="45" t="s">
        <v>335</v>
      </c>
      <c r="S1145" s="20">
        <v>0.61</v>
      </c>
    </row>
    <row r="1146" spans="8:19" x14ac:dyDescent="0.25">
      <c r="H1146">
        <v>7</v>
      </c>
      <c r="I1146">
        <v>495</v>
      </c>
      <c r="J1146">
        <v>115</v>
      </c>
      <c r="K1146" t="b">
        <v>1</v>
      </c>
      <c r="N1146" s="26" t="s">
        <v>215</v>
      </c>
      <c r="O1146" s="2">
        <f>INDEX(Маршруты,MATCH(N1146,$B$3:$B$498,0),1)</f>
        <v>51</v>
      </c>
      <c r="P1146" s="27">
        <v>17</v>
      </c>
      <c r="Q1146" s="2">
        <f>INDEX(Остановки,MATCH(R1146,ИД_Остановки!$B$3:$B$467,0),1)</f>
        <v>284</v>
      </c>
      <c r="R1146" s="45" t="s">
        <v>155</v>
      </c>
      <c r="S1146" s="20">
        <v>0.62</v>
      </c>
    </row>
    <row r="1147" spans="8:19" x14ac:dyDescent="0.25">
      <c r="H1147">
        <v>7</v>
      </c>
      <c r="I1147">
        <v>498</v>
      </c>
      <c r="J1147">
        <v>115</v>
      </c>
      <c r="K1147" t="b">
        <v>1</v>
      </c>
      <c r="N1147" s="30" t="s">
        <v>530</v>
      </c>
      <c r="O1147" s="2">
        <f>INDEX(Маршруты,MATCH(N1147,$B$3:$B$498,0),1)</f>
        <v>52</v>
      </c>
      <c r="P1147" s="27">
        <v>1</v>
      </c>
      <c r="Q1147" s="2">
        <f>INDEX(Остановки,MATCH(R1147,ИД_Остановки!$B$3:$B$467,0),1)</f>
        <v>245</v>
      </c>
      <c r="R1147" s="45" t="s">
        <v>369</v>
      </c>
      <c r="S1147" s="20"/>
    </row>
    <row r="1148" spans="8:19" x14ac:dyDescent="0.25">
      <c r="H1148">
        <v>7</v>
      </c>
      <c r="I1148">
        <v>501</v>
      </c>
      <c r="J1148">
        <v>115</v>
      </c>
      <c r="K1148" t="b">
        <v>1</v>
      </c>
      <c r="N1148" s="30" t="s">
        <v>530</v>
      </c>
      <c r="O1148" s="2">
        <f>INDEX(Маршруты,MATCH(N1148,$B$3:$B$498,0),1)</f>
        <v>52</v>
      </c>
      <c r="P1148" s="27">
        <v>2</v>
      </c>
      <c r="Q1148" s="2">
        <f>INDEX(Остановки,MATCH(R1148,ИД_Остановки!$B$3:$B$467,0),1)</f>
        <v>258</v>
      </c>
      <c r="R1148" s="45" t="s">
        <v>378</v>
      </c>
      <c r="S1148" s="20">
        <v>0.3</v>
      </c>
    </row>
    <row r="1149" spans="8:19" x14ac:dyDescent="0.25">
      <c r="H1149">
        <v>7</v>
      </c>
      <c r="I1149">
        <v>504</v>
      </c>
      <c r="J1149">
        <v>115</v>
      </c>
      <c r="K1149" t="b">
        <v>1</v>
      </c>
      <c r="N1149" s="30" t="s">
        <v>530</v>
      </c>
      <c r="O1149" s="2">
        <f>INDEX(Маршруты,MATCH(N1149,$B$3:$B$498,0),1)</f>
        <v>52</v>
      </c>
      <c r="P1149" s="27">
        <v>3</v>
      </c>
      <c r="Q1149" s="2">
        <f>INDEX(Остановки,MATCH(R1149,ИД_Остановки!$B$3:$B$467,0),1)</f>
        <v>244</v>
      </c>
      <c r="R1149" s="45" t="s">
        <v>133</v>
      </c>
      <c r="S1149" s="20">
        <v>0.215</v>
      </c>
    </row>
    <row r="1150" spans="8:19" x14ac:dyDescent="0.25">
      <c r="H1150">
        <v>7</v>
      </c>
      <c r="I1150">
        <v>507</v>
      </c>
      <c r="J1150">
        <v>115</v>
      </c>
      <c r="K1150" t="b">
        <v>1</v>
      </c>
      <c r="N1150" s="25" t="s">
        <v>530</v>
      </c>
      <c r="O1150" s="2">
        <f>INDEX(Маршруты,MATCH(N1150,$B$3:$B$498,0),1)</f>
        <v>52</v>
      </c>
      <c r="P1150" s="27">
        <v>4</v>
      </c>
      <c r="Q1150" s="2">
        <f>INDEX(Остановки,MATCH(R1150,ИД_Остановки!$B$3:$B$467,0),1)</f>
        <v>251</v>
      </c>
      <c r="R1150" s="45" t="s">
        <v>164</v>
      </c>
      <c r="S1150" s="20">
        <v>0.64</v>
      </c>
    </row>
    <row r="1151" spans="8:19" x14ac:dyDescent="0.25">
      <c r="H1151">
        <v>7</v>
      </c>
      <c r="I1151">
        <v>510</v>
      </c>
      <c r="J1151">
        <v>115</v>
      </c>
      <c r="K1151" t="b">
        <v>1</v>
      </c>
      <c r="N1151" s="25" t="s">
        <v>530</v>
      </c>
      <c r="O1151" s="2">
        <f>INDEX(Маршруты,MATCH(N1151,$B$3:$B$498,0),1)</f>
        <v>52</v>
      </c>
      <c r="P1151" s="27">
        <v>5</v>
      </c>
      <c r="Q1151" s="2">
        <f>INDEX(Остановки,MATCH(R1151,ИД_Остановки!$B$3:$B$467,0),1)</f>
        <v>243</v>
      </c>
      <c r="R1151" s="45" t="s">
        <v>368</v>
      </c>
      <c r="S1151" s="20">
        <v>0.7</v>
      </c>
    </row>
    <row r="1152" spans="8:19" x14ac:dyDescent="0.25">
      <c r="H1152">
        <v>7</v>
      </c>
      <c r="I1152">
        <v>513</v>
      </c>
      <c r="J1152">
        <v>115</v>
      </c>
      <c r="K1152" t="b">
        <v>1</v>
      </c>
      <c r="N1152" s="26" t="s">
        <v>530</v>
      </c>
      <c r="O1152" s="2">
        <f>INDEX(Маршруты,MATCH(N1152,$B$3:$B$498,0),1)</f>
        <v>52</v>
      </c>
      <c r="P1152" s="27">
        <v>6</v>
      </c>
      <c r="Q1152" s="2">
        <f>INDEX(Остановки,MATCH(R1152,ИД_Остановки!$B$3:$B$467,0),1)</f>
        <v>222</v>
      </c>
      <c r="R1152" s="45" t="s">
        <v>354</v>
      </c>
      <c r="S1152" s="20">
        <v>0.36</v>
      </c>
    </row>
    <row r="1153" spans="8:19" x14ac:dyDescent="0.25">
      <c r="H1153">
        <v>7</v>
      </c>
      <c r="I1153">
        <v>516</v>
      </c>
      <c r="J1153">
        <v>115</v>
      </c>
      <c r="K1153" t="b">
        <v>1</v>
      </c>
      <c r="N1153" s="25" t="s">
        <v>530</v>
      </c>
      <c r="O1153" s="2">
        <f>INDEX(Маршруты,MATCH(N1153,$B$3:$B$498,0),1)</f>
        <v>52</v>
      </c>
      <c r="P1153" s="27">
        <v>7</v>
      </c>
      <c r="Q1153" s="2">
        <f>INDEX(Остановки,MATCH(R1153,ИД_Остановки!$B$3:$B$467,0),1)</f>
        <v>250</v>
      </c>
      <c r="R1153" s="45" t="s">
        <v>373</v>
      </c>
      <c r="S1153" s="20">
        <v>0.64</v>
      </c>
    </row>
    <row r="1154" spans="8:19" x14ac:dyDescent="0.25">
      <c r="H1154">
        <v>7</v>
      </c>
      <c r="I1154">
        <v>519</v>
      </c>
      <c r="J1154">
        <v>115</v>
      </c>
      <c r="K1154" t="b">
        <v>1</v>
      </c>
      <c r="N1154" s="26" t="s">
        <v>530</v>
      </c>
      <c r="O1154" s="2">
        <f>INDEX(Маршруты,MATCH(N1154,$B$3:$B$498,0),1)</f>
        <v>52</v>
      </c>
      <c r="P1154" s="27">
        <v>8</v>
      </c>
      <c r="Q1154" s="2">
        <f>INDEX(Остановки,MATCH(R1154,ИД_Остановки!$B$3:$B$467,0),1)</f>
        <v>276</v>
      </c>
      <c r="R1154" s="45" t="s">
        <v>148</v>
      </c>
      <c r="S1154" s="20">
        <v>0.3</v>
      </c>
    </row>
    <row r="1155" spans="8:19" x14ac:dyDescent="0.25">
      <c r="H1155">
        <v>7</v>
      </c>
      <c r="I1155">
        <v>522</v>
      </c>
      <c r="J1155">
        <v>115</v>
      </c>
      <c r="K1155" t="b">
        <v>1</v>
      </c>
      <c r="N1155" s="26" t="s">
        <v>530</v>
      </c>
      <c r="O1155" s="2">
        <f>INDEX(Маршруты,MATCH(N1155,$B$3:$B$498,0),1)</f>
        <v>52</v>
      </c>
      <c r="P1155" s="27">
        <v>9</v>
      </c>
      <c r="Q1155" s="2">
        <f>INDEX(Остановки,MATCH(R1155,ИД_Остановки!$B$3:$B$467,0),1)</f>
        <v>384</v>
      </c>
      <c r="R1155" s="45" t="s">
        <v>442</v>
      </c>
      <c r="S1155" s="20">
        <v>0.48</v>
      </c>
    </row>
    <row r="1156" spans="8:19" x14ac:dyDescent="0.25">
      <c r="H1156">
        <v>7</v>
      </c>
      <c r="I1156">
        <v>525</v>
      </c>
      <c r="J1156">
        <v>115</v>
      </c>
      <c r="K1156" t="b">
        <v>1</v>
      </c>
      <c r="N1156" s="30" t="s">
        <v>530</v>
      </c>
      <c r="O1156" s="2">
        <f>INDEX(Маршруты,MATCH(N1156,$B$3:$B$498,0),1)</f>
        <v>52</v>
      </c>
      <c r="P1156" s="27">
        <v>10</v>
      </c>
      <c r="Q1156" s="2">
        <f>INDEX(Остановки,MATCH(R1156,ИД_Остановки!$B$3:$B$467,0),1)</f>
        <v>277</v>
      </c>
      <c r="R1156" s="45" t="s">
        <v>149</v>
      </c>
      <c r="S1156" s="20">
        <v>0.3</v>
      </c>
    </row>
    <row r="1157" spans="8:19" x14ac:dyDescent="0.25">
      <c r="H1157">
        <v>7</v>
      </c>
      <c r="I1157">
        <v>528</v>
      </c>
      <c r="J1157">
        <v>115</v>
      </c>
      <c r="K1157" t="b">
        <v>1</v>
      </c>
      <c r="N1157" s="30" t="s">
        <v>530</v>
      </c>
      <c r="O1157" s="2">
        <f>INDEX(Маршруты,MATCH(N1157,$B$3:$B$498,0),1)</f>
        <v>52</v>
      </c>
      <c r="P1157" s="27">
        <v>11</v>
      </c>
      <c r="Q1157" s="2">
        <f>INDEX(Остановки,MATCH(R1157,ИД_Остановки!$B$3:$B$467,0),1)</f>
        <v>278</v>
      </c>
      <c r="R1157" s="45" t="s">
        <v>386</v>
      </c>
      <c r="S1157" s="20">
        <v>0.18</v>
      </c>
    </row>
    <row r="1158" spans="8:19" x14ac:dyDescent="0.25">
      <c r="H1158">
        <v>7</v>
      </c>
      <c r="I1158">
        <v>531</v>
      </c>
      <c r="J1158">
        <v>115</v>
      </c>
      <c r="K1158" t="b">
        <v>1</v>
      </c>
      <c r="N1158" s="25" t="s">
        <v>530</v>
      </c>
      <c r="O1158" s="2">
        <f>INDEX(Маршруты,MATCH(N1158,$B$3:$B$498,0),1)</f>
        <v>52</v>
      </c>
      <c r="P1158" s="27">
        <v>12</v>
      </c>
      <c r="Q1158" s="2">
        <f>INDEX(Остановки,MATCH(R1158,ИД_Остановки!$B$3:$B$467,0),1)</f>
        <v>385</v>
      </c>
      <c r="R1158" s="45" t="s">
        <v>443</v>
      </c>
      <c r="S1158" s="20">
        <v>0.46</v>
      </c>
    </row>
    <row r="1159" spans="8:19" x14ac:dyDescent="0.25">
      <c r="H1159">
        <v>7</v>
      </c>
      <c r="I1159">
        <v>534</v>
      </c>
      <c r="J1159">
        <v>115</v>
      </c>
      <c r="K1159" t="b">
        <v>1</v>
      </c>
      <c r="N1159" s="25" t="s">
        <v>530</v>
      </c>
      <c r="O1159" s="2">
        <f>INDEX(Маршруты,MATCH(N1159,$B$3:$B$498,0),1)</f>
        <v>52</v>
      </c>
      <c r="P1159" s="27">
        <v>13</v>
      </c>
      <c r="Q1159" s="2">
        <f>INDEX(Остановки,MATCH(R1159,ИД_Остановки!$B$3:$B$467,0),1)</f>
        <v>279</v>
      </c>
      <c r="R1159" s="45" t="s">
        <v>387</v>
      </c>
      <c r="S1159" s="20">
        <v>1.01</v>
      </c>
    </row>
    <row r="1160" spans="8:19" x14ac:dyDescent="0.25">
      <c r="H1160">
        <v>7</v>
      </c>
      <c r="I1160">
        <v>537</v>
      </c>
      <c r="J1160">
        <v>115</v>
      </c>
      <c r="K1160" t="b">
        <v>1</v>
      </c>
      <c r="N1160" s="30" t="s">
        <v>530</v>
      </c>
      <c r="O1160" s="2">
        <f>INDEX(Маршруты,MATCH(N1160,$B$3:$B$498,0),1)</f>
        <v>52</v>
      </c>
      <c r="P1160" s="27">
        <v>14</v>
      </c>
      <c r="Q1160" s="2">
        <f>INDEX(Остановки,MATCH(R1160,ИД_Остановки!$B$3:$B$467,0),1)</f>
        <v>386</v>
      </c>
      <c r="R1160" s="45" t="s">
        <v>444</v>
      </c>
      <c r="S1160" s="20">
        <v>0.51</v>
      </c>
    </row>
    <row r="1161" spans="8:19" x14ac:dyDescent="0.25">
      <c r="H1161">
        <v>7</v>
      </c>
      <c r="I1161">
        <v>540</v>
      </c>
      <c r="J1161">
        <v>115</v>
      </c>
      <c r="K1161" t="b">
        <v>1</v>
      </c>
      <c r="N1161" s="30" t="s">
        <v>530</v>
      </c>
      <c r="O1161" s="2">
        <f>INDEX(Маршруты,MATCH(N1161,$B$3:$B$498,0),1)</f>
        <v>52</v>
      </c>
      <c r="P1161" s="27">
        <v>15</v>
      </c>
      <c r="Q1161" s="2">
        <f>INDEX(Остановки,MATCH(R1161,ИД_Остановки!$B$3:$B$467,0),1)</f>
        <v>387</v>
      </c>
      <c r="R1161" s="45" t="s">
        <v>150</v>
      </c>
      <c r="S1161" s="20">
        <v>0.44</v>
      </c>
    </row>
    <row r="1162" spans="8:19" x14ac:dyDescent="0.25">
      <c r="H1162">
        <v>7</v>
      </c>
      <c r="I1162">
        <v>543</v>
      </c>
      <c r="J1162">
        <v>115</v>
      </c>
      <c r="K1162" t="b">
        <v>1</v>
      </c>
      <c r="N1162" s="30" t="s">
        <v>530</v>
      </c>
      <c r="O1162" s="2">
        <f>INDEX(Маршруты,MATCH(N1162,$B$3:$B$498,0),1)</f>
        <v>52</v>
      </c>
      <c r="P1162" s="27">
        <v>16</v>
      </c>
      <c r="Q1162" s="2">
        <f>INDEX(Остановки,MATCH(R1162,ИД_Остановки!$B$3:$B$467,0),1)</f>
        <v>388</v>
      </c>
      <c r="R1162" s="45" t="s">
        <v>445</v>
      </c>
      <c r="S1162" s="20">
        <v>0.66</v>
      </c>
    </row>
    <row r="1163" spans="8:19" x14ac:dyDescent="0.25">
      <c r="H1163">
        <v>7</v>
      </c>
      <c r="I1163">
        <v>546</v>
      </c>
      <c r="J1163">
        <v>115</v>
      </c>
      <c r="K1163" t="b">
        <v>1</v>
      </c>
      <c r="N1163" s="30" t="s">
        <v>530</v>
      </c>
      <c r="O1163" s="2">
        <f>INDEX(Маршруты,MATCH(N1163,$B$3:$B$498,0),1)</f>
        <v>52</v>
      </c>
      <c r="P1163" s="27">
        <v>17</v>
      </c>
      <c r="Q1163" s="2">
        <f>INDEX(Остановки,MATCH(R1163,ИД_Остановки!$B$3:$B$467,0),1)</f>
        <v>280</v>
      </c>
      <c r="R1163" s="45" t="s">
        <v>151</v>
      </c>
      <c r="S1163" s="20">
        <v>0.66</v>
      </c>
    </row>
    <row r="1164" spans="8:19" x14ac:dyDescent="0.25">
      <c r="H1164">
        <v>7</v>
      </c>
      <c r="I1164">
        <v>549</v>
      </c>
      <c r="J1164">
        <v>115</v>
      </c>
      <c r="K1164" t="b">
        <v>1</v>
      </c>
      <c r="N1164" s="25" t="s">
        <v>530</v>
      </c>
      <c r="O1164" s="2">
        <f>INDEX(Маршруты,MATCH(N1164,$B$3:$B$498,0),1)</f>
        <v>52</v>
      </c>
      <c r="P1164" s="27">
        <v>18</v>
      </c>
      <c r="Q1164" s="2">
        <f>INDEX(Остановки,MATCH(R1164,ИД_Остановки!$B$3:$B$467,0),1)</f>
        <v>281</v>
      </c>
      <c r="R1164" s="45" t="s">
        <v>152</v>
      </c>
      <c r="S1164" s="20">
        <v>0.57999999999999996</v>
      </c>
    </row>
    <row r="1165" spans="8:19" x14ac:dyDescent="0.25">
      <c r="H1165">
        <v>7</v>
      </c>
      <c r="I1165">
        <v>552</v>
      </c>
      <c r="J1165">
        <v>115</v>
      </c>
      <c r="K1165" t="b">
        <v>1</v>
      </c>
      <c r="N1165" s="30" t="s">
        <v>530</v>
      </c>
      <c r="O1165" s="2">
        <f>INDEX(Маршруты,MATCH(N1165,$B$3:$B$498,0),1)</f>
        <v>52</v>
      </c>
      <c r="P1165" s="27">
        <v>19</v>
      </c>
      <c r="Q1165" s="2">
        <f>INDEX(Остановки,MATCH(R1165,ИД_Остановки!$B$3:$B$467,0),1)</f>
        <v>282</v>
      </c>
      <c r="R1165" s="45" t="s">
        <v>153</v>
      </c>
      <c r="S1165" s="20">
        <v>0.28000000000000003</v>
      </c>
    </row>
    <row r="1166" spans="8:19" x14ac:dyDescent="0.25">
      <c r="H1166">
        <v>7</v>
      </c>
      <c r="I1166">
        <v>555</v>
      </c>
      <c r="J1166">
        <v>115</v>
      </c>
      <c r="K1166" t="b">
        <v>1</v>
      </c>
      <c r="N1166" s="30" t="s">
        <v>530</v>
      </c>
      <c r="O1166" s="2">
        <f>INDEX(Маршруты,MATCH(N1166,$B$3:$B$498,0),1)</f>
        <v>52</v>
      </c>
      <c r="P1166" s="27">
        <v>20</v>
      </c>
      <c r="Q1166" s="2">
        <f>INDEX(Остановки,MATCH(R1166,ИД_Остановки!$B$3:$B$467,0),1)</f>
        <v>283</v>
      </c>
      <c r="R1166" s="45" t="s">
        <v>154</v>
      </c>
      <c r="S1166" s="20">
        <v>0.32</v>
      </c>
    </row>
    <row r="1167" spans="8:19" x14ac:dyDescent="0.25">
      <c r="H1167">
        <v>7</v>
      </c>
      <c r="I1167">
        <v>558</v>
      </c>
      <c r="J1167">
        <v>115</v>
      </c>
      <c r="K1167" t="b">
        <v>1</v>
      </c>
      <c r="N1167" s="30" t="s">
        <v>531</v>
      </c>
      <c r="O1167" s="2">
        <f>INDEX(Маршруты,MATCH(N1167,$B$3:$B$498,0),1)</f>
        <v>53</v>
      </c>
      <c r="P1167" s="27">
        <v>1</v>
      </c>
      <c r="Q1167" s="2">
        <f>INDEX(Остановки,MATCH(R1167,ИД_Остановки!$B$3:$B$467,0),1)</f>
        <v>283</v>
      </c>
      <c r="R1167" s="45" t="s">
        <v>154</v>
      </c>
      <c r="S1167" s="20"/>
    </row>
    <row r="1168" spans="8:19" x14ac:dyDescent="0.25">
      <c r="H1168">
        <v>7</v>
      </c>
      <c r="I1168">
        <v>561</v>
      </c>
      <c r="J1168">
        <v>115</v>
      </c>
      <c r="K1168" t="b">
        <v>1</v>
      </c>
      <c r="N1168" s="30" t="s">
        <v>531</v>
      </c>
      <c r="O1168" s="2">
        <f>INDEX(Маршруты,MATCH(N1168,$B$3:$B$498,0),1)</f>
        <v>53</v>
      </c>
      <c r="P1168" s="27">
        <v>2</v>
      </c>
      <c r="Q1168" s="2">
        <f>INDEX(Остановки,MATCH(R1168,ИД_Остановки!$B$3:$B$467,0),1)</f>
        <v>282</v>
      </c>
      <c r="R1168" s="45" t="s">
        <v>153</v>
      </c>
      <c r="S1168" s="20">
        <v>0.32</v>
      </c>
    </row>
    <row r="1169" spans="8:19" x14ac:dyDescent="0.25">
      <c r="H1169">
        <v>7</v>
      </c>
      <c r="I1169">
        <v>564</v>
      </c>
      <c r="J1169">
        <v>115</v>
      </c>
      <c r="K1169" t="b">
        <v>1</v>
      </c>
      <c r="N1169" s="26" t="s">
        <v>531</v>
      </c>
      <c r="O1169" s="2">
        <f>INDEX(Маршруты,MATCH(N1169,$B$3:$B$498,0),1)</f>
        <v>53</v>
      </c>
      <c r="P1169" s="27">
        <v>3</v>
      </c>
      <c r="Q1169" s="2">
        <f>INDEX(Остановки,MATCH(R1169,ИД_Остановки!$B$3:$B$467,0),1)</f>
        <v>281</v>
      </c>
      <c r="R1169" s="45" t="s">
        <v>152</v>
      </c>
      <c r="S1169" s="20">
        <v>0.28000000000000003</v>
      </c>
    </row>
    <row r="1170" spans="8:19" x14ac:dyDescent="0.25">
      <c r="H1170">
        <v>7</v>
      </c>
      <c r="I1170">
        <v>567</v>
      </c>
      <c r="J1170">
        <v>115</v>
      </c>
      <c r="K1170" t="b">
        <v>1</v>
      </c>
      <c r="N1170" s="26" t="s">
        <v>531</v>
      </c>
      <c r="O1170" s="2">
        <f>INDEX(Маршруты,MATCH(N1170,$B$3:$B$498,0),1)</f>
        <v>53</v>
      </c>
      <c r="P1170" s="27">
        <v>4</v>
      </c>
      <c r="Q1170" s="2">
        <f>INDEX(Остановки,MATCH(R1170,ИД_Остановки!$B$3:$B$467,0),1)</f>
        <v>280</v>
      </c>
      <c r="R1170" s="45" t="s">
        <v>151</v>
      </c>
      <c r="S1170" s="20">
        <v>0.57999999999999996</v>
      </c>
    </row>
    <row r="1171" spans="8:19" x14ac:dyDescent="0.25">
      <c r="H1171">
        <v>7</v>
      </c>
      <c r="I1171">
        <v>570</v>
      </c>
      <c r="J1171">
        <v>115</v>
      </c>
      <c r="K1171" t="b">
        <v>1</v>
      </c>
      <c r="N1171" s="25" t="s">
        <v>531</v>
      </c>
      <c r="O1171" s="2">
        <f>INDEX(Маршруты,MATCH(N1171,$B$3:$B$498,0),1)</f>
        <v>53</v>
      </c>
      <c r="P1171" s="27">
        <v>5</v>
      </c>
      <c r="Q1171" s="2">
        <f>INDEX(Остановки,MATCH(R1171,ИД_Остановки!$B$3:$B$467,0),1)</f>
        <v>388</v>
      </c>
      <c r="R1171" s="45" t="s">
        <v>445</v>
      </c>
      <c r="S1171" s="20">
        <v>0.66</v>
      </c>
    </row>
    <row r="1172" spans="8:19" x14ac:dyDescent="0.25">
      <c r="H1172">
        <v>7</v>
      </c>
      <c r="I1172">
        <v>573</v>
      </c>
      <c r="J1172">
        <v>115</v>
      </c>
      <c r="K1172" t="b">
        <v>1</v>
      </c>
      <c r="N1172" s="25" t="s">
        <v>531</v>
      </c>
      <c r="O1172" s="2">
        <f>INDEX(Маршруты,MATCH(N1172,$B$3:$B$498,0),1)</f>
        <v>53</v>
      </c>
      <c r="P1172" s="28">
        <v>6</v>
      </c>
      <c r="Q1172" s="2">
        <f>INDEX(Остановки,MATCH(R1172,ИД_Остановки!$B$3:$B$467,0),1)</f>
        <v>387</v>
      </c>
      <c r="R1172" s="24" t="s">
        <v>150</v>
      </c>
      <c r="S1172" s="20">
        <v>0.66</v>
      </c>
    </row>
    <row r="1173" spans="8:19" x14ac:dyDescent="0.25">
      <c r="H1173">
        <v>7</v>
      </c>
      <c r="I1173">
        <v>576</v>
      </c>
      <c r="J1173">
        <v>115</v>
      </c>
      <c r="K1173" t="b">
        <v>1</v>
      </c>
      <c r="N1173" s="25" t="s">
        <v>531</v>
      </c>
      <c r="O1173" s="2">
        <f>INDEX(Маршруты,MATCH(N1173,$B$3:$B$498,0),1)</f>
        <v>53</v>
      </c>
      <c r="P1173" s="28">
        <v>7</v>
      </c>
      <c r="Q1173" s="2">
        <f>INDEX(Остановки,MATCH(R1173,ИД_Остановки!$B$3:$B$467,0),1)</f>
        <v>386</v>
      </c>
      <c r="R1173" s="24" t="s">
        <v>444</v>
      </c>
      <c r="S1173" s="20">
        <v>0.44</v>
      </c>
    </row>
    <row r="1174" spans="8:19" x14ac:dyDescent="0.25">
      <c r="H1174">
        <v>7</v>
      </c>
      <c r="I1174">
        <v>579</v>
      </c>
      <c r="J1174">
        <v>115</v>
      </c>
      <c r="K1174" t="b">
        <v>1</v>
      </c>
      <c r="N1174" s="30" t="s">
        <v>531</v>
      </c>
      <c r="O1174" s="2">
        <f>INDEX(Маршруты,MATCH(N1174,$B$3:$B$498,0),1)</f>
        <v>53</v>
      </c>
      <c r="P1174" s="27">
        <v>8</v>
      </c>
      <c r="Q1174" s="2">
        <f>INDEX(Остановки,MATCH(R1174,ИД_Остановки!$B$3:$B$467,0),1)</f>
        <v>279</v>
      </c>
      <c r="R1174" s="45" t="s">
        <v>387</v>
      </c>
      <c r="S1174" s="20">
        <v>0.51</v>
      </c>
    </row>
    <row r="1175" spans="8:19" x14ac:dyDescent="0.25">
      <c r="H1175">
        <v>7</v>
      </c>
      <c r="I1175">
        <v>582</v>
      </c>
      <c r="J1175">
        <v>115</v>
      </c>
      <c r="K1175" t="b">
        <v>1</v>
      </c>
      <c r="N1175" s="25" t="s">
        <v>531</v>
      </c>
      <c r="O1175" s="2">
        <f>INDEX(Маршруты,MATCH(N1175,$B$3:$B$498,0),1)</f>
        <v>53</v>
      </c>
      <c r="P1175" s="27">
        <v>9</v>
      </c>
      <c r="Q1175" s="2">
        <f>INDEX(Остановки,MATCH(R1175,ИД_Остановки!$B$3:$B$467,0),1)</f>
        <v>385</v>
      </c>
      <c r="R1175" s="45" t="s">
        <v>443</v>
      </c>
      <c r="S1175" s="20">
        <v>1.01</v>
      </c>
    </row>
    <row r="1176" spans="8:19" x14ac:dyDescent="0.25">
      <c r="H1176">
        <v>7</v>
      </c>
      <c r="I1176">
        <v>585</v>
      </c>
      <c r="J1176">
        <v>115</v>
      </c>
      <c r="K1176" t="b">
        <v>1</v>
      </c>
      <c r="N1176" s="14" t="s">
        <v>531</v>
      </c>
      <c r="O1176" s="2">
        <f>INDEX(Маршруты,MATCH(N1176,$B$3:$B$498,0),1)</f>
        <v>53</v>
      </c>
      <c r="P1176" s="27">
        <v>10</v>
      </c>
      <c r="Q1176" s="2">
        <f>INDEX(Остановки,MATCH(R1176,ИД_Остановки!$B$3:$B$467,0),1)</f>
        <v>278</v>
      </c>
      <c r="R1176" s="45" t="s">
        <v>386</v>
      </c>
      <c r="S1176" s="20">
        <v>0.46</v>
      </c>
    </row>
    <row r="1177" spans="8:19" x14ac:dyDescent="0.25">
      <c r="H1177">
        <v>7</v>
      </c>
      <c r="I1177">
        <v>588</v>
      </c>
      <c r="J1177">
        <v>115</v>
      </c>
      <c r="K1177" t="b">
        <v>1</v>
      </c>
      <c r="N1177" s="26" t="s">
        <v>531</v>
      </c>
      <c r="O1177" s="2">
        <f>INDEX(Маршруты,MATCH(N1177,$B$3:$B$498,0),1)</f>
        <v>53</v>
      </c>
      <c r="P1177" s="27">
        <v>11</v>
      </c>
      <c r="Q1177" s="2">
        <f>INDEX(Остановки,MATCH(R1177,ИД_Остановки!$B$3:$B$467,0),1)</f>
        <v>277</v>
      </c>
      <c r="R1177" s="45" t="s">
        <v>149</v>
      </c>
      <c r="S1177" s="20">
        <v>0.18</v>
      </c>
    </row>
    <row r="1178" spans="8:19" x14ac:dyDescent="0.25">
      <c r="H1178">
        <v>7</v>
      </c>
      <c r="I1178">
        <v>591</v>
      </c>
      <c r="J1178">
        <v>115</v>
      </c>
      <c r="K1178" t="b">
        <v>1</v>
      </c>
      <c r="N1178" s="25" t="s">
        <v>531</v>
      </c>
      <c r="O1178" s="2">
        <f>INDEX(Маршруты,MATCH(N1178,$B$3:$B$498,0),1)</f>
        <v>53</v>
      </c>
      <c r="P1178" s="27">
        <v>12</v>
      </c>
      <c r="Q1178" s="2">
        <f>INDEX(Остановки,MATCH(R1178,ИД_Остановки!$B$3:$B$467,0),1)</f>
        <v>384</v>
      </c>
      <c r="R1178" s="45" t="s">
        <v>442</v>
      </c>
      <c r="S1178" s="20">
        <v>0.3</v>
      </c>
    </row>
    <row r="1179" spans="8:19" x14ac:dyDescent="0.25">
      <c r="H1179">
        <v>7</v>
      </c>
      <c r="I1179">
        <v>594</v>
      </c>
      <c r="J1179">
        <v>115</v>
      </c>
      <c r="K1179" t="b">
        <v>1</v>
      </c>
      <c r="N1179" s="25" t="s">
        <v>531</v>
      </c>
      <c r="O1179" s="2">
        <f>INDEX(Маршруты,MATCH(N1179,$B$3:$B$498,0),1)</f>
        <v>53</v>
      </c>
      <c r="P1179" s="27">
        <v>13</v>
      </c>
      <c r="Q1179" s="2">
        <f>INDEX(Остановки,MATCH(R1179,ИД_Остановки!$B$3:$B$467,0),1)</f>
        <v>276</v>
      </c>
      <c r="R1179" s="45" t="s">
        <v>148</v>
      </c>
      <c r="S1179" s="20">
        <v>0.48</v>
      </c>
    </row>
    <row r="1180" spans="8:19" x14ac:dyDescent="0.25">
      <c r="H1180">
        <v>7</v>
      </c>
      <c r="I1180">
        <v>597</v>
      </c>
      <c r="J1180">
        <v>115</v>
      </c>
      <c r="K1180" t="b">
        <v>1</v>
      </c>
      <c r="N1180" s="25" t="s">
        <v>531</v>
      </c>
      <c r="O1180" s="2">
        <f>INDEX(Маршруты,MATCH(N1180,$B$3:$B$498,0),1)</f>
        <v>53</v>
      </c>
      <c r="P1180" s="27">
        <v>14</v>
      </c>
      <c r="Q1180" s="2">
        <f>INDEX(Остановки,MATCH(R1180,ИД_Остановки!$B$3:$B$467,0),1)</f>
        <v>250</v>
      </c>
      <c r="R1180" s="45" t="s">
        <v>373</v>
      </c>
      <c r="S1180" s="20">
        <v>0.3</v>
      </c>
    </row>
    <row r="1181" spans="8:19" x14ac:dyDescent="0.25">
      <c r="H1181">
        <v>7</v>
      </c>
      <c r="I1181">
        <v>600</v>
      </c>
      <c r="J1181">
        <v>115</v>
      </c>
      <c r="K1181" t="b">
        <v>1</v>
      </c>
      <c r="N1181" s="30" t="s">
        <v>531</v>
      </c>
      <c r="O1181" s="2">
        <f>INDEX(Маршруты,MATCH(N1181,$B$3:$B$498,0),1)</f>
        <v>53</v>
      </c>
      <c r="P1181" s="27">
        <v>15</v>
      </c>
      <c r="Q1181" s="2">
        <f>INDEX(Остановки,MATCH(R1181,ИД_Остановки!$B$3:$B$467,0),1)</f>
        <v>222</v>
      </c>
      <c r="R1181" s="45" t="s">
        <v>354</v>
      </c>
      <c r="S1181" s="20">
        <v>0.64</v>
      </c>
    </row>
    <row r="1182" spans="8:19" x14ac:dyDescent="0.25">
      <c r="H1182">
        <v>7</v>
      </c>
      <c r="I1182">
        <v>603</v>
      </c>
      <c r="J1182">
        <v>115</v>
      </c>
      <c r="K1182" t="b">
        <v>1</v>
      </c>
      <c r="N1182" s="25" t="s">
        <v>531</v>
      </c>
      <c r="O1182" s="2">
        <f>INDEX(Маршруты,MATCH(N1182,$B$3:$B$498,0),1)</f>
        <v>53</v>
      </c>
      <c r="P1182" s="27">
        <v>16</v>
      </c>
      <c r="Q1182" s="2">
        <f>INDEX(Остановки,MATCH(R1182,ИД_Остановки!$B$3:$B$467,0),1)</f>
        <v>243</v>
      </c>
      <c r="R1182" s="24" t="s">
        <v>368</v>
      </c>
      <c r="S1182" s="20">
        <v>0.36</v>
      </c>
    </row>
    <row r="1183" spans="8:19" x14ac:dyDescent="0.25">
      <c r="H1183">
        <v>7</v>
      </c>
      <c r="I1183">
        <v>606</v>
      </c>
      <c r="J1183">
        <v>115</v>
      </c>
      <c r="K1183" t="b">
        <v>1</v>
      </c>
      <c r="N1183" s="25" t="s">
        <v>531</v>
      </c>
      <c r="O1183" s="2">
        <f>INDEX(Маршруты,MATCH(N1183,$B$3:$B$498,0),1)</f>
        <v>53</v>
      </c>
      <c r="P1183" s="27">
        <v>17</v>
      </c>
      <c r="Q1183" s="2">
        <f>INDEX(Остановки,MATCH(R1183,ИД_Остановки!$B$3:$B$467,0),1)</f>
        <v>251</v>
      </c>
      <c r="R1183" s="45" t="s">
        <v>164</v>
      </c>
      <c r="S1183" s="20">
        <v>0.7</v>
      </c>
    </row>
    <row r="1184" spans="8:19" x14ac:dyDescent="0.25">
      <c r="H1184">
        <v>7</v>
      </c>
      <c r="I1184">
        <v>609</v>
      </c>
      <c r="J1184">
        <v>115</v>
      </c>
      <c r="K1184" t="b">
        <v>1</v>
      </c>
      <c r="N1184" s="25" t="s">
        <v>531</v>
      </c>
      <c r="O1184" s="2">
        <f>INDEX(Маршруты,MATCH(N1184,$B$3:$B$498,0),1)</f>
        <v>53</v>
      </c>
      <c r="P1184" s="27">
        <v>18</v>
      </c>
      <c r="Q1184" s="2">
        <f>INDEX(Остановки,MATCH(R1184,ИД_Остановки!$B$3:$B$467,0),1)</f>
        <v>244</v>
      </c>
      <c r="R1184" s="45" t="s">
        <v>133</v>
      </c>
      <c r="S1184" s="20">
        <v>0.64</v>
      </c>
    </row>
    <row r="1185" spans="8:19" x14ac:dyDescent="0.25">
      <c r="H1185">
        <v>7</v>
      </c>
      <c r="I1185">
        <v>612</v>
      </c>
      <c r="J1185">
        <v>115</v>
      </c>
      <c r="K1185" t="b">
        <v>1</v>
      </c>
      <c r="N1185" s="30" t="s">
        <v>531</v>
      </c>
      <c r="O1185" s="2">
        <f>INDEX(Маршруты,MATCH(N1185,$B$3:$B$498,0),1)</f>
        <v>53</v>
      </c>
      <c r="P1185" s="27">
        <v>19</v>
      </c>
      <c r="Q1185" s="2">
        <f>INDEX(Остановки,MATCH(R1185,ИД_Остановки!$B$3:$B$467,0),1)</f>
        <v>258</v>
      </c>
      <c r="R1185" s="45" t="s">
        <v>378</v>
      </c>
      <c r="S1185" s="20">
        <v>0.215</v>
      </c>
    </row>
    <row r="1186" spans="8:19" x14ac:dyDescent="0.25">
      <c r="H1186">
        <v>7</v>
      </c>
      <c r="I1186">
        <v>615</v>
      </c>
      <c r="J1186">
        <v>115</v>
      </c>
      <c r="K1186" t="b">
        <v>1</v>
      </c>
      <c r="N1186" s="25" t="s">
        <v>531</v>
      </c>
      <c r="O1186" s="2">
        <f>INDEX(Маршруты,MATCH(N1186,$B$3:$B$498,0),1)</f>
        <v>53</v>
      </c>
      <c r="P1186" s="27">
        <v>20</v>
      </c>
      <c r="Q1186" s="2">
        <f>INDEX(Остановки,MATCH(R1186,ИД_Остановки!$B$3:$B$467,0),1)</f>
        <v>245</v>
      </c>
      <c r="R1186" s="24" t="s">
        <v>369</v>
      </c>
      <c r="S1186" s="20">
        <v>0.3</v>
      </c>
    </row>
    <row r="1187" spans="8:19" x14ac:dyDescent="0.25">
      <c r="H1187">
        <v>7</v>
      </c>
      <c r="I1187">
        <v>618</v>
      </c>
      <c r="J1187">
        <v>115</v>
      </c>
      <c r="K1187" t="b">
        <v>1</v>
      </c>
      <c r="N1187" s="30" t="s">
        <v>532</v>
      </c>
      <c r="O1187" s="2">
        <f>INDEX(Маршруты,MATCH(N1187,$B$3:$B$498,0),1)</f>
        <v>54</v>
      </c>
      <c r="P1187" s="28">
        <v>1</v>
      </c>
      <c r="Q1187" s="2">
        <f>INDEX(Остановки,MATCH(R1187,ИД_Остановки!$B$3:$B$467,0),1)</f>
        <v>135</v>
      </c>
      <c r="R1187" s="24" t="s">
        <v>83</v>
      </c>
      <c r="S1187" s="20"/>
    </row>
    <row r="1188" spans="8:19" x14ac:dyDescent="0.25">
      <c r="H1188">
        <v>7</v>
      </c>
      <c r="I1188">
        <v>621</v>
      </c>
      <c r="J1188">
        <v>115</v>
      </c>
      <c r="K1188" t="b">
        <v>1</v>
      </c>
      <c r="N1188" s="30" t="s">
        <v>532</v>
      </c>
      <c r="O1188" s="2">
        <f>INDEX(Маршруты,MATCH(N1188,$B$3:$B$498,0),1)</f>
        <v>54</v>
      </c>
      <c r="P1188" s="27">
        <v>2</v>
      </c>
      <c r="Q1188" s="2">
        <f>INDEX(Остановки,MATCH(R1188,ИД_Остановки!$B$3:$B$467,0),1)</f>
        <v>83</v>
      </c>
      <c r="R1188" s="45" t="s">
        <v>280</v>
      </c>
      <c r="S1188" s="20">
        <v>1.26</v>
      </c>
    </row>
    <row r="1189" spans="8:19" x14ac:dyDescent="0.25">
      <c r="H1189">
        <v>7</v>
      </c>
      <c r="I1189">
        <v>624</v>
      </c>
      <c r="J1189">
        <v>115</v>
      </c>
      <c r="K1189" t="b">
        <v>1</v>
      </c>
      <c r="N1189" s="32" t="s">
        <v>532</v>
      </c>
      <c r="O1189" s="2">
        <f>INDEX(Маршруты,MATCH(N1189,$B$3:$B$498,0),1)</f>
        <v>54</v>
      </c>
      <c r="P1189" s="27">
        <v>3</v>
      </c>
      <c r="Q1189" s="2">
        <f>INDEX(Остановки,MATCH(R1189,ИД_Остановки!$B$3:$B$467,0),1)</f>
        <v>134</v>
      </c>
      <c r="R1189" s="45" t="s">
        <v>308</v>
      </c>
      <c r="S1189" s="20">
        <v>1.1100000000000001</v>
      </c>
    </row>
    <row r="1190" spans="8:19" x14ac:dyDescent="0.25">
      <c r="H1190">
        <v>7</v>
      </c>
      <c r="I1190">
        <v>627</v>
      </c>
      <c r="J1190">
        <v>115</v>
      </c>
      <c r="K1190" t="b">
        <v>1</v>
      </c>
      <c r="N1190" s="25" t="s">
        <v>532</v>
      </c>
      <c r="O1190" s="2">
        <f>INDEX(Маршруты,MATCH(N1190,$B$3:$B$498,0),1)</f>
        <v>54</v>
      </c>
      <c r="P1190" s="27">
        <v>4</v>
      </c>
      <c r="Q1190" s="2">
        <f>INDEX(Остановки,MATCH(R1190,ИД_Остановки!$B$3:$B$467,0),1)</f>
        <v>133</v>
      </c>
      <c r="R1190" s="24" t="s">
        <v>82</v>
      </c>
      <c r="S1190" s="20">
        <v>0.3</v>
      </c>
    </row>
    <row r="1191" spans="8:19" x14ac:dyDescent="0.25">
      <c r="H1191">
        <v>7</v>
      </c>
      <c r="I1191">
        <v>630</v>
      </c>
      <c r="J1191">
        <v>115</v>
      </c>
      <c r="K1191" t="b">
        <v>1</v>
      </c>
      <c r="N1191" s="14" t="s">
        <v>532</v>
      </c>
      <c r="O1191" s="2">
        <f>INDEX(Маршруты,MATCH(N1191,$B$3:$B$498,0),1)</f>
        <v>54</v>
      </c>
      <c r="P1191" s="27">
        <v>5</v>
      </c>
      <c r="Q1191" s="2">
        <f>INDEX(Остановки,MATCH(R1191,ИД_Остановки!$B$3:$B$467,0),1)</f>
        <v>51</v>
      </c>
      <c r="R1191" s="45" t="s">
        <v>261</v>
      </c>
      <c r="S1191" s="20">
        <v>0.66</v>
      </c>
    </row>
    <row r="1192" spans="8:19" x14ac:dyDescent="0.25">
      <c r="H1192">
        <v>7</v>
      </c>
      <c r="I1192">
        <v>633</v>
      </c>
      <c r="J1192">
        <v>115</v>
      </c>
      <c r="K1192" t="b">
        <v>1</v>
      </c>
      <c r="N1192" s="25" t="s">
        <v>532</v>
      </c>
      <c r="O1192" s="2">
        <f>INDEX(Маршруты,MATCH(N1192,$B$3:$B$498,0),1)</f>
        <v>54</v>
      </c>
      <c r="P1192" s="27">
        <v>6</v>
      </c>
      <c r="Q1192" s="2">
        <f>INDEX(Остановки,MATCH(R1192,ИД_Остановки!$B$3:$B$467,0),1)</f>
        <v>148</v>
      </c>
      <c r="R1192" s="45" t="s">
        <v>88</v>
      </c>
      <c r="S1192" s="20">
        <v>0.26</v>
      </c>
    </row>
    <row r="1193" spans="8:19" x14ac:dyDescent="0.25">
      <c r="H1193">
        <v>7</v>
      </c>
      <c r="I1193">
        <v>636</v>
      </c>
      <c r="J1193">
        <v>115</v>
      </c>
      <c r="K1193" t="b">
        <v>1</v>
      </c>
      <c r="N1193" s="25" t="s">
        <v>532</v>
      </c>
      <c r="O1193" s="2">
        <f>INDEX(Маршруты,MATCH(N1193,$B$3:$B$498,0),1)</f>
        <v>54</v>
      </c>
      <c r="P1193" s="27">
        <v>7</v>
      </c>
      <c r="Q1193" s="2">
        <f>INDEX(Остановки,MATCH(R1193,ИД_Остановки!$B$3:$B$467,0),1)</f>
        <v>161</v>
      </c>
      <c r="R1193" s="45" t="s">
        <v>90</v>
      </c>
      <c r="S1193" s="20">
        <v>0.71</v>
      </c>
    </row>
    <row r="1194" spans="8:19" x14ac:dyDescent="0.25">
      <c r="H1194">
        <v>7</v>
      </c>
      <c r="I1194">
        <v>639</v>
      </c>
      <c r="J1194">
        <v>115</v>
      </c>
      <c r="K1194" t="b">
        <v>1</v>
      </c>
      <c r="N1194" s="25" t="s">
        <v>532</v>
      </c>
      <c r="O1194" s="2">
        <f>INDEX(Маршруты,MATCH(N1194,$B$3:$B$498,0),1)</f>
        <v>54</v>
      </c>
      <c r="P1194" s="28">
        <v>8</v>
      </c>
      <c r="Q1194" s="2">
        <f>INDEX(Остановки,MATCH(R1194,ИД_Остановки!$B$3:$B$467,0),1)</f>
        <v>397</v>
      </c>
      <c r="R1194" s="24" t="s">
        <v>454</v>
      </c>
      <c r="S1194" s="20">
        <v>2.11</v>
      </c>
    </row>
    <row r="1195" spans="8:19" x14ac:dyDescent="0.25">
      <c r="H1195">
        <v>7</v>
      </c>
      <c r="I1195">
        <v>642</v>
      </c>
      <c r="J1195">
        <v>115</v>
      </c>
      <c r="K1195" t="b">
        <v>1</v>
      </c>
      <c r="N1195" s="30" t="s">
        <v>532</v>
      </c>
      <c r="O1195" s="2">
        <f>INDEX(Маршруты,MATCH(N1195,$B$3:$B$498,0),1)</f>
        <v>54</v>
      </c>
      <c r="P1195" s="27">
        <v>9</v>
      </c>
      <c r="Q1195" s="2">
        <f>INDEX(Остановки,MATCH(R1195,ИД_Остановки!$B$3:$B$467,0),1)</f>
        <v>151</v>
      </c>
      <c r="R1195" s="45" t="s">
        <v>91</v>
      </c>
      <c r="S1195" s="20">
        <v>1.1000000000000001</v>
      </c>
    </row>
    <row r="1196" spans="8:19" x14ac:dyDescent="0.25">
      <c r="H1196">
        <v>7</v>
      </c>
      <c r="I1196">
        <v>645</v>
      </c>
      <c r="J1196">
        <v>115</v>
      </c>
      <c r="K1196" t="b">
        <v>1</v>
      </c>
      <c r="N1196" s="25" t="s">
        <v>532</v>
      </c>
      <c r="O1196" s="2">
        <f>INDEX(Маршруты,MATCH(N1196,$B$3:$B$498,0),1)</f>
        <v>54</v>
      </c>
      <c r="P1196" s="27">
        <v>10</v>
      </c>
      <c r="Q1196" s="2">
        <f>INDEX(Остановки,MATCH(R1196,ИД_Остановки!$B$3:$B$467,0),1)</f>
        <v>336</v>
      </c>
      <c r="R1196" s="45" t="s">
        <v>406</v>
      </c>
      <c r="S1196" s="20">
        <v>0.33</v>
      </c>
    </row>
    <row r="1197" spans="8:19" x14ac:dyDescent="0.25">
      <c r="H1197">
        <v>7</v>
      </c>
      <c r="I1197">
        <v>648</v>
      </c>
      <c r="J1197">
        <v>115</v>
      </c>
      <c r="K1197" t="b">
        <v>1</v>
      </c>
      <c r="N1197" s="25" t="s">
        <v>532</v>
      </c>
      <c r="O1197" s="2">
        <f>INDEX(Маршруты,MATCH(N1197,$B$3:$B$498,0),1)</f>
        <v>54</v>
      </c>
      <c r="P1197" s="28">
        <v>11</v>
      </c>
      <c r="Q1197" s="2">
        <f>INDEX(Остановки,MATCH(R1197,ИД_Остановки!$B$3:$B$467,0),1)</f>
        <v>177</v>
      </c>
      <c r="R1197" s="24" t="s">
        <v>92</v>
      </c>
      <c r="S1197" s="20">
        <v>0.69</v>
      </c>
    </row>
    <row r="1198" spans="8:19" x14ac:dyDescent="0.25">
      <c r="H1198">
        <v>7</v>
      </c>
      <c r="I1198">
        <v>651</v>
      </c>
      <c r="J1198">
        <v>115</v>
      </c>
      <c r="K1198" t="b">
        <v>1</v>
      </c>
      <c r="N1198" s="25" t="s">
        <v>532</v>
      </c>
      <c r="O1198" s="2">
        <f>INDEX(Маршруты,MATCH(N1198,$B$3:$B$498,0),1)</f>
        <v>54</v>
      </c>
      <c r="P1198" s="27">
        <v>12</v>
      </c>
      <c r="Q1198" s="2">
        <f>INDEX(Остановки,MATCH(R1198,ИД_Остановки!$B$3:$B$467,0),1)</f>
        <v>444</v>
      </c>
      <c r="R1198" s="45" t="s">
        <v>650</v>
      </c>
      <c r="S1198" s="20">
        <v>0.37</v>
      </c>
    </row>
    <row r="1199" spans="8:19" x14ac:dyDescent="0.25">
      <c r="H1199">
        <v>7</v>
      </c>
      <c r="I1199">
        <v>654</v>
      </c>
      <c r="J1199">
        <v>115</v>
      </c>
      <c r="K1199" t="b">
        <v>1</v>
      </c>
      <c r="N1199" s="30" t="s">
        <v>532</v>
      </c>
      <c r="O1199" s="2">
        <f>INDEX(Маршруты,MATCH(N1199,$B$3:$B$498,0),1)</f>
        <v>54</v>
      </c>
      <c r="P1199" s="27">
        <v>13</v>
      </c>
      <c r="Q1199" s="2">
        <f>INDEX(Остановки,MATCH(R1199,ИД_Остановки!$B$3:$B$467,0),1)</f>
        <v>178</v>
      </c>
      <c r="R1199" s="45" t="s">
        <v>93</v>
      </c>
      <c r="S1199" s="20">
        <v>0.34</v>
      </c>
    </row>
    <row r="1200" spans="8:19" x14ac:dyDescent="0.25">
      <c r="H1200">
        <v>7</v>
      </c>
      <c r="I1200">
        <v>657</v>
      </c>
      <c r="J1200">
        <v>115</v>
      </c>
      <c r="K1200" t="b">
        <v>1</v>
      </c>
      <c r="N1200" s="30" t="s">
        <v>532</v>
      </c>
      <c r="O1200" s="2">
        <f>INDEX(Маршруты,MATCH(N1200,$B$3:$B$498,0),1)</f>
        <v>54</v>
      </c>
      <c r="P1200" s="27">
        <v>14</v>
      </c>
      <c r="Q1200" s="2">
        <f>INDEX(Остановки,MATCH(R1200,ИД_Остановки!$B$3:$B$467,0),1)</f>
        <v>77</v>
      </c>
      <c r="R1200" s="45" t="s">
        <v>276</v>
      </c>
      <c r="S1200" s="20">
        <v>0.59</v>
      </c>
    </row>
    <row r="1201" spans="8:19" x14ac:dyDescent="0.25">
      <c r="H1201">
        <v>7</v>
      </c>
      <c r="I1201">
        <v>660</v>
      </c>
      <c r="J1201">
        <v>115</v>
      </c>
      <c r="K1201" t="b">
        <v>1</v>
      </c>
      <c r="N1201" s="30" t="s">
        <v>532</v>
      </c>
      <c r="O1201" s="2">
        <f>INDEX(Маршруты,MATCH(N1201,$B$3:$B$498,0),1)</f>
        <v>54</v>
      </c>
      <c r="P1201" s="27">
        <v>15</v>
      </c>
      <c r="Q1201" s="2">
        <f>INDEX(Остановки,MATCH(R1201,ИД_Остановки!$B$3:$B$467,0),1)</f>
        <v>78</v>
      </c>
      <c r="R1201" s="45" t="s">
        <v>277</v>
      </c>
      <c r="S1201" s="20">
        <v>0.39</v>
      </c>
    </row>
    <row r="1202" spans="8:19" x14ac:dyDescent="0.25">
      <c r="H1202">
        <v>7</v>
      </c>
      <c r="I1202">
        <v>663</v>
      </c>
      <c r="J1202">
        <v>115</v>
      </c>
      <c r="K1202" t="b">
        <v>1</v>
      </c>
      <c r="N1202" s="25" t="s">
        <v>532</v>
      </c>
      <c r="O1202" s="2">
        <f>INDEX(Маршруты,MATCH(N1202,$B$3:$B$498,0),1)</f>
        <v>54</v>
      </c>
      <c r="P1202" s="27">
        <v>16</v>
      </c>
      <c r="Q1202" s="2">
        <f>INDEX(Остановки,MATCH(R1202,ИД_Остановки!$B$3:$B$467,0),1)</f>
        <v>129</v>
      </c>
      <c r="R1202" s="45" t="s">
        <v>81</v>
      </c>
      <c r="S1202" s="20">
        <v>0.47</v>
      </c>
    </row>
    <row r="1203" spans="8:19" x14ac:dyDescent="0.25">
      <c r="H1203">
        <v>7</v>
      </c>
      <c r="I1203">
        <v>666</v>
      </c>
      <c r="J1203">
        <v>115</v>
      </c>
      <c r="K1203" t="b">
        <v>1</v>
      </c>
      <c r="N1203" s="25" t="s">
        <v>532</v>
      </c>
      <c r="O1203" s="2">
        <f>INDEX(Маршруты,MATCH(N1203,$B$3:$B$498,0),1)</f>
        <v>54</v>
      </c>
      <c r="P1203" s="27">
        <v>17</v>
      </c>
      <c r="Q1203" s="2">
        <f>INDEX(Остановки,MATCH(R1203,ИД_Остановки!$B$3:$B$467,0),1)</f>
        <v>109</v>
      </c>
      <c r="R1203" s="45" t="s">
        <v>293</v>
      </c>
      <c r="S1203" s="20">
        <v>0.44</v>
      </c>
    </row>
    <row r="1204" spans="8:19" x14ac:dyDescent="0.25">
      <c r="H1204">
        <v>7</v>
      </c>
      <c r="I1204">
        <v>669</v>
      </c>
      <c r="J1204">
        <v>115</v>
      </c>
      <c r="K1204" t="b">
        <v>1</v>
      </c>
      <c r="N1204" s="25" t="s">
        <v>532</v>
      </c>
      <c r="O1204" s="2">
        <f>INDEX(Маршруты,MATCH(N1204,$B$3:$B$498,0),1)</f>
        <v>54</v>
      </c>
      <c r="P1204" s="27">
        <v>18</v>
      </c>
      <c r="Q1204" s="2">
        <f>INDEX(Остановки,MATCH(R1204,ИД_Остановки!$B$3:$B$467,0),1)</f>
        <v>72</v>
      </c>
      <c r="R1204" s="45" t="s">
        <v>272</v>
      </c>
      <c r="S1204" s="20">
        <v>0.41</v>
      </c>
    </row>
    <row r="1205" spans="8:19" x14ac:dyDescent="0.25">
      <c r="H1205">
        <v>7</v>
      </c>
      <c r="I1205">
        <v>672</v>
      </c>
      <c r="J1205">
        <v>115</v>
      </c>
      <c r="K1205" t="b">
        <v>1</v>
      </c>
      <c r="N1205" s="25" t="s">
        <v>532</v>
      </c>
      <c r="O1205" s="2">
        <f>INDEX(Маршруты,MATCH(N1205,$B$3:$B$498,0),1)</f>
        <v>54</v>
      </c>
      <c r="P1205" s="27">
        <v>19</v>
      </c>
      <c r="Q1205" s="2">
        <f>INDEX(Остановки,MATCH(R1205,ИД_Остановки!$B$3:$B$467,0),1)</f>
        <v>110</v>
      </c>
      <c r="R1205" s="45" t="s">
        <v>294</v>
      </c>
      <c r="S1205" s="20">
        <v>0.31</v>
      </c>
    </row>
    <row r="1206" spans="8:19" x14ac:dyDescent="0.25">
      <c r="H1206">
        <v>7</v>
      </c>
      <c r="I1206">
        <v>675</v>
      </c>
      <c r="J1206">
        <v>115</v>
      </c>
      <c r="K1206" t="b">
        <v>1</v>
      </c>
      <c r="N1206" s="30" t="s">
        <v>532</v>
      </c>
      <c r="O1206" s="2">
        <f>INDEX(Маршруты,MATCH(N1206,$B$3:$B$498,0),1)</f>
        <v>54</v>
      </c>
      <c r="P1206" s="27">
        <v>20</v>
      </c>
      <c r="Q1206" s="2">
        <f>INDEX(Остановки,MATCH(R1206,ИД_Остановки!$B$3:$B$467,0),1)</f>
        <v>111</v>
      </c>
      <c r="R1206" s="45" t="s">
        <v>73</v>
      </c>
      <c r="S1206" s="20">
        <v>0.54</v>
      </c>
    </row>
    <row r="1207" spans="8:19" x14ac:dyDescent="0.25">
      <c r="H1207">
        <v>7</v>
      </c>
      <c r="I1207">
        <v>678</v>
      </c>
      <c r="J1207">
        <v>115</v>
      </c>
      <c r="K1207" t="b">
        <v>1</v>
      </c>
      <c r="N1207" s="30" t="s">
        <v>532</v>
      </c>
      <c r="O1207" s="2">
        <f>INDEX(Маршруты,MATCH(N1207,$B$3:$B$498,0),1)</f>
        <v>54</v>
      </c>
      <c r="P1207" s="27">
        <v>21</v>
      </c>
      <c r="Q1207" s="2">
        <f>INDEX(Остановки,MATCH(R1207,ИД_Остановки!$B$3:$B$467,0),1)</f>
        <v>112</v>
      </c>
      <c r="R1207" s="45" t="s">
        <v>295</v>
      </c>
      <c r="S1207" s="20">
        <v>0.38</v>
      </c>
    </row>
    <row r="1208" spans="8:19" x14ac:dyDescent="0.25">
      <c r="H1208">
        <v>7</v>
      </c>
      <c r="I1208">
        <v>681</v>
      </c>
      <c r="J1208">
        <v>115</v>
      </c>
      <c r="K1208" t="b">
        <v>1</v>
      </c>
      <c r="N1208" s="25" t="s">
        <v>532</v>
      </c>
      <c r="O1208" s="2">
        <f>INDEX(Маршруты,MATCH(N1208,$B$3:$B$498,0),1)</f>
        <v>54</v>
      </c>
      <c r="P1208" s="27">
        <v>22</v>
      </c>
      <c r="Q1208" s="2">
        <f>INDEX(Остановки,MATCH(R1208,ИД_Остановки!$B$3:$B$467,0),1)</f>
        <v>113</v>
      </c>
      <c r="R1208" s="45" t="s">
        <v>296</v>
      </c>
      <c r="S1208" s="20">
        <v>0.51</v>
      </c>
    </row>
    <row r="1209" spans="8:19" x14ac:dyDescent="0.25">
      <c r="H1209">
        <v>7</v>
      </c>
      <c r="I1209">
        <v>684</v>
      </c>
      <c r="J1209">
        <v>115</v>
      </c>
      <c r="K1209" t="b">
        <v>1</v>
      </c>
      <c r="N1209" s="30" t="s">
        <v>532</v>
      </c>
      <c r="O1209" s="2">
        <f>INDEX(Маршруты,MATCH(N1209,$B$3:$B$498,0),1)</f>
        <v>54</v>
      </c>
      <c r="P1209" s="27">
        <v>23</v>
      </c>
      <c r="Q1209" s="2">
        <f>INDEX(Остановки,MATCH(R1209,ИД_Остановки!$B$3:$B$467,0),1)</f>
        <v>114</v>
      </c>
      <c r="R1209" s="45" t="s">
        <v>297</v>
      </c>
      <c r="S1209" s="20">
        <v>0.51</v>
      </c>
    </row>
    <row r="1210" spans="8:19" x14ac:dyDescent="0.25">
      <c r="H1210">
        <v>7</v>
      </c>
      <c r="I1210">
        <v>687</v>
      </c>
      <c r="J1210">
        <v>115</v>
      </c>
      <c r="K1210" t="b">
        <v>1</v>
      </c>
      <c r="N1210" s="26" t="s">
        <v>532</v>
      </c>
      <c r="O1210" s="2">
        <f>INDEX(Маршруты,MATCH(N1210,$B$3:$B$498,0),1)</f>
        <v>54</v>
      </c>
      <c r="P1210" s="27">
        <v>24</v>
      </c>
      <c r="Q1210" s="2">
        <f>INDEX(Остановки,MATCH(R1210,ИД_Остановки!$B$3:$B$467,0),1)</f>
        <v>115</v>
      </c>
      <c r="R1210" s="45" t="s">
        <v>74</v>
      </c>
      <c r="S1210" s="20">
        <v>0.37</v>
      </c>
    </row>
    <row r="1211" spans="8:19" x14ac:dyDescent="0.25">
      <c r="H1211">
        <v>7</v>
      </c>
      <c r="I1211">
        <v>690</v>
      </c>
      <c r="J1211">
        <v>115</v>
      </c>
      <c r="K1211" t="b">
        <v>1</v>
      </c>
      <c r="N1211" s="26" t="s">
        <v>532</v>
      </c>
      <c r="O1211" s="2">
        <f>INDEX(Маршруты,MATCH(N1211,$B$3:$B$498,0),1)</f>
        <v>54</v>
      </c>
      <c r="P1211" s="27">
        <v>25</v>
      </c>
      <c r="Q1211" s="2">
        <f>INDEX(Остановки,MATCH(R1211,ИД_Остановки!$B$3:$B$467,0),1)</f>
        <v>335</v>
      </c>
      <c r="R1211" s="45" t="s">
        <v>191</v>
      </c>
      <c r="S1211" s="20">
        <v>0.67</v>
      </c>
    </row>
    <row r="1212" spans="8:19" x14ac:dyDescent="0.25">
      <c r="H1212">
        <v>7</v>
      </c>
      <c r="I1212">
        <v>693</v>
      </c>
      <c r="J1212">
        <v>115</v>
      </c>
      <c r="K1212" t="b">
        <v>1</v>
      </c>
      <c r="N1212" s="25" t="s">
        <v>532</v>
      </c>
      <c r="O1212" s="2">
        <f>INDEX(Маршруты,MATCH(N1212,$B$3:$B$498,0),1)</f>
        <v>54</v>
      </c>
      <c r="P1212" s="27">
        <v>26</v>
      </c>
      <c r="Q1212" s="2">
        <f>INDEX(Остановки,MATCH(R1212,ИД_Остановки!$B$3:$B$467,0),1)</f>
        <v>117</v>
      </c>
      <c r="R1212" s="45" t="s">
        <v>298</v>
      </c>
      <c r="S1212" s="20">
        <v>0.41</v>
      </c>
    </row>
    <row r="1213" spans="8:19" x14ac:dyDescent="0.25">
      <c r="H1213">
        <v>7</v>
      </c>
      <c r="I1213">
        <v>696</v>
      </c>
      <c r="J1213">
        <v>115</v>
      </c>
      <c r="K1213" t="b">
        <v>1</v>
      </c>
      <c r="N1213" s="26" t="s">
        <v>532</v>
      </c>
      <c r="O1213" s="2">
        <f>INDEX(Маршруты,MATCH(N1213,$B$3:$B$498,0),1)</f>
        <v>54</v>
      </c>
      <c r="P1213" s="27">
        <v>27</v>
      </c>
      <c r="Q1213" s="2">
        <f>INDEX(Остановки,MATCH(R1213,ИД_Остановки!$B$3:$B$467,0),1)</f>
        <v>118</v>
      </c>
      <c r="R1213" s="45" t="s">
        <v>299</v>
      </c>
      <c r="S1213" s="20">
        <v>0.31</v>
      </c>
    </row>
    <row r="1214" spans="8:19" x14ac:dyDescent="0.25">
      <c r="H1214">
        <v>7</v>
      </c>
      <c r="I1214">
        <v>699</v>
      </c>
      <c r="J1214">
        <v>115</v>
      </c>
      <c r="K1214" t="b">
        <v>1</v>
      </c>
      <c r="N1214" s="25" t="s">
        <v>532</v>
      </c>
      <c r="O1214" s="2">
        <f>INDEX(Маршруты,MATCH(N1214,$B$3:$B$498,0),1)</f>
        <v>54</v>
      </c>
      <c r="P1214" s="27">
        <v>28</v>
      </c>
      <c r="Q1214" s="2">
        <f>INDEX(Остановки,MATCH(R1214,ИД_Остановки!$B$3:$B$467,0),1)</f>
        <v>119</v>
      </c>
      <c r="R1214" s="45" t="s">
        <v>165</v>
      </c>
      <c r="S1214" s="20">
        <v>0.51</v>
      </c>
    </row>
    <row r="1215" spans="8:19" x14ac:dyDescent="0.25">
      <c r="H1215">
        <v>7</v>
      </c>
      <c r="I1215">
        <v>702</v>
      </c>
      <c r="J1215">
        <v>115</v>
      </c>
      <c r="K1215" t="b">
        <v>1</v>
      </c>
      <c r="N1215" s="25" t="s">
        <v>532</v>
      </c>
      <c r="O1215" s="2">
        <f>INDEX(Маршруты,MATCH(N1215,$B$3:$B$498,0),1)</f>
        <v>54</v>
      </c>
      <c r="P1215" s="27">
        <v>29</v>
      </c>
      <c r="Q1215" s="2">
        <f>INDEX(Остановки,MATCH(R1215,ИД_Остановки!$B$3:$B$467,0),1)</f>
        <v>120</v>
      </c>
      <c r="R1215" s="45" t="s">
        <v>300</v>
      </c>
      <c r="S1215" s="20">
        <v>1.1200000000000001</v>
      </c>
    </row>
    <row r="1216" spans="8:19" x14ac:dyDescent="0.25">
      <c r="H1216">
        <v>7</v>
      </c>
      <c r="I1216">
        <v>705</v>
      </c>
      <c r="J1216">
        <v>115</v>
      </c>
      <c r="K1216" t="b">
        <v>1</v>
      </c>
      <c r="N1216" s="30" t="s">
        <v>532</v>
      </c>
      <c r="O1216" s="2">
        <f>INDEX(Маршруты,MATCH(N1216,$B$3:$B$498,0),1)</f>
        <v>54</v>
      </c>
      <c r="P1216" s="27">
        <v>30</v>
      </c>
      <c r="Q1216" s="2">
        <f>INDEX(Остановки,MATCH(R1216,ИД_Остановки!$B$3:$B$467,0),1)</f>
        <v>121</v>
      </c>
      <c r="R1216" s="45" t="s">
        <v>76</v>
      </c>
      <c r="S1216" s="20">
        <v>0.31</v>
      </c>
    </row>
    <row r="1217" spans="8:19" x14ac:dyDescent="0.25">
      <c r="H1217">
        <v>7</v>
      </c>
      <c r="I1217">
        <v>708</v>
      </c>
      <c r="J1217">
        <v>115</v>
      </c>
      <c r="K1217" t="b">
        <v>1</v>
      </c>
      <c r="N1217" s="25" t="s">
        <v>532</v>
      </c>
      <c r="O1217" s="2">
        <f>INDEX(Маршруты,MATCH(N1217,$B$3:$B$498,0),1)</f>
        <v>54</v>
      </c>
      <c r="P1217" s="27">
        <v>31</v>
      </c>
      <c r="Q1217" s="2">
        <f>INDEX(Остановки,MATCH(R1217,ИД_Остановки!$B$3:$B$467,0),1)</f>
        <v>122</v>
      </c>
      <c r="R1217" s="45" t="s">
        <v>77</v>
      </c>
      <c r="S1217" s="20">
        <v>0.32</v>
      </c>
    </row>
    <row r="1218" spans="8:19" x14ac:dyDescent="0.25">
      <c r="H1218">
        <v>7</v>
      </c>
      <c r="I1218">
        <v>711</v>
      </c>
      <c r="J1218">
        <v>115</v>
      </c>
      <c r="K1218" t="b">
        <v>1</v>
      </c>
      <c r="N1218" s="26" t="s">
        <v>532</v>
      </c>
      <c r="O1218" s="2">
        <f>INDEX(Маршруты,MATCH(N1218,$B$3:$B$498,0),1)</f>
        <v>54</v>
      </c>
      <c r="P1218" s="27">
        <v>32</v>
      </c>
      <c r="Q1218" s="2">
        <f>INDEX(Остановки,MATCH(R1218,ИД_Остановки!$B$3:$B$467,0),1)</f>
        <v>96</v>
      </c>
      <c r="R1218" s="45" t="s">
        <v>285</v>
      </c>
      <c r="S1218" s="20">
        <v>0.52</v>
      </c>
    </row>
    <row r="1219" spans="8:19" x14ac:dyDescent="0.25">
      <c r="H1219">
        <v>7</v>
      </c>
      <c r="I1219">
        <v>714</v>
      </c>
      <c r="J1219">
        <v>115</v>
      </c>
      <c r="K1219" t="b">
        <v>1</v>
      </c>
      <c r="N1219" s="25" t="s">
        <v>532</v>
      </c>
      <c r="O1219" s="2">
        <f>INDEX(Маршруты,MATCH(N1219,$B$3:$B$498,0),1)</f>
        <v>54</v>
      </c>
      <c r="P1219" s="27">
        <v>33</v>
      </c>
      <c r="Q1219" s="2">
        <f>INDEX(Остановки,MATCH(R1219,ИД_Остановки!$B$3:$B$467,0),1)</f>
        <v>123</v>
      </c>
      <c r="R1219" s="24" t="s">
        <v>301</v>
      </c>
      <c r="S1219" s="20">
        <v>0.6</v>
      </c>
    </row>
    <row r="1220" spans="8:19" x14ac:dyDescent="0.25">
      <c r="H1220">
        <v>7</v>
      </c>
      <c r="I1220">
        <v>717</v>
      </c>
      <c r="J1220">
        <v>115</v>
      </c>
      <c r="K1220" t="b">
        <v>1</v>
      </c>
      <c r="N1220" s="25" t="s">
        <v>532</v>
      </c>
      <c r="O1220" s="2">
        <f>INDEX(Маршруты,MATCH(N1220,$B$3:$B$498,0),1)</f>
        <v>54</v>
      </c>
      <c r="P1220" s="27">
        <v>34</v>
      </c>
      <c r="Q1220" s="2">
        <f>INDEX(Остановки,MATCH(R1220,ИД_Остановки!$B$3:$B$467,0),1)</f>
        <v>154</v>
      </c>
      <c r="R1220" s="45" t="s">
        <v>94</v>
      </c>
      <c r="S1220" s="20">
        <v>0.74</v>
      </c>
    </row>
    <row r="1221" spans="8:19" x14ac:dyDescent="0.25">
      <c r="H1221">
        <v>7</v>
      </c>
      <c r="I1221">
        <v>720</v>
      </c>
      <c r="J1221">
        <v>115</v>
      </c>
      <c r="K1221" t="b">
        <v>1</v>
      </c>
      <c r="N1221" s="25" t="s">
        <v>532</v>
      </c>
      <c r="O1221" s="2">
        <f>INDEX(Маршруты,MATCH(N1221,$B$3:$B$498,0),1)</f>
        <v>54</v>
      </c>
      <c r="P1221" s="27">
        <v>35</v>
      </c>
      <c r="Q1221" s="2">
        <f>INDEX(Остановки,MATCH(R1221,ИД_Остановки!$B$3:$B$467,0),1)</f>
        <v>365</v>
      </c>
      <c r="R1221" s="45" t="s">
        <v>425</v>
      </c>
      <c r="S1221" s="20">
        <v>1.43</v>
      </c>
    </row>
    <row r="1222" spans="8:19" x14ac:dyDescent="0.25">
      <c r="H1222">
        <v>7</v>
      </c>
      <c r="I1222">
        <v>723</v>
      </c>
      <c r="J1222">
        <v>115</v>
      </c>
      <c r="K1222" t="b">
        <v>1</v>
      </c>
      <c r="N1222" s="30" t="s">
        <v>532</v>
      </c>
      <c r="O1222" s="2">
        <f>INDEX(Маршруты,MATCH(N1222,$B$3:$B$498,0),1)</f>
        <v>54</v>
      </c>
      <c r="P1222" s="27">
        <v>36</v>
      </c>
      <c r="Q1222" s="2">
        <f>INDEX(Остановки,MATCH(R1222,ИД_Остановки!$B$3:$B$467,0),1)</f>
        <v>155</v>
      </c>
      <c r="R1222" s="45" t="s">
        <v>320</v>
      </c>
      <c r="S1222" s="20">
        <v>0.23</v>
      </c>
    </row>
    <row r="1223" spans="8:19" x14ac:dyDescent="0.25">
      <c r="H1223">
        <v>7</v>
      </c>
      <c r="I1223">
        <v>726</v>
      </c>
      <c r="J1223">
        <v>115</v>
      </c>
      <c r="K1223" t="b">
        <v>1</v>
      </c>
      <c r="N1223" s="30" t="s">
        <v>532</v>
      </c>
      <c r="O1223" s="2">
        <f>INDEX(Маршруты,MATCH(N1223,$B$3:$B$498,0),1)</f>
        <v>54</v>
      </c>
      <c r="P1223" s="27">
        <v>37</v>
      </c>
      <c r="Q1223" s="2">
        <f>INDEX(Остановки,MATCH(R1223,ИД_Остановки!$B$3:$B$467,0),1)</f>
        <v>157</v>
      </c>
      <c r="R1223" s="45" t="s">
        <v>95</v>
      </c>
      <c r="S1223" s="20">
        <v>1.06</v>
      </c>
    </row>
    <row r="1224" spans="8:19" x14ac:dyDescent="0.25">
      <c r="H1224">
        <v>7</v>
      </c>
      <c r="I1224">
        <v>729</v>
      </c>
      <c r="J1224">
        <v>115</v>
      </c>
      <c r="K1224" t="b">
        <v>1</v>
      </c>
      <c r="N1224" s="30" t="s">
        <v>533</v>
      </c>
      <c r="O1224" s="2">
        <f>INDEX(Маршруты,MATCH(N1224,$B$3:$B$498,0),1)</f>
        <v>55</v>
      </c>
      <c r="P1224" s="27">
        <v>1</v>
      </c>
      <c r="Q1224" s="2">
        <f>INDEX(Остановки,MATCH(R1224,ИД_Остановки!$B$3:$B$467,0),1)</f>
        <v>157</v>
      </c>
      <c r="R1224" s="45" t="s">
        <v>95</v>
      </c>
      <c r="S1224" s="20"/>
    </row>
    <row r="1225" spans="8:19" x14ac:dyDescent="0.25">
      <c r="H1225">
        <v>7</v>
      </c>
      <c r="I1225">
        <v>732</v>
      </c>
      <c r="J1225">
        <v>115</v>
      </c>
      <c r="K1225" t="b">
        <v>1</v>
      </c>
      <c r="N1225" s="30" t="s">
        <v>533</v>
      </c>
      <c r="O1225" s="2">
        <f>INDEX(Маршруты,MATCH(N1225,$B$3:$B$498,0),1)</f>
        <v>55</v>
      </c>
      <c r="P1225" s="27">
        <v>2</v>
      </c>
      <c r="Q1225" s="2">
        <f>INDEX(Остановки,MATCH(R1225,ИД_Остановки!$B$3:$B$467,0),1)</f>
        <v>155</v>
      </c>
      <c r="R1225" s="45" t="s">
        <v>320</v>
      </c>
      <c r="S1225" s="20">
        <v>1.06</v>
      </c>
    </row>
    <row r="1226" spans="8:19" x14ac:dyDescent="0.25">
      <c r="H1226">
        <v>7</v>
      </c>
      <c r="I1226">
        <v>735</v>
      </c>
      <c r="J1226">
        <v>115</v>
      </c>
      <c r="K1226" t="b">
        <v>1</v>
      </c>
      <c r="N1226" s="30" t="s">
        <v>533</v>
      </c>
      <c r="O1226" s="2">
        <f>INDEX(Маршруты,MATCH(N1226,$B$3:$B$498,0),1)</f>
        <v>55</v>
      </c>
      <c r="P1226" s="27">
        <v>3</v>
      </c>
      <c r="Q1226" s="2">
        <f>INDEX(Остановки,MATCH(R1226,ИД_Остановки!$B$3:$B$467,0),1)</f>
        <v>365</v>
      </c>
      <c r="R1226" s="45" t="s">
        <v>425</v>
      </c>
      <c r="S1226" s="20">
        <v>0.23</v>
      </c>
    </row>
    <row r="1227" spans="8:19" x14ac:dyDescent="0.25">
      <c r="H1227">
        <v>7</v>
      </c>
      <c r="I1227">
        <v>738</v>
      </c>
      <c r="J1227">
        <v>115</v>
      </c>
      <c r="K1227" t="b">
        <v>1</v>
      </c>
      <c r="N1227" s="25" t="s">
        <v>533</v>
      </c>
      <c r="O1227" s="2">
        <f>INDEX(Маршруты,MATCH(N1227,$B$3:$B$498,0),1)</f>
        <v>55</v>
      </c>
      <c r="P1227" s="27">
        <v>4</v>
      </c>
      <c r="Q1227" s="2">
        <f>INDEX(Остановки,MATCH(R1227,ИД_Остановки!$B$3:$B$467,0),1)</f>
        <v>154</v>
      </c>
      <c r="R1227" s="24" t="s">
        <v>94</v>
      </c>
      <c r="S1227" s="20">
        <v>1.43</v>
      </c>
    </row>
    <row r="1228" spans="8:19" x14ac:dyDescent="0.25">
      <c r="H1228">
        <v>7</v>
      </c>
      <c r="I1228">
        <v>741</v>
      </c>
      <c r="J1228">
        <v>115</v>
      </c>
      <c r="K1228" t="b">
        <v>1</v>
      </c>
      <c r="N1228" s="26" t="s">
        <v>533</v>
      </c>
      <c r="O1228" s="2">
        <f>INDEX(Маршруты,MATCH(N1228,$B$3:$B$498,0),1)</f>
        <v>55</v>
      </c>
      <c r="P1228" s="27">
        <v>5</v>
      </c>
      <c r="Q1228" s="2">
        <f>INDEX(Остановки,MATCH(R1228,ИД_Остановки!$B$3:$B$467,0),1)</f>
        <v>123</v>
      </c>
      <c r="R1228" s="45" t="s">
        <v>301</v>
      </c>
      <c r="S1228" s="20">
        <v>0.74</v>
      </c>
    </row>
    <row r="1229" spans="8:19" x14ac:dyDescent="0.25">
      <c r="H1229">
        <v>7</v>
      </c>
      <c r="I1229">
        <v>744</v>
      </c>
      <c r="J1229">
        <v>115</v>
      </c>
      <c r="K1229" t="b">
        <v>1</v>
      </c>
      <c r="N1229" s="30" t="s">
        <v>533</v>
      </c>
      <c r="O1229" s="2">
        <f>INDEX(Маршруты,MATCH(N1229,$B$3:$B$498,0),1)</f>
        <v>55</v>
      </c>
      <c r="P1229" s="27">
        <v>6</v>
      </c>
      <c r="Q1229" s="2">
        <f>INDEX(Остановки,MATCH(R1229,ИД_Остановки!$B$3:$B$467,0),1)</f>
        <v>96</v>
      </c>
      <c r="R1229" s="45" t="s">
        <v>285</v>
      </c>
      <c r="S1229" s="20">
        <v>0.6</v>
      </c>
    </row>
    <row r="1230" spans="8:19" x14ac:dyDescent="0.25">
      <c r="H1230">
        <v>7</v>
      </c>
      <c r="I1230">
        <v>747</v>
      </c>
      <c r="J1230">
        <v>115</v>
      </c>
      <c r="K1230" t="b">
        <v>1</v>
      </c>
      <c r="N1230" s="25" t="s">
        <v>533</v>
      </c>
      <c r="O1230" s="2">
        <f>INDEX(Маршруты,MATCH(N1230,$B$3:$B$498,0),1)</f>
        <v>55</v>
      </c>
      <c r="P1230" s="27">
        <v>7</v>
      </c>
      <c r="Q1230" s="2">
        <f>INDEX(Остановки,MATCH(R1230,ИД_Остановки!$B$3:$B$467,0),1)</f>
        <v>122</v>
      </c>
      <c r="R1230" s="45" t="s">
        <v>77</v>
      </c>
      <c r="S1230" s="20">
        <v>0.52</v>
      </c>
    </row>
    <row r="1231" spans="8:19" x14ac:dyDescent="0.25">
      <c r="H1231">
        <v>7</v>
      </c>
      <c r="I1231">
        <v>750</v>
      </c>
      <c r="J1231">
        <v>115</v>
      </c>
      <c r="K1231" t="b">
        <v>1</v>
      </c>
      <c r="N1231" s="25" t="s">
        <v>533</v>
      </c>
      <c r="O1231" s="2">
        <f>INDEX(Маршруты,MATCH(N1231,$B$3:$B$498,0),1)</f>
        <v>55</v>
      </c>
      <c r="P1231" s="27">
        <v>8</v>
      </c>
      <c r="Q1231" s="2">
        <f>INDEX(Остановки,MATCH(R1231,ИД_Остановки!$B$3:$B$467,0),1)</f>
        <v>121</v>
      </c>
      <c r="R1231" s="45" t="s">
        <v>76</v>
      </c>
      <c r="S1231" s="20">
        <v>0.32</v>
      </c>
    </row>
    <row r="1232" spans="8:19" x14ac:dyDescent="0.25">
      <c r="H1232">
        <v>7</v>
      </c>
      <c r="I1232">
        <v>753</v>
      </c>
      <c r="J1232">
        <v>115</v>
      </c>
      <c r="K1232" t="b">
        <v>1</v>
      </c>
      <c r="N1232" s="24" t="s">
        <v>533</v>
      </c>
      <c r="O1232" s="2">
        <f>INDEX(Маршруты,MATCH(N1232,$B$3:$B$498,0),1)</f>
        <v>55</v>
      </c>
      <c r="P1232" s="27">
        <v>9</v>
      </c>
      <c r="Q1232" s="2">
        <f>INDEX(Остановки,MATCH(R1232,ИД_Остановки!$B$3:$B$467,0),1)</f>
        <v>120</v>
      </c>
      <c r="R1232" s="45" t="s">
        <v>300</v>
      </c>
      <c r="S1232" s="20">
        <v>0.31</v>
      </c>
    </row>
    <row r="1233" spans="8:19" x14ac:dyDescent="0.25">
      <c r="H1233">
        <v>7</v>
      </c>
      <c r="I1233">
        <v>756</v>
      </c>
      <c r="J1233">
        <v>115</v>
      </c>
      <c r="K1233" t="b">
        <v>1</v>
      </c>
      <c r="N1233" s="25" t="s">
        <v>533</v>
      </c>
      <c r="O1233" s="2">
        <f>INDEX(Маршруты,MATCH(N1233,$B$3:$B$498,0),1)</f>
        <v>55</v>
      </c>
      <c r="P1233" s="27">
        <v>10</v>
      </c>
      <c r="Q1233" s="2">
        <f>INDEX(Остановки,MATCH(R1233,ИД_Остановки!$B$3:$B$467,0),1)</f>
        <v>119</v>
      </c>
      <c r="R1233" s="45" t="s">
        <v>165</v>
      </c>
      <c r="S1233" s="20">
        <v>1.1200000000000001</v>
      </c>
    </row>
    <row r="1234" spans="8:19" x14ac:dyDescent="0.25">
      <c r="H1234">
        <v>7</v>
      </c>
      <c r="I1234">
        <v>759</v>
      </c>
      <c r="J1234">
        <v>115</v>
      </c>
      <c r="K1234" t="b">
        <v>1</v>
      </c>
      <c r="N1234" s="30" t="s">
        <v>533</v>
      </c>
      <c r="O1234" s="2">
        <f>INDEX(Маршруты,MATCH(N1234,$B$3:$B$498,0),1)</f>
        <v>55</v>
      </c>
      <c r="P1234" s="28">
        <v>11</v>
      </c>
      <c r="Q1234" s="2">
        <f>INDEX(Остановки,MATCH(R1234,ИД_Остановки!$B$3:$B$467,0),1)</f>
        <v>118</v>
      </c>
      <c r="R1234" s="24" t="s">
        <v>299</v>
      </c>
      <c r="S1234" s="20">
        <v>0.51</v>
      </c>
    </row>
    <row r="1235" spans="8:19" x14ac:dyDescent="0.25">
      <c r="H1235">
        <v>7</v>
      </c>
      <c r="I1235">
        <v>762</v>
      </c>
      <c r="J1235">
        <v>115</v>
      </c>
      <c r="K1235" t="b">
        <v>1</v>
      </c>
      <c r="N1235" s="30" t="s">
        <v>533</v>
      </c>
      <c r="O1235" s="2">
        <f>INDEX(Маршруты,MATCH(N1235,$B$3:$B$498,0),1)</f>
        <v>55</v>
      </c>
      <c r="P1235" s="27">
        <v>12</v>
      </c>
      <c r="Q1235" s="2">
        <f>INDEX(Остановки,MATCH(R1235,ИД_Остановки!$B$3:$B$467,0),1)</f>
        <v>117</v>
      </c>
      <c r="R1235" s="45" t="s">
        <v>298</v>
      </c>
      <c r="S1235" s="20">
        <v>0.31</v>
      </c>
    </row>
    <row r="1236" spans="8:19" x14ac:dyDescent="0.25">
      <c r="H1236">
        <v>7</v>
      </c>
      <c r="I1236">
        <v>765</v>
      </c>
      <c r="J1236">
        <v>115</v>
      </c>
      <c r="K1236" t="b">
        <v>1</v>
      </c>
      <c r="N1236" s="30" t="s">
        <v>533</v>
      </c>
      <c r="O1236" s="2">
        <f>INDEX(Маршруты,MATCH(N1236,$B$3:$B$498,0),1)</f>
        <v>55</v>
      </c>
      <c r="P1236" s="27">
        <v>13</v>
      </c>
      <c r="Q1236" s="2">
        <f>INDEX(Остановки,MATCH(R1236,ИД_Остановки!$B$3:$B$467,0),1)</f>
        <v>335</v>
      </c>
      <c r="R1236" s="45" t="s">
        <v>191</v>
      </c>
      <c r="S1236" s="20">
        <v>0.41</v>
      </c>
    </row>
    <row r="1237" spans="8:19" x14ac:dyDescent="0.25">
      <c r="H1237">
        <v>7</v>
      </c>
      <c r="I1237">
        <v>768</v>
      </c>
      <c r="J1237">
        <v>115</v>
      </c>
      <c r="K1237" t="b">
        <v>1</v>
      </c>
      <c r="N1237" s="25" t="s">
        <v>533</v>
      </c>
      <c r="O1237" s="2">
        <f>INDEX(Маршруты,MATCH(N1237,$B$3:$B$498,0),1)</f>
        <v>55</v>
      </c>
      <c r="P1237" s="27">
        <v>14</v>
      </c>
      <c r="Q1237" s="2">
        <f>INDEX(Остановки,MATCH(R1237,ИД_Остановки!$B$3:$B$467,0),1)</f>
        <v>115</v>
      </c>
      <c r="R1237" s="45" t="s">
        <v>74</v>
      </c>
      <c r="S1237" s="20">
        <v>0.67</v>
      </c>
    </row>
    <row r="1238" spans="8:19" x14ac:dyDescent="0.25">
      <c r="H1238">
        <v>7</v>
      </c>
      <c r="I1238">
        <v>771</v>
      </c>
      <c r="J1238">
        <v>115</v>
      </c>
      <c r="K1238" t="b">
        <v>1</v>
      </c>
      <c r="N1238" s="30" t="s">
        <v>533</v>
      </c>
      <c r="O1238" s="2">
        <f>INDEX(Маршруты,MATCH(N1238,$B$3:$B$498,0),1)</f>
        <v>55</v>
      </c>
      <c r="P1238" s="27">
        <v>15</v>
      </c>
      <c r="Q1238" s="2">
        <f>INDEX(Остановки,MATCH(R1238,ИД_Остановки!$B$3:$B$467,0),1)</f>
        <v>114</v>
      </c>
      <c r="R1238" s="45" t="s">
        <v>297</v>
      </c>
      <c r="S1238" s="20">
        <v>0.37</v>
      </c>
    </row>
    <row r="1239" spans="8:19" x14ac:dyDescent="0.25">
      <c r="H1239">
        <v>7</v>
      </c>
      <c r="I1239">
        <v>774</v>
      </c>
      <c r="J1239">
        <v>115</v>
      </c>
      <c r="K1239" t="b">
        <v>1</v>
      </c>
      <c r="N1239" s="26" t="s">
        <v>533</v>
      </c>
      <c r="O1239" s="2">
        <f>INDEX(Маршруты,MATCH(N1239,$B$3:$B$498,0),1)</f>
        <v>55</v>
      </c>
      <c r="P1239" s="27">
        <v>16</v>
      </c>
      <c r="Q1239" s="2">
        <f>INDEX(Остановки,MATCH(R1239,ИД_Остановки!$B$3:$B$467,0),1)</f>
        <v>113</v>
      </c>
      <c r="R1239" s="45" t="s">
        <v>296</v>
      </c>
      <c r="S1239" s="20">
        <v>0.51</v>
      </c>
    </row>
    <row r="1240" spans="8:19" x14ac:dyDescent="0.25">
      <c r="H1240">
        <v>7</v>
      </c>
      <c r="I1240">
        <v>777</v>
      </c>
      <c r="J1240">
        <v>115</v>
      </c>
      <c r="K1240" t="b">
        <v>1</v>
      </c>
      <c r="N1240" s="25" t="s">
        <v>533</v>
      </c>
      <c r="O1240" s="2">
        <f>INDEX(Маршруты,MATCH(N1240,$B$3:$B$498,0),1)</f>
        <v>55</v>
      </c>
      <c r="P1240" s="28">
        <v>17</v>
      </c>
      <c r="Q1240" s="2">
        <f>INDEX(Остановки,MATCH(R1240,ИД_Остановки!$B$3:$B$467,0),1)</f>
        <v>112</v>
      </c>
      <c r="R1240" s="24" t="s">
        <v>295</v>
      </c>
      <c r="S1240" s="20">
        <v>0.51</v>
      </c>
    </row>
    <row r="1241" spans="8:19" x14ac:dyDescent="0.25">
      <c r="H1241">
        <v>7</v>
      </c>
      <c r="I1241">
        <v>780</v>
      </c>
      <c r="J1241">
        <v>115</v>
      </c>
      <c r="K1241" t="b">
        <v>1</v>
      </c>
      <c r="N1241" s="25" t="s">
        <v>533</v>
      </c>
      <c r="O1241" s="2">
        <f>INDEX(Маршруты,MATCH(N1241,$B$3:$B$498,0),1)</f>
        <v>55</v>
      </c>
      <c r="P1241" s="27">
        <v>18</v>
      </c>
      <c r="Q1241" s="2">
        <f>INDEX(Остановки,MATCH(R1241,ИД_Остановки!$B$3:$B$467,0),1)</f>
        <v>111</v>
      </c>
      <c r="R1241" s="45" t="s">
        <v>73</v>
      </c>
      <c r="S1241" s="20">
        <v>0.38</v>
      </c>
    </row>
    <row r="1242" spans="8:19" x14ac:dyDescent="0.25">
      <c r="H1242">
        <v>7</v>
      </c>
      <c r="I1242">
        <v>783</v>
      </c>
      <c r="J1242">
        <v>115</v>
      </c>
      <c r="K1242" t="b">
        <v>1</v>
      </c>
      <c r="N1242" s="26" t="s">
        <v>533</v>
      </c>
      <c r="O1242" s="2">
        <f>INDEX(Маршруты,MATCH(N1242,$B$3:$B$498,0),1)</f>
        <v>55</v>
      </c>
      <c r="P1242" s="27">
        <v>19</v>
      </c>
      <c r="Q1242" s="2">
        <f>INDEX(Остановки,MATCH(R1242,ИД_Остановки!$B$3:$B$467,0),1)</f>
        <v>110</v>
      </c>
      <c r="R1242" s="45" t="s">
        <v>294</v>
      </c>
      <c r="S1242" s="20">
        <v>0.54</v>
      </c>
    </row>
    <row r="1243" spans="8:19" x14ac:dyDescent="0.25">
      <c r="H1243">
        <v>7</v>
      </c>
      <c r="I1243">
        <v>786</v>
      </c>
      <c r="J1243">
        <v>115</v>
      </c>
      <c r="K1243" t="b">
        <v>1</v>
      </c>
      <c r="N1243" s="30" t="s">
        <v>533</v>
      </c>
      <c r="O1243" s="2">
        <f>INDEX(Маршруты,MATCH(N1243,$B$3:$B$498,0),1)</f>
        <v>55</v>
      </c>
      <c r="P1243" s="27">
        <v>20</v>
      </c>
      <c r="Q1243" s="2">
        <f>INDEX(Остановки,MATCH(R1243,ИД_Остановки!$B$3:$B$467,0),1)</f>
        <v>72</v>
      </c>
      <c r="R1243" s="45" t="s">
        <v>272</v>
      </c>
      <c r="S1243" s="20">
        <v>0.31</v>
      </c>
    </row>
    <row r="1244" spans="8:19" x14ac:dyDescent="0.25">
      <c r="H1244">
        <v>7</v>
      </c>
      <c r="I1244">
        <v>789</v>
      </c>
      <c r="J1244">
        <v>115</v>
      </c>
      <c r="K1244" t="b">
        <v>1</v>
      </c>
      <c r="N1244" s="30" t="s">
        <v>533</v>
      </c>
      <c r="O1244" s="2">
        <f>INDEX(Маршруты,MATCH(N1244,$B$3:$B$498,0),1)</f>
        <v>55</v>
      </c>
      <c r="P1244" s="27">
        <v>21</v>
      </c>
      <c r="Q1244" s="2">
        <f>INDEX(Остановки,MATCH(R1244,ИД_Остановки!$B$3:$B$467,0),1)</f>
        <v>109</v>
      </c>
      <c r="R1244" s="45" t="s">
        <v>293</v>
      </c>
      <c r="S1244" s="20">
        <v>0.41</v>
      </c>
    </row>
    <row r="1245" spans="8:19" x14ac:dyDescent="0.25">
      <c r="H1245">
        <v>7</v>
      </c>
      <c r="I1245">
        <v>792</v>
      </c>
      <c r="J1245">
        <v>115</v>
      </c>
      <c r="K1245" t="b">
        <v>1</v>
      </c>
      <c r="N1245" s="25" t="s">
        <v>533</v>
      </c>
      <c r="O1245" s="2">
        <f>INDEX(Маршруты,MATCH(N1245,$B$3:$B$498,0),1)</f>
        <v>55</v>
      </c>
      <c r="P1245" s="27">
        <v>22</v>
      </c>
      <c r="Q1245" s="2">
        <f>INDEX(Остановки,MATCH(R1245,ИД_Остановки!$B$3:$B$467,0),1)</f>
        <v>129</v>
      </c>
      <c r="R1245" s="45" t="s">
        <v>81</v>
      </c>
      <c r="S1245" s="20">
        <v>0.44</v>
      </c>
    </row>
    <row r="1246" spans="8:19" x14ac:dyDescent="0.25">
      <c r="H1246">
        <v>7</v>
      </c>
      <c r="I1246">
        <v>795</v>
      </c>
      <c r="J1246">
        <v>115</v>
      </c>
      <c r="K1246" t="b">
        <v>1</v>
      </c>
      <c r="N1246" s="25" t="s">
        <v>533</v>
      </c>
      <c r="O1246" s="2">
        <f>INDEX(Маршруты,MATCH(N1246,$B$3:$B$498,0),1)</f>
        <v>55</v>
      </c>
      <c r="P1246" s="27">
        <v>23</v>
      </c>
      <c r="Q1246" s="2">
        <f>INDEX(Остановки,MATCH(R1246,ИД_Остановки!$B$3:$B$467,0),1)</f>
        <v>78</v>
      </c>
      <c r="R1246" s="45" t="s">
        <v>277</v>
      </c>
      <c r="S1246" s="20">
        <v>0.47</v>
      </c>
    </row>
    <row r="1247" spans="8:19" x14ac:dyDescent="0.25">
      <c r="H1247">
        <v>7</v>
      </c>
      <c r="I1247">
        <v>798</v>
      </c>
      <c r="J1247">
        <v>115</v>
      </c>
      <c r="K1247" t="b">
        <v>1</v>
      </c>
      <c r="N1247" s="30" t="s">
        <v>533</v>
      </c>
      <c r="O1247" s="2">
        <f>INDEX(Маршруты,MATCH(N1247,$B$3:$B$498,0),1)</f>
        <v>55</v>
      </c>
      <c r="P1247" s="27">
        <v>24</v>
      </c>
      <c r="Q1247" s="2">
        <f>INDEX(Остановки,MATCH(R1247,ИД_Остановки!$B$3:$B$467,0),1)</f>
        <v>77</v>
      </c>
      <c r="R1247" s="45" t="s">
        <v>276</v>
      </c>
      <c r="S1247" s="20">
        <v>0.39</v>
      </c>
    </row>
    <row r="1248" spans="8:19" x14ac:dyDescent="0.25">
      <c r="H1248">
        <v>7</v>
      </c>
      <c r="I1248">
        <v>801</v>
      </c>
      <c r="J1248">
        <v>115</v>
      </c>
      <c r="K1248" t="b">
        <v>1</v>
      </c>
      <c r="N1248" s="25" t="s">
        <v>533</v>
      </c>
      <c r="O1248" s="2">
        <f>INDEX(Маршруты,MATCH(N1248,$B$3:$B$498,0),1)</f>
        <v>55</v>
      </c>
      <c r="P1248" s="27">
        <v>25</v>
      </c>
      <c r="Q1248" s="2">
        <f>INDEX(Остановки,MATCH(R1248,ИД_Остановки!$B$3:$B$467,0),1)</f>
        <v>178</v>
      </c>
      <c r="R1248" s="45" t="s">
        <v>93</v>
      </c>
      <c r="S1248" s="20">
        <v>0.59</v>
      </c>
    </row>
    <row r="1249" spans="8:19" x14ac:dyDescent="0.25">
      <c r="H1249">
        <v>7</v>
      </c>
      <c r="I1249">
        <v>804</v>
      </c>
      <c r="J1249">
        <v>115</v>
      </c>
      <c r="K1249" t="b">
        <v>1</v>
      </c>
      <c r="N1249" s="30" t="s">
        <v>533</v>
      </c>
      <c r="O1249" s="2">
        <f>INDEX(Маршруты,MATCH(N1249,$B$3:$B$498,0),1)</f>
        <v>55</v>
      </c>
      <c r="P1249" s="27">
        <v>26</v>
      </c>
      <c r="Q1249" s="2">
        <f>INDEX(Остановки,MATCH(R1249,ИД_Остановки!$B$3:$B$467,0),1)</f>
        <v>444</v>
      </c>
      <c r="R1249" s="45" t="s">
        <v>650</v>
      </c>
      <c r="S1249" s="20">
        <v>0.34</v>
      </c>
    </row>
    <row r="1250" spans="8:19" x14ac:dyDescent="0.25">
      <c r="H1250">
        <v>7</v>
      </c>
      <c r="I1250">
        <v>807</v>
      </c>
      <c r="J1250">
        <v>115</v>
      </c>
      <c r="K1250" t="b">
        <v>1</v>
      </c>
      <c r="N1250" s="30" t="s">
        <v>533</v>
      </c>
      <c r="O1250" s="2">
        <f>INDEX(Маршруты,MATCH(N1250,$B$3:$B$498,0),1)</f>
        <v>55</v>
      </c>
      <c r="P1250" s="27">
        <v>27</v>
      </c>
      <c r="Q1250" s="2">
        <f>INDEX(Остановки,MATCH(R1250,ИД_Остановки!$B$3:$B$467,0),1)</f>
        <v>177</v>
      </c>
      <c r="R1250" s="45" t="s">
        <v>92</v>
      </c>
      <c r="S1250" s="20">
        <v>0.37</v>
      </c>
    </row>
    <row r="1251" spans="8:19" x14ac:dyDescent="0.25">
      <c r="H1251">
        <v>7</v>
      </c>
      <c r="I1251">
        <v>810</v>
      </c>
      <c r="J1251">
        <v>115</v>
      </c>
      <c r="K1251" t="b">
        <v>1</v>
      </c>
      <c r="N1251" s="30" t="s">
        <v>533</v>
      </c>
      <c r="O1251" s="2">
        <f>INDEX(Маршруты,MATCH(N1251,$B$3:$B$498,0),1)</f>
        <v>55</v>
      </c>
      <c r="P1251" s="27">
        <v>28</v>
      </c>
      <c r="Q1251" s="2">
        <f>INDEX(Остановки,MATCH(R1251,ИД_Остановки!$B$3:$B$467,0),1)</f>
        <v>336</v>
      </c>
      <c r="R1251" s="45" t="s">
        <v>406</v>
      </c>
      <c r="S1251" s="20">
        <v>0.69</v>
      </c>
    </row>
    <row r="1252" spans="8:19" x14ac:dyDescent="0.25">
      <c r="H1252">
        <v>7</v>
      </c>
      <c r="I1252">
        <v>813</v>
      </c>
      <c r="J1252">
        <v>115</v>
      </c>
      <c r="K1252" t="b">
        <v>1</v>
      </c>
      <c r="N1252" s="26" t="s">
        <v>533</v>
      </c>
      <c r="O1252" s="2">
        <f>INDEX(Маршруты,MATCH(N1252,$B$3:$B$498,0),1)</f>
        <v>55</v>
      </c>
      <c r="P1252" s="27">
        <v>29</v>
      </c>
      <c r="Q1252" s="2">
        <f>INDEX(Остановки,MATCH(R1252,ИД_Остановки!$B$3:$B$467,0),1)</f>
        <v>151</v>
      </c>
      <c r="R1252" s="45" t="s">
        <v>91</v>
      </c>
      <c r="S1252" s="20">
        <v>0.33</v>
      </c>
    </row>
    <row r="1253" spans="8:19" x14ac:dyDescent="0.25">
      <c r="H1253">
        <v>7</v>
      </c>
      <c r="I1253">
        <v>816</v>
      </c>
      <c r="J1253">
        <v>115</v>
      </c>
      <c r="K1253" t="b">
        <v>1</v>
      </c>
      <c r="N1253" s="30" t="s">
        <v>533</v>
      </c>
      <c r="O1253" s="2">
        <f>INDEX(Маршруты,MATCH(N1253,$B$3:$B$498,0),1)</f>
        <v>55</v>
      </c>
      <c r="P1253" s="27">
        <v>30</v>
      </c>
      <c r="Q1253" s="2">
        <f>INDEX(Остановки,MATCH(R1253,ИД_Остановки!$B$3:$B$467,0),1)</f>
        <v>397</v>
      </c>
      <c r="R1253" s="45" t="s">
        <v>454</v>
      </c>
      <c r="S1253" s="20">
        <v>1.1000000000000001</v>
      </c>
    </row>
    <row r="1254" spans="8:19" x14ac:dyDescent="0.25">
      <c r="H1254">
        <v>7</v>
      </c>
      <c r="I1254">
        <v>819</v>
      </c>
      <c r="J1254">
        <v>115</v>
      </c>
      <c r="K1254" t="b">
        <v>1</v>
      </c>
      <c r="N1254" s="30" t="s">
        <v>533</v>
      </c>
      <c r="O1254" s="2">
        <f>INDEX(Маршруты,MATCH(N1254,$B$3:$B$498,0),1)</f>
        <v>55</v>
      </c>
      <c r="P1254" s="27">
        <v>31</v>
      </c>
      <c r="Q1254" s="2">
        <f>INDEX(Остановки,MATCH(R1254,ИД_Остановки!$B$3:$B$467,0),1)</f>
        <v>161</v>
      </c>
      <c r="R1254" s="45" t="s">
        <v>90</v>
      </c>
      <c r="S1254" s="20">
        <v>2.11</v>
      </c>
    </row>
    <row r="1255" spans="8:19" x14ac:dyDescent="0.25">
      <c r="H1255">
        <v>7</v>
      </c>
      <c r="I1255">
        <v>822</v>
      </c>
      <c r="J1255">
        <v>115</v>
      </c>
      <c r="K1255" t="b">
        <v>1</v>
      </c>
      <c r="N1255" s="26" t="s">
        <v>533</v>
      </c>
      <c r="O1255" s="2">
        <f>INDEX(Маршруты,MATCH(N1255,$B$3:$B$498,0),1)</f>
        <v>55</v>
      </c>
      <c r="P1255" s="27">
        <v>32</v>
      </c>
      <c r="Q1255" s="2">
        <f>INDEX(Остановки,MATCH(R1255,ИД_Остановки!$B$3:$B$467,0),1)</f>
        <v>148</v>
      </c>
      <c r="R1255" s="45" t="s">
        <v>88</v>
      </c>
      <c r="S1255" s="20">
        <v>0.71</v>
      </c>
    </row>
    <row r="1256" spans="8:19" x14ac:dyDescent="0.25">
      <c r="H1256">
        <v>7</v>
      </c>
      <c r="I1256">
        <v>825</v>
      </c>
      <c r="J1256">
        <v>115</v>
      </c>
      <c r="K1256" t="b">
        <v>1</v>
      </c>
      <c r="N1256" s="25" t="s">
        <v>533</v>
      </c>
      <c r="O1256" s="2">
        <f>INDEX(Маршруты,MATCH(N1256,$B$3:$B$498,0),1)</f>
        <v>55</v>
      </c>
      <c r="P1256" s="27">
        <v>33</v>
      </c>
      <c r="Q1256" s="2">
        <f>INDEX(Остановки,MATCH(R1256,ИД_Остановки!$B$3:$B$467,0),1)</f>
        <v>51</v>
      </c>
      <c r="R1256" s="45" t="s">
        <v>261</v>
      </c>
      <c r="S1256" s="20">
        <v>0.26</v>
      </c>
    </row>
    <row r="1257" spans="8:19" x14ac:dyDescent="0.25">
      <c r="H1257">
        <v>7</v>
      </c>
      <c r="I1257">
        <v>828</v>
      </c>
      <c r="J1257">
        <v>115</v>
      </c>
      <c r="K1257" t="b">
        <v>1</v>
      </c>
      <c r="N1257" s="25" t="s">
        <v>533</v>
      </c>
      <c r="O1257" s="2">
        <f>INDEX(Маршруты,MATCH(N1257,$B$3:$B$498,0),1)</f>
        <v>55</v>
      </c>
      <c r="P1257" s="28">
        <v>34</v>
      </c>
      <c r="Q1257" s="2">
        <f>INDEX(Остановки,MATCH(R1257,ИД_Остановки!$B$3:$B$467,0),1)</f>
        <v>133</v>
      </c>
      <c r="R1257" s="24" t="s">
        <v>82</v>
      </c>
      <c r="S1257" s="20">
        <v>0.66</v>
      </c>
    </row>
    <row r="1258" spans="8:19" x14ac:dyDescent="0.25">
      <c r="H1258">
        <v>7</v>
      </c>
      <c r="I1258">
        <v>831</v>
      </c>
      <c r="J1258">
        <v>115</v>
      </c>
      <c r="K1258" t="b">
        <v>1</v>
      </c>
      <c r="N1258" s="25" t="s">
        <v>533</v>
      </c>
      <c r="O1258" s="2">
        <f>INDEX(Маршруты,MATCH(N1258,$B$3:$B$498,0),1)</f>
        <v>55</v>
      </c>
      <c r="P1258" s="27">
        <v>35</v>
      </c>
      <c r="Q1258" s="2">
        <f>INDEX(Остановки,MATCH(R1258,ИД_Остановки!$B$3:$B$467,0),1)</f>
        <v>134</v>
      </c>
      <c r="R1258" s="45" t="s">
        <v>308</v>
      </c>
      <c r="S1258" s="20">
        <v>0.3</v>
      </c>
    </row>
    <row r="1259" spans="8:19" x14ac:dyDescent="0.25">
      <c r="H1259">
        <v>7</v>
      </c>
      <c r="I1259">
        <v>834</v>
      </c>
      <c r="J1259">
        <v>115</v>
      </c>
      <c r="K1259" t="b">
        <v>1</v>
      </c>
      <c r="N1259" s="26" t="s">
        <v>533</v>
      </c>
      <c r="O1259" s="2">
        <f>INDEX(Маршруты,MATCH(N1259,$B$3:$B$498,0),1)</f>
        <v>55</v>
      </c>
      <c r="P1259" s="27">
        <v>36</v>
      </c>
      <c r="Q1259" s="2">
        <f>INDEX(Остановки,MATCH(R1259,ИД_Остановки!$B$3:$B$467,0),1)</f>
        <v>83</v>
      </c>
      <c r="R1259" s="45" t="s">
        <v>280</v>
      </c>
      <c r="S1259" s="20">
        <v>1.1100000000000001</v>
      </c>
    </row>
    <row r="1260" spans="8:19" x14ac:dyDescent="0.25">
      <c r="H1260">
        <v>7</v>
      </c>
      <c r="I1260">
        <v>837</v>
      </c>
      <c r="J1260">
        <v>115</v>
      </c>
      <c r="K1260" t="b">
        <v>1</v>
      </c>
      <c r="N1260" s="25" t="s">
        <v>533</v>
      </c>
      <c r="O1260" s="2">
        <f>INDEX(Маршруты,MATCH(N1260,$B$3:$B$498,0),1)</f>
        <v>55</v>
      </c>
      <c r="P1260" s="27">
        <v>37</v>
      </c>
      <c r="Q1260" s="2">
        <f>INDEX(Остановки,MATCH(R1260,ИД_Остановки!$B$3:$B$467,0),1)</f>
        <v>135</v>
      </c>
      <c r="R1260" s="45" t="s">
        <v>83</v>
      </c>
      <c r="S1260" s="20">
        <v>1.26</v>
      </c>
    </row>
    <row r="1261" spans="8:19" x14ac:dyDescent="0.25">
      <c r="H1261">
        <v>7</v>
      </c>
      <c r="I1261">
        <v>840</v>
      </c>
      <c r="J1261">
        <v>115</v>
      </c>
      <c r="K1261" t="b">
        <v>1</v>
      </c>
      <c r="N1261" s="30" t="s">
        <v>534</v>
      </c>
      <c r="O1261" s="2">
        <f>INDEX(Маршруты,MATCH(N1261,$B$3:$B$498,0),1)</f>
        <v>56</v>
      </c>
      <c r="P1261" s="27">
        <v>1</v>
      </c>
      <c r="Q1261" s="2">
        <f>INDEX(Остановки,MATCH(R1261,ИД_Остановки!$B$3:$B$467,0),1)</f>
        <v>163</v>
      </c>
      <c r="R1261" s="45" t="s">
        <v>101</v>
      </c>
      <c r="S1261" s="20"/>
    </row>
    <row r="1262" spans="8:19" x14ac:dyDescent="0.25">
      <c r="H1262">
        <v>7</v>
      </c>
      <c r="I1262">
        <v>843</v>
      </c>
      <c r="J1262">
        <v>115</v>
      </c>
      <c r="K1262" t="b">
        <v>1</v>
      </c>
      <c r="N1262" s="30" t="s">
        <v>534</v>
      </c>
      <c r="O1262" s="2">
        <f>INDEX(Маршруты,MATCH(N1262,$B$3:$B$498,0),1)</f>
        <v>56</v>
      </c>
      <c r="P1262" s="27">
        <v>2</v>
      </c>
      <c r="Q1262" s="2">
        <f>INDEX(Остановки,MATCH(R1262,ИД_Остановки!$B$3:$B$467,0),1)</f>
        <v>164</v>
      </c>
      <c r="R1262" s="45" t="s">
        <v>102</v>
      </c>
      <c r="S1262" s="20">
        <v>0.99</v>
      </c>
    </row>
    <row r="1263" spans="8:19" x14ac:dyDescent="0.25">
      <c r="H1263">
        <v>7</v>
      </c>
      <c r="I1263">
        <v>846</v>
      </c>
      <c r="J1263">
        <v>115</v>
      </c>
      <c r="K1263" t="b">
        <v>1</v>
      </c>
      <c r="N1263" s="30" t="s">
        <v>534</v>
      </c>
      <c r="O1263" s="2">
        <f>INDEX(Маршруты,MATCH(N1263,$B$3:$B$498,0),1)</f>
        <v>56</v>
      </c>
      <c r="P1263" s="27">
        <v>3</v>
      </c>
      <c r="Q1263" s="2">
        <f>INDEX(Остановки,MATCH(R1263,ИД_Остановки!$B$3:$B$467,0),1)</f>
        <v>401</v>
      </c>
      <c r="R1263" s="45" t="s">
        <v>458</v>
      </c>
      <c r="S1263" s="20">
        <v>0.59</v>
      </c>
    </row>
    <row r="1264" spans="8:19" x14ac:dyDescent="0.25">
      <c r="H1264">
        <v>7</v>
      </c>
      <c r="I1264">
        <v>849</v>
      </c>
      <c r="J1264">
        <v>115</v>
      </c>
      <c r="K1264" t="b">
        <v>1</v>
      </c>
      <c r="N1264" s="30" t="s">
        <v>534</v>
      </c>
      <c r="O1264" s="2">
        <f>INDEX(Маршруты,MATCH(N1264,$B$3:$B$498,0),1)</f>
        <v>56</v>
      </c>
      <c r="P1264" s="27">
        <v>4</v>
      </c>
      <c r="Q1264" s="2">
        <f>INDEX(Остановки,MATCH(R1264,ИД_Остановки!$B$3:$B$467,0),1)</f>
        <v>165</v>
      </c>
      <c r="R1264" s="45" t="s">
        <v>103</v>
      </c>
      <c r="S1264" s="20">
        <v>0.27</v>
      </c>
    </row>
    <row r="1265" spans="8:19" x14ac:dyDescent="0.25">
      <c r="H1265">
        <v>7</v>
      </c>
      <c r="I1265">
        <v>852</v>
      </c>
      <c r="J1265">
        <v>115</v>
      </c>
      <c r="K1265" t="b">
        <v>1</v>
      </c>
      <c r="N1265" s="25" t="s">
        <v>534</v>
      </c>
      <c r="O1265" s="2">
        <f>INDEX(Маршруты,MATCH(N1265,$B$3:$B$498,0),1)</f>
        <v>56</v>
      </c>
      <c r="P1265" s="27">
        <v>5</v>
      </c>
      <c r="Q1265" s="2">
        <f>INDEX(Остановки,MATCH(R1265,ИД_Остановки!$B$3:$B$467,0),1)</f>
        <v>402</v>
      </c>
      <c r="R1265" s="24" t="s">
        <v>459</v>
      </c>
      <c r="S1265" s="20">
        <v>0.53</v>
      </c>
    </row>
    <row r="1266" spans="8:19" x14ac:dyDescent="0.25">
      <c r="H1266">
        <v>7</v>
      </c>
      <c r="I1266">
        <v>855</v>
      </c>
      <c r="J1266">
        <v>115</v>
      </c>
      <c r="K1266" t="b">
        <v>1</v>
      </c>
      <c r="N1266" s="26" t="s">
        <v>534</v>
      </c>
      <c r="O1266" s="2">
        <f>INDEX(Маршруты,MATCH(N1266,$B$3:$B$498,0),1)</f>
        <v>56</v>
      </c>
      <c r="P1266" s="27">
        <v>6</v>
      </c>
      <c r="Q1266" s="2">
        <f>INDEX(Остановки,MATCH(R1266,ИД_Остановки!$B$3:$B$467,0),1)</f>
        <v>167</v>
      </c>
      <c r="R1266" s="45" t="s">
        <v>104</v>
      </c>
      <c r="S1266" s="20">
        <v>0.36</v>
      </c>
    </row>
    <row r="1267" spans="8:19" x14ac:dyDescent="0.25">
      <c r="H1267">
        <v>7</v>
      </c>
      <c r="I1267">
        <v>858</v>
      </c>
      <c r="J1267">
        <v>115</v>
      </c>
      <c r="K1267" t="b">
        <v>1</v>
      </c>
      <c r="N1267" s="25" t="s">
        <v>534</v>
      </c>
      <c r="O1267" s="2">
        <f>INDEX(Маршруты,MATCH(N1267,$B$3:$B$498,0),1)</f>
        <v>56</v>
      </c>
      <c r="P1267" s="28">
        <v>7</v>
      </c>
      <c r="Q1267" s="2">
        <f>INDEX(Остановки,MATCH(R1267,ИД_Остановки!$B$3:$B$467,0),1)</f>
        <v>293</v>
      </c>
      <c r="R1267" s="24" t="s">
        <v>163</v>
      </c>
      <c r="S1267" s="20">
        <v>0.94</v>
      </c>
    </row>
    <row r="1268" spans="8:19" x14ac:dyDescent="0.25">
      <c r="H1268">
        <v>7</v>
      </c>
      <c r="I1268">
        <v>861</v>
      </c>
      <c r="J1268">
        <v>115</v>
      </c>
      <c r="K1268" t="b">
        <v>1</v>
      </c>
      <c r="N1268" s="25" t="s">
        <v>534</v>
      </c>
      <c r="O1268" s="2">
        <f>INDEX(Маршруты,MATCH(N1268,$B$3:$B$498,0),1)</f>
        <v>56</v>
      </c>
      <c r="P1268" s="28">
        <v>8</v>
      </c>
      <c r="Q1268" s="2">
        <f>INDEX(Остановки,MATCH(R1268,ИД_Остановки!$B$3:$B$467,0),1)</f>
        <v>221</v>
      </c>
      <c r="R1268" s="24" t="s">
        <v>353</v>
      </c>
      <c r="S1268" s="21">
        <v>0.95</v>
      </c>
    </row>
    <row r="1269" spans="8:19" x14ac:dyDescent="0.25">
      <c r="H1269">
        <v>7</v>
      </c>
      <c r="I1269">
        <v>864</v>
      </c>
      <c r="J1269">
        <v>115</v>
      </c>
      <c r="K1269" t="b">
        <v>1</v>
      </c>
      <c r="N1269" s="25" t="s">
        <v>534</v>
      </c>
      <c r="O1269" s="2">
        <f>INDEX(Маршруты,MATCH(N1269,$B$3:$B$498,0),1)</f>
        <v>56</v>
      </c>
      <c r="P1269" s="27">
        <v>9</v>
      </c>
      <c r="Q1269" s="2">
        <f>INDEX(Остановки,MATCH(R1269,ИД_Остановки!$B$3:$B$467,0),1)</f>
        <v>168</v>
      </c>
      <c r="R1269" s="45" t="s">
        <v>105</v>
      </c>
      <c r="S1269" s="20">
        <v>0.97</v>
      </c>
    </row>
    <row r="1270" spans="8:19" x14ac:dyDescent="0.25">
      <c r="H1270">
        <v>7</v>
      </c>
      <c r="I1270">
        <v>867</v>
      </c>
      <c r="J1270">
        <v>115</v>
      </c>
      <c r="K1270" t="b">
        <v>1</v>
      </c>
      <c r="N1270" s="30" t="s">
        <v>534</v>
      </c>
      <c r="O1270" s="2">
        <f>INDEX(Маршруты,MATCH(N1270,$B$3:$B$498,0),1)</f>
        <v>56</v>
      </c>
      <c r="P1270" s="27">
        <v>10</v>
      </c>
      <c r="Q1270" s="2">
        <f>INDEX(Остановки,MATCH(R1270,ИД_Остановки!$B$3:$B$467,0),1)</f>
        <v>169</v>
      </c>
      <c r="R1270" s="45" t="s">
        <v>106</v>
      </c>
      <c r="S1270" s="20">
        <v>0.63</v>
      </c>
    </row>
    <row r="1271" spans="8:19" x14ac:dyDescent="0.25">
      <c r="H1271">
        <v>7</v>
      </c>
      <c r="I1271">
        <v>870</v>
      </c>
      <c r="J1271">
        <v>115</v>
      </c>
      <c r="K1271" t="b">
        <v>1</v>
      </c>
      <c r="N1271" s="25" t="s">
        <v>534</v>
      </c>
      <c r="O1271" s="2">
        <f>INDEX(Маршруты,MATCH(N1271,$B$3:$B$498,0),1)</f>
        <v>56</v>
      </c>
      <c r="P1271" s="28">
        <v>11</v>
      </c>
      <c r="Q1271" s="2">
        <f>INDEX(Остановки,MATCH(R1271,ИД_Остановки!$B$3:$B$467,0),1)</f>
        <v>170</v>
      </c>
      <c r="R1271" s="24" t="s">
        <v>107</v>
      </c>
      <c r="S1271" s="20">
        <v>1.84</v>
      </c>
    </row>
    <row r="1272" spans="8:19" x14ac:dyDescent="0.25">
      <c r="H1272">
        <v>7</v>
      </c>
      <c r="I1272">
        <v>873</v>
      </c>
      <c r="J1272">
        <v>115</v>
      </c>
      <c r="K1272" t="b">
        <v>1</v>
      </c>
      <c r="N1272" s="30" t="s">
        <v>534</v>
      </c>
      <c r="O1272" s="2">
        <f>INDEX(Маршруты,MATCH(N1272,$B$3:$B$498,0),1)</f>
        <v>56</v>
      </c>
      <c r="P1272" s="27">
        <v>12</v>
      </c>
      <c r="Q1272" s="2">
        <f>INDEX(Остановки,MATCH(R1272,ИД_Остановки!$B$3:$B$467,0),1)</f>
        <v>171</v>
      </c>
      <c r="R1272" s="45" t="s">
        <v>108</v>
      </c>
      <c r="S1272" s="20">
        <v>0.68</v>
      </c>
    </row>
    <row r="1273" spans="8:19" x14ac:dyDescent="0.25">
      <c r="H1273">
        <v>7</v>
      </c>
      <c r="I1273">
        <v>876</v>
      </c>
      <c r="J1273">
        <v>115</v>
      </c>
      <c r="K1273" t="b">
        <v>1</v>
      </c>
      <c r="N1273" s="25" t="s">
        <v>534</v>
      </c>
      <c r="O1273" s="2">
        <f>INDEX(Маршруты,MATCH(N1273,$B$3:$B$498,0),1)</f>
        <v>56</v>
      </c>
      <c r="P1273" s="27">
        <v>13</v>
      </c>
      <c r="Q1273" s="2">
        <f>INDEX(Остановки,MATCH(R1273,ИД_Остановки!$B$3:$B$467,0),1)</f>
        <v>172</v>
      </c>
      <c r="R1273" s="45" t="s">
        <v>109</v>
      </c>
      <c r="S1273" s="20">
        <v>0.75</v>
      </c>
    </row>
    <row r="1274" spans="8:19" x14ac:dyDescent="0.25">
      <c r="H1274">
        <v>7</v>
      </c>
      <c r="I1274">
        <v>879</v>
      </c>
      <c r="J1274">
        <v>115</v>
      </c>
      <c r="K1274" t="b">
        <v>1</v>
      </c>
      <c r="N1274" s="25" t="s">
        <v>534</v>
      </c>
      <c r="O1274" s="2">
        <f>INDEX(Маршруты,MATCH(N1274,$B$3:$B$498,0),1)</f>
        <v>56</v>
      </c>
      <c r="P1274" s="28">
        <v>14</v>
      </c>
      <c r="Q1274" s="2">
        <f>INDEX(Остановки,MATCH(R1274,ИД_Остановки!$B$3:$B$467,0),1)</f>
        <v>173</v>
      </c>
      <c r="R1274" s="24" t="s">
        <v>325</v>
      </c>
      <c r="S1274" s="21">
        <v>0.79</v>
      </c>
    </row>
    <row r="1275" spans="8:19" x14ac:dyDescent="0.25">
      <c r="H1275">
        <v>7</v>
      </c>
      <c r="I1275">
        <v>882</v>
      </c>
      <c r="J1275">
        <v>115</v>
      </c>
      <c r="K1275" t="b">
        <v>1</v>
      </c>
      <c r="N1275" s="30" t="s">
        <v>534</v>
      </c>
      <c r="O1275" s="2">
        <f>INDEX(Маршруты,MATCH(N1275,$B$3:$B$498,0),1)</f>
        <v>56</v>
      </c>
      <c r="P1275" s="27">
        <v>15</v>
      </c>
      <c r="Q1275" s="2">
        <f>INDEX(Остановки,MATCH(R1275,ИД_Остановки!$B$3:$B$467,0),1)</f>
        <v>174</v>
      </c>
      <c r="R1275" s="45" t="s">
        <v>326</v>
      </c>
      <c r="S1275" s="20">
        <v>0.79</v>
      </c>
    </row>
    <row r="1276" spans="8:19" x14ac:dyDescent="0.25">
      <c r="H1276">
        <v>7</v>
      </c>
      <c r="I1276">
        <v>885</v>
      </c>
      <c r="J1276">
        <v>115</v>
      </c>
      <c r="K1276" t="b">
        <v>1</v>
      </c>
      <c r="N1276" s="30" t="s">
        <v>534</v>
      </c>
      <c r="O1276" s="2">
        <f>INDEX(Маршруты,MATCH(N1276,$B$3:$B$498,0),1)</f>
        <v>56</v>
      </c>
      <c r="P1276" s="27">
        <v>16</v>
      </c>
      <c r="Q1276" s="2">
        <f>INDEX(Остановки,MATCH(R1276,ИД_Остановки!$B$3:$B$467,0),1)</f>
        <v>175</v>
      </c>
      <c r="R1276" s="45" t="s">
        <v>327</v>
      </c>
      <c r="S1276" s="20">
        <v>0.89</v>
      </c>
    </row>
    <row r="1277" spans="8:19" x14ac:dyDescent="0.25">
      <c r="H1277">
        <v>7</v>
      </c>
      <c r="I1277">
        <v>888</v>
      </c>
      <c r="J1277">
        <v>115</v>
      </c>
      <c r="K1277" t="b">
        <v>1</v>
      </c>
      <c r="N1277" s="30" t="s">
        <v>534</v>
      </c>
      <c r="O1277" s="2">
        <f>INDEX(Маршруты,MATCH(N1277,$B$3:$B$498,0),1)</f>
        <v>56</v>
      </c>
      <c r="P1277" s="27">
        <v>17</v>
      </c>
      <c r="Q1277" s="2">
        <f>INDEX(Остановки,MATCH(R1277,ИД_Остановки!$B$3:$B$467,0),1)</f>
        <v>53</v>
      </c>
      <c r="R1277" s="45" t="s">
        <v>44</v>
      </c>
      <c r="S1277" s="20">
        <v>1.44</v>
      </c>
    </row>
    <row r="1278" spans="8:19" x14ac:dyDescent="0.25">
      <c r="H1278">
        <v>7</v>
      </c>
      <c r="I1278">
        <v>891</v>
      </c>
      <c r="J1278">
        <v>115</v>
      </c>
      <c r="K1278" t="b">
        <v>1</v>
      </c>
      <c r="N1278" s="30" t="s">
        <v>534</v>
      </c>
      <c r="O1278" s="2">
        <f>INDEX(Маршруты,MATCH(N1278,$B$3:$B$498,0),1)</f>
        <v>56</v>
      </c>
      <c r="P1278" s="27">
        <v>18</v>
      </c>
      <c r="Q1278" s="2">
        <f>INDEX(Остановки,MATCH(R1278,ИД_Остановки!$B$3:$B$467,0),1)</f>
        <v>176</v>
      </c>
      <c r="R1278" s="45" t="s">
        <v>111</v>
      </c>
      <c r="S1278" s="20">
        <v>0.64</v>
      </c>
    </row>
    <row r="1279" spans="8:19" x14ac:dyDescent="0.25">
      <c r="H1279">
        <v>7</v>
      </c>
      <c r="I1279">
        <v>894</v>
      </c>
      <c r="J1279">
        <v>115</v>
      </c>
      <c r="K1279" t="b">
        <v>1</v>
      </c>
      <c r="N1279" s="25" t="s">
        <v>534</v>
      </c>
      <c r="O1279" s="2">
        <f>INDEX(Маршруты,MATCH(N1279,$B$3:$B$498,0),1)</f>
        <v>56</v>
      </c>
      <c r="P1279" s="27">
        <v>19</v>
      </c>
      <c r="Q1279" s="2">
        <f>INDEX(Остановки,MATCH(R1279,ИД_Остановки!$B$3:$B$467,0),1)</f>
        <v>54</v>
      </c>
      <c r="R1279" s="45" t="s">
        <v>45</v>
      </c>
      <c r="S1279" s="20">
        <v>0.65</v>
      </c>
    </row>
    <row r="1280" spans="8:19" x14ac:dyDescent="0.25">
      <c r="H1280">
        <v>7</v>
      </c>
      <c r="I1280">
        <v>897</v>
      </c>
      <c r="J1280">
        <v>115</v>
      </c>
      <c r="K1280" t="b">
        <v>1</v>
      </c>
      <c r="N1280" s="30" t="s">
        <v>534</v>
      </c>
      <c r="O1280" s="2">
        <f>INDEX(Маршруты,MATCH(N1280,$B$3:$B$498,0),1)</f>
        <v>56</v>
      </c>
      <c r="P1280" s="27">
        <v>20</v>
      </c>
      <c r="Q1280" s="2">
        <f>INDEX(Остановки,MATCH(R1280,ИД_Остановки!$B$3:$B$467,0),1)</f>
        <v>55</v>
      </c>
      <c r="R1280" s="45" t="s">
        <v>263</v>
      </c>
      <c r="S1280" s="20">
        <v>0.37</v>
      </c>
    </row>
    <row r="1281" spans="8:19" x14ac:dyDescent="0.25">
      <c r="H1281">
        <v>7</v>
      </c>
      <c r="I1281">
        <v>900</v>
      </c>
      <c r="J1281">
        <v>115</v>
      </c>
      <c r="K1281" t="b">
        <v>1</v>
      </c>
      <c r="N1281" s="30" t="s">
        <v>534</v>
      </c>
      <c r="O1281" s="2">
        <f>INDEX(Маршруты,MATCH(N1281,$B$3:$B$498,0),1)</f>
        <v>56</v>
      </c>
      <c r="P1281" s="28">
        <v>21</v>
      </c>
      <c r="Q1281" s="2">
        <f>INDEX(Остановки,MATCH(R1281,ИД_Остановки!$B$3:$B$467,0),1)</f>
        <v>56</v>
      </c>
      <c r="R1281" s="24" t="s">
        <v>264</v>
      </c>
      <c r="S1281" s="20">
        <v>0.86</v>
      </c>
    </row>
    <row r="1282" spans="8:19" x14ac:dyDescent="0.25">
      <c r="H1282">
        <v>7</v>
      </c>
      <c r="I1282">
        <v>903</v>
      </c>
      <c r="J1282">
        <v>115</v>
      </c>
      <c r="K1282" t="b">
        <v>1</v>
      </c>
      <c r="N1282" s="30" t="s">
        <v>534</v>
      </c>
      <c r="O1282" s="2">
        <f>INDEX(Маршруты,MATCH(N1282,$B$3:$B$498,0),1)</f>
        <v>56</v>
      </c>
      <c r="P1282" s="27">
        <v>22</v>
      </c>
      <c r="Q1282" s="2">
        <f>INDEX(Остановки,MATCH(R1282,ИД_Остановки!$B$3:$B$467,0),1)</f>
        <v>57</v>
      </c>
      <c r="R1282" s="45" t="s">
        <v>47</v>
      </c>
      <c r="S1282" s="20">
        <v>0.48</v>
      </c>
    </row>
    <row r="1283" spans="8:19" x14ac:dyDescent="0.25">
      <c r="H1283">
        <v>7</v>
      </c>
      <c r="I1283">
        <v>906</v>
      </c>
      <c r="J1283">
        <v>115</v>
      </c>
      <c r="K1283" t="b">
        <v>1</v>
      </c>
      <c r="N1283" s="30" t="s">
        <v>535</v>
      </c>
      <c r="O1283" s="2">
        <f>INDEX(Маршруты,MATCH(N1283,$B$3:$B$498,0),1)</f>
        <v>57</v>
      </c>
      <c r="P1283" s="27">
        <v>1</v>
      </c>
      <c r="Q1283" s="2">
        <f>INDEX(Остановки,MATCH(R1283,ИД_Остановки!$B$3:$B$467,0),1)</f>
        <v>57</v>
      </c>
      <c r="R1283" s="45" t="s">
        <v>47</v>
      </c>
      <c r="S1283" s="20"/>
    </row>
    <row r="1284" spans="8:19" x14ac:dyDescent="0.25">
      <c r="H1284">
        <v>7</v>
      </c>
      <c r="I1284">
        <v>909</v>
      </c>
      <c r="J1284">
        <v>115</v>
      </c>
      <c r="K1284" t="b">
        <v>1</v>
      </c>
      <c r="N1284" s="30" t="s">
        <v>535</v>
      </c>
      <c r="O1284" s="2">
        <f>INDEX(Маршруты,MATCH(N1284,$B$3:$B$498,0),1)</f>
        <v>57</v>
      </c>
      <c r="P1284" s="27">
        <v>2</v>
      </c>
      <c r="Q1284" s="2">
        <f>INDEX(Остановки,MATCH(R1284,ИД_Остановки!$B$3:$B$467,0),1)</f>
        <v>56</v>
      </c>
      <c r="R1284" s="45" t="s">
        <v>264</v>
      </c>
      <c r="S1284" s="20">
        <v>0.48</v>
      </c>
    </row>
    <row r="1285" spans="8:19" x14ac:dyDescent="0.25">
      <c r="H1285">
        <v>7</v>
      </c>
      <c r="I1285">
        <v>912</v>
      </c>
      <c r="J1285">
        <v>115</v>
      </c>
      <c r="K1285" t="b">
        <v>1</v>
      </c>
      <c r="N1285" s="30" t="s">
        <v>535</v>
      </c>
      <c r="O1285" s="2">
        <f>INDEX(Маршруты,MATCH(N1285,$B$3:$B$498,0),1)</f>
        <v>57</v>
      </c>
      <c r="P1285" s="27">
        <v>3</v>
      </c>
      <c r="Q1285" s="2">
        <f>INDEX(Остановки,MATCH(R1285,ИД_Остановки!$B$3:$B$467,0),1)</f>
        <v>55</v>
      </c>
      <c r="R1285" s="45" t="s">
        <v>263</v>
      </c>
      <c r="S1285" s="20">
        <v>0.86</v>
      </c>
    </row>
    <row r="1286" spans="8:19" x14ac:dyDescent="0.25">
      <c r="H1286">
        <v>7</v>
      </c>
      <c r="I1286">
        <v>915</v>
      </c>
      <c r="J1286">
        <v>115</v>
      </c>
      <c r="K1286" t="b">
        <v>1</v>
      </c>
      <c r="N1286" s="25" t="s">
        <v>535</v>
      </c>
      <c r="O1286" s="2">
        <f>INDEX(Маршруты,MATCH(N1286,$B$3:$B$498,0),1)</f>
        <v>57</v>
      </c>
      <c r="P1286" s="27">
        <v>4</v>
      </c>
      <c r="Q1286" s="2">
        <f>INDEX(Остановки,MATCH(R1286,ИД_Остановки!$B$3:$B$467,0),1)</f>
        <v>54</v>
      </c>
      <c r="R1286" s="45" t="s">
        <v>45</v>
      </c>
      <c r="S1286" s="20">
        <v>0.37</v>
      </c>
    </row>
    <row r="1287" spans="8:19" x14ac:dyDescent="0.25">
      <c r="H1287">
        <v>7</v>
      </c>
      <c r="I1287">
        <v>918</v>
      </c>
      <c r="J1287">
        <v>115</v>
      </c>
      <c r="K1287" t="b">
        <v>1</v>
      </c>
      <c r="N1287" s="30" t="s">
        <v>535</v>
      </c>
      <c r="O1287" s="2">
        <f>INDEX(Маршруты,MATCH(N1287,$B$3:$B$498,0),1)</f>
        <v>57</v>
      </c>
      <c r="P1287" s="27">
        <v>5</v>
      </c>
      <c r="Q1287" s="2">
        <f>INDEX(Остановки,MATCH(R1287,ИД_Остановки!$B$3:$B$467,0),1)</f>
        <v>176</v>
      </c>
      <c r="R1287" s="45" t="s">
        <v>111</v>
      </c>
      <c r="S1287" s="20">
        <v>0.65</v>
      </c>
    </row>
    <row r="1288" spans="8:19" x14ac:dyDescent="0.25">
      <c r="H1288">
        <v>7</v>
      </c>
      <c r="I1288">
        <v>921</v>
      </c>
      <c r="J1288">
        <v>115</v>
      </c>
      <c r="K1288" t="b">
        <v>1</v>
      </c>
      <c r="N1288" s="30" t="s">
        <v>535</v>
      </c>
      <c r="O1288" s="2">
        <f>INDEX(Маршруты,MATCH(N1288,$B$3:$B$498,0),1)</f>
        <v>57</v>
      </c>
      <c r="P1288" s="27">
        <v>6</v>
      </c>
      <c r="Q1288" s="2">
        <f>INDEX(Остановки,MATCH(R1288,ИД_Остановки!$B$3:$B$467,0),1)</f>
        <v>53</v>
      </c>
      <c r="R1288" s="45" t="s">
        <v>44</v>
      </c>
      <c r="S1288" s="20">
        <v>0.64</v>
      </c>
    </row>
    <row r="1289" spans="8:19" x14ac:dyDescent="0.25">
      <c r="H1289">
        <v>7</v>
      </c>
      <c r="I1289">
        <v>924</v>
      </c>
      <c r="J1289">
        <v>115</v>
      </c>
      <c r="K1289" t="b">
        <v>1</v>
      </c>
      <c r="N1289" s="30" t="s">
        <v>535</v>
      </c>
      <c r="O1289" s="2">
        <f>INDEX(Маршруты,MATCH(N1289,$B$3:$B$498,0),1)</f>
        <v>57</v>
      </c>
      <c r="P1289" s="27">
        <v>7</v>
      </c>
      <c r="Q1289" s="2">
        <f>INDEX(Остановки,MATCH(R1289,ИД_Остановки!$B$3:$B$467,0),1)</f>
        <v>175</v>
      </c>
      <c r="R1289" s="24" t="s">
        <v>327</v>
      </c>
      <c r="S1289" s="20">
        <v>1.44</v>
      </c>
    </row>
    <row r="1290" spans="8:19" x14ac:dyDescent="0.25">
      <c r="H1290">
        <v>7</v>
      </c>
      <c r="I1290">
        <v>927</v>
      </c>
      <c r="J1290">
        <v>115</v>
      </c>
      <c r="K1290" t="b">
        <v>1</v>
      </c>
      <c r="N1290" s="30" t="s">
        <v>535</v>
      </c>
      <c r="O1290" s="2">
        <f>INDEX(Маршруты,MATCH(N1290,$B$3:$B$498,0),1)</f>
        <v>57</v>
      </c>
      <c r="P1290" s="27">
        <v>8</v>
      </c>
      <c r="Q1290" s="2">
        <f>INDEX(Остановки,MATCH(R1290,ИД_Остановки!$B$3:$B$467,0),1)</f>
        <v>174</v>
      </c>
      <c r="R1290" s="45" t="s">
        <v>326</v>
      </c>
      <c r="S1290" s="20">
        <v>0.89</v>
      </c>
    </row>
    <row r="1291" spans="8:19" x14ac:dyDescent="0.25">
      <c r="H1291">
        <v>7</v>
      </c>
      <c r="I1291">
        <v>930</v>
      </c>
      <c r="J1291">
        <v>115</v>
      </c>
      <c r="K1291" t="b">
        <v>1</v>
      </c>
      <c r="N1291" s="25" t="s">
        <v>535</v>
      </c>
      <c r="O1291" s="2">
        <f>INDEX(Маршруты,MATCH(N1291,$B$3:$B$498,0),1)</f>
        <v>57</v>
      </c>
      <c r="P1291" s="27">
        <v>9</v>
      </c>
      <c r="Q1291" s="2">
        <f>INDEX(Остановки,MATCH(R1291,ИД_Остановки!$B$3:$B$467,0),1)</f>
        <v>173</v>
      </c>
      <c r="R1291" s="45" t="s">
        <v>325</v>
      </c>
      <c r="S1291" s="20">
        <v>0.79</v>
      </c>
    </row>
    <row r="1292" spans="8:19" x14ac:dyDescent="0.25">
      <c r="H1292">
        <v>7</v>
      </c>
      <c r="I1292">
        <v>933</v>
      </c>
      <c r="J1292">
        <v>115</v>
      </c>
      <c r="K1292" t="b">
        <v>1</v>
      </c>
      <c r="N1292" s="26" t="s">
        <v>535</v>
      </c>
      <c r="O1292" s="2">
        <f>INDEX(Маршруты,MATCH(N1292,$B$3:$B$498,0),1)</f>
        <v>57</v>
      </c>
      <c r="P1292" s="27">
        <v>10</v>
      </c>
      <c r="Q1292" s="2">
        <f>INDEX(Остановки,MATCH(R1292,ИД_Остановки!$B$3:$B$467,0),1)</f>
        <v>172</v>
      </c>
      <c r="R1292" s="45" t="s">
        <v>109</v>
      </c>
      <c r="S1292" s="20">
        <v>0.79</v>
      </c>
    </row>
    <row r="1293" spans="8:19" x14ac:dyDescent="0.25">
      <c r="H1293">
        <v>7</v>
      </c>
      <c r="I1293">
        <v>936</v>
      </c>
      <c r="J1293">
        <v>115</v>
      </c>
      <c r="K1293" t="b">
        <v>1</v>
      </c>
      <c r="N1293" s="25" t="s">
        <v>535</v>
      </c>
      <c r="O1293" s="2">
        <f>INDEX(Маршруты,MATCH(N1293,$B$3:$B$498,0),1)</f>
        <v>57</v>
      </c>
      <c r="P1293" s="27">
        <v>11</v>
      </c>
      <c r="Q1293" s="2">
        <f>INDEX(Остановки,MATCH(R1293,ИД_Остановки!$B$3:$B$467,0),1)</f>
        <v>171</v>
      </c>
      <c r="R1293" s="45" t="s">
        <v>108</v>
      </c>
      <c r="S1293" s="20">
        <v>0.75</v>
      </c>
    </row>
    <row r="1294" spans="8:19" x14ac:dyDescent="0.25">
      <c r="H1294">
        <v>7</v>
      </c>
      <c r="I1294">
        <v>939</v>
      </c>
      <c r="J1294">
        <v>115</v>
      </c>
      <c r="K1294" t="b">
        <v>1</v>
      </c>
      <c r="N1294" s="25" t="s">
        <v>535</v>
      </c>
      <c r="O1294" s="2">
        <f>INDEX(Маршруты,MATCH(N1294,$B$3:$B$498,0),1)</f>
        <v>57</v>
      </c>
      <c r="P1294" s="27">
        <v>12</v>
      </c>
      <c r="Q1294" s="2">
        <f>INDEX(Остановки,MATCH(R1294,ИД_Остановки!$B$3:$B$467,0),1)</f>
        <v>170</v>
      </c>
      <c r="R1294" s="45" t="s">
        <v>107</v>
      </c>
      <c r="S1294" s="20">
        <v>0.68</v>
      </c>
    </row>
    <row r="1295" spans="8:19" x14ac:dyDescent="0.25">
      <c r="H1295">
        <v>7</v>
      </c>
      <c r="I1295">
        <v>942</v>
      </c>
      <c r="J1295">
        <v>115</v>
      </c>
      <c r="K1295" t="b">
        <v>1</v>
      </c>
      <c r="N1295" s="25" t="s">
        <v>535</v>
      </c>
      <c r="O1295" s="2">
        <f>INDEX(Маршруты,MATCH(N1295,$B$3:$B$498,0),1)</f>
        <v>57</v>
      </c>
      <c r="P1295" s="27">
        <v>13</v>
      </c>
      <c r="Q1295" s="2">
        <f>INDEX(Остановки,MATCH(R1295,ИД_Остановки!$B$3:$B$467,0),1)</f>
        <v>169</v>
      </c>
      <c r="R1295" s="24" t="s">
        <v>106</v>
      </c>
      <c r="S1295" s="20">
        <v>1.84</v>
      </c>
    </row>
    <row r="1296" spans="8:19" x14ac:dyDescent="0.25">
      <c r="H1296">
        <v>7</v>
      </c>
      <c r="I1296">
        <v>945</v>
      </c>
      <c r="J1296">
        <v>115</v>
      </c>
      <c r="K1296" t="b">
        <v>1</v>
      </c>
      <c r="N1296" s="30" t="s">
        <v>535</v>
      </c>
      <c r="O1296" s="2">
        <f>INDEX(Маршруты,MATCH(N1296,$B$3:$B$498,0),1)</f>
        <v>57</v>
      </c>
      <c r="P1296" s="27">
        <v>14</v>
      </c>
      <c r="Q1296" s="2">
        <f>INDEX(Остановки,MATCH(R1296,ИД_Остановки!$B$3:$B$467,0),1)</f>
        <v>168</v>
      </c>
      <c r="R1296" s="45" t="s">
        <v>105</v>
      </c>
      <c r="S1296" s="20">
        <v>0.63</v>
      </c>
    </row>
    <row r="1297" spans="8:19" x14ac:dyDescent="0.25">
      <c r="H1297">
        <v>7</v>
      </c>
      <c r="I1297">
        <v>948</v>
      </c>
      <c r="J1297">
        <v>115</v>
      </c>
      <c r="K1297" t="b">
        <v>1</v>
      </c>
      <c r="N1297" s="25" t="s">
        <v>535</v>
      </c>
      <c r="O1297" s="2">
        <f>INDEX(Маршруты,MATCH(N1297,$B$3:$B$498,0),1)</f>
        <v>57</v>
      </c>
      <c r="P1297" s="27">
        <v>15</v>
      </c>
      <c r="Q1297" s="2">
        <f>INDEX(Остановки,MATCH(R1297,ИД_Остановки!$B$3:$B$467,0),1)</f>
        <v>221</v>
      </c>
      <c r="R1297" s="45" t="s">
        <v>353</v>
      </c>
      <c r="S1297" s="20">
        <v>0.97</v>
      </c>
    </row>
    <row r="1298" spans="8:19" x14ac:dyDescent="0.25">
      <c r="H1298">
        <v>7</v>
      </c>
      <c r="I1298">
        <v>951</v>
      </c>
      <c r="J1298">
        <v>115</v>
      </c>
      <c r="K1298" t="b">
        <v>1</v>
      </c>
      <c r="N1298" s="30" t="s">
        <v>535</v>
      </c>
      <c r="O1298" s="2">
        <f>INDEX(Маршруты,MATCH(N1298,$B$3:$B$498,0),1)</f>
        <v>57</v>
      </c>
      <c r="P1298" s="27">
        <v>16</v>
      </c>
      <c r="Q1298" s="2">
        <f>INDEX(Остановки,MATCH(R1298,ИД_Остановки!$B$3:$B$467,0),1)</f>
        <v>293</v>
      </c>
      <c r="R1298" s="24" t="s">
        <v>163</v>
      </c>
      <c r="S1298" s="20">
        <v>0.95</v>
      </c>
    </row>
    <row r="1299" spans="8:19" x14ac:dyDescent="0.25">
      <c r="H1299">
        <v>7</v>
      </c>
      <c r="I1299">
        <v>954</v>
      </c>
      <c r="J1299">
        <v>115</v>
      </c>
      <c r="K1299" t="b">
        <v>1</v>
      </c>
      <c r="N1299" s="26" t="s">
        <v>535</v>
      </c>
      <c r="O1299" s="2">
        <f>INDEX(Маршруты,MATCH(N1299,$B$3:$B$498,0),1)</f>
        <v>57</v>
      </c>
      <c r="P1299" s="27">
        <v>17</v>
      </c>
      <c r="Q1299" s="2">
        <f>INDEX(Остановки,MATCH(R1299,ИД_Остановки!$B$3:$B$467,0),1)</f>
        <v>167</v>
      </c>
      <c r="R1299" s="45" t="s">
        <v>104</v>
      </c>
      <c r="S1299" s="20">
        <v>0.94</v>
      </c>
    </row>
    <row r="1300" spans="8:19" x14ac:dyDescent="0.25">
      <c r="H1300">
        <v>7</v>
      </c>
      <c r="I1300">
        <v>957</v>
      </c>
      <c r="J1300">
        <v>115</v>
      </c>
      <c r="K1300" t="b">
        <v>1</v>
      </c>
      <c r="N1300" s="30" t="s">
        <v>535</v>
      </c>
      <c r="O1300" s="2">
        <f>INDEX(Маршруты,MATCH(N1300,$B$3:$B$498,0),1)</f>
        <v>57</v>
      </c>
      <c r="P1300" s="27">
        <v>18</v>
      </c>
      <c r="Q1300" s="2">
        <f>INDEX(Остановки,MATCH(R1300,ИД_Остановки!$B$3:$B$467,0),1)</f>
        <v>402</v>
      </c>
      <c r="R1300" s="45" t="s">
        <v>459</v>
      </c>
      <c r="S1300" s="20">
        <v>0.36</v>
      </c>
    </row>
    <row r="1301" spans="8:19" x14ac:dyDescent="0.25">
      <c r="H1301">
        <v>8</v>
      </c>
      <c r="I1301">
        <v>0</v>
      </c>
      <c r="J1301">
        <v>115</v>
      </c>
      <c r="K1301" t="b">
        <v>1</v>
      </c>
      <c r="N1301" s="30" t="s">
        <v>535</v>
      </c>
      <c r="O1301" s="2">
        <f>INDEX(Маршруты,MATCH(N1301,$B$3:$B$498,0),1)</f>
        <v>57</v>
      </c>
      <c r="P1301" s="27">
        <v>19</v>
      </c>
      <c r="Q1301" s="2">
        <f>INDEX(Остановки,MATCH(R1301,ИД_Остановки!$B$3:$B$467,0),1)</f>
        <v>165</v>
      </c>
      <c r="R1301" s="45" t="s">
        <v>103</v>
      </c>
      <c r="S1301" s="20">
        <v>0.53</v>
      </c>
    </row>
    <row r="1302" spans="8:19" x14ac:dyDescent="0.25">
      <c r="H1302">
        <v>8</v>
      </c>
      <c r="I1302">
        <v>3</v>
      </c>
      <c r="J1302">
        <v>115</v>
      </c>
      <c r="K1302" t="b">
        <v>1</v>
      </c>
      <c r="N1302" s="30" t="s">
        <v>535</v>
      </c>
      <c r="O1302" s="2">
        <f>INDEX(Маршруты,MATCH(N1302,$B$3:$B$498,0),1)</f>
        <v>57</v>
      </c>
      <c r="P1302" s="27">
        <v>20</v>
      </c>
      <c r="Q1302" s="2">
        <f>INDEX(Остановки,MATCH(R1302,ИД_Остановки!$B$3:$B$467,0),1)</f>
        <v>401</v>
      </c>
      <c r="R1302" s="45" t="s">
        <v>458</v>
      </c>
      <c r="S1302" s="20">
        <v>0.27</v>
      </c>
    </row>
    <row r="1303" spans="8:19" x14ac:dyDescent="0.25">
      <c r="H1303">
        <v>8</v>
      </c>
      <c r="I1303">
        <v>6</v>
      </c>
      <c r="J1303">
        <v>115</v>
      </c>
      <c r="K1303" t="b">
        <v>1</v>
      </c>
      <c r="N1303" s="25" t="s">
        <v>535</v>
      </c>
      <c r="O1303" s="2">
        <f>INDEX(Маршруты,MATCH(N1303,$B$3:$B$498,0),1)</f>
        <v>57</v>
      </c>
      <c r="P1303" s="27">
        <v>21</v>
      </c>
      <c r="Q1303" s="2">
        <f>INDEX(Остановки,MATCH(R1303,ИД_Остановки!$B$3:$B$467,0),1)</f>
        <v>164</v>
      </c>
      <c r="R1303" s="45" t="s">
        <v>102</v>
      </c>
      <c r="S1303" s="20">
        <v>0.59</v>
      </c>
    </row>
    <row r="1304" spans="8:19" x14ac:dyDescent="0.25">
      <c r="H1304">
        <v>8</v>
      </c>
      <c r="I1304">
        <v>9</v>
      </c>
      <c r="J1304">
        <v>115</v>
      </c>
      <c r="K1304" t="b">
        <v>1</v>
      </c>
      <c r="N1304" s="30" t="s">
        <v>535</v>
      </c>
      <c r="O1304" s="2">
        <f>INDEX(Маршруты,MATCH(N1304,$B$3:$B$498,0),1)</f>
        <v>57</v>
      </c>
      <c r="P1304" s="27">
        <v>22</v>
      </c>
      <c r="Q1304" s="2">
        <f>INDEX(Остановки,MATCH(R1304,ИД_Остановки!$B$3:$B$467,0),1)</f>
        <v>163</v>
      </c>
      <c r="R1304" s="45" t="s">
        <v>101</v>
      </c>
      <c r="S1304" s="20">
        <v>0.99</v>
      </c>
    </row>
    <row r="1305" spans="8:19" x14ac:dyDescent="0.25">
      <c r="H1305">
        <v>8</v>
      </c>
      <c r="I1305">
        <v>12</v>
      </c>
      <c r="J1305">
        <v>115</v>
      </c>
      <c r="K1305" t="b">
        <v>1</v>
      </c>
      <c r="N1305" s="30" t="s">
        <v>536</v>
      </c>
      <c r="O1305" s="2">
        <f>INDEX(Маршруты,MATCH(N1305,$B$3:$B$498,0),1)</f>
        <v>58</v>
      </c>
      <c r="P1305" s="27">
        <v>1</v>
      </c>
      <c r="Q1305" s="2">
        <f>INDEX(Остановки,MATCH(R1305,ИД_Остановки!$B$3:$B$467,0),1)</f>
        <v>69</v>
      </c>
      <c r="R1305" s="45" t="s">
        <v>269</v>
      </c>
      <c r="S1305" s="20"/>
    </row>
    <row r="1306" spans="8:19" x14ac:dyDescent="0.25">
      <c r="H1306">
        <v>8</v>
      </c>
      <c r="I1306">
        <v>15</v>
      </c>
      <c r="J1306">
        <v>115</v>
      </c>
      <c r="K1306" t="b">
        <v>1</v>
      </c>
      <c r="N1306" s="30" t="s">
        <v>536</v>
      </c>
      <c r="O1306" s="2">
        <f>INDEX(Маршруты,MATCH(N1306,$B$3:$B$498,0),1)</f>
        <v>58</v>
      </c>
      <c r="P1306" s="27">
        <v>2</v>
      </c>
      <c r="Q1306" s="2">
        <f>INDEX(Остановки,MATCH(R1306,ИД_Остановки!$B$3:$B$467,0),1)</f>
        <v>68</v>
      </c>
      <c r="R1306" s="24" t="s">
        <v>55</v>
      </c>
      <c r="S1306" s="20">
        <v>0.64</v>
      </c>
    </row>
    <row r="1307" spans="8:19" x14ac:dyDescent="0.25">
      <c r="H1307">
        <v>8</v>
      </c>
      <c r="I1307">
        <v>18</v>
      </c>
      <c r="J1307">
        <v>115</v>
      </c>
      <c r="K1307" t="b">
        <v>1</v>
      </c>
      <c r="N1307" s="30" t="s">
        <v>536</v>
      </c>
      <c r="O1307" s="2">
        <f>INDEX(Маршруты,MATCH(N1307,$B$3:$B$498,0),1)</f>
        <v>58</v>
      </c>
      <c r="P1307" s="27">
        <v>3</v>
      </c>
      <c r="Q1307" s="2">
        <f>INDEX(Остановки,MATCH(R1307,ИД_Остановки!$B$3:$B$467,0),1)</f>
        <v>67</v>
      </c>
      <c r="R1307" s="45" t="s">
        <v>54</v>
      </c>
      <c r="S1307" s="20">
        <v>0.93</v>
      </c>
    </row>
    <row r="1308" spans="8:19" x14ac:dyDescent="0.25">
      <c r="H1308">
        <v>8</v>
      </c>
      <c r="I1308">
        <v>21</v>
      </c>
      <c r="J1308">
        <v>115</v>
      </c>
      <c r="K1308" t="b">
        <v>1</v>
      </c>
      <c r="N1308" s="26" t="s">
        <v>536</v>
      </c>
      <c r="O1308" s="2">
        <f>INDEX(Маршруты,MATCH(N1308,$B$3:$B$498,0),1)</f>
        <v>58</v>
      </c>
      <c r="P1308" s="27">
        <v>4</v>
      </c>
      <c r="Q1308" s="2">
        <f>INDEX(Остановки,MATCH(R1308,ИД_Остановки!$B$3:$B$467,0),1)</f>
        <v>65</v>
      </c>
      <c r="R1308" s="45" t="s">
        <v>52</v>
      </c>
      <c r="S1308" s="20">
        <v>0.73</v>
      </c>
    </row>
    <row r="1309" spans="8:19" x14ac:dyDescent="0.25">
      <c r="H1309">
        <v>8</v>
      </c>
      <c r="I1309">
        <v>24</v>
      </c>
      <c r="J1309">
        <v>115</v>
      </c>
      <c r="K1309" t="b">
        <v>1</v>
      </c>
      <c r="N1309" s="25" t="s">
        <v>536</v>
      </c>
      <c r="O1309" s="2">
        <f>INDEX(Маршруты,MATCH(N1309,$B$3:$B$498,0),1)</f>
        <v>58</v>
      </c>
      <c r="P1309" s="27">
        <v>5</v>
      </c>
      <c r="Q1309" s="2">
        <f>INDEX(Остановки,MATCH(R1309,ИД_Остановки!$B$3:$B$467,0),1)</f>
        <v>64</v>
      </c>
      <c r="R1309" s="45" t="s">
        <v>50</v>
      </c>
      <c r="S1309" s="20">
        <v>0.77</v>
      </c>
    </row>
    <row r="1310" spans="8:19" x14ac:dyDescent="0.25">
      <c r="H1310">
        <v>8</v>
      </c>
      <c r="I1310">
        <v>27</v>
      </c>
      <c r="J1310">
        <v>115</v>
      </c>
      <c r="K1310" t="b">
        <v>1</v>
      </c>
      <c r="N1310" s="25" t="s">
        <v>536</v>
      </c>
      <c r="O1310" s="2">
        <f>INDEX(Маршруты,MATCH(N1310,$B$3:$B$498,0),1)</f>
        <v>58</v>
      </c>
      <c r="P1310" s="27">
        <v>6</v>
      </c>
      <c r="Q1310" s="2">
        <f>INDEX(Остановки,MATCH(R1310,ИД_Остановки!$B$3:$B$467,0),1)</f>
        <v>63</v>
      </c>
      <c r="R1310" s="45" t="s">
        <v>268</v>
      </c>
      <c r="S1310" s="20">
        <v>0.5</v>
      </c>
    </row>
    <row r="1311" spans="8:19" x14ac:dyDescent="0.25">
      <c r="H1311">
        <v>8</v>
      </c>
      <c r="I1311">
        <v>30</v>
      </c>
      <c r="J1311">
        <v>115</v>
      </c>
      <c r="K1311" t="b">
        <v>1</v>
      </c>
      <c r="N1311" s="30" t="s">
        <v>536</v>
      </c>
      <c r="O1311" s="2">
        <f>INDEX(Маршруты,MATCH(N1311,$B$3:$B$498,0),1)</f>
        <v>58</v>
      </c>
      <c r="P1311" s="27">
        <v>7</v>
      </c>
      <c r="Q1311" s="2">
        <f>INDEX(Остановки,MATCH(R1311,ИД_Остановки!$B$3:$B$467,0),1)</f>
        <v>62</v>
      </c>
      <c r="R1311" s="45" t="s">
        <v>49</v>
      </c>
      <c r="S1311" s="20">
        <v>0.56999999999999995</v>
      </c>
    </row>
    <row r="1312" spans="8:19" x14ac:dyDescent="0.25">
      <c r="H1312">
        <v>8</v>
      </c>
      <c r="I1312">
        <v>33</v>
      </c>
      <c r="J1312">
        <v>115</v>
      </c>
      <c r="K1312" t="b">
        <v>1</v>
      </c>
      <c r="N1312" s="25" t="s">
        <v>536</v>
      </c>
      <c r="O1312" s="2">
        <f>INDEX(Маршруты,MATCH(N1312,$B$3:$B$498,0),1)</f>
        <v>58</v>
      </c>
      <c r="P1312" s="28">
        <v>8</v>
      </c>
      <c r="Q1312" s="2">
        <f>INDEX(Остановки,MATCH(R1312,ИД_Остановки!$B$3:$B$467,0),1)</f>
        <v>61</v>
      </c>
      <c r="R1312" s="24" t="s">
        <v>267</v>
      </c>
      <c r="S1312" s="20">
        <v>0.49</v>
      </c>
    </row>
    <row r="1313" spans="8:19" x14ac:dyDescent="0.25">
      <c r="H1313">
        <v>8</v>
      </c>
      <c r="I1313">
        <v>36</v>
      </c>
      <c r="J1313">
        <v>115</v>
      </c>
      <c r="K1313" t="b">
        <v>1</v>
      </c>
      <c r="N1313" s="25" t="s">
        <v>536</v>
      </c>
      <c r="O1313" s="2">
        <f>INDEX(Маршруты,MATCH(N1313,$B$3:$B$498,0),1)</f>
        <v>58</v>
      </c>
      <c r="P1313" s="27">
        <v>9</v>
      </c>
      <c r="Q1313" s="2">
        <f>INDEX(Остановки,MATCH(R1313,ИД_Остановки!$B$3:$B$467,0),1)</f>
        <v>60</v>
      </c>
      <c r="R1313" s="45" t="s">
        <v>266</v>
      </c>
      <c r="S1313" s="20">
        <v>0.42</v>
      </c>
    </row>
    <row r="1314" spans="8:19" x14ac:dyDescent="0.25">
      <c r="H1314">
        <v>8</v>
      </c>
      <c r="I1314">
        <v>39</v>
      </c>
      <c r="J1314">
        <v>115</v>
      </c>
      <c r="K1314" t="b">
        <v>1</v>
      </c>
      <c r="N1314" s="32" t="s">
        <v>536</v>
      </c>
      <c r="O1314" s="2">
        <f>INDEX(Маршруты,MATCH(N1314,$B$3:$B$498,0),1)</f>
        <v>58</v>
      </c>
      <c r="P1314" s="27">
        <v>10</v>
      </c>
      <c r="Q1314" s="2">
        <f>INDEX(Остановки,MATCH(R1314,ИД_Остановки!$B$3:$B$467,0),1)</f>
        <v>59</v>
      </c>
      <c r="R1314" s="45" t="s">
        <v>48</v>
      </c>
      <c r="S1314" s="20">
        <v>0.56999999999999995</v>
      </c>
    </row>
    <row r="1315" spans="8:19" x14ac:dyDescent="0.25">
      <c r="H1315">
        <v>8</v>
      </c>
      <c r="I1315">
        <v>42</v>
      </c>
      <c r="J1315">
        <v>115</v>
      </c>
      <c r="K1315" t="b">
        <v>1</v>
      </c>
      <c r="N1315" s="25" t="s">
        <v>536</v>
      </c>
      <c r="O1315" s="2">
        <f>INDEX(Маршруты,MATCH(N1315,$B$3:$B$498,0),1)</f>
        <v>58</v>
      </c>
      <c r="P1315" s="27">
        <v>11</v>
      </c>
      <c r="Q1315" s="2">
        <f>INDEX(Остановки,MATCH(R1315,ИД_Остановки!$B$3:$B$467,0),1)</f>
        <v>116</v>
      </c>
      <c r="R1315" s="24" t="s">
        <v>75</v>
      </c>
      <c r="S1315" s="20">
        <v>0.3</v>
      </c>
    </row>
    <row r="1316" spans="8:19" x14ac:dyDescent="0.25">
      <c r="H1316">
        <v>8</v>
      </c>
      <c r="I1316">
        <v>45</v>
      </c>
      <c r="J1316">
        <v>115</v>
      </c>
      <c r="K1316" t="b">
        <v>1</v>
      </c>
      <c r="N1316" s="25" t="s">
        <v>536</v>
      </c>
      <c r="O1316" s="2">
        <f>INDEX(Маршруты,MATCH(N1316,$B$3:$B$498,0),1)</f>
        <v>58</v>
      </c>
      <c r="P1316" s="27">
        <v>12</v>
      </c>
      <c r="Q1316" s="2">
        <f>INDEX(Остановки,MATCH(R1316,ИД_Остановки!$B$3:$B$467,0),1)</f>
        <v>285</v>
      </c>
      <c r="R1316" s="45" t="s">
        <v>156</v>
      </c>
      <c r="S1316" s="20">
        <v>0.75</v>
      </c>
    </row>
    <row r="1317" spans="8:19" x14ac:dyDescent="0.25">
      <c r="H1317">
        <v>8</v>
      </c>
      <c r="I1317">
        <v>48</v>
      </c>
      <c r="J1317">
        <v>115</v>
      </c>
      <c r="K1317" t="b">
        <v>1</v>
      </c>
      <c r="N1317" s="25" t="s">
        <v>536</v>
      </c>
      <c r="O1317" s="2">
        <f>INDEX(Маршруты,MATCH(N1317,$B$3:$B$498,0),1)</f>
        <v>58</v>
      </c>
      <c r="P1317" s="27">
        <v>13</v>
      </c>
      <c r="Q1317" s="2">
        <f>INDEX(Остановки,MATCH(R1317,ИД_Остановки!$B$3:$B$467,0),1)</f>
        <v>381</v>
      </c>
      <c r="R1317" s="45" t="s">
        <v>439</v>
      </c>
      <c r="S1317" s="20">
        <v>0.73</v>
      </c>
    </row>
    <row r="1318" spans="8:19" x14ac:dyDescent="0.25">
      <c r="H1318">
        <v>8</v>
      </c>
      <c r="I1318">
        <v>51</v>
      </c>
      <c r="J1318">
        <v>115</v>
      </c>
      <c r="K1318" t="b">
        <v>1</v>
      </c>
      <c r="N1318" s="25" t="s">
        <v>536</v>
      </c>
      <c r="O1318" s="2">
        <f>INDEX(Маршруты,MATCH(N1318,$B$3:$B$498,0),1)</f>
        <v>58</v>
      </c>
      <c r="P1318" s="28">
        <v>14</v>
      </c>
      <c r="Q1318" s="2">
        <f>INDEX(Остановки,MATCH(R1318,ИД_Остановки!$B$3:$B$467,0),1)</f>
        <v>193</v>
      </c>
      <c r="R1318" s="24" t="s">
        <v>116</v>
      </c>
      <c r="S1318" s="20">
        <v>0.57999999999999996</v>
      </c>
    </row>
    <row r="1319" spans="8:19" x14ac:dyDescent="0.25">
      <c r="H1319">
        <v>8</v>
      </c>
      <c r="I1319">
        <v>54</v>
      </c>
      <c r="J1319">
        <v>115</v>
      </c>
      <c r="K1319" t="b">
        <v>1</v>
      </c>
      <c r="N1319" s="25" t="s">
        <v>536</v>
      </c>
      <c r="O1319" s="2">
        <f>INDEX(Маршруты,MATCH(N1319,$B$3:$B$498,0),1)</f>
        <v>58</v>
      </c>
      <c r="P1319" s="27">
        <v>15</v>
      </c>
      <c r="Q1319" s="2">
        <f>INDEX(Остановки,MATCH(R1319,ИД_Остановки!$B$3:$B$467,0),1)</f>
        <v>194</v>
      </c>
      <c r="R1319" s="45" t="s">
        <v>336</v>
      </c>
      <c r="S1319" s="20">
        <v>0.73</v>
      </c>
    </row>
    <row r="1320" spans="8:19" x14ac:dyDescent="0.25">
      <c r="H1320">
        <v>8</v>
      </c>
      <c r="I1320">
        <v>57</v>
      </c>
      <c r="J1320">
        <v>115</v>
      </c>
      <c r="K1320" t="b">
        <v>1</v>
      </c>
      <c r="N1320" s="25" t="s">
        <v>536</v>
      </c>
      <c r="O1320" s="2">
        <f>INDEX(Маршруты,MATCH(N1320,$B$3:$B$498,0),1)</f>
        <v>58</v>
      </c>
      <c r="P1320" s="27">
        <v>16</v>
      </c>
      <c r="Q1320" s="2">
        <f>INDEX(Остановки,MATCH(R1320,ИД_Остановки!$B$3:$B$467,0),1)</f>
        <v>195</v>
      </c>
      <c r="R1320" s="45" t="s">
        <v>117</v>
      </c>
      <c r="S1320" s="20">
        <v>0.43</v>
      </c>
    </row>
    <row r="1321" spans="8:19" x14ac:dyDescent="0.25">
      <c r="H1321">
        <v>8</v>
      </c>
      <c r="I1321">
        <v>60</v>
      </c>
      <c r="J1321">
        <v>115</v>
      </c>
      <c r="K1321" t="b">
        <v>1</v>
      </c>
      <c r="N1321" s="25" t="s">
        <v>536</v>
      </c>
      <c r="O1321" s="2">
        <f>INDEX(Маршруты,MATCH(N1321,$B$3:$B$498,0),1)</f>
        <v>58</v>
      </c>
      <c r="P1321" s="27">
        <v>17</v>
      </c>
      <c r="Q1321" s="2">
        <f>INDEX(Остановки,MATCH(R1321,ИД_Остановки!$B$3:$B$467,0),1)</f>
        <v>286</v>
      </c>
      <c r="R1321" s="45" t="s">
        <v>157</v>
      </c>
      <c r="S1321" s="20">
        <v>0.75</v>
      </c>
    </row>
    <row r="1322" spans="8:19" x14ac:dyDescent="0.25">
      <c r="H1322">
        <v>8</v>
      </c>
      <c r="I1322">
        <v>63</v>
      </c>
      <c r="J1322">
        <v>115</v>
      </c>
      <c r="K1322" t="b">
        <v>1</v>
      </c>
      <c r="N1322" s="25" t="s">
        <v>536</v>
      </c>
      <c r="O1322" s="2">
        <f>INDEX(Маршруты,MATCH(N1322,$B$3:$B$498,0),1)</f>
        <v>58</v>
      </c>
      <c r="P1322" s="27">
        <v>18</v>
      </c>
      <c r="Q1322" s="2">
        <f>INDEX(Остановки,MATCH(R1322,ИД_Остановки!$B$3:$B$467,0),1)</f>
        <v>56</v>
      </c>
      <c r="R1322" s="45" t="s">
        <v>264</v>
      </c>
      <c r="S1322" s="20">
        <v>0.72</v>
      </c>
    </row>
    <row r="1323" spans="8:19" x14ac:dyDescent="0.25">
      <c r="H1323">
        <v>8</v>
      </c>
      <c r="I1323">
        <v>66</v>
      </c>
      <c r="J1323">
        <v>115</v>
      </c>
      <c r="K1323" t="b">
        <v>1</v>
      </c>
      <c r="N1323" s="25" t="s">
        <v>536</v>
      </c>
      <c r="O1323" s="2">
        <f>INDEX(Маршруты,MATCH(N1323,$B$3:$B$498,0),1)</f>
        <v>58</v>
      </c>
      <c r="P1323" s="28">
        <v>19</v>
      </c>
      <c r="Q1323" s="2">
        <f>INDEX(Остановки,MATCH(R1323,ИД_Остановки!$B$3:$B$467,0),1)</f>
        <v>57</v>
      </c>
      <c r="R1323" s="24" t="s">
        <v>47</v>
      </c>
      <c r="S1323" s="21">
        <v>0.48</v>
      </c>
    </row>
    <row r="1324" spans="8:19" x14ac:dyDescent="0.25">
      <c r="H1324">
        <v>8</v>
      </c>
      <c r="I1324">
        <v>69</v>
      </c>
      <c r="J1324">
        <v>115</v>
      </c>
      <c r="K1324" t="b">
        <v>1</v>
      </c>
      <c r="N1324" s="30" t="s">
        <v>537</v>
      </c>
      <c r="O1324" s="2">
        <f>INDEX(Маршруты,MATCH(N1324,$B$3:$B$498,0),1)</f>
        <v>59</v>
      </c>
      <c r="P1324" s="27">
        <v>1</v>
      </c>
      <c r="Q1324" s="2">
        <f>INDEX(Остановки,MATCH(R1324,ИД_Остановки!$B$3:$B$467,0),1)</f>
        <v>57</v>
      </c>
      <c r="R1324" s="45" t="s">
        <v>47</v>
      </c>
      <c r="S1324" s="20"/>
    </row>
    <row r="1325" spans="8:19" x14ac:dyDescent="0.25">
      <c r="H1325">
        <v>8</v>
      </c>
      <c r="I1325">
        <v>72</v>
      </c>
      <c r="J1325">
        <v>115</v>
      </c>
      <c r="K1325" t="b">
        <v>1</v>
      </c>
      <c r="N1325" s="30" t="s">
        <v>537</v>
      </c>
      <c r="O1325" s="2">
        <f>INDEX(Маршруты,MATCH(N1325,$B$3:$B$498,0),1)</f>
        <v>59</v>
      </c>
      <c r="P1325" s="27">
        <v>2</v>
      </c>
      <c r="Q1325" s="2">
        <f>INDEX(Остановки,MATCH(R1325,ИД_Остановки!$B$3:$B$467,0),1)</f>
        <v>56</v>
      </c>
      <c r="R1325" s="45" t="s">
        <v>264</v>
      </c>
      <c r="S1325" s="20">
        <v>0.48</v>
      </c>
    </row>
    <row r="1326" spans="8:19" x14ac:dyDescent="0.25">
      <c r="H1326">
        <v>8</v>
      </c>
      <c r="I1326">
        <v>75</v>
      </c>
      <c r="J1326">
        <v>115</v>
      </c>
      <c r="K1326" t="b">
        <v>1</v>
      </c>
      <c r="N1326" s="32" t="s">
        <v>537</v>
      </c>
      <c r="O1326" s="2">
        <f>INDEX(Маршруты,MATCH(N1326,$B$3:$B$498,0),1)</f>
        <v>59</v>
      </c>
      <c r="P1326" s="27">
        <v>3</v>
      </c>
      <c r="Q1326" s="2">
        <f>INDEX(Остановки,MATCH(R1326,ИД_Остановки!$B$3:$B$467,0),1)</f>
        <v>286</v>
      </c>
      <c r="R1326" s="45" t="s">
        <v>157</v>
      </c>
      <c r="S1326" s="20">
        <v>0.72</v>
      </c>
    </row>
    <row r="1327" spans="8:19" x14ac:dyDescent="0.25">
      <c r="H1327">
        <v>8</v>
      </c>
      <c r="I1327">
        <v>78</v>
      </c>
      <c r="J1327">
        <v>115</v>
      </c>
      <c r="K1327" t="b">
        <v>1</v>
      </c>
      <c r="N1327" s="30" t="s">
        <v>537</v>
      </c>
      <c r="O1327" s="2">
        <f>INDEX(Маршруты,MATCH(N1327,$B$3:$B$498,0),1)</f>
        <v>59</v>
      </c>
      <c r="P1327" s="27">
        <v>4</v>
      </c>
      <c r="Q1327" s="2">
        <f>INDEX(Остановки,MATCH(R1327,ИД_Остановки!$B$3:$B$467,0),1)</f>
        <v>195</v>
      </c>
      <c r="R1327" s="45" t="s">
        <v>117</v>
      </c>
      <c r="S1327" s="20">
        <v>0.75</v>
      </c>
    </row>
    <row r="1328" spans="8:19" x14ac:dyDescent="0.25">
      <c r="H1328">
        <v>8</v>
      </c>
      <c r="I1328">
        <v>81</v>
      </c>
      <c r="J1328">
        <v>115</v>
      </c>
      <c r="K1328" t="b">
        <v>1</v>
      </c>
      <c r="N1328" s="30" t="s">
        <v>537</v>
      </c>
      <c r="O1328" s="2">
        <f>INDEX(Маршруты,MATCH(N1328,$B$3:$B$498,0),1)</f>
        <v>59</v>
      </c>
      <c r="P1328" s="27">
        <v>5</v>
      </c>
      <c r="Q1328" s="2">
        <f>INDEX(Остановки,MATCH(R1328,ИД_Остановки!$B$3:$B$467,0),1)</f>
        <v>194</v>
      </c>
      <c r="R1328" s="45" t="s">
        <v>336</v>
      </c>
      <c r="S1328" s="20">
        <v>0.43</v>
      </c>
    </row>
    <row r="1329" spans="8:19" x14ac:dyDescent="0.25">
      <c r="H1329">
        <v>8</v>
      </c>
      <c r="I1329">
        <v>84</v>
      </c>
      <c r="J1329">
        <v>115</v>
      </c>
      <c r="K1329" t="b">
        <v>1</v>
      </c>
      <c r="N1329" s="26" t="s">
        <v>537</v>
      </c>
      <c r="O1329" s="2">
        <f>INDEX(Маршруты,MATCH(N1329,$B$3:$B$498,0),1)</f>
        <v>59</v>
      </c>
      <c r="P1329" s="27">
        <v>6</v>
      </c>
      <c r="Q1329" s="2">
        <f>INDEX(Остановки,MATCH(R1329,ИД_Остановки!$B$3:$B$467,0),1)</f>
        <v>193</v>
      </c>
      <c r="R1329" s="45" t="s">
        <v>116</v>
      </c>
      <c r="S1329" s="20">
        <v>0.73</v>
      </c>
    </row>
    <row r="1330" spans="8:19" x14ac:dyDescent="0.25">
      <c r="H1330">
        <v>8</v>
      </c>
      <c r="I1330">
        <v>87</v>
      </c>
      <c r="J1330">
        <v>115</v>
      </c>
      <c r="K1330" t="b">
        <v>1</v>
      </c>
      <c r="N1330" s="25" t="s">
        <v>537</v>
      </c>
      <c r="O1330" s="2">
        <f>INDEX(Маршруты,MATCH(N1330,$B$3:$B$498,0),1)</f>
        <v>59</v>
      </c>
      <c r="P1330" s="28">
        <v>7</v>
      </c>
      <c r="Q1330" s="2">
        <f>INDEX(Остановки,MATCH(R1330,ИД_Остановки!$B$3:$B$467,0),1)</f>
        <v>381</v>
      </c>
      <c r="R1330" s="24" t="s">
        <v>439</v>
      </c>
      <c r="S1330" s="20">
        <v>0.57999999999999996</v>
      </c>
    </row>
    <row r="1331" spans="8:19" x14ac:dyDescent="0.25">
      <c r="H1331">
        <v>8</v>
      </c>
      <c r="I1331">
        <v>90</v>
      </c>
      <c r="J1331">
        <v>115</v>
      </c>
      <c r="K1331" t="b">
        <v>1</v>
      </c>
      <c r="N1331" s="25" t="s">
        <v>537</v>
      </c>
      <c r="O1331" s="2">
        <f>INDEX(Маршруты,MATCH(N1331,$B$3:$B$498,0),1)</f>
        <v>59</v>
      </c>
      <c r="P1331" s="27">
        <v>8</v>
      </c>
      <c r="Q1331" s="2">
        <f>INDEX(Остановки,MATCH(R1331,ИД_Остановки!$B$3:$B$467,0),1)</f>
        <v>285</v>
      </c>
      <c r="R1331" s="45" t="s">
        <v>156</v>
      </c>
      <c r="S1331" s="20">
        <v>0.73</v>
      </c>
    </row>
    <row r="1332" spans="8:19" x14ac:dyDescent="0.25">
      <c r="H1332">
        <v>8</v>
      </c>
      <c r="I1332">
        <v>93</v>
      </c>
      <c r="J1332">
        <v>115</v>
      </c>
      <c r="K1332" t="b">
        <v>1</v>
      </c>
      <c r="N1332" s="26" t="s">
        <v>537</v>
      </c>
      <c r="O1332" s="2">
        <f>INDEX(Маршруты,MATCH(N1332,$B$3:$B$498,0),1)</f>
        <v>59</v>
      </c>
      <c r="P1332" s="27">
        <v>9</v>
      </c>
      <c r="Q1332" s="2">
        <f>INDEX(Остановки,MATCH(R1332,ИД_Остановки!$B$3:$B$467,0),1)</f>
        <v>116</v>
      </c>
      <c r="R1332" s="45" t="s">
        <v>75</v>
      </c>
      <c r="S1332" s="20">
        <v>0.75</v>
      </c>
    </row>
    <row r="1333" spans="8:19" x14ac:dyDescent="0.25">
      <c r="H1333">
        <v>8</v>
      </c>
      <c r="I1333">
        <v>96</v>
      </c>
      <c r="J1333">
        <v>115</v>
      </c>
      <c r="K1333" t="b">
        <v>1</v>
      </c>
      <c r="N1333" s="25" t="s">
        <v>537</v>
      </c>
      <c r="O1333" s="2">
        <f>INDEX(Маршруты,MATCH(N1333,$B$3:$B$498,0),1)</f>
        <v>59</v>
      </c>
      <c r="P1333" s="27">
        <v>10</v>
      </c>
      <c r="Q1333" s="2">
        <f>INDEX(Остановки,MATCH(R1333,ИД_Остановки!$B$3:$B$467,0),1)</f>
        <v>59</v>
      </c>
      <c r="R1333" s="45" t="s">
        <v>48</v>
      </c>
      <c r="S1333" s="20">
        <v>0.3</v>
      </c>
    </row>
    <row r="1334" spans="8:19" x14ac:dyDescent="0.25">
      <c r="H1334">
        <v>8</v>
      </c>
      <c r="I1334">
        <v>99</v>
      </c>
      <c r="J1334">
        <v>115</v>
      </c>
      <c r="K1334" t="b">
        <v>1</v>
      </c>
      <c r="N1334" s="30" t="s">
        <v>537</v>
      </c>
      <c r="O1334" s="2">
        <f>INDEX(Маршруты,MATCH(N1334,$B$3:$B$498,0),1)</f>
        <v>59</v>
      </c>
      <c r="P1334" s="27">
        <v>11</v>
      </c>
      <c r="Q1334" s="2">
        <f>INDEX(Остановки,MATCH(R1334,ИД_Остановки!$B$3:$B$467,0),1)</f>
        <v>60</v>
      </c>
      <c r="R1334" s="45" t="s">
        <v>266</v>
      </c>
      <c r="S1334" s="20">
        <v>0.56999999999999995</v>
      </c>
    </row>
    <row r="1335" spans="8:19" x14ac:dyDescent="0.25">
      <c r="H1335">
        <v>8</v>
      </c>
      <c r="I1335">
        <v>102</v>
      </c>
      <c r="J1335">
        <v>115</v>
      </c>
      <c r="K1335" t="b">
        <v>1</v>
      </c>
      <c r="N1335" s="26" t="s">
        <v>537</v>
      </c>
      <c r="O1335" s="2">
        <f>INDEX(Маршруты,MATCH(N1335,$B$3:$B$498,0),1)</f>
        <v>59</v>
      </c>
      <c r="P1335" s="27">
        <v>12</v>
      </c>
      <c r="Q1335" s="2">
        <f>INDEX(Остановки,MATCH(R1335,ИД_Остановки!$B$3:$B$467,0),1)</f>
        <v>61</v>
      </c>
      <c r="R1335" s="45" t="s">
        <v>267</v>
      </c>
      <c r="S1335" s="20">
        <v>0.42</v>
      </c>
    </row>
    <row r="1336" spans="8:19" x14ac:dyDescent="0.25">
      <c r="H1336">
        <v>8</v>
      </c>
      <c r="I1336">
        <v>105</v>
      </c>
      <c r="J1336">
        <v>115</v>
      </c>
      <c r="K1336" t="b">
        <v>1</v>
      </c>
      <c r="N1336" s="30" t="s">
        <v>537</v>
      </c>
      <c r="O1336" s="2">
        <f>INDEX(Маршруты,MATCH(N1336,$B$3:$B$498,0),1)</f>
        <v>59</v>
      </c>
      <c r="P1336" s="27">
        <v>13</v>
      </c>
      <c r="Q1336" s="2">
        <f>INDEX(Остановки,MATCH(R1336,ИД_Остановки!$B$3:$B$467,0),1)</f>
        <v>62</v>
      </c>
      <c r="R1336" s="45" t="s">
        <v>49</v>
      </c>
      <c r="S1336" s="20">
        <v>0.49</v>
      </c>
    </row>
    <row r="1337" spans="8:19" x14ac:dyDescent="0.25">
      <c r="H1337">
        <v>8</v>
      </c>
      <c r="I1337">
        <v>108</v>
      </c>
      <c r="J1337">
        <v>115</v>
      </c>
      <c r="K1337" t="b">
        <v>1</v>
      </c>
      <c r="N1337" s="30" t="s">
        <v>537</v>
      </c>
      <c r="O1337" s="2">
        <f>INDEX(Маршруты,MATCH(N1337,$B$3:$B$498,0),1)</f>
        <v>59</v>
      </c>
      <c r="P1337" s="27">
        <v>14</v>
      </c>
      <c r="Q1337" s="2">
        <f>INDEX(Остановки,MATCH(R1337,ИД_Остановки!$B$3:$B$467,0),1)</f>
        <v>63</v>
      </c>
      <c r="R1337" s="45" t="s">
        <v>268</v>
      </c>
      <c r="S1337" s="20">
        <v>0.56999999999999995</v>
      </c>
    </row>
    <row r="1338" spans="8:19" x14ac:dyDescent="0.25">
      <c r="H1338">
        <v>8</v>
      </c>
      <c r="I1338">
        <v>111</v>
      </c>
      <c r="J1338">
        <v>115</v>
      </c>
      <c r="K1338" t="b">
        <v>1</v>
      </c>
      <c r="N1338" s="30" t="s">
        <v>537</v>
      </c>
      <c r="O1338" s="2">
        <f>INDEX(Маршруты,MATCH(N1338,$B$3:$B$498,0),1)</f>
        <v>59</v>
      </c>
      <c r="P1338" s="27">
        <v>15</v>
      </c>
      <c r="Q1338" s="2">
        <f>INDEX(Остановки,MATCH(R1338,ИД_Остановки!$B$3:$B$467,0),1)</f>
        <v>64</v>
      </c>
      <c r="R1338" s="45" t="s">
        <v>50</v>
      </c>
      <c r="S1338" s="20">
        <v>0.5</v>
      </c>
    </row>
    <row r="1339" spans="8:19" x14ac:dyDescent="0.25">
      <c r="H1339">
        <v>8</v>
      </c>
      <c r="I1339">
        <v>114</v>
      </c>
      <c r="J1339">
        <v>115</v>
      </c>
      <c r="K1339" t="b">
        <v>1</v>
      </c>
      <c r="N1339" s="26" t="s">
        <v>537</v>
      </c>
      <c r="O1339" s="2">
        <f>INDEX(Маршруты,MATCH(N1339,$B$3:$B$498,0),1)</f>
        <v>59</v>
      </c>
      <c r="P1339" s="27">
        <v>16</v>
      </c>
      <c r="Q1339" s="2">
        <f>INDEX(Остановки,MATCH(R1339,ИД_Остановки!$B$3:$B$467,0),1)</f>
        <v>65</v>
      </c>
      <c r="R1339" s="45" t="s">
        <v>52</v>
      </c>
      <c r="S1339" s="20">
        <v>0.77</v>
      </c>
    </row>
    <row r="1340" spans="8:19" x14ac:dyDescent="0.25">
      <c r="H1340">
        <v>8</v>
      </c>
      <c r="I1340">
        <v>117</v>
      </c>
      <c r="J1340">
        <v>115</v>
      </c>
      <c r="K1340" t="b">
        <v>1</v>
      </c>
      <c r="N1340" s="26" t="s">
        <v>537</v>
      </c>
      <c r="O1340" s="2">
        <f>INDEX(Маршруты,MATCH(N1340,$B$3:$B$498,0),1)</f>
        <v>59</v>
      </c>
      <c r="P1340" s="27">
        <v>17</v>
      </c>
      <c r="Q1340" s="2">
        <f>INDEX(Остановки,MATCH(R1340,ИД_Остановки!$B$3:$B$467,0),1)</f>
        <v>67</v>
      </c>
      <c r="R1340" s="45" t="s">
        <v>54</v>
      </c>
      <c r="S1340" s="20">
        <v>0.73</v>
      </c>
    </row>
    <row r="1341" spans="8:19" x14ac:dyDescent="0.25">
      <c r="H1341">
        <v>8</v>
      </c>
      <c r="I1341">
        <v>120</v>
      </c>
      <c r="J1341">
        <v>115</v>
      </c>
      <c r="K1341" t="b">
        <v>1</v>
      </c>
      <c r="N1341" s="30" t="s">
        <v>537</v>
      </c>
      <c r="O1341" s="2">
        <f>INDEX(Маршруты,MATCH(N1341,$B$3:$B$498,0),1)</f>
        <v>59</v>
      </c>
      <c r="P1341" s="28">
        <v>18</v>
      </c>
      <c r="Q1341" s="2">
        <f>INDEX(Остановки,MATCH(R1341,ИД_Остановки!$B$3:$B$467,0),1)</f>
        <v>68</v>
      </c>
      <c r="R1341" s="24" t="s">
        <v>55</v>
      </c>
      <c r="S1341" s="20">
        <v>0.93</v>
      </c>
    </row>
    <row r="1342" spans="8:19" x14ac:dyDescent="0.25">
      <c r="H1342">
        <v>8</v>
      </c>
      <c r="I1342">
        <v>123</v>
      </c>
      <c r="J1342">
        <v>115</v>
      </c>
      <c r="K1342" t="b">
        <v>1</v>
      </c>
      <c r="N1342" s="30" t="s">
        <v>537</v>
      </c>
      <c r="O1342" s="2">
        <f>INDEX(Маршруты,MATCH(N1342,$B$3:$B$498,0),1)</f>
        <v>59</v>
      </c>
      <c r="P1342" s="27">
        <v>19</v>
      </c>
      <c r="Q1342" s="2">
        <f>INDEX(Остановки,MATCH(R1342,ИД_Остановки!$B$3:$B$467,0),1)</f>
        <v>69</v>
      </c>
      <c r="R1342" s="45" t="s">
        <v>269</v>
      </c>
      <c r="S1342" s="20">
        <v>0.64</v>
      </c>
    </row>
    <row r="1343" spans="8:19" x14ac:dyDescent="0.25">
      <c r="H1343">
        <v>8</v>
      </c>
      <c r="I1343">
        <v>126</v>
      </c>
      <c r="J1343">
        <v>115</v>
      </c>
      <c r="K1343" t="b">
        <v>1</v>
      </c>
      <c r="N1343" s="30" t="s">
        <v>538</v>
      </c>
      <c r="O1343" s="2">
        <f>INDEX(Маршруты,MATCH(N1343,$B$3:$B$498,0),1)</f>
        <v>60</v>
      </c>
      <c r="P1343" s="27">
        <v>1</v>
      </c>
      <c r="Q1343" s="2">
        <f>INDEX(Остановки,MATCH(R1343,ИД_Остановки!$B$3:$B$467,0),1)</f>
        <v>91</v>
      </c>
      <c r="R1343" s="45" t="s">
        <v>618</v>
      </c>
      <c r="S1343" s="20"/>
    </row>
    <row r="1344" spans="8:19" x14ac:dyDescent="0.25">
      <c r="H1344">
        <v>8</v>
      </c>
      <c r="I1344">
        <v>129</v>
      </c>
      <c r="J1344">
        <v>115</v>
      </c>
      <c r="K1344" t="b">
        <v>1</v>
      </c>
      <c r="N1344" s="30" t="s">
        <v>538</v>
      </c>
      <c r="O1344" s="2">
        <f>INDEX(Маршруты,MATCH(N1344,$B$3:$B$498,0),1)</f>
        <v>60</v>
      </c>
      <c r="P1344" s="27">
        <v>2</v>
      </c>
      <c r="Q1344" s="2">
        <f>INDEX(Остановки,MATCH(R1344,ИД_Остановки!$B$3:$B$467,0),1)</f>
        <v>107</v>
      </c>
      <c r="R1344" s="45" t="s">
        <v>292</v>
      </c>
      <c r="S1344" s="20">
        <v>0.46</v>
      </c>
    </row>
    <row r="1345" spans="8:19" x14ac:dyDescent="0.25">
      <c r="H1345">
        <v>8</v>
      </c>
      <c r="I1345">
        <v>132</v>
      </c>
      <c r="J1345">
        <v>115</v>
      </c>
      <c r="K1345" t="b">
        <v>1</v>
      </c>
      <c r="N1345" s="26" t="s">
        <v>538</v>
      </c>
      <c r="O1345" s="2">
        <f>INDEX(Маршруты,MATCH(N1345,$B$3:$B$498,0),1)</f>
        <v>60</v>
      </c>
      <c r="P1345" s="27">
        <v>3</v>
      </c>
      <c r="Q1345" s="2">
        <f>INDEX(Остановки,MATCH(R1345,ИД_Остановки!$B$3:$B$467,0),1)</f>
        <v>108</v>
      </c>
      <c r="R1345" s="45" t="s">
        <v>648</v>
      </c>
      <c r="S1345" s="20">
        <v>0.55000000000000004</v>
      </c>
    </row>
    <row r="1346" spans="8:19" x14ac:dyDescent="0.25">
      <c r="H1346">
        <v>8</v>
      </c>
      <c r="I1346">
        <v>135</v>
      </c>
      <c r="J1346">
        <v>115</v>
      </c>
      <c r="K1346" t="b">
        <v>1</v>
      </c>
      <c r="N1346" s="30" t="s">
        <v>538</v>
      </c>
      <c r="O1346" s="2">
        <f>INDEX(Маршруты,MATCH(N1346,$B$3:$B$498,0),1)</f>
        <v>60</v>
      </c>
      <c r="P1346" s="27">
        <v>4</v>
      </c>
      <c r="Q1346" s="2">
        <f>INDEX(Остановки,MATCH(R1346,ИД_Остановки!$B$3:$B$467,0),1)</f>
        <v>76</v>
      </c>
      <c r="R1346" s="45" t="s">
        <v>56</v>
      </c>
      <c r="S1346" s="20">
        <v>0.68</v>
      </c>
    </row>
    <row r="1347" spans="8:19" x14ac:dyDescent="0.25">
      <c r="H1347">
        <v>8</v>
      </c>
      <c r="I1347">
        <v>138</v>
      </c>
      <c r="J1347">
        <v>115</v>
      </c>
      <c r="K1347" t="b">
        <v>1</v>
      </c>
      <c r="N1347" s="30" t="s">
        <v>538</v>
      </c>
      <c r="O1347" s="2">
        <f>INDEX(Маршруты,MATCH(N1347,$B$3:$B$498,0),1)</f>
        <v>60</v>
      </c>
      <c r="P1347" s="27">
        <v>5</v>
      </c>
      <c r="Q1347" s="2">
        <f>INDEX(Остановки,MATCH(R1347,ИД_Остановки!$B$3:$B$467,0),1)</f>
        <v>77</v>
      </c>
      <c r="R1347" s="45" t="s">
        <v>276</v>
      </c>
      <c r="S1347" s="20">
        <v>0.56000000000000005</v>
      </c>
    </row>
    <row r="1348" spans="8:19" x14ac:dyDescent="0.25">
      <c r="H1348">
        <v>8</v>
      </c>
      <c r="I1348">
        <v>141</v>
      </c>
      <c r="J1348">
        <v>115</v>
      </c>
      <c r="K1348" t="b">
        <v>1</v>
      </c>
      <c r="N1348" s="30" t="s">
        <v>538</v>
      </c>
      <c r="O1348" s="2">
        <f>INDEX(Маршруты,MATCH(N1348,$B$3:$B$498,0),1)</f>
        <v>60</v>
      </c>
      <c r="P1348" s="28">
        <v>6</v>
      </c>
      <c r="Q1348" s="2">
        <f>INDEX(Остановки,MATCH(R1348,ИД_Остановки!$B$3:$B$467,0),1)</f>
        <v>178</v>
      </c>
      <c r="R1348" s="24" t="s">
        <v>93</v>
      </c>
      <c r="S1348" s="20">
        <v>0.59</v>
      </c>
    </row>
    <row r="1349" spans="8:19" x14ac:dyDescent="0.25">
      <c r="H1349">
        <v>8</v>
      </c>
      <c r="I1349">
        <v>144</v>
      </c>
      <c r="J1349">
        <v>115</v>
      </c>
      <c r="K1349" t="b">
        <v>1</v>
      </c>
      <c r="N1349" s="30" t="s">
        <v>538</v>
      </c>
      <c r="O1349" s="2">
        <f>INDEX(Маршруты,MATCH(N1349,$B$3:$B$498,0),1)</f>
        <v>60</v>
      </c>
      <c r="P1349" s="27">
        <v>7</v>
      </c>
      <c r="Q1349" s="2">
        <f>INDEX(Остановки,MATCH(R1349,ИД_Остановки!$B$3:$B$467,0),1)</f>
        <v>444</v>
      </c>
      <c r="R1349" s="45" t="s">
        <v>650</v>
      </c>
      <c r="S1349" s="20">
        <v>0.34</v>
      </c>
    </row>
    <row r="1350" spans="8:19" x14ac:dyDescent="0.25">
      <c r="H1350">
        <v>8</v>
      </c>
      <c r="I1350">
        <v>147</v>
      </c>
      <c r="J1350">
        <v>115</v>
      </c>
      <c r="K1350" t="b">
        <v>1</v>
      </c>
      <c r="N1350" s="30" t="s">
        <v>538</v>
      </c>
      <c r="O1350" s="2">
        <f>INDEX(Маршруты,MATCH(N1350,$B$3:$B$498,0),1)</f>
        <v>60</v>
      </c>
      <c r="P1350" s="28">
        <v>8</v>
      </c>
      <c r="Q1350" s="2">
        <f>INDEX(Остановки,MATCH(R1350,ИД_Остановки!$B$3:$B$467,0),1)</f>
        <v>177</v>
      </c>
      <c r="R1350" s="24" t="s">
        <v>92</v>
      </c>
      <c r="S1350" s="20">
        <v>0.37</v>
      </c>
    </row>
    <row r="1351" spans="8:19" x14ac:dyDescent="0.25">
      <c r="H1351">
        <v>8</v>
      </c>
      <c r="I1351">
        <v>150</v>
      </c>
      <c r="J1351">
        <v>115</v>
      </c>
      <c r="K1351" t="b">
        <v>1</v>
      </c>
      <c r="N1351" s="30" t="s">
        <v>538</v>
      </c>
      <c r="O1351" s="2">
        <f>INDEX(Маршруты,MATCH(N1351,$B$3:$B$498,0),1)</f>
        <v>60</v>
      </c>
      <c r="P1351" s="27">
        <v>9</v>
      </c>
      <c r="Q1351" s="2">
        <f>INDEX(Остановки,MATCH(R1351,ИД_Остановки!$B$3:$B$467,0),1)</f>
        <v>382</v>
      </c>
      <c r="R1351" s="45" t="s">
        <v>440</v>
      </c>
      <c r="S1351" s="20">
        <v>0.71</v>
      </c>
    </row>
    <row r="1352" spans="8:19" x14ac:dyDescent="0.25">
      <c r="H1352">
        <v>8</v>
      </c>
      <c r="I1352">
        <v>153</v>
      </c>
      <c r="J1352">
        <v>115</v>
      </c>
      <c r="K1352" t="b">
        <v>1</v>
      </c>
      <c r="N1352" s="30" t="s">
        <v>538</v>
      </c>
      <c r="O1352" s="2">
        <f>INDEX(Маршруты,MATCH(N1352,$B$3:$B$498,0),1)</f>
        <v>60</v>
      </c>
      <c r="P1352" s="27">
        <v>10</v>
      </c>
      <c r="Q1352" s="2">
        <f>INDEX(Остановки,MATCH(R1352,ИД_Остановки!$B$3:$B$467,0),1)</f>
        <v>147</v>
      </c>
      <c r="R1352" s="45" t="s">
        <v>316</v>
      </c>
      <c r="S1352" s="20">
        <v>0.39</v>
      </c>
    </row>
    <row r="1353" spans="8:19" x14ac:dyDescent="0.25">
      <c r="H1353">
        <v>8</v>
      </c>
      <c r="I1353">
        <v>156</v>
      </c>
      <c r="J1353">
        <v>115</v>
      </c>
      <c r="K1353" t="b">
        <v>1</v>
      </c>
      <c r="N1353" s="25" t="s">
        <v>538</v>
      </c>
      <c r="O1353" s="2">
        <f>INDEX(Маршруты,MATCH(N1353,$B$3:$B$498,0),1)</f>
        <v>60</v>
      </c>
      <c r="P1353" s="27">
        <v>11</v>
      </c>
      <c r="Q1353" s="2">
        <f>INDEX(Остановки,MATCH(R1353,ИД_Остановки!$B$3:$B$467,0),1)</f>
        <v>383</v>
      </c>
      <c r="R1353" s="45" t="s">
        <v>441</v>
      </c>
      <c r="S1353" s="20">
        <v>0.47</v>
      </c>
    </row>
    <row r="1354" spans="8:19" x14ac:dyDescent="0.25">
      <c r="H1354">
        <v>8</v>
      </c>
      <c r="I1354">
        <v>159</v>
      </c>
      <c r="J1354">
        <v>115</v>
      </c>
      <c r="K1354" t="b">
        <v>1</v>
      </c>
      <c r="N1354" s="32" t="s">
        <v>538</v>
      </c>
      <c r="O1354" s="2">
        <f>INDEX(Маршруты,MATCH(N1354,$B$3:$B$498,0),1)</f>
        <v>60</v>
      </c>
      <c r="P1354" s="27">
        <v>12</v>
      </c>
      <c r="Q1354" s="2">
        <f>INDEX(Остановки,MATCH(R1354,ИД_Остановки!$B$3:$B$467,0),1)</f>
        <v>187</v>
      </c>
      <c r="R1354" s="45" t="s">
        <v>113</v>
      </c>
      <c r="S1354" s="20">
        <v>0.49</v>
      </c>
    </row>
    <row r="1355" spans="8:19" x14ac:dyDescent="0.25">
      <c r="H1355">
        <v>8</v>
      </c>
      <c r="I1355">
        <v>162</v>
      </c>
      <c r="J1355">
        <v>115</v>
      </c>
      <c r="K1355" t="b">
        <v>1</v>
      </c>
      <c r="N1355" s="25" t="s">
        <v>538</v>
      </c>
      <c r="O1355" s="2">
        <f>INDEX(Маршруты,MATCH(N1355,$B$3:$B$498,0),1)</f>
        <v>60</v>
      </c>
      <c r="P1355" s="28">
        <v>13</v>
      </c>
      <c r="Q1355" s="2">
        <f>INDEX(Остановки,MATCH(R1355,ИД_Остановки!$B$3:$B$467,0),1)</f>
        <v>188</v>
      </c>
      <c r="R1355" s="24" t="s">
        <v>333</v>
      </c>
      <c r="S1355" s="20">
        <v>1.36</v>
      </c>
    </row>
    <row r="1356" spans="8:19" x14ac:dyDescent="0.25">
      <c r="H1356">
        <v>8</v>
      </c>
      <c r="I1356">
        <v>165</v>
      </c>
      <c r="J1356">
        <v>115</v>
      </c>
      <c r="K1356" t="b">
        <v>1</v>
      </c>
      <c r="N1356" s="30" t="s">
        <v>538</v>
      </c>
      <c r="O1356" s="2">
        <f>INDEX(Маршруты,MATCH(N1356,$B$3:$B$498,0),1)</f>
        <v>60</v>
      </c>
      <c r="P1356" s="27">
        <v>14</v>
      </c>
      <c r="Q1356" s="2">
        <f>INDEX(Остановки,MATCH(R1356,ИД_Остановки!$B$3:$B$467,0),1)</f>
        <v>189</v>
      </c>
      <c r="R1356" s="45" t="s">
        <v>114</v>
      </c>
      <c r="S1356" s="20">
        <v>0.51</v>
      </c>
    </row>
    <row r="1357" spans="8:19" x14ac:dyDescent="0.25">
      <c r="H1357">
        <v>8</v>
      </c>
      <c r="I1357">
        <v>168</v>
      </c>
      <c r="J1357">
        <v>115</v>
      </c>
      <c r="K1357" t="b">
        <v>1</v>
      </c>
      <c r="N1357" s="30" t="s">
        <v>538</v>
      </c>
      <c r="O1357" s="2">
        <f>INDEX(Маршруты,MATCH(N1357,$B$3:$B$498,0),1)</f>
        <v>60</v>
      </c>
      <c r="P1357" s="27">
        <v>15</v>
      </c>
      <c r="Q1357" s="2">
        <f>INDEX(Остановки,MATCH(R1357,ИД_Остановки!$B$3:$B$467,0),1)</f>
        <v>190</v>
      </c>
      <c r="R1357" s="45" t="s">
        <v>115</v>
      </c>
      <c r="S1357" s="20">
        <v>1.6</v>
      </c>
    </row>
    <row r="1358" spans="8:19" x14ac:dyDescent="0.25">
      <c r="H1358">
        <v>8</v>
      </c>
      <c r="I1358">
        <v>171</v>
      </c>
      <c r="J1358">
        <v>115</v>
      </c>
      <c r="K1358" t="b">
        <v>1</v>
      </c>
      <c r="N1358" s="30" t="s">
        <v>539</v>
      </c>
      <c r="O1358" s="2">
        <f>INDEX(Маршруты,MATCH(N1358,$B$3:$B$498,0),1)</f>
        <v>61</v>
      </c>
      <c r="P1358" s="27">
        <v>1</v>
      </c>
      <c r="Q1358" s="2">
        <f>INDEX(Остановки,MATCH(R1358,ИД_Остановки!$B$3:$B$467,0),1)</f>
        <v>190</v>
      </c>
      <c r="R1358" s="45" t="s">
        <v>115</v>
      </c>
      <c r="S1358" s="20"/>
    </row>
    <row r="1359" spans="8:19" x14ac:dyDescent="0.25">
      <c r="H1359">
        <v>8</v>
      </c>
      <c r="I1359">
        <v>174</v>
      </c>
      <c r="J1359">
        <v>115</v>
      </c>
      <c r="K1359" t="b">
        <v>1</v>
      </c>
      <c r="N1359" s="24" t="s">
        <v>539</v>
      </c>
      <c r="O1359" s="2">
        <f>INDEX(Маршруты,MATCH(N1359,$B$3:$B$498,0),1)</f>
        <v>61</v>
      </c>
      <c r="P1359" s="27">
        <v>2</v>
      </c>
      <c r="Q1359" s="2">
        <f>INDEX(Остановки,MATCH(R1359,ИД_Остановки!$B$3:$B$467,0),1)</f>
        <v>189</v>
      </c>
      <c r="R1359" s="45" t="s">
        <v>114</v>
      </c>
      <c r="S1359" s="20">
        <v>1.6</v>
      </c>
    </row>
    <row r="1360" spans="8:19" x14ac:dyDescent="0.25">
      <c r="H1360">
        <v>8</v>
      </c>
      <c r="I1360">
        <v>177</v>
      </c>
      <c r="J1360">
        <v>115</v>
      </c>
      <c r="K1360" t="b">
        <v>1</v>
      </c>
      <c r="N1360" s="30" t="s">
        <v>539</v>
      </c>
      <c r="O1360" s="2">
        <f>INDEX(Маршруты,MATCH(N1360,$B$3:$B$498,0),1)</f>
        <v>61</v>
      </c>
      <c r="P1360" s="27">
        <v>3</v>
      </c>
      <c r="Q1360" s="2">
        <f>INDEX(Остановки,MATCH(R1360,ИД_Остановки!$B$3:$B$467,0),1)</f>
        <v>188</v>
      </c>
      <c r="R1360" s="45" t="s">
        <v>333</v>
      </c>
      <c r="S1360" s="20">
        <v>0.51</v>
      </c>
    </row>
    <row r="1361" spans="8:19" x14ac:dyDescent="0.25">
      <c r="H1361">
        <v>8</v>
      </c>
      <c r="I1361">
        <v>180</v>
      </c>
      <c r="J1361">
        <v>115</v>
      </c>
      <c r="K1361" t="b">
        <v>1</v>
      </c>
      <c r="N1361" s="25" t="s">
        <v>539</v>
      </c>
      <c r="O1361" s="2">
        <f>INDEX(Маршруты,MATCH(N1361,$B$3:$B$498,0),1)</f>
        <v>61</v>
      </c>
      <c r="P1361" s="27">
        <v>4</v>
      </c>
      <c r="Q1361" s="2">
        <f>INDEX(Остановки,MATCH(R1361,ИД_Остановки!$B$3:$B$467,0),1)</f>
        <v>187</v>
      </c>
      <c r="R1361" s="45" t="s">
        <v>113</v>
      </c>
      <c r="S1361" s="20">
        <v>1.36</v>
      </c>
    </row>
    <row r="1362" spans="8:19" x14ac:dyDescent="0.25">
      <c r="H1362">
        <v>8</v>
      </c>
      <c r="I1362">
        <v>183</v>
      </c>
      <c r="J1362">
        <v>115</v>
      </c>
      <c r="K1362" t="b">
        <v>1</v>
      </c>
      <c r="N1362" s="26" t="s">
        <v>539</v>
      </c>
      <c r="O1362" s="2">
        <f>INDEX(Маршруты,MATCH(N1362,$B$3:$B$498,0),1)</f>
        <v>61</v>
      </c>
      <c r="P1362" s="27">
        <v>5</v>
      </c>
      <c r="Q1362" s="2">
        <f>INDEX(Остановки,MATCH(R1362,ИД_Остановки!$B$3:$B$467,0),1)</f>
        <v>383</v>
      </c>
      <c r="R1362" s="45" t="s">
        <v>441</v>
      </c>
      <c r="S1362" s="20">
        <v>0.49</v>
      </c>
    </row>
    <row r="1363" spans="8:19" x14ac:dyDescent="0.25">
      <c r="H1363">
        <v>8</v>
      </c>
      <c r="I1363">
        <v>186</v>
      </c>
      <c r="J1363">
        <v>115</v>
      </c>
      <c r="K1363" t="b">
        <v>1</v>
      </c>
      <c r="N1363" s="25" t="s">
        <v>539</v>
      </c>
      <c r="O1363" s="2">
        <f>INDEX(Маршруты,MATCH(N1363,$B$3:$B$498,0),1)</f>
        <v>61</v>
      </c>
      <c r="P1363" s="27">
        <v>6</v>
      </c>
      <c r="Q1363" s="2">
        <f>INDEX(Остановки,MATCH(R1363,ИД_Остановки!$B$3:$B$467,0),1)</f>
        <v>147</v>
      </c>
      <c r="R1363" s="24" t="s">
        <v>316</v>
      </c>
      <c r="S1363" s="20">
        <v>0.47</v>
      </c>
    </row>
    <row r="1364" spans="8:19" x14ac:dyDescent="0.25">
      <c r="H1364">
        <v>8</v>
      </c>
      <c r="I1364">
        <v>189</v>
      </c>
      <c r="J1364">
        <v>115</v>
      </c>
      <c r="K1364" t="b">
        <v>1</v>
      </c>
      <c r="N1364" s="30" t="s">
        <v>539</v>
      </c>
      <c r="O1364" s="2">
        <f>INDEX(Маршруты,MATCH(N1364,$B$3:$B$498,0),1)</f>
        <v>61</v>
      </c>
      <c r="P1364" s="27">
        <v>7</v>
      </c>
      <c r="Q1364" s="2">
        <f>INDEX(Остановки,MATCH(R1364,ИД_Остановки!$B$3:$B$467,0),1)</f>
        <v>382</v>
      </c>
      <c r="R1364" s="45" t="s">
        <v>440</v>
      </c>
      <c r="S1364" s="20">
        <v>0.39</v>
      </c>
    </row>
    <row r="1365" spans="8:19" x14ac:dyDescent="0.25">
      <c r="H1365">
        <v>8</v>
      </c>
      <c r="I1365">
        <v>192</v>
      </c>
      <c r="J1365">
        <v>115</v>
      </c>
      <c r="K1365" t="b">
        <v>1</v>
      </c>
      <c r="N1365" s="25" t="s">
        <v>539</v>
      </c>
      <c r="O1365" s="2">
        <f>INDEX(Маршруты,MATCH(N1365,$B$3:$B$498,0),1)</f>
        <v>61</v>
      </c>
      <c r="P1365" s="27">
        <v>8</v>
      </c>
      <c r="Q1365" s="2">
        <f>INDEX(Остановки,MATCH(R1365,ИД_Остановки!$B$3:$B$467,0),1)</f>
        <v>177</v>
      </c>
      <c r="R1365" s="45" t="s">
        <v>92</v>
      </c>
      <c r="S1365" s="20">
        <v>0.71</v>
      </c>
    </row>
    <row r="1366" spans="8:19" x14ac:dyDescent="0.25">
      <c r="H1366">
        <v>8</v>
      </c>
      <c r="I1366">
        <v>195</v>
      </c>
      <c r="J1366">
        <v>115</v>
      </c>
      <c r="K1366" t="b">
        <v>1</v>
      </c>
      <c r="N1366" s="26" t="s">
        <v>539</v>
      </c>
      <c r="O1366" s="2">
        <f>INDEX(Маршруты,MATCH(N1366,$B$3:$B$498,0),1)</f>
        <v>61</v>
      </c>
      <c r="P1366" s="27">
        <v>9</v>
      </c>
      <c r="Q1366" s="2">
        <f>INDEX(Остановки,MATCH(R1366,ИД_Остановки!$B$3:$B$467,0),1)</f>
        <v>444</v>
      </c>
      <c r="R1366" s="45" t="s">
        <v>650</v>
      </c>
      <c r="S1366" s="20">
        <v>0.37</v>
      </c>
    </row>
    <row r="1367" spans="8:19" x14ac:dyDescent="0.25">
      <c r="H1367">
        <v>8</v>
      </c>
      <c r="I1367">
        <v>198</v>
      </c>
      <c r="J1367">
        <v>115</v>
      </c>
      <c r="K1367" t="b">
        <v>1</v>
      </c>
      <c r="N1367" s="30" t="s">
        <v>539</v>
      </c>
      <c r="O1367" s="2">
        <f>INDEX(Маршруты,MATCH(N1367,$B$3:$B$498,0),1)</f>
        <v>61</v>
      </c>
      <c r="P1367" s="27">
        <v>10</v>
      </c>
      <c r="Q1367" s="2">
        <f>INDEX(Остановки,MATCH(R1367,ИД_Остановки!$B$3:$B$467,0),1)</f>
        <v>178</v>
      </c>
      <c r="R1367" s="45" t="s">
        <v>93</v>
      </c>
      <c r="S1367" s="20">
        <v>0.34</v>
      </c>
    </row>
    <row r="1368" spans="8:19" x14ac:dyDescent="0.25">
      <c r="H1368">
        <v>8</v>
      </c>
      <c r="I1368">
        <v>201</v>
      </c>
      <c r="J1368">
        <v>115</v>
      </c>
      <c r="K1368" t="b">
        <v>1</v>
      </c>
      <c r="N1368" s="32" t="s">
        <v>539</v>
      </c>
      <c r="O1368" s="2">
        <f>INDEX(Маршруты,MATCH(N1368,$B$3:$B$498,0),1)</f>
        <v>61</v>
      </c>
      <c r="P1368" s="27">
        <v>11</v>
      </c>
      <c r="Q1368" s="2">
        <f>INDEX(Остановки,MATCH(R1368,ИД_Остановки!$B$3:$B$467,0),1)</f>
        <v>77</v>
      </c>
      <c r="R1368" s="45" t="s">
        <v>276</v>
      </c>
      <c r="S1368" s="20">
        <v>0.59</v>
      </c>
    </row>
    <row r="1369" spans="8:19" x14ac:dyDescent="0.25">
      <c r="H1369">
        <v>8</v>
      </c>
      <c r="I1369">
        <v>204</v>
      </c>
      <c r="J1369">
        <v>115</v>
      </c>
      <c r="K1369" t="b">
        <v>1</v>
      </c>
      <c r="N1369" s="25" t="s">
        <v>539</v>
      </c>
      <c r="O1369" s="2">
        <f>INDEX(Маршруты,MATCH(N1369,$B$3:$B$498,0),1)</f>
        <v>61</v>
      </c>
      <c r="P1369" s="27">
        <v>12</v>
      </c>
      <c r="Q1369" s="2">
        <f>INDEX(Остановки,MATCH(R1369,ИД_Остановки!$B$3:$B$467,0),1)</f>
        <v>76</v>
      </c>
      <c r="R1369" s="45" t="s">
        <v>56</v>
      </c>
      <c r="S1369" s="20">
        <v>0.56000000000000005</v>
      </c>
    </row>
    <row r="1370" spans="8:19" x14ac:dyDescent="0.25">
      <c r="H1370">
        <v>8</v>
      </c>
      <c r="I1370">
        <v>207</v>
      </c>
      <c r="J1370">
        <v>115</v>
      </c>
      <c r="K1370" t="b">
        <v>1</v>
      </c>
      <c r="N1370" s="30" t="s">
        <v>539</v>
      </c>
      <c r="O1370" s="2">
        <f>INDEX(Маршруты,MATCH(N1370,$B$3:$B$498,0),1)</f>
        <v>61</v>
      </c>
      <c r="P1370" s="27">
        <v>13</v>
      </c>
      <c r="Q1370" s="2">
        <f>INDEX(Остановки,MATCH(R1370,ИД_Остановки!$B$3:$B$467,0),1)</f>
        <v>108</v>
      </c>
      <c r="R1370" s="45" t="s">
        <v>648</v>
      </c>
      <c r="S1370" s="20">
        <v>0.68</v>
      </c>
    </row>
    <row r="1371" spans="8:19" x14ac:dyDescent="0.25">
      <c r="H1371">
        <v>8</v>
      </c>
      <c r="I1371">
        <v>210</v>
      </c>
      <c r="J1371">
        <v>115</v>
      </c>
      <c r="K1371" t="b">
        <v>1</v>
      </c>
      <c r="N1371" s="26" t="s">
        <v>539</v>
      </c>
      <c r="O1371" s="2">
        <f>INDEX(Маршруты,MATCH(N1371,$B$3:$B$498,0),1)</f>
        <v>61</v>
      </c>
      <c r="P1371" s="27">
        <v>14</v>
      </c>
      <c r="Q1371" s="2">
        <f>INDEX(Остановки,MATCH(R1371,ИД_Остановки!$B$3:$B$467,0),1)</f>
        <v>107</v>
      </c>
      <c r="R1371" s="45" t="s">
        <v>292</v>
      </c>
      <c r="S1371" s="20">
        <v>0.55000000000000004</v>
      </c>
    </row>
    <row r="1372" spans="8:19" x14ac:dyDescent="0.25">
      <c r="H1372">
        <v>8</v>
      </c>
      <c r="I1372">
        <v>213</v>
      </c>
      <c r="J1372">
        <v>115</v>
      </c>
      <c r="K1372" t="b">
        <v>1</v>
      </c>
      <c r="N1372" s="25" t="s">
        <v>539</v>
      </c>
      <c r="O1372" s="2">
        <f>INDEX(Маршруты,MATCH(N1372,$B$3:$B$498,0),1)</f>
        <v>61</v>
      </c>
      <c r="P1372" s="27">
        <v>15</v>
      </c>
      <c r="Q1372" s="2">
        <f>INDEX(Остановки,MATCH(R1372,ИД_Остановки!$B$3:$B$467,0),1)</f>
        <v>91</v>
      </c>
      <c r="R1372" s="45" t="s">
        <v>618</v>
      </c>
      <c r="S1372" s="20">
        <v>0.46</v>
      </c>
    </row>
    <row r="1373" spans="8:19" x14ac:dyDescent="0.25">
      <c r="H1373">
        <v>8</v>
      </c>
      <c r="I1373">
        <v>216</v>
      </c>
      <c r="J1373">
        <v>115</v>
      </c>
      <c r="K1373" t="b">
        <v>1</v>
      </c>
      <c r="N1373" s="30" t="s">
        <v>540</v>
      </c>
      <c r="O1373" s="2">
        <f>INDEX(Маршруты,MATCH(N1373,$B$3:$B$498,0),1)</f>
        <v>62</v>
      </c>
      <c r="P1373" s="27">
        <v>1</v>
      </c>
      <c r="Q1373" s="2">
        <f>INDEX(Остановки,MATCH(R1373,ИД_Остановки!$B$3:$B$467,0),1)</f>
        <v>231</v>
      </c>
      <c r="R1373" s="45" t="s">
        <v>360</v>
      </c>
      <c r="S1373" s="20"/>
    </row>
    <row r="1374" spans="8:19" x14ac:dyDescent="0.25">
      <c r="H1374">
        <v>8</v>
      </c>
      <c r="I1374">
        <v>219</v>
      </c>
      <c r="J1374">
        <v>115</v>
      </c>
      <c r="K1374" t="b">
        <v>1</v>
      </c>
      <c r="N1374" s="30" t="s">
        <v>540</v>
      </c>
      <c r="O1374" s="2">
        <f>INDEX(Маршруты,MATCH(N1374,$B$3:$B$498,0),1)</f>
        <v>62</v>
      </c>
      <c r="P1374" s="27">
        <v>2</v>
      </c>
      <c r="Q1374" s="2">
        <f>INDEX(Остановки,MATCH(R1374,ИД_Остановки!$B$3:$B$467,0),1)</f>
        <v>98</v>
      </c>
      <c r="R1374" s="45" t="s">
        <v>286</v>
      </c>
      <c r="S1374" s="20">
        <v>0.42</v>
      </c>
    </row>
    <row r="1375" spans="8:19" x14ac:dyDescent="0.25">
      <c r="H1375">
        <v>8</v>
      </c>
      <c r="I1375">
        <v>222</v>
      </c>
      <c r="J1375">
        <v>115</v>
      </c>
      <c r="K1375" t="b">
        <v>1</v>
      </c>
      <c r="N1375" s="30" t="s">
        <v>540</v>
      </c>
      <c r="O1375" s="2">
        <f>INDEX(Маршруты,MATCH(N1375,$B$3:$B$498,0),1)</f>
        <v>62</v>
      </c>
      <c r="P1375" s="27">
        <v>3</v>
      </c>
      <c r="Q1375" s="2">
        <f>INDEX(Остановки,MATCH(R1375,ИД_Остановки!$B$3:$B$467,0),1)</f>
        <v>372</v>
      </c>
      <c r="R1375" s="45" t="s">
        <v>430</v>
      </c>
      <c r="S1375" s="20">
        <v>3.17</v>
      </c>
    </row>
    <row r="1376" spans="8:19" x14ac:dyDescent="0.25">
      <c r="H1376">
        <v>8</v>
      </c>
      <c r="I1376">
        <v>225</v>
      </c>
      <c r="J1376">
        <v>115</v>
      </c>
      <c r="K1376" t="b">
        <v>1</v>
      </c>
      <c r="N1376" s="30" t="s">
        <v>540</v>
      </c>
      <c r="O1376" s="2">
        <f>INDEX(Маршруты,MATCH(N1376,$B$3:$B$498,0),1)</f>
        <v>62</v>
      </c>
      <c r="P1376" s="27">
        <v>4</v>
      </c>
      <c r="Q1376" s="2">
        <f>INDEX(Остановки,MATCH(R1376,ИД_Остановки!$B$3:$B$467,0),1)</f>
        <v>26</v>
      </c>
      <c r="R1376" s="45" t="s">
        <v>254</v>
      </c>
      <c r="S1376" s="20">
        <v>0.45</v>
      </c>
    </row>
    <row r="1377" spans="8:19" x14ac:dyDescent="0.25">
      <c r="H1377">
        <v>8</v>
      </c>
      <c r="I1377">
        <v>228</v>
      </c>
      <c r="J1377">
        <v>115</v>
      </c>
      <c r="K1377" t="b">
        <v>1</v>
      </c>
      <c r="N1377" s="25" t="s">
        <v>540</v>
      </c>
      <c r="O1377" s="2">
        <f>INDEX(Маршруты,MATCH(N1377,$B$3:$B$498,0),1)</f>
        <v>62</v>
      </c>
      <c r="P1377" s="27">
        <v>5</v>
      </c>
      <c r="Q1377" s="2">
        <f>INDEX(Остановки,MATCH(R1377,ИД_Остановки!$B$3:$B$467,0),1)</f>
        <v>24</v>
      </c>
      <c r="R1377" s="45" t="s">
        <v>252</v>
      </c>
      <c r="S1377" s="20">
        <v>1.1399999999999999</v>
      </c>
    </row>
    <row r="1378" spans="8:19" x14ac:dyDescent="0.25">
      <c r="H1378">
        <v>8</v>
      </c>
      <c r="I1378">
        <v>231</v>
      </c>
      <c r="J1378">
        <v>115</v>
      </c>
      <c r="K1378" t="b">
        <v>1</v>
      </c>
      <c r="N1378" s="30" t="s">
        <v>540</v>
      </c>
      <c r="O1378" s="2">
        <f>INDEX(Маршруты,MATCH(N1378,$B$3:$B$498,0),1)</f>
        <v>62</v>
      </c>
      <c r="P1378" s="27">
        <v>6</v>
      </c>
      <c r="Q1378" s="2">
        <f>INDEX(Остановки,MATCH(R1378,ИД_Остановки!$B$3:$B$467,0),1)</f>
        <v>200</v>
      </c>
      <c r="R1378" s="45" t="s">
        <v>119</v>
      </c>
      <c r="S1378" s="20">
        <v>0.46</v>
      </c>
    </row>
    <row r="1379" spans="8:19" x14ac:dyDescent="0.25">
      <c r="H1379">
        <v>8</v>
      </c>
      <c r="I1379">
        <v>234</v>
      </c>
      <c r="J1379">
        <v>115</v>
      </c>
      <c r="K1379" t="b">
        <v>1</v>
      </c>
      <c r="N1379" s="25" t="s">
        <v>540</v>
      </c>
      <c r="O1379" s="2">
        <f>INDEX(Маршруты,MATCH(N1379,$B$3:$B$498,0),1)</f>
        <v>62</v>
      </c>
      <c r="P1379" s="27">
        <v>7</v>
      </c>
      <c r="Q1379" s="2">
        <f>INDEX(Остановки,MATCH(R1379,ИД_Остановки!$B$3:$B$467,0),1)</f>
        <v>199</v>
      </c>
      <c r="R1379" s="45" t="s">
        <v>118</v>
      </c>
      <c r="S1379" s="20">
        <v>0.75</v>
      </c>
    </row>
    <row r="1380" spans="8:19" x14ac:dyDescent="0.25">
      <c r="H1380">
        <v>8</v>
      </c>
      <c r="I1380">
        <v>237</v>
      </c>
      <c r="J1380">
        <v>115</v>
      </c>
      <c r="K1380" t="b">
        <v>1</v>
      </c>
      <c r="N1380" s="25" t="s">
        <v>540</v>
      </c>
      <c r="O1380" s="2">
        <f>INDEX(Маршруты,MATCH(N1380,$B$3:$B$498,0),1)</f>
        <v>62</v>
      </c>
      <c r="P1380" s="27">
        <v>8</v>
      </c>
      <c r="Q1380" s="2">
        <f>INDEX(Остановки,MATCH(R1380,ИД_Остановки!$B$3:$B$467,0),1)</f>
        <v>22</v>
      </c>
      <c r="R1380" s="45" t="s">
        <v>22</v>
      </c>
      <c r="S1380" s="20">
        <v>0.42</v>
      </c>
    </row>
    <row r="1381" spans="8:19" x14ac:dyDescent="0.25">
      <c r="H1381">
        <v>8</v>
      </c>
      <c r="I1381">
        <v>240</v>
      </c>
      <c r="J1381">
        <v>115</v>
      </c>
      <c r="K1381" t="b">
        <v>1</v>
      </c>
      <c r="N1381" s="30" t="s">
        <v>540</v>
      </c>
      <c r="O1381" s="2">
        <f>INDEX(Маршруты,MATCH(N1381,$B$3:$B$498,0),1)</f>
        <v>62</v>
      </c>
      <c r="P1381" s="27">
        <v>9</v>
      </c>
      <c r="Q1381" s="2">
        <f>INDEX(Остановки,MATCH(R1381,ИД_Остановки!$B$3:$B$467,0),1)</f>
        <v>337</v>
      </c>
      <c r="R1381" s="45" t="s">
        <v>407</v>
      </c>
      <c r="S1381" s="20">
        <v>0.39</v>
      </c>
    </row>
    <row r="1382" spans="8:19" x14ac:dyDescent="0.25">
      <c r="H1382">
        <v>8</v>
      </c>
      <c r="I1382">
        <v>243</v>
      </c>
      <c r="J1382">
        <v>115</v>
      </c>
      <c r="K1382" t="b">
        <v>1</v>
      </c>
      <c r="N1382" s="30" t="s">
        <v>540</v>
      </c>
      <c r="O1382" s="2">
        <f>INDEX(Маршруты,MATCH(N1382,$B$3:$B$498,0),1)</f>
        <v>62</v>
      </c>
      <c r="P1382" s="27">
        <v>10</v>
      </c>
      <c r="Q1382" s="2">
        <f>INDEX(Остановки,MATCH(R1382,ИД_Остановки!$B$3:$B$467,0),1)</f>
        <v>403</v>
      </c>
      <c r="R1382" s="45" t="s">
        <v>99</v>
      </c>
      <c r="S1382" s="20">
        <v>0.59</v>
      </c>
    </row>
    <row r="1383" spans="8:19" x14ac:dyDescent="0.25">
      <c r="H1383">
        <v>8</v>
      </c>
      <c r="I1383">
        <v>246</v>
      </c>
      <c r="J1383">
        <v>115</v>
      </c>
      <c r="K1383" t="b">
        <v>1</v>
      </c>
      <c r="N1383" s="30" t="s">
        <v>540</v>
      </c>
      <c r="O1383" s="2">
        <f>INDEX(Маршруты,MATCH(N1383,$B$3:$B$498,0),1)</f>
        <v>62</v>
      </c>
      <c r="P1383" s="27">
        <v>11</v>
      </c>
      <c r="Q1383" s="2">
        <f>INDEX(Остановки,MATCH(R1383,ИД_Остановки!$B$3:$B$467,0),1)</f>
        <v>254</v>
      </c>
      <c r="R1383" s="45" t="s">
        <v>136</v>
      </c>
      <c r="S1383" s="20">
        <v>1</v>
      </c>
    </row>
    <row r="1384" spans="8:19" x14ac:dyDescent="0.25">
      <c r="H1384">
        <v>8</v>
      </c>
      <c r="I1384">
        <v>249</v>
      </c>
      <c r="J1384">
        <v>115</v>
      </c>
      <c r="K1384" t="b">
        <v>1</v>
      </c>
      <c r="N1384" s="30" t="s">
        <v>540</v>
      </c>
      <c r="O1384" s="2">
        <f>INDEX(Маршруты,MATCH(N1384,$B$3:$B$498,0),1)</f>
        <v>62</v>
      </c>
      <c r="P1384" s="27">
        <v>12</v>
      </c>
      <c r="Q1384" s="2">
        <f>INDEX(Остановки,MATCH(R1384,ИД_Остановки!$B$3:$B$467,0),1)</f>
        <v>288</v>
      </c>
      <c r="R1384" s="45" t="s">
        <v>388</v>
      </c>
      <c r="S1384" s="20">
        <v>0.79</v>
      </c>
    </row>
    <row r="1385" spans="8:19" x14ac:dyDescent="0.25">
      <c r="H1385">
        <v>8</v>
      </c>
      <c r="I1385">
        <v>252</v>
      </c>
      <c r="J1385">
        <v>115</v>
      </c>
      <c r="K1385" t="b">
        <v>1</v>
      </c>
      <c r="N1385" s="26" t="s">
        <v>540</v>
      </c>
      <c r="O1385" s="2">
        <f>INDEX(Маршруты,MATCH(N1385,$B$3:$B$498,0),1)</f>
        <v>62</v>
      </c>
      <c r="P1385" s="27">
        <v>13</v>
      </c>
      <c r="Q1385" s="2">
        <f>INDEX(Остановки,MATCH(R1385,ИД_Остановки!$B$3:$B$467,0),1)</f>
        <v>376</v>
      </c>
      <c r="R1385" s="45" t="s">
        <v>434</v>
      </c>
      <c r="S1385" s="20">
        <v>1.2</v>
      </c>
    </row>
    <row r="1386" spans="8:19" x14ac:dyDescent="0.25">
      <c r="H1386">
        <v>8</v>
      </c>
      <c r="I1386">
        <v>255</v>
      </c>
      <c r="J1386">
        <v>115</v>
      </c>
      <c r="K1386" t="b">
        <v>1</v>
      </c>
      <c r="N1386" s="38" t="s">
        <v>540</v>
      </c>
      <c r="O1386" s="2">
        <f>INDEX(Маршруты,MATCH(N1386,$B$3:$B$498,0),1)</f>
        <v>62</v>
      </c>
      <c r="P1386" s="27">
        <v>14</v>
      </c>
      <c r="Q1386" s="2">
        <f>INDEX(Остановки,MATCH(R1386,ИД_Остановки!$B$3:$B$467,0),1)</f>
        <v>392</v>
      </c>
      <c r="R1386" s="46" t="s">
        <v>449</v>
      </c>
      <c r="S1386" s="37">
        <v>0.42</v>
      </c>
    </row>
    <row r="1387" spans="8:19" x14ac:dyDescent="0.25">
      <c r="H1387">
        <v>8</v>
      </c>
      <c r="I1387">
        <v>258</v>
      </c>
      <c r="J1387">
        <v>115</v>
      </c>
      <c r="K1387" t="b">
        <v>1</v>
      </c>
      <c r="N1387" s="25" t="s">
        <v>540</v>
      </c>
      <c r="O1387" s="2">
        <f>INDEX(Маршруты,MATCH(N1387,$B$3:$B$498,0),1)</f>
        <v>62</v>
      </c>
      <c r="P1387" s="27">
        <v>15</v>
      </c>
      <c r="Q1387" s="2">
        <f>INDEX(Остановки,MATCH(R1387,ИД_Остановки!$B$3:$B$467,0),1)</f>
        <v>375</v>
      </c>
      <c r="R1387" s="45" t="s">
        <v>433</v>
      </c>
      <c r="S1387" s="20">
        <v>0.44</v>
      </c>
    </row>
    <row r="1388" spans="8:19" x14ac:dyDescent="0.25">
      <c r="H1388">
        <v>8</v>
      </c>
      <c r="I1388">
        <v>261</v>
      </c>
      <c r="J1388">
        <v>115</v>
      </c>
      <c r="K1388" t="b">
        <v>1</v>
      </c>
      <c r="N1388" s="25" t="s">
        <v>540</v>
      </c>
      <c r="O1388" s="2">
        <f>INDEX(Маршруты,MATCH(N1388,$B$3:$B$498,0),1)</f>
        <v>62</v>
      </c>
      <c r="P1388" s="27">
        <v>16</v>
      </c>
      <c r="Q1388" s="2">
        <f>INDEX(Остановки,MATCH(R1388,ИД_Остановки!$B$3:$B$467,0),1)</f>
        <v>253</v>
      </c>
      <c r="R1388" s="45" t="s">
        <v>375</v>
      </c>
      <c r="S1388" s="20">
        <v>0.68</v>
      </c>
    </row>
    <row r="1389" spans="8:19" x14ac:dyDescent="0.25">
      <c r="H1389">
        <v>8</v>
      </c>
      <c r="I1389">
        <v>264</v>
      </c>
      <c r="J1389">
        <v>115</v>
      </c>
      <c r="K1389" t="b">
        <v>1</v>
      </c>
      <c r="N1389" s="26" t="s">
        <v>540</v>
      </c>
      <c r="O1389" s="2">
        <f>INDEX(Маршруты,MATCH(N1389,$B$3:$B$498,0),1)</f>
        <v>62</v>
      </c>
      <c r="P1389" s="27">
        <v>17</v>
      </c>
      <c r="Q1389" s="2">
        <f>INDEX(Остановки,MATCH(R1389,ИД_Остановки!$B$3:$B$467,0),1)</f>
        <v>393</v>
      </c>
      <c r="R1389" s="45" t="s">
        <v>450</v>
      </c>
      <c r="S1389" s="20">
        <v>3.25</v>
      </c>
    </row>
    <row r="1390" spans="8:19" x14ac:dyDescent="0.25">
      <c r="H1390">
        <v>8</v>
      </c>
      <c r="I1390">
        <v>267</v>
      </c>
      <c r="J1390">
        <v>115</v>
      </c>
      <c r="K1390" t="b">
        <v>1</v>
      </c>
      <c r="N1390" s="30" t="s">
        <v>540</v>
      </c>
      <c r="O1390" s="2">
        <f>INDEX(Маршруты,MATCH(N1390,$B$3:$B$498,0),1)</f>
        <v>62</v>
      </c>
      <c r="P1390" s="27">
        <v>18</v>
      </c>
      <c r="Q1390" s="2">
        <f>INDEX(Остановки,MATCH(R1390,ИД_Остановки!$B$3:$B$467,0),1)</f>
        <v>394</v>
      </c>
      <c r="R1390" s="45" t="s">
        <v>451</v>
      </c>
      <c r="S1390" s="20">
        <v>11.7</v>
      </c>
    </row>
    <row r="1391" spans="8:19" x14ac:dyDescent="0.25">
      <c r="H1391">
        <v>8</v>
      </c>
      <c r="I1391">
        <v>270</v>
      </c>
      <c r="J1391">
        <v>115</v>
      </c>
      <c r="K1391" t="b">
        <v>1</v>
      </c>
      <c r="N1391" s="25" t="s">
        <v>540</v>
      </c>
      <c r="O1391" s="2">
        <f>INDEX(Маршруты,MATCH(N1391,$B$3:$B$498,0),1)</f>
        <v>62</v>
      </c>
      <c r="P1391" s="27">
        <v>19</v>
      </c>
      <c r="Q1391" s="2">
        <f>INDEX(Остановки,MATCH(R1391,ИД_Остановки!$B$3:$B$467,0),1)</f>
        <v>202</v>
      </c>
      <c r="R1391" s="45" t="s">
        <v>120</v>
      </c>
      <c r="S1391" s="20">
        <v>7.35</v>
      </c>
    </row>
    <row r="1392" spans="8:19" x14ac:dyDescent="0.25">
      <c r="H1392">
        <v>8</v>
      </c>
      <c r="I1392">
        <v>273</v>
      </c>
      <c r="J1392">
        <v>115</v>
      </c>
      <c r="K1392" t="b">
        <v>1</v>
      </c>
      <c r="N1392" s="30" t="s">
        <v>541</v>
      </c>
      <c r="O1392" s="2">
        <f>INDEX(Маршруты,MATCH(N1392,$B$3:$B$498,0),1)</f>
        <v>63</v>
      </c>
      <c r="P1392" s="27">
        <v>1</v>
      </c>
      <c r="Q1392" s="2">
        <f>INDEX(Остановки,MATCH(R1392,ИД_Остановки!$B$3:$B$467,0),1)</f>
        <v>202</v>
      </c>
      <c r="R1392" s="45" t="s">
        <v>120</v>
      </c>
      <c r="S1392" s="20"/>
    </row>
    <row r="1393" spans="8:19" x14ac:dyDescent="0.25">
      <c r="H1393">
        <v>8</v>
      </c>
      <c r="I1393">
        <v>276</v>
      </c>
      <c r="J1393">
        <v>115</v>
      </c>
      <c r="K1393" t="b">
        <v>1</v>
      </c>
      <c r="N1393" s="30" t="s">
        <v>541</v>
      </c>
      <c r="O1393" s="2">
        <f>INDEX(Маршруты,MATCH(N1393,$B$3:$B$498,0),1)</f>
        <v>63</v>
      </c>
      <c r="P1393" s="27">
        <v>2</v>
      </c>
      <c r="Q1393" s="2">
        <f>INDEX(Остановки,MATCH(R1393,ИД_Остановки!$B$3:$B$467,0),1)</f>
        <v>394</v>
      </c>
      <c r="R1393" s="45" t="s">
        <v>451</v>
      </c>
      <c r="S1393" s="20">
        <v>7.35</v>
      </c>
    </row>
    <row r="1394" spans="8:19" x14ac:dyDescent="0.25">
      <c r="H1394">
        <v>8</v>
      </c>
      <c r="I1394">
        <v>279</v>
      </c>
      <c r="J1394">
        <v>115</v>
      </c>
      <c r="K1394" t="b">
        <v>1</v>
      </c>
      <c r="N1394" s="30" t="s">
        <v>541</v>
      </c>
      <c r="O1394" s="2">
        <f>INDEX(Маршруты,MATCH(N1394,$B$3:$B$498,0),1)</f>
        <v>63</v>
      </c>
      <c r="P1394" s="27">
        <v>3</v>
      </c>
      <c r="Q1394" s="2">
        <f>INDEX(Остановки,MATCH(R1394,ИД_Остановки!$B$3:$B$467,0),1)</f>
        <v>393</v>
      </c>
      <c r="R1394" s="45" t="s">
        <v>450</v>
      </c>
      <c r="S1394" s="20">
        <v>11.7</v>
      </c>
    </row>
    <row r="1395" spans="8:19" x14ac:dyDescent="0.25">
      <c r="H1395">
        <v>8</v>
      </c>
      <c r="I1395">
        <v>282</v>
      </c>
      <c r="J1395">
        <v>115</v>
      </c>
      <c r="K1395" t="b">
        <v>1</v>
      </c>
      <c r="N1395" s="25" t="s">
        <v>541</v>
      </c>
      <c r="O1395" s="2">
        <f>INDEX(Маршруты,MATCH(N1395,$B$3:$B$498,0),1)</f>
        <v>63</v>
      </c>
      <c r="P1395" s="27">
        <v>4</v>
      </c>
      <c r="Q1395" s="2">
        <f>INDEX(Остановки,MATCH(R1395,ИД_Остановки!$B$3:$B$467,0),1)</f>
        <v>253</v>
      </c>
      <c r="R1395" s="45" t="s">
        <v>375</v>
      </c>
      <c r="S1395" s="20">
        <v>3.25</v>
      </c>
    </row>
    <row r="1396" spans="8:19" x14ac:dyDescent="0.25">
      <c r="H1396">
        <v>8</v>
      </c>
      <c r="I1396">
        <v>285</v>
      </c>
      <c r="J1396">
        <v>115</v>
      </c>
      <c r="K1396" t="b">
        <v>1</v>
      </c>
      <c r="N1396" s="30" t="s">
        <v>541</v>
      </c>
      <c r="O1396" s="2">
        <f>INDEX(Маршруты,MATCH(N1396,$B$3:$B$498,0),1)</f>
        <v>63</v>
      </c>
      <c r="P1396" s="27">
        <v>5</v>
      </c>
      <c r="Q1396" s="2">
        <f>INDEX(Остановки,MATCH(R1396,ИД_Остановки!$B$3:$B$467,0),1)</f>
        <v>375</v>
      </c>
      <c r="R1396" s="45" t="s">
        <v>433</v>
      </c>
      <c r="S1396" s="20">
        <v>0.68</v>
      </c>
    </row>
    <row r="1397" spans="8:19" x14ac:dyDescent="0.25">
      <c r="H1397">
        <v>8</v>
      </c>
      <c r="I1397">
        <v>288</v>
      </c>
      <c r="J1397">
        <v>115</v>
      </c>
      <c r="K1397" t="b">
        <v>1</v>
      </c>
      <c r="N1397" s="30" t="s">
        <v>541</v>
      </c>
      <c r="O1397" s="2">
        <f>INDEX(Маршруты,MATCH(N1397,$B$3:$B$498,0),1)</f>
        <v>63</v>
      </c>
      <c r="P1397" s="27">
        <v>6</v>
      </c>
      <c r="Q1397" s="2">
        <f>INDEX(Остановки,MATCH(R1397,ИД_Остановки!$B$3:$B$467,0),1)</f>
        <v>392</v>
      </c>
      <c r="R1397" s="45" t="s">
        <v>449</v>
      </c>
      <c r="S1397" s="20">
        <v>0.44</v>
      </c>
    </row>
    <row r="1398" spans="8:19" x14ac:dyDescent="0.25">
      <c r="H1398">
        <v>8</v>
      </c>
      <c r="I1398">
        <v>291</v>
      </c>
      <c r="J1398">
        <v>115</v>
      </c>
      <c r="K1398" t="b">
        <v>1</v>
      </c>
      <c r="N1398" s="25" t="s">
        <v>541</v>
      </c>
      <c r="O1398" s="2">
        <f>INDEX(Маршруты,MATCH(N1398,$B$3:$B$498,0),1)</f>
        <v>63</v>
      </c>
      <c r="P1398" s="27">
        <v>7</v>
      </c>
      <c r="Q1398" s="2">
        <f>INDEX(Остановки,MATCH(R1398,ИД_Остановки!$B$3:$B$467,0),1)</f>
        <v>376</v>
      </c>
      <c r="R1398" s="45" t="s">
        <v>434</v>
      </c>
      <c r="S1398" s="20">
        <v>0.42</v>
      </c>
    </row>
    <row r="1399" spans="8:19" x14ac:dyDescent="0.25">
      <c r="H1399">
        <v>8</v>
      </c>
      <c r="I1399">
        <v>294</v>
      </c>
      <c r="J1399">
        <v>115</v>
      </c>
      <c r="K1399" t="b">
        <v>1</v>
      </c>
      <c r="N1399" s="30" t="s">
        <v>541</v>
      </c>
      <c r="O1399" s="2">
        <f>INDEX(Маршруты,MATCH(N1399,$B$3:$B$498,0),1)</f>
        <v>63</v>
      </c>
      <c r="P1399" s="28">
        <v>8</v>
      </c>
      <c r="Q1399" s="2">
        <f>INDEX(Остановки,MATCH(R1399,ИД_Остановки!$B$3:$B$467,0),1)</f>
        <v>288</v>
      </c>
      <c r="R1399" s="24" t="s">
        <v>388</v>
      </c>
      <c r="S1399" s="20">
        <v>1.2</v>
      </c>
    </row>
    <row r="1400" spans="8:19" x14ac:dyDescent="0.25">
      <c r="H1400">
        <v>8</v>
      </c>
      <c r="I1400">
        <v>297</v>
      </c>
      <c r="J1400">
        <v>115</v>
      </c>
      <c r="K1400" t="b">
        <v>1</v>
      </c>
      <c r="N1400" s="30" t="s">
        <v>541</v>
      </c>
      <c r="O1400" s="2">
        <f>INDEX(Маршруты,MATCH(N1400,$B$3:$B$498,0),1)</f>
        <v>63</v>
      </c>
      <c r="P1400" s="27">
        <v>9</v>
      </c>
      <c r="Q1400" s="2">
        <f>INDEX(Остановки,MATCH(R1400,ИД_Остановки!$B$3:$B$467,0),1)</f>
        <v>254</v>
      </c>
      <c r="R1400" s="45" t="s">
        <v>136</v>
      </c>
      <c r="S1400" s="20">
        <v>0.79</v>
      </c>
    </row>
    <row r="1401" spans="8:19" x14ac:dyDescent="0.25">
      <c r="H1401">
        <v>8</v>
      </c>
      <c r="I1401">
        <v>300</v>
      </c>
      <c r="J1401">
        <v>115</v>
      </c>
      <c r="K1401" t="b">
        <v>1</v>
      </c>
      <c r="N1401" s="25" t="s">
        <v>541</v>
      </c>
      <c r="O1401" s="2">
        <f>INDEX(Маршруты,MATCH(N1401,$B$3:$B$498,0),1)</f>
        <v>63</v>
      </c>
      <c r="P1401" s="27">
        <v>10</v>
      </c>
      <c r="Q1401" s="2">
        <f>INDEX(Остановки,MATCH(R1401,ИД_Остановки!$B$3:$B$467,0),1)</f>
        <v>403</v>
      </c>
      <c r="R1401" s="45" t="s">
        <v>99</v>
      </c>
      <c r="S1401" s="20">
        <v>1</v>
      </c>
    </row>
    <row r="1402" spans="8:19" x14ac:dyDescent="0.25">
      <c r="H1402">
        <v>8</v>
      </c>
      <c r="I1402">
        <v>303</v>
      </c>
      <c r="J1402">
        <v>115</v>
      </c>
      <c r="K1402" t="b">
        <v>1</v>
      </c>
      <c r="N1402" s="30" t="s">
        <v>541</v>
      </c>
      <c r="O1402" s="2">
        <f>INDEX(Маршруты,MATCH(N1402,$B$3:$B$498,0),1)</f>
        <v>63</v>
      </c>
      <c r="P1402" s="27">
        <v>11</v>
      </c>
      <c r="Q1402" s="2">
        <f>INDEX(Остановки,MATCH(R1402,ИД_Остановки!$B$3:$B$467,0),1)</f>
        <v>337</v>
      </c>
      <c r="R1402" s="45" t="s">
        <v>407</v>
      </c>
      <c r="S1402" s="20">
        <v>0.59</v>
      </c>
    </row>
    <row r="1403" spans="8:19" x14ac:dyDescent="0.25">
      <c r="H1403">
        <v>8</v>
      </c>
      <c r="I1403">
        <v>306</v>
      </c>
      <c r="J1403">
        <v>115</v>
      </c>
      <c r="K1403" t="b">
        <v>1</v>
      </c>
      <c r="N1403" s="25" t="s">
        <v>541</v>
      </c>
      <c r="O1403" s="2">
        <f>INDEX(Маршруты,MATCH(N1403,$B$3:$B$498,0),1)</f>
        <v>63</v>
      </c>
      <c r="P1403" s="27">
        <v>12</v>
      </c>
      <c r="Q1403" s="2">
        <f>INDEX(Остановки,MATCH(R1403,ИД_Остановки!$B$3:$B$467,0),1)</f>
        <v>22</v>
      </c>
      <c r="R1403" s="45" t="s">
        <v>22</v>
      </c>
      <c r="S1403" s="20">
        <v>0.39</v>
      </c>
    </row>
    <row r="1404" spans="8:19" x14ac:dyDescent="0.25">
      <c r="H1404">
        <v>8</v>
      </c>
      <c r="I1404">
        <v>309</v>
      </c>
      <c r="J1404">
        <v>115</v>
      </c>
      <c r="K1404" t="b">
        <v>1</v>
      </c>
      <c r="N1404" s="30" t="s">
        <v>541</v>
      </c>
      <c r="O1404" s="2">
        <f>INDEX(Маршруты,MATCH(N1404,$B$3:$B$498,0),1)</f>
        <v>63</v>
      </c>
      <c r="P1404" s="27">
        <v>13</v>
      </c>
      <c r="Q1404" s="2">
        <f>INDEX(Остановки,MATCH(R1404,ИД_Остановки!$B$3:$B$467,0),1)</f>
        <v>199</v>
      </c>
      <c r="R1404" s="45" t="s">
        <v>118</v>
      </c>
      <c r="S1404" s="20">
        <v>0.42</v>
      </c>
    </row>
    <row r="1405" spans="8:19" x14ac:dyDescent="0.25">
      <c r="H1405">
        <v>8</v>
      </c>
      <c r="I1405">
        <v>312</v>
      </c>
      <c r="J1405">
        <v>115</v>
      </c>
      <c r="K1405" t="b">
        <v>1</v>
      </c>
      <c r="N1405" s="25" t="s">
        <v>541</v>
      </c>
      <c r="O1405" s="2">
        <f>INDEX(Маршруты,MATCH(N1405,$B$3:$B$498,0),1)</f>
        <v>63</v>
      </c>
      <c r="P1405" s="27">
        <v>14</v>
      </c>
      <c r="Q1405" s="2">
        <f>INDEX(Остановки,MATCH(R1405,ИД_Остановки!$B$3:$B$467,0),1)</f>
        <v>200</v>
      </c>
      <c r="R1405" s="45" t="s">
        <v>119</v>
      </c>
      <c r="S1405" s="20">
        <v>0.75</v>
      </c>
    </row>
    <row r="1406" spans="8:19" x14ac:dyDescent="0.25">
      <c r="H1406">
        <v>8</v>
      </c>
      <c r="I1406">
        <v>315</v>
      </c>
      <c r="J1406">
        <v>115</v>
      </c>
      <c r="K1406" t="b">
        <v>1</v>
      </c>
      <c r="N1406" s="30" t="s">
        <v>541</v>
      </c>
      <c r="O1406" s="2">
        <f>INDEX(Маршруты,MATCH(N1406,$B$3:$B$498,0),1)</f>
        <v>63</v>
      </c>
      <c r="P1406" s="27">
        <v>15</v>
      </c>
      <c r="Q1406" s="2">
        <f>INDEX(Остановки,MATCH(R1406,ИД_Остановки!$B$3:$B$467,0),1)</f>
        <v>24</v>
      </c>
      <c r="R1406" s="45" t="s">
        <v>252</v>
      </c>
      <c r="S1406" s="20">
        <v>0.46</v>
      </c>
    </row>
    <row r="1407" spans="8:19" x14ac:dyDescent="0.25">
      <c r="H1407">
        <v>8</v>
      </c>
      <c r="I1407">
        <v>318</v>
      </c>
      <c r="J1407">
        <v>115</v>
      </c>
      <c r="K1407" t="b">
        <v>1</v>
      </c>
      <c r="N1407" s="26" t="s">
        <v>541</v>
      </c>
      <c r="O1407" s="2">
        <f>INDEX(Маршруты,MATCH(N1407,$B$3:$B$498,0),1)</f>
        <v>63</v>
      </c>
      <c r="P1407" s="27">
        <v>16</v>
      </c>
      <c r="Q1407" s="2">
        <f>INDEX(Остановки,MATCH(R1407,ИД_Остановки!$B$3:$B$467,0),1)</f>
        <v>26</v>
      </c>
      <c r="R1407" s="45" t="s">
        <v>254</v>
      </c>
      <c r="S1407" s="20">
        <v>1.1399999999999999</v>
      </c>
    </row>
    <row r="1408" spans="8:19" x14ac:dyDescent="0.25">
      <c r="H1408">
        <v>8</v>
      </c>
      <c r="I1408">
        <v>321</v>
      </c>
      <c r="J1408">
        <v>115</v>
      </c>
      <c r="K1408" t="b">
        <v>1</v>
      </c>
      <c r="N1408" s="30" t="s">
        <v>541</v>
      </c>
      <c r="O1408" s="2">
        <f>INDEX(Маршруты,MATCH(N1408,$B$3:$B$498,0),1)</f>
        <v>63</v>
      </c>
      <c r="P1408" s="27">
        <v>17</v>
      </c>
      <c r="Q1408" s="2">
        <f>INDEX(Остановки,MATCH(R1408,ИД_Остановки!$B$3:$B$467,0),1)</f>
        <v>372</v>
      </c>
      <c r="R1408" s="45" t="s">
        <v>430</v>
      </c>
      <c r="S1408" s="20">
        <v>0.45</v>
      </c>
    </row>
    <row r="1409" spans="8:19" x14ac:dyDescent="0.25">
      <c r="H1409">
        <v>8</v>
      </c>
      <c r="I1409">
        <v>324</v>
      </c>
      <c r="J1409">
        <v>115</v>
      </c>
      <c r="K1409" t="b">
        <v>1</v>
      </c>
      <c r="N1409" s="25" t="s">
        <v>541</v>
      </c>
      <c r="O1409" s="2">
        <f>INDEX(Маршруты,MATCH(N1409,$B$3:$B$498,0),1)</f>
        <v>63</v>
      </c>
      <c r="P1409" s="28">
        <v>18</v>
      </c>
      <c r="Q1409" s="2">
        <f>INDEX(Остановки,MATCH(R1409,ИД_Остановки!$B$3:$B$467,0),1)</f>
        <v>98</v>
      </c>
      <c r="R1409" s="24" t="s">
        <v>286</v>
      </c>
      <c r="S1409" s="20">
        <v>3.17</v>
      </c>
    </row>
    <row r="1410" spans="8:19" x14ac:dyDescent="0.25">
      <c r="H1410">
        <v>8</v>
      </c>
      <c r="I1410">
        <v>327</v>
      </c>
      <c r="J1410">
        <v>115</v>
      </c>
      <c r="K1410" t="b">
        <v>1</v>
      </c>
      <c r="N1410" s="26" t="s">
        <v>541</v>
      </c>
      <c r="O1410" s="2">
        <f>INDEX(Маршруты,MATCH(N1410,$B$3:$B$498,0),1)</f>
        <v>63</v>
      </c>
      <c r="P1410" s="27">
        <v>19</v>
      </c>
      <c r="Q1410" s="2">
        <f>INDEX(Остановки,MATCH(R1410,ИД_Остановки!$B$3:$B$467,0),1)</f>
        <v>231</v>
      </c>
      <c r="R1410" s="45" t="s">
        <v>360</v>
      </c>
      <c r="S1410" s="20">
        <v>0.42</v>
      </c>
    </row>
    <row r="1411" spans="8:19" x14ac:dyDescent="0.25">
      <c r="H1411">
        <v>8</v>
      </c>
      <c r="I1411">
        <v>330</v>
      </c>
      <c r="J1411">
        <v>115</v>
      </c>
      <c r="K1411" t="b">
        <v>1</v>
      </c>
      <c r="N1411" s="32" t="s">
        <v>542</v>
      </c>
      <c r="O1411" s="2">
        <f>INDEX(Маршруты,MATCH(N1411,$B$3:$B$498,0),1)</f>
        <v>64</v>
      </c>
      <c r="P1411" s="27">
        <v>1</v>
      </c>
      <c r="Q1411" s="2">
        <f>INDEX(Остановки,MATCH(R1411,ИД_Остановки!$B$3:$B$467,0),1)</f>
        <v>135</v>
      </c>
      <c r="R1411" s="45" t="s">
        <v>83</v>
      </c>
      <c r="S1411" s="20"/>
    </row>
    <row r="1412" spans="8:19" x14ac:dyDescent="0.25">
      <c r="H1412">
        <v>8</v>
      </c>
      <c r="I1412">
        <v>333</v>
      </c>
      <c r="J1412">
        <v>115</v>
      </c>
      <c r="K1412" t="b">
        <v>1</v>
      </c>
      <c r="N1412" s="30" t="s">
        <v>542</v>
      </c>
      <c r="O1412" s="2">
        <f>INDEX(Маршруты,MATCH(N1412,$B$3:$B$498,0),1)</f>
        <v>64</v>
      </c>
      <c r="P1412" s="27">
        <v>2</v>
      </c>
      <c r="Q1412" s="2">
        <f>INDEX(Остановки,MATCH(R1412,ИД_Остановки!$B$3:$B$467,0),1)</f>
        <v>146</v>
      </c>
      <c r="R1412" s="45" t="s">
        <v>315</v>
      </c>
      <c r="S1412" s="20">
        <v>0.72</v>
      </c>
    </row>
    <row r="1413" spans="8:19" x14ac:dyDescent="0.25">
      <c r="H1413">
        <v>8</v>
      </c>
      <c r="I1413">
        <v>336</v>
      </c>
      <c r="J1413">
        <v>115</v>
      </c>
      <c r="K1413" t="b">
        <v>1</v>
      </c>
      <c r="N1413" s="30" t="s">
        <v>542</v>
      </c>
      <c r="O1413" s="2">
        <f>INDEX(Маршруты,MATCH(N1413,$B$3:$B$498,0),1)</f>
        <v>64</v>
      </c>
      <c r="P1413" s="27">
        <v>3</v>
      </c>
      <c r="Q1413" s="2">
        <f>INDEX(Остановки,MATCH(R1413,ИД_Остановки!$B$3:$B$467,0),1)</f>
        <v>82</v>
      </c>
      <c r="R1413" s="45" t="s">
        <v>59</v>
      </c>
      <c r="S1413" s="20">
        <v>0.47</v>
      </c>
    </row>
    <row r="1414" spans="8:19" x14ac:dyDescent="0.25">
      <c r="H1414">
        <v>8</v>
      </c>
      <c r="I1414">
        <v>339</v>
      </c>
      <c r="J1414">
        <v>115</v>
      </c>
      <c r="K1414" t="b">
        <v>1</v>
      </c>
      <c r="N1414" s="25" t="s">
        <v>542</v>
      </c>
      <c r="O1414" s="2">
        <f>INDEX(Маршруты,MATCH(N1414,$B$3:$B$498,0),1)</f>
        <v>64</v>
      </c>
      <c r="P1414" s="27">
        <v>4</v>
      </c>
      <c r="Q1414" s="2">
        <f>INDEX(Остановки,MATCH(R1414,ИД_Остановки!$B$3:$B$467,0),1)</f>
        <v>93</v>
      </c>
      <c r="R1414" s="45" t="s">
        <v>65</v>
      </c>
      <c r="S1414" s="20">
        <v>0.52</v>
      </c>
    </row>
    <row r="1415" spans="8:19" x14ac:dyDescent="0.25">
      <c r="H1415">
        <v>8</v>
      </c>
      <c r="I1415">
        <v>342</v>
      </c>
      <c r="J1415">
        <v>115</v>
      </c>
      <c r="K1415" t="b">
        <v>1</v>
      </c>
      <c r="N1415" s="25" t="s">
        <v>542</v>
      </c>
      <c r="O1415" s="2">
        <f>INDEX(Маршруты,MATCH(N1415,$B$3:$B$498,0),1)</f>
        <v>64</v>
      </c>
      <c r="P1415" s="27">
        <v>5</v>
      </c>
      <c r="Q1415" s="2">
        <f>INDEX(Остановки,MATCH(R1415,ИД_Остановки!$B$3:$B$467,0),1)</f>
        <v>33</v>
      </c>
      <c r="R1415" s="24" t="s">
        <v>29</v>
      </c>
      <c r="S1415" s="20">
        <v>0.52</v>
      </c>
    </row>
    <row r="1416" spans="8:19" x14ac:dyDescent="0.25">
      <c r="H1416">
        <v>8</v>
      </c>
      <c r="I1416">
        <v>345</v>
      </c>
      <c r="J1416">
        <v>115</v>
      </c>
      <c r="K1416" t="b">
        <v>1</v>
      </c>
      <c r="N1416" s="25" t="s">
        <v>542</v>
      </c>
      <c r="O1416" s="2">
        <f>INDEX(Маршруты,MATCH(N1416,$B$3:$B$498,0),1)</f>
        <v>64</v>
      </c>
      <c r="P1416" s="27">
        <v>6</v>
      </c>
      <c r="Q1416" s="2">
        <f>INDEX(Остановки,MATCH(R1416,ИД_Остановки!$B$3:$B$467,0),1)</f>
        <v>204</v>
      </c>
      <c r="R1416" s="45" t="s">
        <v>342</v>
      </c>
      <c r="S1416" s="20">
        <v>0.3</v>
      </c>
    </row>
    <row r="1417" spans="8:19" x14ac:dyDescent="0.25">
      <c r="H1417">
        <v>8</v>
      </c>
      <c r="I1417">
        <v>348</v>
      </c>
      <c r="J1417">
        <v>115</v>
      </c>
      <c r="K1417" t="b">
        <v>1</v>
      </c>
      <c r="N1417" s="25" t="s">
        <v>542</v>
      </c>
      <c r="O1417" s="2">
        <f>INDEX(Маршруты,MATCH(N1417,$B$3:$B$498,0),1)</f>
        <v>64</v>
      </c>
      <c r="P1417" s="27">
        <v>7</v>
      </c>
      <c r="Q1417" s="2">
        <f>INDEX(Остановки,MATCH(R1417,ИД_Остановки!$B$3:$B$467,0),1)</f>
        <v>256</v>
      </c>
      <c r="R1417" s="45" t="s">
        <v>376</v>
      </c>
      <c r="S1417" s="20">
        <v>0.68</v>
      </c>
    </row>
    <row r="1418" spans="8:19" x14ac:dyDescent="0.25">
      <c r="H1418">
        <v>8</v>
      </c>
      <c r="I1418">
        <v>351</v>
      </c>
      <c r="J1418">
        <v>115</v>
      </c>
      <c r="K1418" t="b">
        <v>1</v>
      </c>
      <c r="N1418" s="30" t="s">
        <v>542</v>
      </c>
      <c r="O1418" s="2">
        <f>INDEX(Маршруты,MATCH(N1418,$B$3:$B$498,0),1)</f>
        <v>64</v>
      </c>
      <c r="P1418" s="27">
        <v>8</v>
      </c>
      <c r="Q1418" s="2">
        <f>INDEX(Остановки,MATCH(R1418,ИД_Остановки!$B$3:$B$467,0),1)</f>
        <v>206</v>
      </c>
      <c r="R1418" s="45" t="s">
        <v>344</v>
      </c>
      <c r="S1418" s="20">
        <v>0.49</v>
      </c>
    </row>
    <row r="1419" spans="8:19" x14ac:dyDescent="0.25">
      <c r="H1419">
        <v>8</v>
      </c>
      <c r="I1419">
        <v>354</v>
      </c>
      <c r="J1419">
        <v>115</v>
      </c>
      <c r="K1419" t="b">
        <v>1</v>
      </c>
      <c r="N1419" s="30" t="s">
        <v>542</v>
      </c>
      <c r="O1419" s="2">
        <f>INDEX(Маршруты,MATCH(N1419,$B$3:$B$498,0),1)</f>
        <v>64</v>
      </c>
      <c r="P1419" s="27">
        <v>9</v>
      </c>
      <c r="Q1419" s="2">
        <f>INDEX(Остановки,MATCH(R1419,ИД_Остановки!$B$3:$B$467,0),1)</f>
        <v>241</v>
      </c>
      <c r="R1419" s="45" t="s">
        <v>132</v>
      </c>
      <c r="S1419" s="20">
        <v>0.45</v>
      </c>
    </row>
    <row r="1420" spans="8:19" x14ac:dyDescent="0.25">
      <c r="H1420">
        <v>8</v>
      </c>
      <c r="I1420">
        <v>357</v>
      </c>
      <c r="J1420">
        <v>115</v>
      </c>
      <c r="K1420" t="b">
        <v>1</v>
      </c>
      <c r="N1420" s="30" t="s">
        <v>542</v>
      </c>
      <c r="O1420" s="2">
        <f>INDEX(Маршруты,MATCH(N1420,$B$3:$B$498,0),1)</f>
        <v>64</v>
      </c>
      <c r="P1420" s="27">
        <v>10</v>
      </c>
      <c r="Q1420" s="2">
        <f>INDEX(Остановки,MATCH(R1420,ИД_Остановки!$B$3:$B$467,0),1)</f>
        <v>207</v>
      </c>
      <c r="R1420" s="45" t="s">
        <v>345</v>
      </c>
      <c r="S1420" s="20">
        <v>0.74</v>
      </c>
    </row>
    <row r="1421" spans="8:19" x14ac:dyDescent="0.25">
      <c r="H1421">
        <v>8</v>
      </c>
      <c r="I1421">
        <v>360</v>
      </c>
      <c r="J1421">
        <v>115</v>
      </c>
      <c r="K1421" t="b">
        <v>1</v>
      </c>
      <c r="N1421" s="25" t="s">
        <v>542</v>
      </c>
      <c r="O1421" s="2">
        <f>INDEX(Маршруты,MATCH(N1421,$B$3:$B$498,0),1)</f>
        <v>64</v>
      </c>
      <c r="P1421" s="27">
        <v>11</v>
      </c>
      <c r="Q1421" s="2">
        <f>INDEX(Остановки,MATCH(R1421,ИД_Остановки!$B$3:$B$467,0),1)</f>
        <v>208</v>
      </c>
      <c r="R1421" s="45" t="s">
        <v>121</v>
      </c>
      <c r="S1421" s="20">
        <v>0.56999999999999995</v>
      </c>
    </row>
    <row r="1422" spans="8:19" x14ac:dyDescent="0.25">
      <c r="H1422">
        <v>8</v>
      </c>
      <c r="I1422">
        <v>363</v>
      </c>
      <c r="J1422">
        <v>115</v>
      </c>
      <c r="K1422" t="b">
        <v>1</v>
      </c>
      <c r="N1422" s="30" t="s">
        <v>542</v>
      </c>
      <c r="O1422" s="2">
        <f>INDEX(Маршруты,MATCH(N1422,$B$3:$B$498,0),1)</f>
        <v>64</v>
      </c>
      <c r="P1422" s="27">
        <v>12</v>
      </c>
      <c r="Q1422" s="2">
        <f>INDEX(Остановки,MATCH(R1422,ИД_Остановки!$B$3:$B$467,0),1)</f>
        <v>417</v>
      </c>
      <c r="R1422" s="45" t="s">
        <v>473</v>
      </c>
      <c r="S1422" s="20">
        <v>0.62</v>
      </c>
    </row>
    <row r="1423" spans="8:19" x14ac:dyDescent="0.25">
      <c r="H1423">
        <v>8</v>
      </c>
      <c r="I1423">
        <v>366</v>
      </c>
      <c r="J1423">
        <v>115</v>
      </c>
      <c r="K1423" t="b">
        <v>1</v>
      </c>
      <c r="N1423" s="30" t="s">
        <v>542</v>
      </c>
      <c r="O1423" s="2">
        <f>INDEX(Маршруты,MATCH(N1423,$B$3:$B$498,0),1)</f>
        <v>64</v>
      </c>
      <c r="P1423" s="27">
        <v>13</v>
      </c>
      <c r="Q1423" s="2">
        <f>INDEX(Остановки,MATCH(R1423,ИД_Остановки!$B$3:$B$467,0),1)</f>
        <v>209</v>
      </c>
      <c r="R1423" s="45" t="s">
        <v>346</v>
      </c>
      <c r="S1423" s="20">
        <v>0.43</v>
      </c>
    </row>
    <row r="1424" spans="8:19" x14ac:dyDescent="0.25">
      <c r="H1424">
        <v>8</v>
      </c>
      <c r="I1424">
        <v>369</v>
      </c>
      <c r="J1424">
        <v>115</v>
      </c>
      <c r="K1424" t="b">
        <v>1</v>
      </c>
      <c r="N1424" s="30" t="s">
        <v>542</v>
      </c>
      <c r="O1424" s="2">
        <f>INDEX(Маршруты,MATCH(N1424,$B$3:$B$498,0),1)</f>
        <v>64</v>
      </c>
      <c r="P1424" s="27">
        <v>14</v>
      </c>
      <c r="Q1424" s="2">
        <f>INDEX(Остановки,MATCH(R1424,ИД_Остановки!$B$3:$B$467,0),1)</f>
        <v>210</v>
      </c>
      <c r="R1424" s="45" t="s">
        <v>347</v>
      </c>
      <c r="S1424" s="20">
        <v>0.35</v>
      </c>
    </row>
    <row r="1425" spans="8:19" x14ac:dyDescent="0.25">
      <c r="H1425">
        <v>8</v>
      </c>
      <c r="I1425">
        <v>372</v>
      </c>
      <c r="J1425">
        <v>115</v>
      </c>
      <c r="K1425" t="b">
        <v>1</v>
      </c>
      <c r="N1425" s="25" t="s">
        <v>542</v>
      </c>
      <c r="O1425" s="2">
        <f>INDEX(Маршруты,MATCH(N1425,$B$3:$B$498,0),1)</f>
        <v>64</v>
      </c>
      <c r="P1425" s="27">
        <v>15</v>
      </c>
      <c r="Q1425" s="2">
        <f>INDEX(Остановки,MATCH(R1425,ИД_Остановки!$B$3:$B$467,0),1)</f>
        <v>211</v>
      </c>
      <c r="R1425" s="45" t="s">
        <v>122</v>
      </c>
      <c r="S1425" s="20">
        <v>0.37</v>
      </c>
    </row>
    <row r="1426" spans="8:19" x14ac:dyDescent="0.25">
      <c r="H1426">
        <v>8</v>
      </c>
      <c r="I1426">
        <v>375</v>
      </c>
      <c r="J1426">
        <v>115</v>
      </c>
      <c r="K1426" t="b">
        <v>1</v>
      </c>
      <c r="N1426" s="25" t="s">
        <v>542</v>
      </c>
      <c r="O1426" s="2">
        <f>INDEX(Маршруты,MATCH(N1426,$B$3:$B$498,0),1)</f>
        <v>64</v>
      </c>
      <c r="P1426" s="27">
        <v>16</v>
      </c>
      <c r="Q1426" s="2">
        <f>INDEX(Остановки,MATCH(R1426,ИД_Остановки!$B$3:$B$467,0),1)</f>
        <v>212</v>
      </c>
      <c r="R1426" s="45" t="s">
        <v>123</v>
      </c>
      <c r="S1426" s="20">
        <v>0.9</v>
      </c>
    </row>
    <row r="1427" spans="8:19" x14ac:dyDescent="0.25">
      <c r="H1427">
        <v>8</v>
      </c>
      <c r="I1427">
        <v>378</v>
      </c>
      <c r="J1427">
        <v>115</v>
      </c>
      <c r="K1427" t="b">
        <v>1</v>
      </c>
      <c r="N1427" s="26" t="s">
        <v>542</v>
      </c>
      <c r="O1427" s="2">
        <f>INDEX(Маршруты,MATCH(N1427,$B$3:$B$498,0),1)</f>
        <v>64</v>
      </c>
      <c r="P1427" s="27">
        <v>17</v>
      </c>
      <c r="Q1427" s="2">
        <f>INDEX(Остановки,MATCH(R1427,ИД_Остановки!$B$3:$B$467,0),1)</f>
        <v>404</v>
      </c>
      <c r="R1427" s="45" t="s">
        <v>460</v>
      </c>
      <c r="S1427" s="20">
        <v>1.92</v>
      </c>
    </row>
    <row r="1428" spans="8:19" x14ac:dyDescent="0.25">
      <c r="H1428">
        <v>8</v>
      </c>
      <c r="I1428">
        <v>381</v>
      </c>
      <c r="J1428">
        <v>115</v>
      </c>
      <c r="K1428" t="b">
        <v>1</v>
      </c>
      <c r="N1428" s="30" t="s">
        <v>542</v>
      </c>
      <c r="O1428" s="2">
        <f>INDEX(Маршруты,MATCH(N1428,$B$3:$B$498,0),1)</f>
        <v>64</v>
      </c>
      <c r="P1428" s="27">
        <v>18</v>
      </c>
      <c r="Q1428" s="2">
        <f>INDEX(Остановки,MATCH(R1428,ИД_Остановки!$B$3:$B$467,0),1)</f>
        <v>405</v>
      </c>
      <c r="R1428" s="45" t="s">
        <v>461</v>
      </c>
      <c r="S1428" s="20">
        <v>2.39</v>
      </c>
    </row>
    <row r="1429" spans="8:19" x14ac:dyDescent="0.25">
      <c r="H1429">
        <v>8</v>
      </c>
      <c r="I1429">
        <v>384</v>
      </c>
      <c r="J1429">
        <v>115</v>
      </c>
      <c r="K1429" t="b">
        <v>1</v>
      </c>
      <c r="N1429" s="30" t="s">
        <v>542</v>
      </c>
      <c r="O1429" s="2">
        <f>INDEX(Маршруты,MATCH(N1429,$B$3:$B$498,0),1)</f>
        <v>64</v>
      </c>
      <c r="P1429" s="27">
        <v>19</v>
      </c>
      <c r="Q1429" s="2">
        <f>INDEX(Остановки,MATCH(R1429,ИД_Остановки!$B$3:$B$467,0),1)</f>
        <v>213</v>
      </c>
      <c r="R1429" s="45" t="s">
        <v>124</v>
      </c>
      <c r="S1429" s="20">
        <v>1.81</v>
      </c>
    </row>
    <row r="1430" spans="8:19" x14ac:dyDescent="0.25">
      <c r="H1430">
        <v>8</v>
      </c>
      <c r="I1430">
        <v>387</v>
      </c>
      <c r="J1430">
        <v>115</v>
      </c>
      <c r="K1430" t="b">
        <v>1</v>
      </c>
      <c r="N1430" s="25" t="s">
        <v>542</v>
      </c>
      <c r="O1430" s="2">
        <f>INDEX(Маршруты,MATCH(N1430,$B$3:$B$498,0),1)</f>
        <v>64</v>
      </c>
      <c r="P1430" s="27">
        <v>20</v>
      </c>
      <c r="Q1430" s="2">
        <f>INDEX(Остановки,MATCH(R1430,ИД_Остановки!$B$3:$B$467,0),1)</f>
        <v>214</v>
      </c>
      <c r="R1430" s="45" t="s">
        <v>348</v>
      </c>
      <c r="S1430" s="20">
        <v>0.83</v>
      </c>
    </row>
    <row r="1431" spans="8:19" x14ac:dyDescent="0.25">
      <c r="H1431">
        <v>8</v>
      </c>
      <c r="I1431">
        <v>390</v>
      </c>
      <c r="J1431">
        <v>115</v>
      </c>
      <c r="K1431" t="b">
        <v>1</v>
      </c>
      <c r="N1431" s="30" t="s">
        <v>542</v>
      </c>
      <c r="O1431" s="2">
        <f>INDEX(Маршруты,MATCH(N1431,$B$3:$B$498,0),1)</f>
        <v>64</v>
      </c>
      <c r="P1431" s="27">
        <v>21</v>
      </c>
      <c r="Q1431" s="2">
        <f>INDEX(Остановки,MATCH(R1431,ИД_Остановки!$B$3:$B$467,0),1)</f>
        <v>215</v>
      </c>
      <c r="R1431" s="45" t="s">
        <v>349</v>
      </c>
      <c r="S1431" s="20">
        <v>0.73</v>
      </c>
    </row>
    <row r="1432" spans="8:19" x14ac:dyDescent="0.25">
      <c r="H1432">
        <v>8</v>
      </c>
      <c r="I1432">
        <v>393</v>
      </c>
      <c r="J1432">
        <v>115</v>
      </c>
      <c r="K1432" t="b">
        <v>1</v>
      </c>
      <c r="N1432" s="30" t="s">
        <v>542</v>
      </c>
      <c r="O1432" s="2">
        <f>INDEX(Маршруты,MATCH(N1432,$B$3:$B$498,0),1)</f>
        <v>64</v>
      </c>
      <c r="P1432" s="27">
        <v>22</v>
      </c>
      <c r="Q1432" s="2">
        <f>INDEX(Остановки,MATCH(R1432,ИД_Остановки!$B$3:$B$467,0),1)</f>
        <v>414</v>
      </c>
      <c r="R1432" s="45" t="s">
        <v>470</v>
      </c>
      <c r="S1432" s="20">
        <v>0.81</v>
      </c>
    </row>
    <row r="1433" spans="8:19" x14ac:dyDescent="0.25">
      <c r="H1433">
        <v>8</v>
      </c>
      <c r="I1433">
        <v>396</v>
      </c>
      <c r="J1433">
        <v>115</v>
      </c>
      <c r="K1433" t="b">
        <v>1</v>
      </c>
      <c r="N1433" s="30" t="s">
        <v>542</v>
      </c>
      <c r="O1433" s="2">
        <f>INDEX(Маршруты,MATCH(N1433,$B$3:$B$498,0),1)</f>
        <v>64</v>
      </c>
      <c r="P1433" s="27">
        <v>23</v>
      </c>
      <c r="Q1433" s="2">
        <f>INDEX(Остановки,MATCH(R1433,ИД_Остановки!$B$3:$B$467,0),1)</f>
        <v>408</v>
      </c>
      <c r="R1433" s="45" t="s">
        <v>464</v>
      </c>
      <c r="S1433" s="20">
        <v>0.78</v>
      </c>
    </row>
    <row r="1434" spans="8:19" x14ac:dyDescent="0.25">
      <c r="H1434">
        <v>8</v>
      </c>
      <c r="I1434">
        <v>399</v>
      </c>
      <c r="J1434">
        <v>115</v>
      </c>
      <c r="K1434" t="b">
        <v>1</v>
      </c>
      <c r="N1434" s="30" t="s">
        <v>542</v>
      </c>
      <c r="O1434" s="2">
        <f>INDEX(Маршруты,MATCH(N1434,$B$3:$B$498,0),1)</f>
        <v>64</v>
      </c>
      <c r="P1434" s="27">
        <v>24</v>
      </c>
      <c r="Q1434" s="2">
        <f>INDEX(Остановки,MATCH(R1434,ИД_Остановки!$B$3:$B$467,0),1)</f>
        <v>407</v>
      </c>
      <c r="R1434" s="45" t="s">
        <v>463</v>
      </c>
      <c r="S1434" s="20">
        <v>0.74</v>
      </c>
    </row>
    <row r="1435" spans="8:19" x14ac:dyDescent="0.25">
      <c r="H1435">
        <v>8</v>
      </c>
      <c r="I1435">
        <v>402</v>
      </c>
      <c r="J1435">
        <v>115</v>
      </c>
      <c r="K1435" t="b">
        <v>1</v>
      </c>
      <c r="N1435" s="25" t="s">
        <v>542</v>
      </c>
      <c r="O1435" s="2">
        <f>INDEX(Маршруты,MATCH(N1435,$B$3:$B$498,0),1)</f>
        <v>64</v>
      </c>
      <c r="P1435" s="27">
        <v>25</v>
      </c>
      <c r="Q1435" s="2">
        <f>INDEX(Остановки,MATCH(R1435,ИД_Остановки!$B$3:$B$467,0),1)</f>
        <v>415</v>
      </c>
      <c r="R1435" s="45" t="s">
        <v>471</v>
      </c>
      <c r="S1435" s="20">
        <v>0.62</v>
      </c>
    </row>
    <row r="1436" spans="8:19" x14ac:dyDescent="0.25">
      <c r="H1436">
        <v>8</v>
      </c>
      <c r="I1436">
        <v>405</v>
      </c>
      <c r="J1436">
        <v>115</v>
      </c>
      <c r="K1436" t="b">
        <v>1</v>
      </c>
      <c r="N1436" s="30" t="s">
        <v>542</v>
      </c>
      <c r="O1436" s="2">
        <f>INDEX(Маршруты,MATCH(N1436,$B$3:$B$498,0),1)</f>
        <v>64</v>
      </c>
      <c r="P1436" s="27">
        <v>26</v>
      </c>
      <c r="Q1436" s="2">
        <f>INDEX(Остановки,MATCH(R1436,ИД_Остановки!$B$3:$B$467,0),1)</f>
        <v>406</v>
      </c>
      <c r="R1436" s="45" t="s">
        <v>462</v>
      </c>
      <c r="S1436" s="20">
        <v>0.34</v>
      </c>
    </row>
    <row r="1437" spans="8:19" x14ac:dyDescent="0.25">
      <c r="H1437">
        <v>8</v>
      </c>
      <c r="I1437">
        <v>408</v>
      </c>
      <c r="J1437">
        <v>115</v>
      </c>
      <c r="K1437" t="b">
        <v>1</v>
      </c>
      <c r="N1437" s="30" t="s">
        <v>542</v>
      </c>
      <c r="O1437" s="2">
        <f>INDEX(Маршруты,MATCH(N1437,$B$3:$B$498,0),1)</f>
        <v>64</v>
      </c>
      <c r="P1437" s="27">
        <v>27</v>
      </c>
      <c r="Q1437" s="2">
        <f>INDEX(Остановки,MATCH(R1437,ИД_Остановки!$B$3:$B$467,0),1)</f>
        <v>345</v>
      </c>
      <c r="R1437" s="45" t="s">
        <v>412</v>
      </c>
      <c r="S1437" s="20">
        <v>0.34</v>
      </c>
    </row>
    <row r="1438" spans="8:19" x14ac:dyDescent="0.25">
      <c r="H1438">
        <v>8</v>
      </c>
      <c r="I1438">
        <v>411</v>
      </c>
      <c r="J1438">
        <v>115</v>
      </c>
      <c r="K1438" t="b">
        <v>1</v>
      </c>
      <c r="N1438" s="25" t="s">
        <v>542</v>
      </c>
      <c r="O1438" s="2">
        <f>INDEX(Маршруты,MATCH(N1438,$B$3:$B$498,0),1)</f>
        <v>64</v>
      </c>
      <c r="P1438" s="27">
        <v>28</v>
      </c>
      <c r="Q1438" s="2">
        <f>INDEX(Остановки,MATCH(R1438,ИД_Остановки!$B$3:$B$467,0),1)</f>
        <v>216</v>
      </c>
      <c r="R1438" s="45" t="s">
        <v>125</v>
      </c>
      <c r="S1438" s="20">
        <v>6.88</v>
      </c>
    </row>
    <row r="1439" spans="8:19" x14ac:dyDescent="0.25">
      <c r="H1439">
        <v>8</v>
      </c>
      <c r="I1439">
        <v>414</v>
      </c>
      <c r="J1439">
        <v>115</v>
      </c>
      <c r="K1439" t="b">
        <v>1</v>
      </c>
      <c r="N1439" s="25" t="s">
        <v>542</v>
      </c>
      <c r="O1439" s="2">
        <f>INDEX(Маршруты,MATCH(N1439,$B$3:$B$498,0),1)</f>
        <v>64</v>
      </c>
      <c r="P1439" s="27">
        <v>29</v>
      </c>
      <c r="Q1439" s="2">
        <f>INDEX(Остановки,MATCH(R1439,ИД_Остановки!$B$3:$B$467,0),1)</f>
        <v>217</v>
      </c>
      <c r="R1439" s="24" t="s">
        <v>350</v>
      </c>
      <c r="S1439" s="20">
        <v>1.93</v>
      </c>
    </row>
    <row r="1440" spans="8:19" x14ac:dyDescent="0.25">
      <c r="H1440">
        <v>8</v>
      </c>
      <c r="I1440">
        <v>417</v>
      </c>
      <c r="J1440">
        <v>115</v>
      </c>
      <c r="K1440" t="b">
        <v>1</v>
      </c>
      <c r="N1440" s="26" t="s">
        <v>542</v>
      </c>
      <c r="O1440" s="2">
        <f>INDEX(Маршруты,MATCH(N1440,$B$3:$B$498,0),1)</f>
        <v>64</v>
      </c>
      <c r="P1440" s="27">
        <v>30</v>
      </c>
      <c r="Q1440" s="2">
        <f>INDEX(Остановки,MATCH(R1440,ИД_Остановки!$B$3:$B$467,0),1)</f>
        <v>218</v>
      </c>
      <c r="R1440" s="45" t="s">
        <v>351</v>
      </c>
      <c r="S1440" s="20">
        <v>0.83</v>
      </c>
    </row>
    <row r="1441" spans="8:19" x14ac:dyDescent="0.25">
      <c r="H1441">
        <v>8</v>
      </c>
      <c r="I1441">
        <v>420</v>
      </c>
      <c r="J1441">
        <v>115</v>
      </c>
      <c r="K1441" t="b">
        <v>1</v>
      </c>
      <c r="N1441" s="25" t="s">
        <v>542</v>
      </c>
      <c r="O1441" s="2">
        <f>INDEX(Маршруты,MATCH(N1441,$B$3:$B$498,0),1)</f>
        <v>64</v>
      </c>
      <c r="P1441" s="27">
        <v>31</v>
      </c>
      <c r="Q1441" s="2">
        <f>INDEX(Остановки,MATCH(R1441,ИД_Остановки!$B$3:$B$467,0),1)</f>
        <v>416</v>
      </c>
      <c r="R1441" s="45" t="s">
        <v>472</v>
      </c>
      <c r="S1441" s="20">
        <v>1.82</v>
      </c>
    </row>
    <row r="1442" spans="8:19" x14ac:dyDescent="0.25">
      <c r="H1442">
        <v>8</v>
      </c>
      <c r="I1442">
        <v>423</v>
      </c>
      <c r="J1442">
        <v>115</v>
      </c>
      <c r="K1442" t="b">
        <v>1</v>
      </c>
      <c r="N1442" s="25" t="s">
        <v>542</v>
      </c>
      <c r="O1442" s="2">
        <f>INDEX(Маршруты,MATCH(N1442,$B$3:$B$498,0),1)</f>
        <v>64</v>
      </c>
      <c r="P1442" s="27">
        <v>32</v>
      </c>
      <c r="Q1442" s="2">
        <f>INDEX(Остановки,MATCH(R1442,ИД_Остановки!$B$3:$B$467,0),1)</f>
        <v>291</v>
      </c>
      <c r="R1442" s="45" t="s">
        <v>161</v>
      </c>
      <c r="S1442" s="20">
        <v>0.44</v>
      </c>
    </row>
    <row r="1443" spans="8:19" x14ac:dyDescent="0.25">
      <c r="H1443">
        <v>8</v>
      </c>
      <c r="I1443">
        <v>426</v>
      </c>
      <c r="J1443">
        <v>115</v>
      </c>
      <c r="K1443" t="b">
        <v>1</v>
      </c>
      <c r="N1443" s="30" t="s">
        <v>543</v>
      </c>
      <c r="O1443" s="2">
        <f>INDEX(Маршруты,MATCH(N1443,$B$3:$B$498,0),1)</f>
        <v>65</v>
      </c>
      <c r="P1443" s="27">
        <v>1</v>
      </c>
      <c r="Q1443" s="2">
        <f>INDEX(Остановки,MATCH(R1443,ИД_Остановки!$B$3:$B$467,0),1)</f>
        <v>291</v>
      </c>
      <c r="R1443" s="45" t="s">
        <v>161</v>
      </c>
      <c r="S1443" s="20"/>
    </row>
    <row r="1444" spans="8:19" x14ac:dyDescent="0.25">
      <c r="H1444">
        <v>8</v>
      </c>
      <c r="I1444">
        <v>429</v>
      </c>
      <c r="J1444">
        <v>115</v>
      </c>
      <c r="K1444" t="b">
        <v>1</v>
      </c>
      <c r="N1444" s="30" t="s">
        <v>543</v>
      </c>
      <c r="O1444" s="2">
        <f>INDEX(Маршруты,MATCH(N1444,$B$3:$B$498,0),1)</f>
        <v>65</v>
      </c>
      <c r="P1444" s="27">
        <v>2</v>
      </c>
      <c r="Q1444" s="2">
        <f>INDEX(Остановки,MATCH(R1444,ИД_Остановки!$B$3:$B$467,0),1)</f>
        <v>416</v>
      </c>
      <c r="R1444" s="45" t="s">
        <v>472</v>
      </c>
      <c r="S1444" s="20">
        <v>0.44</v>
      </c>
    </row>
    <row r="1445" spans="8:19" x14ac:dyDescent="0.25">
      <c r="H1445">
        <v>8</v>
      </c>
      <c r="I1445">
        <v>432</v>
      </c>
      <c r="J1445">
        <v>115</v>
      </c>
      <c r="K1445" t="b">
        <v>1</v>
      </c>
      <c r="N1445" s="30" t="s">
        <v>543</v>
      </c>
      <c r="O1445" s="2">
        <f>INDEX(Маршруты,MATCH(N1445,$B$3:$B$498,0),1)</f>
        <v>65</v>
      </c>
      <c r="P1445" s="28">
        <v>3</v>
      </c>
      <c r="Q1445" s="2">
        <f>INDEX(Остановки,MATCH(R1445,ИД_Остановки!$B$3:$B$467,0),1)</f>
        <v>218</v>
      </c>
      <c r="R1445" s="24" t="s">
        <v>351</v>
      </c>
      <c r="S1445" s="20">
        <v>1.82</v>
      </c>
    </row>
    <row r="1446" spans="8:19" x14ac:dyDescent="0.25">
      <c r="H1446">
        <v>8</v>
      </c>
      <c r="I1446">
        <v>435</v>
      </c>
      <c r="J1446">
        <v>115</v>
      </c>
      <c r="K1446" t="b">
        <v>1</v>
      </c>
      <c r="N1446" s="25" t="s">
        <v>543</v>
      </c>
      <c r="O1446" s="2">
        <f>INDEX(Маршруты,MATCH(N1446,$B$3:$B$498,0),1)</f>
        <v>65</v>
      </c>
      <c r="P1446" s="27">
        <v>4</v>
      </c>
      <c r="Q1446" s="2">
        <f>INDEX(Остановки,MATCH(R1446,ИД_Остановки!$B$3:$B$467,0),1)</f>
        <v>217</v>
      </c>
      <c r="R1446" s="45" t="s">
        <v>350</v>
      </c>
      <c r="S1446" s="20">
        <v>0.83</v>
      </c>
    </row>
    <row r="1447" spans="8:19" x14ac:dyDescent="0.25">
      <c r="H1447">
        <v>8</v>
      </c>
      <c r="I1447">
        <v>438</v>
      </c>
      <c r="J1447">
        <v>115</v>
      </c>
      <c r="K1447" t="b">
        <v>1</v>
      </c>
      <c r="N1447" s="30" t="s">
        <v>543</v>
      </c>
      <c r="O1447" s="2">
        <f>INDEX(Маршруты,MATCH(N1447,$B$3:$B$498,0),1)</f>
        <v>65</v>
      </c>
      <c r="P1447" s="27">
        <v>5</v>
      </c>
      <c r="Q1447" s="2">
        <f>INDEX(Остановки,MATCH(R1447,ИД_Остановки!$B$3:$B$467,0),1)</f>
        <v>216</v>
      </c>
      <c r="R1447" s="45" t="s">
        <v>125</v>
      </c>
      <c r="S1447" s="20">
        <v>1.93</v>
      </c>
    </row>
    <row r="1448" spans="8:19" x14ac:dyDescent="0.25">
      <c r="H1448">
        <v>8</v>
      </c>
      <c r="I1448">
        <v>441</v>
      </c>
      <c r="J1448">
        <v>115</v>
      </c>
      <c r="K1448" t="b">
        <v>1</v>
      </c>
      <c r="N1448" s="25" t="s">
        <v>543</v>
      </c>
      <c r="O1448" s="2">
        <f>INDEX(Маршруты,MATCH(N1448,$B$3:$B$498,0),1)</f>
        <v>65</v>
      </c>
      <c r="P1448" s="27">
        <v>6</v>
      </c>
      <c r="Q1448" s="2">
        <f>INDEX(Остановки,MATCH(R1448,ИД_Остановки!$B$3:$B$467,0),1)</f>
        <v>345</v>
      </c>
      <c r="R1448" s="45" t="s">
        <v>412</v>
      </c>
      <c r="S1448" s="20">
        <v>6.88</v>
      </c>
    </row>
    <row r="1449" spans="8:19" x14ac:dyDescent="0.25">
      <c r="H1449">
        <v>8</v>
      </c>
      <c r="I1449">
        <v>444</v>
      </c>
      <c r="J1449">
        <v>115</v>
      </c>
      <c r="K1449" t="b">
        <v>1</v>
      </c>
      <c r="N1449" s="30" t="s">
        <v>543</v>
      </c>
      <c r="O1449" s="2">
        <f>INDEX(Маршруты,MATCH(N1449,$B$3:$B$498,0),1)</f>
        <v>65</v>
      </c>
      <c r="P1449" s="27">
        <v>7</v>
      </c>
      <c r="Q1449" s="2">
        <f>INDEX(Остановки,MATCH(R1449,ИД_Остановки!$B$3:$B$467,0),1)</f>
        <v>406</v>
      </c>
      <c r="R1449" s="45" t="s">
        <v>462</v>
      </c>
      <c r="S1449" s="20">
        <v>0.34</v>
      </c>
    </row>
    <row r="1450" spans="8:19" x14ac:dyDescent="0.25">
      <c r="H1450">
        <v>8</v>
      </c>
      <c r="I1450">
        <v>447</v>
      </c>
      <c r="J1450">
        <v>115</v>
      </c>
      <c r="K1450" t="b">
        <v>1</v>
      </c>
      <c r="N1450" s="25" t="s">
        <v>543</v>
      </c>
      <c r="O1450" s="2">
        <f>INDEX(Маршруты,MATCH(N1450,$B$3:$B$498,0),1)</f>
        <v>65</v>
      </c>
      <c r="P1450" s="27">
        <v>8</v>
      </c>
      <c r="Q1450" s="2">
        <f>INDEX(Остановки,MATCH(R1450,ИД_Остановки!$B$3:$B$467,0),1)</f>
        <v>415</v>
      </c>
      <c r="R1450" s="45" t="s">
        <v>471</v>
      </c>
      <c r="S1450" s="20">
        <v>0.34</v>
      </c>
    </row>
    <row r="1451" spans="8:19" x14ac:dyDescent="0.25">
      <c r="H1451">
        <v>8</v>
      </c>
      <c r="I1451">
        <v>450</v>
      </c>
      <c r="J1451">
        <v>115</v>
      </c>
      <c r="K1451" t="b">
        <v>1</v>
      </c>
      <c r="N1451" s="30" t="s">
        <v>543</v>
      </c>
      <c r="O1451" s="2">
        <f>INDEX(Маршруты,MATCH(N1451,$B$3:$B$498,0),1)</f>
        <v>65</v>
      </c>
      <c r="P1451" s="27">
        <v>9</v>
      </c>
      <c r="Q1451" s="2">
        <f>INDEX(Остановки,MATCH(R1451,ИД_Остановки!$B$3:$B$467,0),1)</f>
        <v>407</v>
      </c>
      <c r="R1451" s="45" t="s">
        <v>463</v>
      </c>
      <c r="S1451" s="20">
        <v>0.62</v>
      </c>
    </row>
    <row r="1452" spans="8:19" x14ac:dyDescent="0.25">
      <c r="H1452">
        <v>8</v>
      </c>
      <c r="I1452">
        <v>453</v>
      </c>
      <c r="J1452">
        <v>115</v>
      </c>
      <c r="K1452" t="b">
        <v>1</v>
      </c>
      <c r="N1452" s="25" t="s">
        <v>543</v>
      </c>
      <c r="O1452" s="2">
        <f>INDEX(Маршруты,MATCH(N1452,$B$3:$B$498,0),1)</f>
        <v>65</v>
      </c>
      <c r="P1452" s="27">
        <v>10</v>
      </c>
      <c r="Q1452" s="2">
        <f>INDEX(Остановки,MATCH(R1452,ИД_Остановки!$B$3:$B$467,0),1)</f>
        <v>408</v>
      </c>
      <c r="R1452" s="45" t="s">
        <v>464</v>
      </c>
      <c r="S1452" s="20">
        <v>0.74</v>
      </c>
    </row>
    <row r="1453" spans="8:19" x14ac:dyDescent="0.25">
      <c r="H1453">
        <v>8</v>
      </c>
      <c r="I1453">
        <v>456</v>
      </c>
      <c r="J1453">
        <v>115</v>
      </c>
      <c r="K1453" t="b">
        <v>1</v>
      </c>
      <c r="N1453" s="30" t="s">
        <v>543</v>
      </c>
      <c r="O1453" s="2">
        <f>INDEX(Маршруты,MATCH(N1453,$B$3:$B$498,0),1)</f>
        <v>65</v>
      </c>
      <c r="P1453" s="27">
        <v>11</v>
      </c>
      <c r="Q1453" s="2">
        <f>INDEX(Остановки,MATCH(R1453,ИД_Остановки!$B$3:$B$467,0),1)</f>
        <v>414</v>
      </c>
      <c r="R1453" s="45" t="s">
        <v>470</v>
      </c>
      <c r="S1453" s="20">
        <v>0.78</v>
      </c>
    </row>
    <row r="1454" spans="8:19" x14ac:dyDescent="0.25">
      <c r="H1454">
        <v>8</v>
      </c>
      <c r="I1454">
        <v>459</v>
      </c>
      <c r="J1454">
        <v>115</v>
      </c>
      <c r="K1454" t="b">
        <v>1</v>
      </c>
      <c r="N1454" s="26" t="s">
        <v>543</v>
      </c>
      <c r="O1454" s="2">
        <f>INDEX(Маршруты,MATCH(N1454,$B$3:$B$498,0),1)</f>
        <v>65</v>
      </c>
      <c r="P1454" s="27">
        <v>12</v>
      </c>
      <c r="Q1454" s="2">
        <f>INDEX(Остановки,MATCH(R1454,ИД_Остановки!$B$3:$B$467,0),1)</f>
        <v>215</v>
      </c>
      <c r="R1454" s="45" t="s">
        <v>349</v>
      </c>
      <c r="S1454" s="20">
        <v>0.81</v>
      </c>
    </row>
    <row r="1455" spans="8:19" x14ac:dyDescent="0.25">
      <c r="H1455">
        <v>8</v>
      </c>
      <c r="I1455">
        <v>462</v>
      </c>
      <c r="J1455">
        <v>115</v>
      </c>
      <c r="K1455" t="b">
        <v>1</v>
      </c>
      <c r="N1455" s="25" t="s">
        <v>543</v>
      </c>
      <c r="O1455" s="2">
        <f>INDEX(Маршруты,MATCH(N1455,$B$3:$B$498,0),1)</f>
        <v>65</v>
      </c>
      <c r="P1455" s="27">
        <v>13</v>
      </c>
      <c r="Q1455" s="2">
        <f>INDEX(Остановки,MATCH(R1455,ИД_Остановки!$B$3:$B$467,0),1)</f>
        <v>214</v>
      </c>
      <c r="R1455" s="45" t="s">
        <v>348</v>
      </c>
      <c r="S1455" s="20">
        <v>0.73</v>
      </c>
    </row>
    <row r="1456" spans="8:19" x14ac:dyDescent="0.25">
      <c r="H1456">
        <v>8</v>
      </c>
      <c r="I1456">
        <v>465</v>
      </c>
      <c r="J1456">
        <v>115</v>
      </c>
      <c r="K1456" t="b">
        <v>1</v>
      </c>
      <c r="N1456" s="30" t="s">
        <v>543</v>
      </c>
      <c r="O1456" s="2">
        <f>INDEX(Маршруты,MATCH(N1456,$B$3:$B$498,0),1)</f>
        <v>65</v>
      </c>
      <c r="P1456" s="27">
        <v>14</v>
      </c>
      <c r="Q1456" s="2">
        <f>INDEX(Остановки,MATCH(R1456,ИД_Остановки!$B$3:$B$467,0),1)</f>
        <v>213</v>
      </c>
      <c r="R1456" s="45" t="s">
        <v>124</v>
      </c>
      <c r="S1456" s="20">
        <v>0.83</v>
      </c>
    </row>
    <row r="1457" spans="8:19" x14ac:dyDescent="0.25">
      <c r="H1457">
        <v>8</v>
      </c>
      <c r="I1457">
        <v>468</v>
      </c>
      <c r="J1457">
        <v>115</v>
      </c>
      <c r="K1457" t="b">
        <v>1</v>
      </c>
      <c r="N1457" s="30" t="s">
        <v>543</v>
      </c>
      <c r="O1457" s="2">
        <f>INDEX(Маршруты,MATCH(N1457,$B$3:$B$498,0),1)</f>
        <v>65</v>
      </c>
      <c r="P1457" s="27">
        <v>15</v>
      </c>
      <c r="Q1457" s="2">
        <f>INDEX(Остановки,MATCH(R1457,ИД_Остановки!$B$3:$B$467,0),1)</f>
        <v>405</v>
      </c>
      <c r="R1457" s="45" t="s">
        <v>461</v>
      </c>
      <c r="S1457" s="20">
        <v>1.81</v>
      </c>
    </row>
    <row r="1458" spans="8:19" x14ac:dyDescent="0.25">
      <c r="H1458">
        <v>8</v>
      </c>
      <c r="I1458">
        <v>471</v>
      </c>
      <c r="J1458">
        <v>115</v>
      </c>
      <c r="K1458" t="b">
        <v>1</v>
      </c>
      <c r="N1458" s="25" t="s">
        <v>543</v>
      </c>
      <c r="O1458" s="2">
        <f>INDEX(Маршруты,MATCH(N1458,$B$3:$B$498,0),1)</f>
        <v>65</v>
      </c>
      <c r="P1458" s="27">
        <v>16</v>
      </c>
      <c r="Q1458" s="2">
        <f>INDEX(Остановки,MATCH(R1458,ИД_Остановки!$B$3:$B$467,0),1)</f>
        <v>404</v>
      </c>
      <c r="R1458" s="45" t="s">
        <v>460</v>
      </c>
      <c r="S1458" s="20">
        <v>2.39</v>
      </c>
    </row>
    <row r="1459" spans="8:19" x14ac:dyDescent="0.25">
      <c r="H1459">
        <v>8</v>
      </c>
      <c r="I1459">
        <v>474</v>
      </c>
      <c r="J1459">
        <v>115</v>
      </c>
      <c r="K1459" t="b">
        <v>1</v>
      </c>
      <c r="N1459" s="25" t="s">
        <v>543</v>
      </c>
      <c r="O1459" s="2">
        <f>INDEX(Маршруты,MATCH(N1459,$B$3:$B$498,0),1)</f>
        <v>65</v>
      </c>
      <c r="P1459" s="27">
        <v>17</v>
      </c>
      <c r="Q1459" s="2">
        <f>INDEX(Остановки,MATCH(R1459,ИД_Остановки!$B$3:$B$467,0),1)</f>
        <v>212</v>
      </c>
      <c r="R1459" s="24" t="s">
        <v>123</v>
      </c>
      <c r="S1459" s="20">
        <v>1.92</v>
      </c>
    </row>
    <row r="1460" spans="8:19" x14ac:dyDescent="0.25">
      <c r="H1460">
        <v>8</v>
      </c>
      <c r="I1460">
        <v>477</v>
      </c>
      <c r="J1460">
        <v>115</v>
      </c>
      <c r="K1460" t="b">
        <v>1</v>
      </c>
      <c r="N1460" s="25" t="s">
        <v>543</v>
      </c>
      <c r="O1460" s="2">
        <f>INDEX(Маршруты,MATCH(N1460,$B$3:$B$498,0),1)</f>
        <v>65</v>
      </c>
      <c r="P1460" s="27">
        <v>18</v>
      </c>
      <c r="Q1460" s="2">
        <f>INDEX(Остановки,MATCH(R1460,ИД_Остановки!$B$3:$B$467,0),1)</f>
        <v>211</v>
      </c>
      <c r="R1460" s="45" t="s">
        <v>122</v>
      </c>
      <c r="S1460" s="20">
        <v>0.9</v>
      </c>
    </row>
    <row r="1461" spans="8:19" x14ac:dyDescent="0.25">
      <c r="H1461">
        <v>8</v>
      </c>
      <c r="I1461">
        <v>480</v>
      </c>
      <c r="J1461">
        <v>115</v>
      </c>
      <c r="K1461" t="b">
        <v>1</v>
      </c>
      <c r="N1461" s="25" t="s">
        <v>543</v>
      </c>
      <c r="O1461" s="2">
        <f>INDEX(Маршруты,MATCH(N1461,$B$3:$B$498,0),1)</f>
        <v>65</v>
      </c>
      <c r="P1461" s="27">
        <v>19</v>
      </c>
      <c r="Q1461" s="2">
        <f>INDEX(Остановки,MATCH(R1461,ИД_Остановки!$B$3:$B$467,0),1)</f>
        <v>210</v>
      </c>
      <c r="R1461" s="45" t="s">
        <v>347</v>
      </c>
      <c r="S1461" s="20">
        <v>0.37</v>
      </c>
    </row>
    <row r="1462" spans="8:19" x14ac:dyDescent="0.25">
      <c r="H1462">
        <v>8</v>
      </c>
      <c r="I1462">
        <v>483</v>
      </c>
      <c r="J1462">
        <v>115</v>
      </c>
      <c r="K1462" t="b">
        <v>1</v>
      </c>
      <c r="N1462" s="26" t="s">
        <v>543</v>
      </c>
      <c r="O1462" s="2">
        <f>INDEX(Маршруты,MATCH(N1462,$B$3:$B$498,0),1)</f>
        <v>65</v>
      </c>
      <c r="P1462" s="27">
        <v>20</v>
      </c>
      <c r="Q1462" s="2">
        <f>INDEX(Остановки,MATCH(R1462,ИД_Остановки!$B$3:$B$467,0),1)</f>
        <v>209</v>
      </c>
      <c r="R1462" s="45" t="s">
        <v>346</v>
      </c>
      <c r="S1462" s="20">
        <v>0.35</v>
      </c>
    </row>
    <row r="1463" spans="8:19" x14ac:dyDescent="0.25">
      <c r="H1463">
        <v>8</v>
      </c>
      <c r="I1463">
        <v>486</v>
      </c>
      <c r="J1463">
        <v>115</v>
      </c>
      <c r="K1463" t="b">
        <v>1</v>
      </c>
      <c r="N1463" s="25" t="s">
        <v>543</v>
      </c>
      <c r="O1463" s="2">
        <f>INDEX(Маршруты,MATCH(N1463,$B$3:$B$498,0),1)</f>
        <v>65</v>
      </c>
      <c r="P1463" s="28">
        <v>21</v>
      </c>
      <c r="Q1463" s="2">
        <f>INDEX(Остановки,MATCH(R1463,ИД_Остановки!$B$3:$B$467,0),1)</f>
        <v>417</v>
      </c>
      <c r="R1463" s="24" t="s">
        <v>473</v>
      </c>
      <c r="S1463" s="20">
        <v>0.43</v>
      </c>
    </row>
    <row r="1464" spans="8:19" x14ac:dyDescent="0.25">
      <c r="H1464">
        <v>8</v>
      </c>
      <c r="I1464">
        <v>489</v>
      </c>
      <c r="J1464">
        <v>115</v>
      </c>
      <c r="K1464" t="b">
        <v>1</v>
      </c>
      <c r="N1464" s="25" t="s">
        <v>543</v>
      </c>
      <c r="O1464" s="2">
        <f>INDEX(Маршруты,MATCH(N1464,$B$3:$B$498,0),1)</f>
        <v>65</v>
      </c>
      <c r="P1464" s="27">
        <v>22</v>
      </c>
      <c r="Q1464" s="2">
        <f>INDEX(Остановки,MATCH(R1464,ИД_Остановки!$B$3:$B$467,0),1)</f>
        <v>208</v>
      </c>
      <c r="R1464" s="45" t="s">
        <v>121</v>
      </c>
      <c r="S1464" s="20">
        <v>0.62</v>
      </c>
    </row>
    <row r="1465" spans="8:19" x14ac:dyDescent="0.25">
      <c r="H1465">
        <v>8</v>
      </c>
      <c r="I1465">
        <v>492</v>
      </c>
      <c r="J1465">
        <v>115</v>
      </c>
      <c r="K1465" t="b">
        <v>1</v>
      </c>
      <c r="N1465" s="25" t="s">
        <v>543</v>
      </c>
      <c r="O1465" s="2">
        <f>INDEX(Маршруты,MATCH(N1465,$B$3:$B$498,0),1)</f>
        <v>65</v>
      </c>
      <c r="P1465" s="28">
        <v>23</v>
      </c>
      <c r="Q1465" s="2">
        <f>INDEX(Остановки,MATCH(R1465,ИД_Остановки!$B$3:$B$467,0),1)</f>
        <v>207</v>
      </c>
      <c r="R1465" s="24" t="s">
        <v>345</v>
      </c>
      <c r="S1465" s="20">
        <v>0.56999999999999995</v>
      </c>
    </row>
    <row r="1466" spans="8:19" x14ac:dyDescent="0.25">
      <c r="H1466">
        <v>8</v>
      </c>
      <c r="I1466">
        <v>495</v>
      </c>
      <c r="J1466">
        <v>115</v>
      </c>
      <c r="K1466" t="b">
        <v>1</v>
      </c>
      <c r="N1466" s="25" t="s">
        <v>543</v>
      </c>
      <c r="O1466" s="2">
        <f>INDEX(Маршруты,MATCH(N1466,$B$3:$B$498,0),1)</f>
        <v>65</v>
      </c>
      <c r="P1466" s="27">
        <v>24</v>
      </c>
      <c r="Q1466" s="2">
        <f>INDEX(Остановки,MATCH(R1466,ИД_Остановки!$B$3:$B$467,0),1)</f>
        <v>241</v>
      </c>
      <c r="R1466" s="45" t="s">
        <v>132</v>
      </c>
      <c r="S1466" s="20">
        <v>0.74</v>
      </c>
    </row>
    <row r="1467" spans="8:19" x14ac:dyDescent="0.25">
      <c r="H1467">
        <v>8</v>
      </c>
      <c r="I1467">
        <v>498</v>
      </c>
      <c r="J1467">
        <v>115</v>
      </c>
      <c r="K1467" t="b">
        <v>1</v>
      </c>
      <c r="N1467" s="25" t="s">
        <v>543</v>
      </c>
      <c r="O1467" s="2">
        <f>INDEX(Маршруты,MATCH(N1467,$B$3:$B$498,0),1)</f>
        <v>65</v>
      </c>
      <c r="P1467" s="27">
        <v>25</v>
      </c>
      <c r="Q1467" s="2">
        <f>INDEX(Остановки,MATCH(R1467,ИД_Остановки!$B$3:$B$467,0),1)</f>
        <v>206</v>
      </c>
      <c r="R1467" s="24" t="s">
        <v>344</v>
      </c>
      <c r="S1467" s="20">
        <v>0.45</v>
      </c>
    </row>
    <row r="1468" spans="8:19" x14ac:dyDescent="0.25">
      <c r="H1468">
        <v>8</v>
      </c>
      <c r="I1468">
        <v>501</v>
      </c>
      <c r="J1468">
        <v>115</v>
      </c>
      <c r="K1468" t="b">
        <v>1</v>
      </c>
      <c r="N1468" s="26" t="s">
        <v>543</v>
      </c>
      <c r="O1468" s="2">
        <f>INDEX(Маршруты,MATCH(N1468,$B$3:$B$498,0),1)</f>
        <v>65</v>
      </c>
      <c r="P1468" s="27">
        <v>26</v>
      </c>
      <c r="Q1468" s="2">
        <f>INDEX(Остановки,MATCH(R1468,ИД_Остановки!$B$3:$B$467,0),1)</f>
        <v>256</v>
      </c>
      <c r="R1468" s="45" t="s">
        <v>376</v>
      </c>
      <c r="S1468" s="20">
        <v>0.49</v>
      </c>
    </row>
    <row r="1469" spans="8:19" x14ac:dyDescent="0.25">
      <c r="H1469">
        <v>8</v>
      </c>
      <c r="I1469">
        <v>504</v>
      </c>
      <c r="J1469">
        <v>115</v>
      </c>
      <c r="K1469" t="b">
        <v>1</v>
      </c>
      <c r="N1469" s="30" t="s">
        <v>543</v>
      </c>
      <c r="O1469" s="2">
        <f>INDEX(Маршруты,MATCH(N1469,$B$3:$B$498,0),1)</f>
        <v>65</v>
      </c>
      <c r="P1469" s="27">
        <v>27</v>
      </c>
      <c r="Q1469" s="2">
        <f>INDEX(Остановки,MATCH(R1469,ИД_Остановки!$B$3:$B$467,0),1)</f>
        <v>204</v>
      </c>
      <c r="R1469" s="45" t="s">
        <v>342</v>
      </c>
      <c r="S1469" s="20">
        <v>0.68</v>
      </c>
    </row>
    <row r="1470" spans="8:19" x14ac:dyDescent="0.25">
      <c r="H1470">
        <v>8</v>
      </c>
      <c r="I1470">
        <v>507</v>
      </c>
      <c r="J1470">
        <v>115</v>
      </c>
      <c r="K1470" t="b">
        <v>1</v>
      </c>
      <c r="N1470" s="30" t="s">
        <v>543</v>
      </c>
      <c r="O1470" s="2">
        <f>INDEX(Маршруты,MATCH(N1470,$B$3:$B$498,0),1)</f>
        <v>65</v>
      </c>
      <c r="P1470" s="27">
        <v>28</v>
      </c>
      <c r="Q1470" s="2">
        <f>INDEX(Остановки,MATCH(R1470,ИД_Остановки!$B$3:$B$467,0),1)</f>
        <v>33</v>
      </c>
      <c r="R1470" s="24" t="s">
        <v>29</v>
      </c>
      <c r="S1470" s="20">
        <v>0.3</v>
      </c>
    </row>
    <row r="1471" spans="8:19" x14ac:dyDescent="0.25">
      <c r="H1471">
        <v>8</v>
      </c>
      <c r="I1471">
        <v>510</v>
      </c>
      <c r="J1471">
        <v>115</v>
      </c>
      <c r="K1471" t="b">
        <v>1</v>
      </c>
      <c r="N1471" s="26" t="s">
        <v>543</v>
      </c>
      <c r="O1471" s="2">
        <f>INDEX(Маршруты,MATCH(N1471,$B$3:$B$498,0),1)</f>
        <v>65</v>
      </c>
      <c r="P1471" s="27">
        <v>29</v>
      </c>
      <c r="Q1471" s="2">
        <f>INDEX(Остановки,MATCH(R1471,ИД_Остановки!$B$3:$B$467,0),1)</f>
        <v>93</v>
      </c>
      <c r="R1471" s="45" t="s">
        <v>65</v>
      </c>
      <c r="S1471" s="20">
        <v>0.52</v>
      </c>
    </row>
    <row r="1472" spans="8:19" x14ac:dyDescent="0.25">
      <c r="H1472">
        <v>8</v>
      </c>
      <c r="I1472">
        <v>513</v>
      </c>
      <c r="J1472">
        <v>115</v>
      </c>
      <c r="K1472" t="b">
        <v>1</v>
      </c>
      <c r="N1472" s="24" t="s">
        <v>543</v>
      </c>
      <c r="O1472" s="2">
        <f>INDEX(Маршруты,MATCH(N1472,$B$3:$B$498,0),1)</f>
        <v>65</v>
      </c>
      <c r="P1472" s="27">
        <v>30</v>
      </c>
      <c r="Q1472" s="2">
        <f>INDEX(Остановки,MATCH(R1472,ИД_Остановки!$B$3:$B$467,0),1)</f>
        <v>82</v>
      </c>
      <c r="R1472" s="45" t="s">
        <v>59</v>
      </c>
      <c r="S1472" s="20">
        <v>0.52</v>
      </c>
    </row>
    <row r="1473" spans="8:19" x14ac:dyDescent="0.25">
      <c r="H1473">
        <v>8</v>
      </c>
      <c r="I1473">
        <v>516</v>
      </c>
      <c r="J1473">
        <v>115</v>
      </c>
      <c r="K1473" t="b">
        <v>1</v>
      </c>
      <c r="N1473" s="30" t="s">
        <v>543</v>
      </c>
      <c r="O1473" s="2">
        <f>INDEX(Маршруты,MATCH(N1473,$B$3:$B$498,0),1)</f>
        <v>65</v>
      </c>
      <c r="P1473" s="27">
        <v>31</v>
      </c>
      <c r="Q1473" s="2">
        <f>INDEX(Остановки,MATCH(R1473,ИД_Остановки!$B$3:$B$467,0),1)</f>
        <v>146</v>
      </c>
      <c r="R1473" s="45" t="s">
        <v>315</v>
      </c>
      <c r="S1473" s="20">
        <v>0.47</v>
      </c>
    </row>
    <row r="1474" spans="8:19" x14ac:dyDescent="0.25">
      <c r="H1474">
        <v>8</v>
      </c>
      <c r="I1474">
        <v>519</v>
      </c>
      <c r="J1474">
        <v>115</v>
      </c>
      <c r="K1474" t="b">
        <v>1</v>
      </c>
      <c r="N1474" s="30" t="s">
        <v>543</v>
      </c>
      <c r="O1474" s="2">
        <f>INDEX(Маршруты,MATCH(N1474,$B$3:$B$498,0),1)</f>
        <v>65</v>
      </c>
      <c r="P1474" s="28">
        <v>32</v>
      </c>
      <c r="Q1474" s="2">
        <f>INDEX(Остановки,MATCH(R1474,ИД_Остановки!$B$3:$B$467,0),1)</f>
        <v>135</v>
      </c>
      <c r="R1474" s="24" t="s">
        <v>83</v>
      </c>
      <c r="S1474" s="20">
        <v>0.72</v>
      </c>
    </row>
    <row r="1475" spans="8:19" x14ac:dyDescent="0.25">
      <c r="H1475">
        <v>8</v>
      </c>
      <c r="I1475">
        <v>522</v>
      </c>
      <c r="J1475">
        <v>115</v>
      </c>
      <c r="K1475" t="b">
        <v>1</v>
      </c>
      <c r="N1475" s="30" t="s">
        <v>641</v>
      </c>
      <c r="O1475" s="2">
        <f>INDEX(Маршруты,MATCH(N1475,$B$3:$B$498,0),1)</f>
        <v>66</v>
      </c>
      <c r="P1475" s="27">
        <v>1</v>
      </c>
      <c r="Q1475" s="2">
        <f>INDEX(Остановки,MATCH(R1475,ИД_Остановки!$B$3:$B$467,0),1)</f>
        <v>445</v>
      </c>
      <c r="R1475" s="45" t="s">
        <v>302</v>
      </c>
      <c r="S1475" s="20"/>
    </row>
    <row r="1476" spans="8:19" x14ac:dyDescent="0.25">
      <c r="H1476">
        <v>8</v>
      </c>
      <c r="I1476">
        <v>525</v>
      </c>
      <c r="J1476">
        <v>115</v>
      </c>
      <c r="K1476" t="b">
        <v>1</v>
      </c>
      <c r="N1476" s="30" t="s">
        <v>641</v>
      </c>
      <c r="O1476" s="2">
        <f>INDEX(Маршруты,MATCH(N1476,$B$3:$B$498,0),1)</f>
        <v>66</v>
      </c>
      <c r="P1476" s="27">
        <v>2</v>
      </c>
      <c r="Q1476" s="2">
        <f>INDEX(Остановки,MATCH(R1476,ИД_Остановки!$B$3:$B$467,0),1)</f>
        <v>440</v>
      </c>
      <c r="R1476" s="45" t="s">
        <v>639</v>
      </c>
      <c r="S1476" s="20">
        <v>0.4</v>
      </c>
    </row>
    <row r="1477" spans="8:19" x14ac:dyDescent="0.25">
      <c r="H1477">
        <v>8</v>
      </c>
      <c r="I1477">
        <v>528</v>
      </c>
      <c r="J1477">
        <v>115</v>
      </c>
      <c r="K1477" t="b">
        <v>1</v>
      </c>
      <c r="N1477" s="30" t="s">
        <v>641</v>
      </c>
      <c r="O1477" s="2">
        <f>INDEX(Маршруты,MATCH(N1477,$B$3:$B$498,0),1)</f>
        <v>66</v>
      </c>
      <c r="P1477" s="28">
        <v>3</v>
      </c>
      <c r="Q1477" s="2">
        <f>INDEX(Остановки,MATCH(R1477,ИД_Остановки!$B$3:$B$467,0),1)</f>
        <v>72</v>
      </c>
      <c r="R1477" s="24" t="s">
        <v>272</v>
      </c>
      <c r="S1477" s="20">
        <v>0.9</v>
      </c>
    </row>
    <row r="1478" spans="8:19" x14ac:dyDescent="0.25">
      <c r="H1478">
        <v>8</v>
      </c>
      <c r="I1478">
        <v>531</v>
      </c>
      <c r="J1478">
        <v>115</v>
      </c>
      <c r="K1478" t="b">
        <v>1</v>
      </c>
      <c r="N1478" s="25" t="s">
        <v>641</v>
      </c>
      <c r="O1478" s="2">
        <f>INDEX(Маршруты,MATCH(N1478,$B$3:$B$498,0),1)</f>
        <v>66</v>
      </c>
      <c r="P1478" s="27">
        <v>4</v>
      </c>
      <c r="Q1478" s="2">
        <f>INDEX(Остановки,MATCH(R1478,ИД_Остановки!$B$3:$B$467,0),1)</f>
        <v>434</v>
      </c>
      <c r="R1478" s="45" t="s">
        <v>633</v>
      </c>
      <c r="S1478" s="20">
        <v>0.3</v>
      </c>
    </row>
    <row r="1479" spans="8:19" x14ac:dyDescent="0.25">
      <c r="H1479">
        <v>8</v>
      </c>
      <c r="I1479">
        <v>534</v>
      </c>
      <c r="J1479">
        <v>115</v>
      </c>
      <c r="K1479" t="b">
        <v>1</v>
      </c>
      <c r="N1479" s="25" t="s">
        <v>641</v>
      </c>
      <c r="O1479" s="2">
        <f>INDEX(Маршруты,MATCH(N1479,$B$3:$B$498,0),1)</f>
        <v>66</v>
      </c>
      <c r="P1479" s="27">
        <v>5</v>
      </c>
      <c r="Q1479" s="2">
        <f>INDEX(Остановки,MATCH(R1479,ИД_Остановки!$B$3:$B$467,0),1)</f>
        <v>71</v>
      </c>
      <c r="R1479" s="45" t="s">
        <v>271</v>
      </c>
      <c r="S1479" s="20">
        <v>0.23</v>
      </c>
    </row>
    <row r="1480" spans="8:19" x14ac:dyDescent="0.25">
      <c r="H1480">
        <v>8</v>
      </c>
      <c r="I1480">
        <v>537</v>
      </c>
      <c r="J1480">
        <v>115</v>
      </c>
      <c r="K1480" t="b">
        <v>1</v>
      </c>
      <c r="N1480" s="30" t="s">
        <v>641</v>
      </c>
      <c r="O1480" s="2">
        <f>INDEX(Маршруты,MATCH(N1480,$B$3:$B$498,0),1)</f>
        <v>66</v>
      </c>
      <c r="P1480" s="27">
        <v>6</v>
      </c>
      <c r="Q1480" s="2">
        <f>INDEX(Остановки,MATCH(R1480,ИД_Остановки!$B$3:$B$467,0),1)</f>
        <v>435</v>
      </c>
      <c r="R1480" s="45" t="s">
        <v>634</v>
      </c>
      <c r="S1480" s="20">
        <v>1.04</v>
      </c>
    </row>
    <row r="1481" spans="8:19" x14ac:dyDescent="0.25">
      <c r="H1481">
        <v>8</v>
      </c>
      <c r="I1481">
        <v>540</v>
      </c>
      <c r="J1481">
        <v>115</v>
      </c>
      <c r="K1481" t="b">
        <v>1</v>
      </c>
      <c r="N1481" s="25" t="s">
        <v>641</v>
      </c>
      <c r="O1481" s="2">
        <f>INDEX(Маршруты,MATCH(N1481,$B$3:$B$498,0),1)</f>
        <v>66</v>
      </c>
      <c r="P1481" s="28">
        <v>7</v>
      </c>
      <c r="Q1481" s="2">
        <f>INDEX(Остановки,MATCH(R1481,ИД_Остановки!$B$3:$B$467,0),1)</f>
        <v>436</v>
      </c>
      <c r="R1481" s="24" t="s">
        <v>635</v>
      </c>
      <c r="S1481" s="21">
        <v>0.33</v>
      </c>
    </row>
    <row r="1482" spans="8:19" x14ac:dyDescent="0.25">
      <c r="H1482">
        <v>8</v>
      </c>
      <c r="I1482">
        <v>543</v>
      </c>
      <c r="J1482">
        <v>115</v>
      </c>
      <c r="K1482" t="b">
        <v>1</v>
      </c>
      <c r="N1482" s="30" t="s">
        <v>641</v>
      </c>
      <c r="O1482" s="2">
        <f>INDEX(Маршруты,MATCH(N1482,$B$3:$B$498,0),1)</f>
        <v>66</v>
      </c>
      <c r="P1482" s="27">
        <v>8</v>
      </c>
      <c r="Q1482" s="2">
        <f>INDEX(Остановки,MATCH(R1482,ИД_Остановки!$B$3:$B$467,0),1)</f>
        <v>437</v>
      </c>
      <c r="R1482" s="45" t="s">
        <v>636</v>
      </c>
      <c r="S1482" s="20">
        <v>0.25</v>
      </c>
    </row>
    <row r="1483" spans="8:19" x14ac:dyDescent="0.25">
      <c r="H1483">
        <v>8</v>
      </c>
      <c r="I1483">
        <v>546</v>
      </c>
      <c r="J1483">
        <v>115</v>
      </c>
      <c r="K1483" t="b">
        <v>1</v>
      </c>
      <c r="N1483" s="25" t="s">
        <v>641</v>
      </c>
      <c r="O1483" s="2">
        <f>INDEX(Маршруты,MATCH(N1483,$B$3:$B$498,0),1)</f>
        <v>66</v>
      </c>
      <c r="P1483" s="27">
        <v>9</v>
      </c>
      <c r="Q1483" s="2">
        <f>INDEX(Остановки,MATCH(R1483,ИД_Остановки!$B$3:$B$467,0),1)</f>
        <v>438</v>
      </c>
      <c r="R1483" s="45" t="s">
        <v>637</v>
      </c>
      <c r="S1483" s="20">
        <v>0.33</v>
      </c>
    </row>
    <row r="1484" spans="8:19" x14ac:dyDescent="0.25">
      <c r="H1484">
        <v>8</v>
      </c>
      <c r="I1484">
        <v>549</v>
      </c>
      <c r="J1484">
        <v>115</v>
      </c>
      <c r="K1484" t="b">
        <v>1</v>
      </c>
      <c r="N1484" s="30" t="s">
        <v>641</v>
      </c>
      <c r="O1484" s="2">
        <f>INDEX(Маршруты,MATCH(N1484,$B$3:$B$498,0),1)</f>
        <v>66</v>
      </c>
      <c r="P1484" s="27">
        <v>10</v>
      </c>
      <c r="Q1484" s="2">
        <f>INDEX(Остановки,MATCH(R1484,ИД_Остановки!$B$3:$B$467,0),1)</f>
        <v>439</v>
      </c>
      <c r="R1484" s="45" t="s">
        <v>638</v>
      </c>
      <c r="S1484" s="20">
        <v>0.61</v>
      </c>
    </row>
    <row r="1485" spans="8:19" x14ac:dyDescent="0.25">
      <c r="H1485">
        <v>8</v>
      </c>
      <c r="I1485">
        <v>552</v>
      </c>
      <c r="J1485">
        <v>115</v>
      </c>
      <c r="K1485" t="b">
        <v>1</v>
      </c>
      <c r="N1485" s="30" t="s">
        <v>642</v>
      </c>
      <c r="O1485" s="2">
        <f>INDEX(Маршруты,MATCH(N1485,$B$3:$B$498,0),1)</f>
        <v>67</v>
      </c>
      <c r="P1485" s="28">
        <v>1</v>
      </c>
      <c r="Q1485" s="2">
        <f>INDEX(Остановки,MATCH(R1485,ИД_Остановки!$B$3:$B$467,0),1)</f>
        <v>439</v>
      </c>
      <c r="R1485" s="24" t="s">
        <v>638</v>
      </c>
      <c r="S1485" s="20"/>
    </row>
    <row r="1486" spans="8:19" x14ac:dyDescent="0.25">
      <c r="H1486">
        <v>8</v>
      </c>
      <c r="I1486">
        <v>555</v>
      </c>
      <c r="J1486">
        <v>115</v>
      </c>
      <c r="K1486" t="b">
        <v>1</v>
      </c>
      <c r="N1486" s="30" t="s">
        <v>642</v>
      </c>
      <c r="O1486" s="2">
        <f>INDEX(Маршруты,MATCH(N1486,$B$3:$B$498,0),1)</f>
        <v>67</v>
      </c>
      <c r="P1486" s="27">
        <v>2</v>
      </c>
      <c r="Q1486" s="2">
        <f>INDEX(Остановки,MATCH(R1486,ИД_Остановки!$B$3:$B$467,0),1)</f>
        <v>438</v>
      </c>
      <c r="R1486" s="45" t="s">
        <v>637</v>
      </c>
      <c r="S1486" s="20">
        <v>0.61</v>
      </c>
    </row>
    <row r="1487" spans="8:19" x14ac:dyDescent="0.25">
      <c r="H1487">
        <v>8</v>
      </c>
      <c r="I1487">
        <v>558</v>
      </c>
      <c r="J1487">
        <v>115</v>
      </c>
      <c r="K1487" t="b">
        <v>1</v>
      </c>
      <c r="N1487" s="30" t="s">
        <v>642</v>
      </c>
      <c r="O1487" s="2">
        <f>INDEX(Маршруты,MATCH(N1487,$B$3:$B$498,0),1)</f>
        <v>67</v>
      </c>
      <c r="P1487" s="27">
        <v>3</v>
      </c>
      <c r="Q1487" s="2">
        <f>INDEX(Остановки,MATCH(R1487,ИД_Остановки!$B$3:$B$467,0),1)</f>
        <v>437</v>
      </c>
      <c r="R1487" s="45" t="s">
        <v>636</v>
      </c>
      <c r="S1487" s="20">
        <v>0.33</v>
      </c>
    </row>
    <row r="1488" spans="8:19" x14ac:dyDescent="0.25">
      <c r="H1488">
        <v>8</v>
      </c>
      <c r="I1488">
        <v>561</v>
      </c>
      <c r="J1488">
        <v>115</v>
      </c>
      <c r="K1488" t="b">
        <v>1</v>
      </c>
      <c r="N1488" s="25" t="s">
        <v>642</v>
      </c>
      <c r="O1488" s="2">
        <f>INDEX(Маршруты,MATCH(N1488,$B$3:$B$498,0),1)</f>
        <v>67</v>
      </c>
      <c r="P1488" s="27">
        <v>4</v>
      </c>
      <c r="Q1488" s="2">
        <f>INDEX(Остановки,MATCH(R1488,ИД_Остановки!$B$3:$B$467,0),1)</f>
        <v>436</v>
      </c>
      <c r="R1488" s="45" t="s">
        <v>635</v>
      </c>
      <c r="S1488" s="20">
        <v>0.25</v>
      </c>
    </row>
    <row r="1489" spans="8:19" x14ac:dyDescent="0.25">
      <c r="H1489">
        <v>8</v>
      </c>
      <c r="I1489">
        <v>564</v>
      </c>
      <c r="J1489">
        <v>115</v>
      </c>
      <c r="K1489" t="b">
        <v>1</v>
      </c>
      <c r="N1489" s="25" t="s">
        <v>642</v>
      </c>
      <c r="O1489" s="2">
        <f>INDEX(Маршруты,MATCH(N1489,$B$3:$B$498,0),1)</f>
        <v>67</v>
      </c>
      <c r="P1489" s="27">
        <v>5</v>
      </c>
      <c r="Q1489" s="2">
        <f>INDEX(Остановки,MATCH(R1489,ИД_Остановки!$B$3:$B$467,0),1)</f>
        <v>435</v>
      </c>
      <c r="R1489" s="24" t="s">
        <v>634</v>
      </c>
      <c r="S1489" s="20">
        <v>0.33</v>
      </c>
    </row>
    <row r="1490" spans="8:19" x14ac:dyDescent="0.25">
      <c r="H1490">
        <v>8</v>
      </c>
      <c r="I1490">
        <v>567</v>
      </c>
      <c r="J1490">
        <v>115</v>
      </c>
      <c r="K1490" t="b">
        <v>1</v>
      </c>
      <c r="N1490" s="25" t="s">
        <v>642</v>
      </c>
      <c r="O1490" s="2">
        <f>INDEX(Маршруты,MATCH(N1490,$B$3:$B$498,0),1)</f>
        <v>67</v>
      </c>
      <c r="P1490" s="27">
        <v>6</v>
      </c>
      <c r="Q1490" s="2">
        <f>INDEX(Остановки,MATCH(R1490,ИД_Остановки!$B$3:$B$467,0),1)</f>
        <v>71</v>
      </c>
      <c r="R1490" s="45" t="s">
        <v>271</v>
      </c>
      <c r="S1490" s="20">
        <v>1.04</v>
      </c>
    </row>
    <row r="1491" spans="8:19" x14ac:dyDescent="0.25">
      <c r="H1491">
        <v>8</v>
      </c>
      <c r="I1491">
        <v>570</v>
      </c>
      <c r="J1491">
        <v>115</v>
      </c>
      <c r="K1491" t="b">
        <v>1</v>
      </c>
      <c r="N1491" s="30" t="s">
        <v>642</v>
      </c>
      <c r="O1491" s="2">
        <f>INDEX(Маршруты,MATCH(N1491,$B$3:$B$498,0),1)</f>
        <v>67</v>
      </c>
      <c r="P1491" s="27">
        <v>7</v>
      </c>
      <c r="Q1491" s="2">
        <f>INDEX(Остановки,MATCH(R1491,ИД_Остановки!$B$3:$B$467,0),1)</f>
        <v>434</v>
      </c>
      <c r="R1491" s="45" t="s">
        <v>633</v>
      </c>
      <c r="S1491" s="20">
        <v>0.23</v>
      </c>
    </row>
    <row r="1492" spans="8:19" x14ac:dyDescent="0.25">
      <c r="H1492">
        <v>8</v>
      </c>
      <c r="I1492">
        <v>573</v>
      </c>
      <c r="J1492">
        <v>115</v>
      </c>
      <c r="K1492" t="b">
        <v>1</v>
      </c>
      <c r="N1492" s="30" t="s">
        <v>642</v>
      </c>
      <c r="O1492" s="2">
        <f>INDEX(Маршруты,MATCH(N1492,$B$3:$B$498,0),1)</f>
        <v>67</v>
      </c>
      <c r="P1492" s="27">
        <v>8</v>
      </c>
      <c r="Q1492" s="2">
        <f>INDEX(Остановки,MATCH(R1492,ИД_Остановки!$B$3:$B$467,0),1)</f>
        <v>72</v>
      </c>
      <c r="R1492" s="45" t="s">
        <v>272</v>
      </c>
      <c r="S1492" s="20">
        <v>0.3</v>
      </c>
    </row>
    <row r="1493" spans="8:19" x14ac:dyDescent="0.25">
      <c r="H1493">
        <v>8</v>
      </c>
      <c r="I1493">
        <v>576</v>
      </c>
      <c r="J1493">
        <v>115</v>
      </c>
      <c r="K1493" t="b">
        <v>1</v>
      </c>
      <c r="N1493" s="26" t="s">
        <v>642</v>
      </c>
      <c r="O1493" s="2">
        <f>INDEX(Маршруты,MATCH(N1493,$B$3:$B$498,0),1)</f>
        <v>67</v>
      </c>
      <c r="P1493" s="27">
        <v>9</v>
      </c>
      <c r="Q1493" s="2">
        <f>INDEX(Остановки,MATCH(R1493,ИД_Остановки!$B$3:$B$467,0),1)</f>
        <v>440</v>
      </c>
      <c r="R1493" s="45" t="s">
        <v>639</v>
      </c>
      <c r="S1493" s="20">
        <v>0.9</v>
      </c>
    </row>
    <row r="1494" spans="8:19" x14ac:dyDescent="0.25">
      <c r="H1494">
        <v>8</v>
      </c>
      <c r="I1494">
        <v>579</v>
      </c>
      <c r="J1494">
        <v>115</v>
      </c>
      <c r="K1494" t="b">
        <v>1</v>
      </c>
      <c r="N1494" s="25" t="s">
        <v>642</v>
      </c>
      <c r="O1494" s="2">
        <f>INDEX(Маршруты,MATCH(N1494,$B$3:$B$498,0),1)</f>
        <v>67</v>
      </c>
      <c r="P1494" s="27">
        <v>10</v>
      </c>
      <c r="Q1494" s="2">
        <f>INDEX(Остановки,MATCH(R1494,ИД_Остановки!$B$3:$B$467,0),1)</f>
        <v>445</v>
      </c>
      <c r="R1494" s="45" t="s">
        <v>302</v>
      </c>
      <c r="S1494" s="20">
        <v>0.4</v>
      </c>
    </row>
    <row r="1495" spans="8:19" x14ac:dyDescent="0.25">
      <c r="H1495">
        <v>8</v>
      </c>
      <c r="I1495">
        <v>582</v>
      </c>
      <c r="J1495">
        <v>115</v>
      </c>
      <c r="K1495" t="b">
        <v>1</v>
      </c>
      <c r="N1495" s="30" t="s">
        <v>544</v>
      </c>
      <c r="O1495" s="2">
        <f>INDEX(Маршруты,MATCH(N1495,$B$3:$B$498,0),1)</f>
        <v>68</v>
      </c>
      <c r="P1495" s="27">
        <v>1</v>
      </c>
      <c r="Q1495" s="2">
        <f>INDEX(Остановки,MATCH(R1495,ИД_Остановки!$B$3:$B$467,0),1)</f>
        <v>141</v>
      </c>
      <c r="R1495" s="45" t="s">
        <v>313</v>
      </c>
      <c r="S1495" s="20"/>
    </row>
    <row r="1496" spans="8:19" x14ac:dyDescent="0.25">
      <c r="H1496">
        <v>8</v>
      </c>
      <c r="I1496">
        <v>585</v>
      </c>
      <c r="J1496">
        <v>115</v>
      </c>
      <c r="K1496" t="b">
        <v>1</v>
      </c>
      <c r="N1496" s="30" t="s">
        <v>544</v>
      </c>
      <c r="O1496" s="2">
        <f>INDEX(Маршруты,MATCH(N1496,$B$3:$B$498,0),1)</f>
        <v>68</v>
      </c>
      <c r="P1496" s="28">
        <v>2</v>
      </c>
      <c r="Q1496" s="2">
        <f>INDEX(Остановки,MATCH(R1496,ИД_Остановки!$B$3:$B$467,0),1)</f>
        <v>140</v>
      </c>
      <c r="R1496" s="24" t="s">
        <v>312</v>
      </c>
      <c r="S1496" s="20">
        <v>0.47</v>
      </c>
    </row>
    <row r="1497" spans="8:19" x14ac:dyDescent="0.25">
      <c r="H1497">
        <v>8</v>
      </c>
      <c r="I1497">
        <v>588</v>
      </c>
      <c r="J1497">
        <v>115</v>
      </c>
      <c r="K1497" t="b">
        <v>1</v>
      </c>
      <c r="N1497" s="30" t="s">
        <v>544</v>
      </c>
      <c r="O1497" s="2">
        <f>INDEX(Маршруты,MATCH(N1497,$B$3:$B$498,0),1)</f>
        <v>68</v>
      </c>
      <c r="P1497" s="27">
        <v>3</v>
      </c>
      <c r="Q1497" s="2">
        <f>INDEX(Остановки,MATCH(R1497,ИД_Остановки!$B$3:$B$467,0),1)</f>
        <v>139</v>
      </c>
      <c r="R1497" s="45" t="s">
        <v>311</v>
      </c>
      <c r="S1497" s="20">
        <v>0.47</v>
      </c>
    </row>
    <row r="1498" spans="8:19" x14ac:dyDescent="0.25">
      <c r="H1498">
        <v>8</v>
      </c>
      <c r="I1498">
        <v>591</v>
      </c>
      <c r="J1498">
        <v>115</v>
      </c>
      <c r="K1498" t="b">
        <v>1</v>
      </c>
      <c r="N1498" s="30" t="s">
        <v>544</v>
      </c>
      <c r="O1498" s="2">
        <f>INDEX(Маршруты,MATCH(N1498,$B$3:$B$498,0),1)</f>
        <v>68</v>
      </c>
      <c r="P1498" s="27">
        <v>4</v>
      </c>
      <c r="Q1498" s="2">
        <f>INDEX(Остановки,MATCH(R1498,ИД_Остановки!$B$3:$B$467,0),1)</f>
        <v>138</v>
      </c>
      <c r="R1498" s="45" t="s">
        <v>310</v>
      </c>
      <c r="S1498" s="20">
        <v>0.34</v>
      </c>
    </row>
    <row r="1499" spans="8:19" x14ac:dyDescent="0.25">
      <c r="H1499">
        <v>8</v>
      </c>
      <c r="I1499">
        <v>594</v>
      </c>
      <c r="J1499">
        <v>115</v>
      </c>
      <c r="K1499" t="b">
        <v>1</v>
      </c>
      <c r="N1499" s="25" t="s">
        <v>544</v>
      </c>
      <c r="O1499" s="2">
        <f>INDEX(Маршруты,MATCH(N1499,$B$3:$B$498,0),1)</f>
        <v>68</v>
      </c>
      <c r="P1499" s="27">
        <v>5</v>
      </c>
      <c r="Q1499" s="2">
        <f>INDEX(Остановки,MATCH(R1499,ИД_Остановки!$B$3:$B$467,0),1)</f>
        <v>137</v>
      </c>
      <c r="R1499" s="45" t="s">
        <v>309</v>
      </c>
      <c r="S1499" s="20">
        <v>0.6</v>
      </c>
    </row>
    <row r="1500" spans="8:19" x14ac:dyDescent="0.25">
      <c r="H1500">
        <v>8</v>
      </c>
      <c r="I1500">
        <v>597</v>
      </c>
      <c r="J1500">
        <v>115</v>
      </c>
      <c r="K1500" t="b">
        <v>1</v>
      </c>
      <c r="N1500" s="30" t="s">
        <v>544</v>
      </c>
      <c r="O1500" s="2">
        <f>INDEX(Маршруты,MATCH(N1500,$B$3:$B$498,0),1)</f>
        <v>68</v>
      </c>
      <c r="P1500" s="27">
        <v>6</v>
      </c>
      <c r="Q1500" s="2">
        <f>INDEX(Остановки,MATCH(R1500,ИД_Остановки!$B$3:$B$467,0),1)</f>
        <v>136</v>
      </c>
      <c r="R1500" s="45" t="s">
        <v>84</v>
      </c>
      <c r="S1500" s="20">
        <v>0.63</v>
      </c>
    </row>
    <row r="1501" spans="8:19" x14ac:dyDescent="0.25">
      <c r="H1501">
        <v>8</v>
      </c>
      <c r="I1501">
        <v>600</v>
      </c>
      <c r="J1501">
        <v>115</v>
      </c>
      <c r="K1501" t="b">
        <v>1</v>
      </c>
      <c r="N1501" s="25" t="s">
        <v>544</v>
      </c>
      <c r="O1501" s="2">
        <f>INDEX(Маршруты,MATCH(N1501,$B$3:$B$498,0),1)</f>
        <v>68</v>
      </c>
      <c r="P1501" s="27">
        <v>7</v>
      </c>
      <c r="Q1501" s="2">
        <f>INDEX(Остановки,MATCH(R1501,ИД_Остановки!$B$3:$B$467,0),1)</f>
        <v>48</v>
      </c>
      <c r="R1501" s="45" t="s">
        <v>42</v>
      </c>
      <c r="S1501" s="20">
        <v>0.5</v>
      </c>
    </row>
    <row r="1502" spans="8:19" x14ac:dyDescent="0.25">
      <c r="H1502">
        <v>8</v>
      </c>
      <c r="I1502">
        <v>603</v>
      </c>
      <c r="J1502">
        <v>115</v>
      </c>
      <c r="K1502" t="b">
        <v>1</v>
      </c>
      <c r="N1502" s="25" t="s">
        <v>544</v>
      </c>
      <c r="O1502" s="2">
        <f>INDEX(Маршруты,MATCH(N1502,$B$3:$B$498,0),1)</f>
        <v>68</v>
      </c>
      <c r="P1502" s="27">
        <v>8</v>
      </c>
      <c r="Q1502" s="2">
        <f>INDEX(Остановки,MATCH(R1502,ИД_Остановки!$B$3:$B$467,0),1)</f>
        <v>130</v>
      </c>
      <c r="R1502" s="45" t="s">
        <v>305</v>
      </c>
      <c r="S1502" s="20">
        <v>0.72</v>
      </c>
    </row>
    <row r="1503" spans="8:19" x14ac:dyDescent="0.25">
      <c r="H1503">
        <v>8</v>
      </c>
      <c r="I1503">
        <v>606</v>
      </c>
      <c r="J1503">
        <v>115</v>
      </c>
      <c r="K1503" t="b">
        <v>1</v>
      </c>
      <c r="N1503" s="30" t="s">
        <v>544</v>
      </c>
      <c r="O1503" s="2">
        <f>INDEX(Маршруты,MATCH(N1503,$B$3:$B$498,0),1)</f>
        <v>68</v>
      </c>
      <c r="P1503" s="27">
        <v>9</v>
      </c>
      <c r="Q1503" s="2">
        <f>INDEX(Остановки,MATCH(R1503,ИД_Остановки!$B$3:$B$467,0),1)</f>
        <v>131</v>
      </c>
      <c r="R1503" s="45" t="s">
        <v>306</v>
      </c>
      <c r="S1503" s="20">
        <v>0.39</v>
      </c>
    </row>
    <row r="1504" spans="8:19" x14ac:dyDescent="0.25">
      <c r="H1504">
        <v>8</v>
      </c>
      <c r="I1504">
        <v>609</v>
      </c>
      <c r="J1504">
        <v>115</v>
      </c>
      <c r="K1504" t="b">
        <v>1</v>
      </c>
      <c r="N1504" s="25" t="s">
        <v>544</v>
      </c>
      <c r="O1504" s="2">
        <f>INDEX(Маршруты,MATCH(N1504,$B$3:$B$498,0),1)</f>
        <v>68</v>
      </c>
      <c r="P1504" s="28">
        <v>10</v>
      </c>
      <c r="Q1504" s="2">
        <f>INDEX(Остановки,MATCH(R1504,ИД_Остановки!$B$3:$B$467,0),1)</f>
        <v>132</v>
      </c>
      <c r="R1504" s="24" t="s">
        <v>307</v>
      </c>
      <c r="S1504" s="20">
        <v>0.56999999999999995</v>
      </c>
    </row>
    <row r="1505" spans="8:19" x14ac:dyDescent="0.25">
      <c r="H1505">
        <v>8</v>
      </c>
      <c r="I1505">
        <v>612</v>
      </c>
      <c r="J1505">
        <v>115</v>
      </c>
      <c r="K1505" t="b">
        <v>1</v>
      </c>
      <c r="N1505" s="25" t="s">
        <v>544</v>
      </c>
      <c r="O1505" s="2">
        <f>INDEX(Маршруты,MATCH(N1505,$B$3:$B$498,0),1)</f>
        <v>68</v>
      </c>
      <c r="P1505" s="27">
        <v>11</v>
      </c>
      <c r="Q1505" s="2">
        <f>INDEX(Остановки,MATCH(R1505,ИД_Остановки!$B$3:$B$467,0),1)</f>
        <v>428</v>
      </c>
      <c r="R1505" s="45" t="s">
        <v>484</v>
      </c>
      <c r="S1505" s="20">
        <v>0.39</v>
      </c>
    </row>
    <row r="1506" spans="8:19" x14ac:dyDescent="0.25">
      <c r="H1506">
        <v>8</v>
      </c>
      <c r="I1506">
        <v>615</v>
      </c>
      <c r="J1506">
        <v>115</v>
      </c>
      <c r="K1506" t="b">
        <v>1</v>
      </c>
      <c r="N1506" s="25" t="s">
        <v>544</v>
      </c>
      <c r="O1506" s="2">
        <f>INDEX(Маршруты,MATCH(N1506,$B$3:$B$498,0),1)</f>
        <v>68</v>
      </c>
      <c r="P1506" s="27">
        <v>12</v>
      </c>
      <c r="Q1506" s="2">
        <f>INDEX(Остановки,MATCH(R1506,ИД_Остановки!$B$3:$B$467,0),1)</f>
        <v>21</v>
      </c>
      <c r="R1506" s="45" t="s">
        <v>21</v>
      </c>
      <c r="S1506" s="20">
        <v>0.89</v>
      </c>
    </row>
    <row r="1507" spans="8:19" x14ac:dyDescent="0.25">
      <c r="H1507">
        <v>8</v>
      </c>
      <c r="I1507">
        <v>618</v>
      </c>
      <c r="J1507">
        <v>115</v>
      </c>
      <c r="K1507" t="b">
        <v>1</v>
      </c>
      <c r="N1507" s="26" t="s">
        <v>544</v>
      </c>
      <c r="O1507" s="2">
        <f>INDEX(Маршруты,MATCH(N1507,$B$3:$B$498,0),1)</f>
        <v>68</v>
      </c>
      <c r="P1507" s="27">
        <v>13</v>
      </c>
      <c r="Q1507" s="2">
        <f>INDEX(Остановки,MATCH(R1507,ИД_Остановки!$B$3:$B$467,0),1)</f>
        <v>241</v>
      </c>
      <c r="R1507" s="45" t="s">
        <v>132</v>
      </c>
      <c r="S1507" s="20">
        <v>1.56</v>
      </c>
    </row>
    <row r="1508" spans="8:19" x14ac:dyDescent="0.25">
      <c r="H1508">
        <v>8</v>
      </c>
      <c r="I1508">
        <v>621</v>
      </c>
      <c r="J1508">
        <v>115</v>
      </c>
      <c r="K1508" t="b">
        <v>1</v>
      </c>
      <c r="N1508" s="30" t="s">
        <v>544</v>
      </c>
      <c r="O1508" s="2">
        <f>INDEX(Маршруты,MATCH(N1508,$B$3:$B$498,0),1)</f>
        <v>68</v>
      </c>
      <c r="P1508" s="28">
        <v>14</v>
      </c>
      <c r="Q1508" s="2">
        <f>INDEX(Остановки,MATCH(R1508,ИД_Остановки!$B$3:$B$467,0),1)</f>
        <v>207</v>
      </c>
      <c r="R1508" s="24" t="s">
        <v>345</v>
      </c>
      <c r="S1508" s="20">
        <v>0.74</v>
      </c>
    </row>
    <row r="1509" spans="8:19" x14ac:dyDescent="0.25">
      <c r="H1509">
        <v>8</v>
      </c>
      <c r="I1509">
        <v>624</v>
      </c>
      <c r="J1509">
        <v>115</v>
      </c>
      <c r="K1509" t="b">
        <v>1</v>
      </c>
      <c r="N1509" s="25" t="s">
        <v>544</v>
      </c>
      <c r="O1509" s="2">
        <f>INDEX(Маршруты,MATCH(N1509,$B$3:$B$498,0),1)</f>
        <v>68</v>
      </c>
      <c r="P1509" s="27">
        <v>15</v>
      </c>
      <c r="Q1509" s="2">
        <f>INDEX(Остановки,MATCH(R1509,ИД_Остановки!$B$3:$B$467,0),1)</f>
        <v>208</v>
      </c>
      <c r="R1509" s="24" t="s">
        <v>121</v>
      </c>
      <c r="S1509" s="20">
        <v>0.56999999999999995</v>
      </c>
    </row>
    <row r="1510" spans="8:19" x14ac:dyDescent="0.25">
      <c r="H1510">
        <v>8</v>
      </c>
      <c r="I1510">
        <v>627</v>
      </c>
      <c r="J1510">
        <v>115</v>
      </c>
      <c r="K1510" t="b">
        <v>1</v>
      </c>
      <c r="N1510" s="25" t="s">
        <v>544</v>
      </c>
      <c r="O1510" s="2">
        <f>INDEX(Маршруты,MATCH(N1510,$B$3:$B$498,0),1)</f>
        <v>68</v>
      </c>
      <c r="P1510" s="27">
        <v>16</v>
      </c>
      <c r="Q1510" s="2">
        <f>INDEX(Остановки,MATCH(R1510,ИД_Остановки!$B$3:$B$467,0),1)</f>
        <v>3</v>
      </c>
      <c r="R1510" s="45" t="s">
        <v>243</v>
      </c>
      <c r="S1510" s="20">
        <v>0.9</v>
      </c>
    </row>
    <row r="1511" spans="8:19" x14ac:dyDescent="0.25">
      <c r="H1511">
        <v>8</v>
      </c>
      <c r="I1511">
        <v>630</v>
      </c>
      <c r="J1511">
        <v>115</v>
      </c>
      <c r="K1511" t="b">
        <v>1</v>
      </c>
      <c r="N1511" s="30" t="s">
        <v>544</v>
      </c>
      <c r="O1511" s="2">
        <f>INDEX(Маршруты,MATCH(N1511,$B$3:$B$498,0),1)</f>
        <v>68</v>
      </c>
      <c r="P1511" s="27">
        <v>17</v>
      </c>
      <c r="Q1511" s="2">
        <f>INDEX(Остановки,MATCH(R1511,ИД_Остановки!$B$3:$B$467,0),1)</f>
        <v>228</v>
      </c>
      <c r="R1511" s="45" t="s">
        <v>127</v>
      </c>
      <c r="S1511" s="20">
        <v>1.18</v>
      </c>
    </row>
    <row r="1512" spans="8:19" x14ac:dyDescent="0.25">
      <c r="H1512">
        <v>8</v>
      </c>
      <c r="I1512">
        <v>633</v>
      </c>
      <c r="J1512">
        <v>115</v>
      </c>
      <c r="K1512" t="b">
        <v>1</v>
      </c>
      <c r="N1512" s="25" t="s">
        <v>544</v>
      </c>
      <c r="O1512" s="2">
        <f>INDEX(Маршруты,MATCH(N1512,$B$3:$B$498,0),1)</f>
        <v>68</v>
      </c>
      <c r="P1512" s="27">
        <v>18</v>
      </c>
      <c r="Q1512" s="2">
        <f>INDEX(Остановки,MATCH(R1512,ИД_Остановки!$B$3:$B$467,0),1)</f>
        <v>238</v>
      </c>
      <c r="R1512" s="45" t="s">
        <v>131</v>
      </c>
      <c r="S1512" s="20">
        <v>0.94</v>
      </c>
    </row>
    <row r="1513" spans="8:19" x14ac:dyDescent="0.25">
      <c r="H1513">
        <v>8</v>
      </c>
      <c r="I1513">
        <v>636</v>
      </c>
      <c r="J1513">
        <v>115</v>
      </c>
      <c r="K1513" t="b">
        <v>1</v>
      </c>
      <c r="N1513" s="30" t="s">
        <v>544</v>
      </c>
      <c r="O1513" s="2">
        <f>INDEX(Маршруты,MATCH(N1513,$B$3:$B$498,0),1)</f>
        <v>68</v>
      </c>
      <c r="P1513" s="27">
        <v>19</v>
      </c>
      <c r="Q1513" s="2">
        <f>INDEX(Остановки,MATCH(R1513,ИД_Остановки!$B$3:$B$467,0),1)</f>
        <v>257</v>
      </c>
      <c r="R1513" s="45" t="s">
        <v>377</v>
      </c>
      <c r="S1513" s="20">
        <v>0.56000000000000005</v>
      </c>
    </row>
    <row r="1514" spans="8:19" x14ac:dyDescent="0.25">
      <c r="H1514">
        <v>8</v>
      </c>
      <c r="I1514">
        <v>639</v>
      </c>
      <c r="J1514">
        <v>115</v>
      </c>
      <c r="K1514" t="b">
        <v>1</v>
      </c>
      <c r="N1514" s="30" t="s">
        <v>544</v>
      </c>
      <c r="O1514" s="2">
        <f>INDEX(Маршруты,MATCH(N1514,$B$3:$B$498,0),1)</f>
        <v>68</v>
      </c>
      <c r="P1514" s="27">
        <v>20</v>
      </c>
      <c r="Q1514" s="2">
        <f>INDEX(Остановки,MATCH(R1514,ИД_Остановки!$B$3:$B$467,0),1)</f>
        <v>255</v>
      </c>
      <c r="R1514" s="45" t="s">
        <v>137</v>
      </c>
      <c r="S1514" s="20">
        <v>0.61</v>
      </c>
    </row>
    <row r="1515" spans="8:19" x14ac:dyDescent="0.25">
      <c r="H1515">
        <v>8</v>
      </c>
      <c r="I1515">
        <v>642</v>
      </c>
      <c r="J1515">
        <v>115</v>
      </c>
      <c r="K1515" t="b">
        <v>1</v>
      </c>
      <c r="N1515" s="25" t="s">
        <v>544</v>
      </c>
      <c r="O1515" s="2">
        <f>INDEX(Маршруты,MATCH(N1515,$B$3:$B$498,0),1)</f>
        <v>68</v>
      </c>
      <c r="P1515" s="27">
        <v>21</v>
      </c>
      <c r="Q1515" s="2">
        <f>INDEX(Остановки,MATCH(R1515,ИД_Остановки!$B$3:$B$467,0),1)</f>
        <v>200</v>
      </c>
      <c r="R1515" s="45" t="s">
        <v>119</v>
      </c>
      <c r="S1515" s="20">
        <v>0.67</v>
      </c>
    </row>
    <row r="1516" spans="8:19" x14ac:dyDescent="0.25">
      <c r="H1516">
        <v>8</v>
      </c>
      <c r="I1516">
        <v>645</v>
      </c>
      <c r="J1516">
        <v>115</v>
      </c>
      <c r="K1516" t="b">
        <v>1</v>
      </c>
      <c r="N1516" s="25" t="s">
        <v>544</v>
      </c>
      <c r="O1516" s="2">
        <f>INDEX(Маршруты,MATCH(N1516,$B$3:$B$498,0),1)</f>
        <v>68</v>
      </c>
      <c r="P1516" s="27">
        <v>22</v>
      </c>
      <c r="Q1516" s="2">
        <f>INDEX(Остановки,MATCH(R1516,ИД_Остановки!$B$3:$B$467,0),1)</f>
        <v>199</v>
      </c>
      <c r="R1516" s="45" t="s">
        <v>118</v>
      </c>
      <c r="S1516" s="20">
        <v>0.75</v>
      </c>
    </row>
    <row r="1517" spans="8:19" x14ac:dyDescent="0.25">
      <c r="H1517">
        <v>8</v>
      </c>
      <c r="I1517">
        <v>648</v>
      </c>
      <c r="J1517">
        <v>115</v>
      </c>
      <c r="K1517" t="b">
        <v>1</v>
      </c>
      <c r="N1517" s="30" t="s">
        <v>544</v>
      </c>
      <c r="O1517" s="2">
        <f>INDEX(Маршруты,MATCH(N1517,$B$3:$B$498,0),1)</f>
        <v>68</v>
      </c>
      <c r="P1517" s="27">
        <v>23</v>
      </c>
      <c r="Q1517" s="2">
        <f>INDEX(Остановки,MATCH(R1517,ИД_Остановки!$B$3:$B$467,0),1)</f>
        <v>22</v>
      </c>
      <c r="R1517" s="45" t="s">
        <v>22</v>
      </c>
      <c r="S1517" s="20">
        <v>0.42</v>
      </c>
    </row>
    <row r="1518" spans="8:19" x14ac:dyDescent="0.25">
      <c r="H1518">
        <v>8</v>
      </c>
      <c r="I1518">
        <v>651</v>
      </c>
      <c r="J1518">
        <v>115</v>
      </c>
      <c r="K1518" t="b">
        <v>1</v>
      </c>
      <c r="N1518" s="25" t="s">
        <v>544</v>
      </c>
      <c r="O1518" s="2">
        <f>INDEX(Маршруты,MATCH(N1518,$B$3:$B$498,0),1)</f>
        <v>68</v>
      </c>
      <c r="P1518" s="27">
        <v>24</v>
      </c>
      <c r="Q1518" s="2">
        <f>INDEX(Остановки,MATCH(R1518,ИД_Остановки!$B$3:$B$467,0),1)</f>
        <v>337</v>
      </c>
      <c r="R1518" s="45" t="s">
        <v>407</v>
      </c>
      <c r="S1518" s="20">
        <v>0.39</v>
      </c>
    </row>
    <row r="1519" spans="8:19" x14ac:dyDescent="0.25">
      <c r="H1519">
        <v>8</v>
      </c>
      <c r="I1519">
        <v>654</v>
      </c>
      <c r="J1519">
        <v>115</v>
      </c>
      <c r="K1519" t="b">
        <v>1</v>
      </c>
      <c r="N1519" s="26" t="s">
        <v>544</v>
      </c>
      <c r="O1519" s="2">
        <f>INDEX(Маршруты,MATCH(N1519,$B$3:$B$498,0),1)</f>
        <v>68</v>
      </c>
      <c r="P1519" s="27">
        <v>25</v>
      </c>
      <c r="Q1519" s="2">
        <f>INDEX(Остановки,MATCH(R1519,ИД_Остановки!$B$3:$B$467,0),1)</f>
        <v>160</v>
      </c>
      <c r="R1519" s="45" t="s">
        <v>323</v>
      </c>
      <c r="S1519" s="20">
        <v>0.6</v>
      </c>
    </row>
    <row r="1520" spans="8:19" x14ac:dyDescent="0.25">
      <c r="H1520">
        <v>8</v>
      </c>
      <c r="I1520">
        <v>657</v>
      </c>
      <c r="J1520">
        <v>115</v>
      </c>
      <c r="K1520" t="b">
        <v>1</v>
      </c>
      <c r="N1520" s="32" t="s">
        <v>544</v>
      </c>
      <c r="O1520" s="2">
        <f>INDEX(Маршруты,MATCH(N1520,$B$3:$B$498,0),1)</f>
        <v>68</v>
      </c>
      <c r="P1520" s="27">
        <v>26</v>
      </c>
      <c r="Q1520" s="2">
        <f>INDEX(Остановки,MATCH(R1520,ИД_Остановки!$B$3:$B$467,0),1)</f>
        <v>254</v>
      </c>
      <c r="R1520" s="45" t="s">
        <v>136</v>
      </c>
      <c r="S1520" s="20">
        <v>0.49</v>
      </c>
    </row>
    <row r="1521" spans="8:19" x14ac:dyDescent="0.25">
      <c r="H1521">
        <v>8</v>
      </c>
      <c r="I1521">
        <v>660</v>
      </c>
      <c r="J1521">
        <v>115</v>
      </c>
      <c r="K1521" t="b">
        <v>1</v>
      </c>
      <c r="N1521" s="25" t="s">
        <v>544</v>
      </c>
      <c r="O1521" s="2">
        <f>INDEX(Маршруты,MATCH(N1521,$B$3:$B$498,0),1)</f>
        <v>68</v>
      </c>
      <c r="P1521" s="27">
        <v>27</v>
      </c>
      <c r="Q1521" s="2">
        <f>INDEX(Остановки,MATCH(R1521,ИД_Остановки!$B$3:$B$467,0),1)</f>
        <v>288</v>
      </c>
      <c r="R1521" s="45" t="s">
        <v>388</v>
      </c>
      <c r="S1521" s="20">
        <v>0.79</v>
      </c>
    </row>
    <row r="1522" spans="8:19" x14ac:dyDescent="0.25">
      <c r="H1522">
        <v>8</v>
      </c>
      <c r="I1522">
        <v>663</v>
      </c>
      <c r="J1522">
        <v>115</v>
      </c>
      <c r="K1522" t="b">
        <v>1</v>
      </c>
      <c r="N1522" s="25" t="s">
        <v>544</v>
      </c>
      <c r="O1522" s="2">
        <f>INDEX(Маршруты,MATCH(N1522,$B$3:$B$498,0),1)</f>
        <v>68</v>
      </c>
      <c r="P1522" s="27">
        <v>28</v>
      </c>
      <c r="Q1522" s="2">
        <f>INDEX(Остановки,MATCH(R1522,ИД_Остановки!$B$3:$B$467,0),1)</f>
        <v>376</v>
      </c>
      <c r="R1522" s="24" t="s">
        <v>434</v>
      </c>
      <c r="S1522" s="20">
        <v>1.2</v>
      </c>
    </row>
    <row r="1523" spans="8:19" x14ac:dyDescent="0.25">
      <c r="H1523">
        <v>8</v>
      </c>
      <c r="I1523">
        <v>666</v>
      </c>
      <c r="J1523">
        <v>115</v>
      </c>
      <c r="K1523" t="b">
        <v>1</v>
      </c>
      <c r="N1523" s="25" t="s">
        <v>544</v>
      </c>
      <c r="O1523" s="2">
        <f>INDEX(Маршруты,MATCH(N1523,$B$3:$B$498,0),1)</f>
        <v>68</v>
      </c>
      <c r="P1523" s="27">
        <v>29</v>
      </c>
      <c r="Q1523" s="2">
        <f>INDEX(Остановки,MATCH(R1523,ИД_Остановки!$B$3:$B$467,0),1)</f>
        <v>392</v>
      </c>
      <c r="R1523" s="45" t="s">
        <v>449</v>
      </c>
      <c r="S1523" s="20">
        <v>0.42</v>
      </c>
    </row>
    <row r="1524" spans="8:19" x14ac:dyDescent="0.25">
      <c r="H1524">
        <v>8</v>
      </c>
      <c r="I1524">
        <v>669</v>
      </c>
      <c r="J1524">
        <v>115</v>
      </c>
      <c r="K1524" t="b">
        <v>1</v>
      </c>
      <c r="N1524" s="25" t="s">
        <v>544</v>
      </c>
      <c r="O1524" s="2">
        <f>INDEX(Маршруты,MATCH(N1524,$B$3:$B$498,0),1)</f>
        <v>68</v>
      </c>
      <c r="P1524" s="28">
        <v>30</v>
      </c>
      <c r="Q1524" s="2">
        <f>INDEX(Остановки,MATCH(R1524,ИД_Остановки!$B$3:$B$467,0),1)</f>
        <v>375</v>
      </c>
      <c r="R1524" s="24" t="s">
        <v>433</v>
      </c>
      <c r="S1524" s="20">
        <v>0.44</v>
      </c>
    </row>
    <row r="1525" spans="8:19" x14ac:dyDescent="0.25">
      <c r="H1525">
        <v>8</v>
      </c>
      <c r="I1525">
        <v>672</v>
      </c>
      <c r="J1525">
        <v>115</v>
      </c>
      <c r="K1525" t="b">
        <v>1</v>
      </c>
      <c r="N1525" s="30" t="s">
        <v>544</v>
      </c>
      <c r="O1525" s="2">
        <f>INDEX(Маршруты,MATCH(N1525,$B$3:$B$498,0),1)</f>
        <v>68</v>
      </c>
      <c r="P1525" s="27">
        <v>31</v>
      </c>
      <c r="Q1525" s="2">
        <f>INDEX(Остановки,MATCH(R1525,ИД_Остановки!$B$3:$B$467,0),1)</f>
        <v>253</v>
      </c>
      <c r="R1525" s="45" t="s">
        <v>375</v>
      </c>
      <c r="S1525" s="20">
        <v>0.68</v>
      </c>
    </row>
    <row r="1526" spans="8:19" x14ac:dyDescent="0.25">
      <c r="H1526">
        <v>8</v>
      </c>
      <c r="I1526">
        <v>675</v>
      </c>
      <c r="J1526">
        <v>115</v>
      </c>
      <c r="K1526" t="b">
        <v>1</v>
      </c>
      <c r="N1526" s="30" t="s">
        <v>544</v>
      </c>
      <c r="O1526" s="2">
        <f>INDEX(Маршруты,MATCH(N1526,$B$3:$B$498,0),1)</f>
        <v>68</v>
      </c>
      <c r="P1526" s="27">
        <v>32</v>
      </c>
      <c r="Q1526" s="2">
        <f>INDEX(Остановки,MATCH(R1526,ИД_Остановки!$B$3:$B$467,0),1)</f>
        <v>393</v>
      </c>
      <c r="R1526" s="24" t="s">
        <v>450</v>
      </c>
      <c r="S1526" s="20">
        <v>3.25</v>
      </c>
    </row>
    <row r="1527" spans="8:19" x14ac:dyDescent="0.25">
      <c r="H1527">
        <v>8</v>
      </c>
      <c r="I1527">
        <v>678</v>
      </c>
      <c r="J1527">
        <v>115</v>
      </c>
      <c r="K1527" t="b">
        <v>1</v>
      </c>
      <c r="N1527" s="30" t="s">
        <v>544</v>
      </c>
      <c r="O1527" s="2">
        <f>INDEX(Маршруты,MATCH(N1527,$B$3:$B$498,0),1)</f>
        <v>68</v>
      </c>
      <c r="P1527" s="27">
        <v>33</v>
      </c>
      <c r="Q1527" s="2">
        <f>INDEX(Остановки,MATCH(R1527,ИД_Остановки!$B$3:$B$467,0),1)</f>
        <v>289</v>
      </c>
      <c r="R1527" s="45" t="s">
        <v>159</v>
      </c>
      <c r="S1527" s="20">
        <v>14.3</v>
      </c>
    </row>
    <row r="1528" spans="8:19" x14ac:dyDescent="0.25">
      <c r="H1528">
        <v>8</v>
      </c>
      <c r="I1528">
        <v>681</v>
      </c>
      <c r="J1528">
        <v>115</v>
      </c>
      <c r="K1528" t="b">
        <v>1</v>
      </c>
      <c r="N1528" s="32" t="s">
        <v>216</v>
      </c>
      <c r="O1528" s="2">
        <f>INDEX(Маршруты,MATCH(N1528,$B$3:$B$498,0),1)</f>
        <v>69</v>
      </c>
      <c r="P1528" s="27">
        <v>1</v>
      </c>
      <c r="Q1528" s="2">
        <f>INDEX(Остановки,MATCH(R1528,ИД_Остановки!$B$3:$B$467,0),1)</f>
        <v>289</v>
      </c>
      <c r="R1528" s="45" t="s">
        <v>159</v>
      </c>
      <c r="S1528" s="20"/>
    </row>
    <row r="1529" spans="8:19" x14ac:dyDescent="0.25">
      <c r="H1529">
        <v>8</v>
      </c>
      <c r="I1529">
        <v>684</v>
      </c>
      <c r="J1529">
        <v>115</v>
      </c>
      <c r="K1529" t="b">
        <v>1</v>
      </c>
      <c r="N1529" s="26" t="s">
        <v>216</v>
      </c>
      <c r="O1529" s="2">
        <f>INDEX(Маршруты,MATCH(N1529,$B$3:$B$498,0),1)</f>
        <v>69</v>
      </c>
      <c r="P1529" s="27">
        <v>2</v>
      </c>
      <c r="Q1529" s="2">
        <f>INDEX(Остановки,MATCH(R1529,ИД_Остановки!$B$3:$B$467,0),1)</f>
        <v>393</v>
      </c>
      <c r="R1529" s="45" t="s">
        <v>450</v>
      </c>
      <c r="S1529" s="20">
        <v>14.3</v>
      </c>
    </row>
    <row r="1530" spans="8:19" x14ac:dyDescent="0.25">
      <c r="H1530">
        <v>8</v>
      </c>
      <c r="I1530">
        <v>687</v>
      </c>
      <c r="J1530">
        <v>115</v>
      </c>
      <c r="K1530" t="b">
        <v>1</v>
      </c>
      <c r="N1530" s="30" t="s">
        <v>216</v>
      </c>
      <c r="O1530" s="2">
        <f>INDEX(Маршруты,MATCH(N1530,$B$3:$B$498,0),1)</f>
        <v>69</v>
      </c>
      <c r="P1530" s="27">
        <v>3</v>
      </c>
      <c r="Q1530" s="2">
        <f>INDEX(Остановки,MATCH(R1530,ИД_Остановки!$B$3:$B$467,0),1)</f>
        <v>253</v>
      </c>
      <c r="R1530" s="45" t="s">
        <v>375</v>
      </c>
      <c r="S1530" s="20">
        <v>3.25</v>
      </c>
    </row>
    <row r="1531" spans="8:19" x14ac:dyDescent="0.25">
      <c r="H1531">
        <v>8</v>
      </c>
      <c r="I1531">
        <v>690</v>
      </c>
      <c r="J1531">
        <v>115</v>
      </c>
      <c r="K1531" t="b">
        <v>1</v>
      </c>
      <c r="N1531" s="25" t="s">
        <v>216</v>
      </c>
      <c r="O1531" s="2">
        <f>INDEX(Маршруты,MATCH(N1531,$B$3:$B$498,0),1)</f>
        <v>69</v>
      </c>
      <c r="P1531" s="27">
        <v>4</v>
      </c>
      <c r="Q1531" s="2">
        <f>INDEX(Остановки,MATCH(R1531,ИД_Остановки!$B$3:$B$467,0),1)</f>
        <v>375</v>
      </c>
      <c r="R1531" s="45" t="s">
        <v>433</v>
      </c>
      <c r="S1531" s="20">
        <v>0.68</v>
      </c>
    </row>
    <row r="1532" spans="8:19" x14ac:dyDescent="0.25">
      <c r="H1532">
        <v>8</v>
      </c>
      <c r="I1532">
        <v>693</v>
      </c>
      <c r="J1532">
        <v>115</v>
      </c>
      <c r="K1532" t="b">
        <v>1</v>
      </c>
      <c r="N1532" s="26" t="s">
        <v>216</v>
      </c>
      <c r="O1532" s="2">
        <f>INDEX(Маршруты,MATCH(N1532,$B$3:$B$498,0),1)</f>
        <v>69</v>
      </c>
      <c r="P1532" s="27">
        <v>5</v>
      </c>
      <c r="Q1532" s="2">
        <f>INDEX(Остановки,MATCH(R1532,ИД_Остановки!$B$3:$B$467,0),1)</f>
        <v>392</v>
      </c>
      <c r="R1532" s="45" t="s">
        <v>449</v>
      </c>
      <c r="S1532" s="20">
        <v>0.44</v>
      </c>
    </row>
    <row r="1533" spans="8:19" x14ac:dyDescent="0.25">
      <c r="H1533">
        <v>8</v>
      </c>
      <c r="I1533">
        <v>696</v>
      </c>
      <c r="J1533">
        <v>115</v>
      </c>
      <c r="K1533" t="b">
        <v>1</v>
      </c>
      <c r="N1533" s="30" t="s">
        <v>216</v>
      </c>
      <c r="O1533" s="2">
        <f>INDEX(Маршруты,MATCH(N1533,$B$3:$B$498,0),1)</f>
        <v>69</v>
      </c>
      <c r="P1533" s="27">
        <v>6</v>
      </c>
      <c r="Q1533" s="2">
        <f>INDEX(Остановки,MATCH(R1533,ИД_Остановки!$B$3:$B$467,0),1)</f>
        <v>376</v>
      </c>
      <c r="R1533" s="24" t="s">
        <v>434</v>
      </c>
      <c r="S1533" s="20">
        <v>0.42</v>
      </c>
    </row>
    <row r="1534" spans="8:19" x14ac:dyDescent="0.25">
      <c r="H1534">
        <v>8</v>
      </c>
      <c r="I1534">
        <v>699</v>
      </c>
      <c r="J1534">
        <v>115</v>
      </c>
      <c r="K1534" t="b">
        <v>1</v>
      </c>
      <c r="N1534" s="25" t="s">
        <v>216</v>
      </c>
      <c r="O1534" s="2">
        <f>INDEX(Маршруты,MATCH(N1534,$B$3:$B$498,0),1)</f>
        <v>69</v>
      </c>
      <c r="P1534" s="27">
        <v>7</v>
      </c>
      <c r="Q1534" s="2">
        <f>INDEX(Остановки,MATCH(R1534,ИД_Остановки!$B$3:$B$467,0),1)</f>
        <v>288</v>
      </c>
      <c r="R1534" s="45" t="s">
        <v>388</v>
      </c>
      <c r="S1534" s="20">
        <v>1.2</v>
      </c>
    </row>
    <row r="1535" spans="8:19" x14ac:dyDescent="0.25">
      <c r="H1535">
        <v>8</v>
      </c>
      <c r="I1535">
        <v>702</v>
      </c>
      <c r="J1535">
        <v>115</v>
      </c>
      <c r="K1535" t="b">
        <v>1</v>
      </c>
      <c r="N1535" s="30" t="s">
        <v>216</v>
      </c>
      <c r="O1535" s="2">
        <f>INDEX(Маршруты,MATCH(N1535,$B$3:$B$498,0),1)</f>
        <v>69</v>
      </c>
      <c r="P1535" s="27">
        <v>8</v>
      </c>
      <c r="Q1535" s="2">
        <f>INDEX(Остановки,MATCH(R1535,ИД_Остановки!$B$3:$B$467,0),1)</f>
        <v>254</v>
      </c>
      <c r="R1535" s="45" t="s">
        <v>136</v>
      </c>
      <c r="S1535" s="20">
        <v>0.79</v>
      </c>
    </row>
    <row r="1536" spans="8:19" x14ac:dyDescent="0.25">
      <c r="H1536">
        <v>8</v>
      </c>
      <c r="I1536">
        <v>705</v>
      </c>
      <c r="J1536">
        <v>115</v>
      </c>
      <c r="K1536" t="b">
        <v>1</v>
      </c>
      <c r="N1536" s="30" t="s">
        <v>216</v>
      </c>
      <c r="O1536" s="2">
        <f>INDEX(Маршруты,MATCH(N1536,$B$3:$B$498,0),1)</f>
        <v>69</v>
      </c>
      <c r="P1536" s="27">
        <v>9</v>
      </c>
      <c r="Q1536" s="2">
        <f>INDEX(Остановки,MATCH(R1536,ИД_Остановки!$B$3:$B$467,0),1)</f>
        <v>160</v>
      </c>
      <c r="R1536" s="45" t="s">
        <v>323</v>
      </c>
      <c r="S1536" s="20">
        <v>0.49</v>
      </c>
    </row>
    <row r="1537" spans="8:19" x14ac:dyDescent="0.25">
      <c r="H1537">
        <v>8</v>
      </c>
      <c r="I1537">
        <v>708</v>
      </c>
      <c r="J1537">
        <v>115</v>
      </c>
      <c r="K1537" t="b">
        <v>1</v>
      </c>
      <c r="N1537" s="25" t="s">
        <v>216</v>
      </c>
      <c r="O1537" s="2">
        <f>INDEX(Маршруты,MATCH(N1537,$B$3:$B$498,0),1)</f>
        <v>69</v>
      </c>
      <c r="P1537" s="27">
        <v>10</v>
      </c>
      <c r="Q1537" s="2">
        <f>INDEX(Остановки,MATCH(R1537,ИД_Остановки!$B$3:$B$467,0),1)</f>
        <v>337</v>
      </c>
      <c r="R1537" s="45" t="s">
        <v>407</v>
      </c>
      <c r="S1537" s="20">
        <v>0.6</v>
      </c>
    </row>
    <row r="1538" spans="8:19" x14ac:dyDescent="0.25">
      <c r="H1538">
        <v>8</v>
      </c>
      <c r="I1538">
        <v>711</v>
      </c>
      <c r="J1538">
        <v>115</v>
      </c>
      <c r="K1538" t="b">
        <v>1</v>
      </c>
      <c r="N1538" s="25" t="s">
        <v>216</v>
      </c>
      <c r="O1538" s="2">
        <f>INDEX(Маршруты,MATCH(N1538,$B$3:$B$498,0),1)</f>
        <v>69</v>
      </c>
      <c r="P1538" s="27">
        <v>11</v>
      </c>
      <c r="Q1538" s="2">
        <f>INDEX(Остановки,MATCH(R1538,ИД_Остановки!$B$3:$B$467,0),1)</f>
        <v>22</v>
      </c>
      <c r="R1538" s="45" t="s">
        <v>22</v>
      </c>
      <c r="S1538" s="20">
        <v>0.39</v>
      </c>
    </row>
    <row r="1539" spans="8:19" x14ac:dyDescent="0.25">
      <c r="H1539">
        <v>8</v>
      </c>
      <c r="I1539">
        <v>714</v>
      </c>
      <c r="J1539">
        <v>115</v>
      </c>
      <c r="K1539" t="b">
        <v>1</v>
      </c>
      <c r="N1539" s="26" t="s">
        <v>216</v>
      </c>
      <c r="O1539" s="2">
        <f>INDEX(Маршруты,MATCH(N1539,$B$3:$B$498,0),1)</f>
        <v>69</v>
      </c>
      <c r="P1539" s="27">
        <v>12</v>
      </c>
      <c r="Q1539" s="2">
        <f>INDEX(Остановки,MATCH(R1539,ИД_Остановки!$B$3:$B$467,0),1)</f>
        <v>199</v>
      </c>
      <c r="R1539" s="45" t="s">
        <v>118</v>
      </c>
      <c r="S1539" s="20">
        <v>0.42</v>
      </c>
    </row>
    <row r="1540" spans="8:19" x14ac:dyDescent="0.25">
      <c r="H1540">
        <v>8</v>
      </c>
      <c r="I1540">
        <v>717</v>
      </c>
      <c r="J1540">
        <v>115</v>
      </c>
      <c r="K1540" t="b">
        <v>1</v>
      </c>
      <c r="N1540" s="25" t="s">
        <v>216</v>
      </c>
      <c r="O1540" s="2">
        <f>INDEX(Маршруты,MATCH(N1540,$B$3:$B$498,0),1)</f>
        <v>69</v>
      </c>
      <c r="P1540" s="27">
        <v>13</v>
      </c>
      <c r="Q1540" s="2">
        <f>INDEX(Остановки,MATCH(R1540,ИД_Остановки!$B$3:$B$467,0),1)</f>
        <v>200</v>
      </c>
      <c r="R1540" s="45" t="s">
        <v>119</v>
      </c>
      <c r="S1540" s="20">
        <v>0.75</v>
      </c>
    </row>
    <row r="1541" spans="8:19" x14ac:dyDescent="0.25">
      <c r="H1541">
        <v>8</v>
      </c>
      <c r="I1541">
        <v>720</v>
      </c>
      <c r="J1541">
        <v>115</v>
      </c>
      <c r="K1541" t="b">
        <v>1</v>
      </c>
      <c r="N1541" s="25" t="s">
        <v>216</v>
      </c>
      <c r="O1541" s="2">
        <f>INDEX(Маршруты,MATCH(N1541,$B$3:$B$498,0),1)</f>
        <v>69</v>
      </c>
      <c r="P1541" s="27">
        <v>14</v>
      </c>
      <c r="Q1541" s="2">
        <f>INDEX(Остановки,MATCH(R1541,ИД_Остановки!$B$3:$B$467,0),1)</f>
        <v>255</v>
      </c>
      <c r="R1541" s="45" t="s">
        <v>137</v>
      </c>
      <c r="S1541" s="20">
        <v>0.67</v>
      </c>
    </row>
    <row r="1542" spans="8:19" x14ac:dyDescent="0.25">
      <c r="H1542">
        <v>8</v>
      </c>
      <c r="I1542">
        <v>723</v>
      </c>
      <c r="J1542">
        <v>115</v>
      </c>
      <c r="K1542" t="b">
        <v>1</v>
      </c>
      <c r="N1542" s="25" t="s">
        <v>216</v>
      </c>
      <c r="O1542" s="2">
        <f>INDEX(Маршруты,MATCH(N1542,$B$3:$B$498,0),1)</f>
        <v>69</v>
      </c>
      <c r="P1542" s="28">
        <v>15</v>
      </c>
      <c r="Q1542" s="2">
        <f>INDEX(Остановки,MATCH(R1542,ИД_Остановки!$B$3:$B$467,0),1)</f>
        <v>257</v>
      </c>
      <c r="R1542" s="24" t="s">
        <v>377</v>
      </c>
      <c r="S1542" s="20">
        <v>0.61</v>
      </c>
    </row>
    <row r="1543" spans="8:19" x14ac:dyDescent="0.25">
      <c r="H1543">
        <v>8</v>
      </c>
      <c r="I1543">
        <v>726</v>
      </c>
      <c r="J1543">
        <v>115</v>
      </c>
      <c r="K1543" t="b">
        <v>1</v>
      </c>
      <c r="N1543" s="25" t="s">
        <v>216</v>
      </c>
      <c r="O1543" s="2">
        <f>INDEX(Маршруты,MATCH(N1543,$B$3:$B$498,0),1)</f>
        <v>69</v>
      </c>
      <c r="P1543" s="28">
        <v>16</v>
      </c>
      <c r="Q1543" s="2">
        <f>INDEX(Остановки,MATCH(R1543,ИД_Остановки!$B$3:$B$467,0),1)</f>
        <v>238</v>
      </c>
      <c r="R1543" s="24" t="s">
        <v>131</v>
      </c>
      <c r="S1543" s="20">
        <v>0.56000000000000005</v>
      </c>
    </row>
    <row r="1544" spans="8:19" x14ac:dyDescent="0.25">
      <c r="H1544">
        <v>8</v>
      </c>
      <c r="I1544">
        <v>729</v>
      </c>
      <c r="J1544">
        <v>115</v>
      </c>
      <c r="K1544" t="b">
        <v>1</v>
      </c>
      <c r="N1544" s="25" t="s">
        <v>216</v>
      </c>
      <c r="O1544" s="2">
        <f>INDEX(Маршруты,MATCH(N1544,$B$3:$B$498,0),1)</f>
        <v>69</v>
      </c>
      <c r="P1544" s="28">
        <v>17</v>
      </c>
      <c r="Q1544" s="2">
        <f>INDEX(Остановки,MATCH(R1544,ИД_Остановки!$B$3:$B$467,0),1)</f>
        <v>228</v>
      </c>
      <c r="R1544" s="24" t="s">
        <v>127</v>
      </c>
      <c r="S1544" s="20">
        <v>0.94</v>
      </c>
    </row>
    <row r="1545" spans="8:19" x14ac:dyDescent="0.25">
      <c r="H1545">
        <v>8</v>
      </c>
      <c r="I1545">
        <v>732</v>
      </c>
      <c r="J1545">
        <v>115</v>
      </c>
      <c r="K1545" t="b">
        <v>1</v>
      </c>
      <c r="N1545" s="25" t="s">
        <v>216</v>
      </c>
      <c r="O1545" s="2">
        <f>INDEX(Маршруты,MATCH(N1545,$B$3:$B$498,0),1)</f>
        <v>69</v>
      </c>
      <c r="P1545" s="27">
        <v>18</v>
      </c>
      <c r="Q1545" s="2">
        <f>INDEX(Остановки,MATCH(R1545,ИД_Остановки!$B$3:$B$467,0),1)</f>
        <v>3</v>
      </c>
      <c r="R1545" s="45" t="s">
        <v>243</v>
      </c>
      <c r="S1545" s="20">
        <v>1.18</v>
      </c>
    </row>
    <row r="1546" spans="8:19" x14ac:dyDescent="0.25">
      <c r="H1546">
        <v>8</v>
      </c>
      <c r="I1546">
        <v>735</v>
      </c>
      <c r="J1546">
        <v>115</v>
      </c>
      <c r="K1546" t="b">
        <v>1</v>
      </c>
      <c r="N1546" s="25" t="s">
        <v>216</v>
      </c>
      <c r="O1546" s="2">
        <f>INDEX(Маршруты,MATCH(N1546,$B$3:$B$498,0),1)</f>
        <v>69</v>
      </c>
      <c r="P1546" s="28">
        <v>19</v>
      </c>
      <c r="Q1546" s="2">
        <f>INDEX(Остановки,MATCH(R1546,ИД_Остановки!$B$3:$B$467,0),1)</f>
        <v>208</v>
      </c>
      <c r="R1546" s="24" t="s">
        <v>121</v>
      </c>
      <c r="S1546" s="20">
        <v>0.9</v>
      </c>
    </row>
    <row r="1547" spans="8:19" x14ac:dyDescent="0.25">
      <c r="H1547">
        <v>8</v>
      </c>
      <c r="I1547">
        <v>738</v>
      </c>
      <c r="J1547">
        <v>115</v>
      </c>
      <c r="K1547" t="b">
        <v>1</v>
      </c>
      <c r="N1547" s="30" t="s">
        <v>216</v>
      </c>
      <c r="O1547" s="2">
        <f>INDEX(Маршруты,MATCH(N1547,$B$3:$B$498,0),1)</f>
        <v>69</v>
      </c>
      <c r="P1547" s="27">
        <v>20</v>
      </c>
      <c r="Q1547" s="2">
        <f>INDEX(Остановки,MATCH(R1547,ИД_Остановки!$B$3:$B$467,0),1)</f>
        <v>207</v>
      </c>
      <c r="R1547" s="45" t="s">
        <v>345</v>
      </c>
      <c r="S1547" s="20">
        <v>0.56999999999999995</v>
      </c>
    </row>
    <row r="1548" spans="8:19" x14ac:dyDescent="0.25">
      <c r="H1548">
        <v>8</v>
      </c>
      <c r="I1548">
        <v>741</v>
      </c>
      <c r="J1548">
        <v>115</v>
      </c>
      <c r="K1548" t="b">
        <v>1</v>
      </c>
      <c r="N1548" s="25" t="s">
        <v>216</v>
      </c>
      <c r="O1548" s="2">
        <f>INDEX(Маршруты,MATCH(N1548,$B$3:$B$498,0),1)</f>
        <v>69</v>
      </c>
      <c r="P1548" s="27">
        <v>21</v>
      </c>
      <c r="Q1548" s="2">
        <f>INDEX(Остановки,MATCH(R1548,ИД_Остановки!$B$3:$B$467,0),1)</f>
        <v>241</v>
      </c>
      <c r="R1548" s="45" t="s">
        <v>132</v>
      </c>
      <c r="S1548" s="20">
        <v>0.74</v>
      </c>
    </row>
    <row r="1549" spans="8:19" x14ac:dyDescent="0.25">
      <c r="H1549">
        <v>8</v>
      </c>
      <c r="I1549">
        <v>744</v>
      </c>
      <c r="J1549">
        <v>115</v>
      </c>
      <c r="K1549" t="b">
        <v>1</v>
      </c>
      <c r="N1549" s="25" t="s">
        <v>216</v>
      </c>
      <c r="O1549" s="2">
        <f>INDEX(Маршруты,MATCH(N1549,$B$3:$B$498,0),1)</f>
        <v>69</v>
      </c>
      <c r="P1549" s="28">
        <v>22</v>
      </c>
      <c r="Q1549" s="2">
        <f>INDEX(Остановки,MATCH(R1549,ИД_Остановки!$B$3:$B$467,0),1)</f>
        <v>21</v>
      </c>
      <c r="R1549" s="24" t="s">
        <v>21</v>
      </c>
      <c r="S1549" s="20">
        <v>1.56</v>
      </c>
    </row>
    <row r="1550" spans="8:19" x14ac:dyDescent="0.25">
      <c r="H1550">
        <v>8</v>
      </c>
      <c r="I1550">
        <v>747</v>
      </c>
      <c r="J1550">
        <v>115</v>
      </c>
      <c r="K1550" t="b">
        <v>1</v>
      </c>
      <c r="N1550" s="26" t="s">
        <v>216</v>
      </c>
      <c r="O1550" s="2">
        <f>INDEX(Маршруты,MATCH(N1550,$B$3:$B$498,0),1)</f>
        <v>69</v>
      </c>
      <c r="P1550" s="27">
        <v>23</v>
      </c>
      <c r="Q1550" s="2">
        <f>INDEX(Остановки,MATCH(R1550,ИД_Остановки!$B$3:$B$467,0),1)</f>
        <v>428</v>
      </c>
      <c r="R1550" s="45" t="s">
        <v>484</v>
      </c>
      <c r="S1550" s="20">
        <v>0.89</v>
      </c>
    </row>
    <row r="1551" spans="8:19" x14ac:dyDescent="0.25">
      <c r="H1551">
        <v>8</v>
      </c>
      <c r="I1551">
        <v>750</v>
      </c>
      <c r="J1551">
        <v>115</v>
      </c>
      <c r="K1551" t="b">
        <v>1</v>
      </c>
      <c r="N1551" s="25" t="s">
        <v>216</v>
      </c>
      <c r="O1551" s="2">
        <f>INDEX(Маршруты,MATCH(N1551,$B$3:$B$498,0),1)</f>
        <v>69</v>
      </c>
      <c r="P1551" s="28">
        <v>24</v>
      </c>
      <c r="Q1551" s="2">
        <f>INDEX(Остановки,MATCH(R1551,ИД_Остановки!$B$3:$B$467,0),1)</f>
        <v>132</v>
      </c>
      <c r="R1551" s="24" t="s">
        <v>307</v>
      </c>
      <c r="S1551" s="21">
        <v>0.39</v>
      </c>
    </row>
    <row r="1552" spans="8:19" x14ac:dyDescent="0.25">
      <c r="H1552">
        <v>8</v>
      </c>
      <c r="I1552">
        <v>753</v>
      </c>
      <c r="J1552">
        <v>115</v>
      </c>
      <c r="K1552" t="b">
        <v>1</v>
      </c>
      <c r="N1552" s="25" t="s">
        <v>216</v>
      </c>
      <c r="O1552" s="2">
        <f>INDEX(Маршруты,MATCH(N1552,$B$3:$B$498,0),1)</f>
        <v>69</v>
      </c>
      <c r="P1552" s="27">
        <v>25</v>
      </c>
      <c r="Q1552" s="2">
        <f>INDEX(Остановки,MATCH(R1552,ИД_Остановки!$B$3:$B$467,0),1)</f>
        <v>131</v>
      </c>
      <c r="R1552" s="45" t="s">
        <v>306</v>
      </c>
      <c r="S1552" s="20">
        <v>0.56999999999999995</v>
      </c>
    </row>
    <row r="1553" spans="8:19" x14ac:dyDescent="0.25">
      <c r="H1553">
        <v>8</v>
      </c>
      <c r="I1553">
        <v>756</v>
      </c>
      <c r="J1553">
        <v>115</v>
      </c>
      <c r="K1553" t="b">
        <v>1</v>
      </c>
      <c r="N1553" s="30" t="s">
        <v>216</v>
      </c>
      <c r="O1553" s="2">
        <f>INDEX(Маршруты,MATCH(N1553,$B$3:$B$498,0),1)</f>
        <v>69</v>
      </c>
      <c r="P1553" s="27">
        <v>26</v>
      </c>
      <c r="Q1553" s="2">
        <f>INDEX(Остановки,MATCH(R1553,ИД_Остановки!$B$3:$B$467,0),1)</f>
        <v>130</v>
      </c>
      <c r="R1553" s="45" t="s">
        <v>305</v>
      </c>
      <c r="S1553" s="20">
        <v>0.39</v>
      </c>
    </row>
    <row r="1554" spans="8:19" x14ac:dyDescent="0.25">
      <c r="H1554">
        <v>8</v>
      </c>
      <c r="I1554">
        <v>759</v>
      </c>
      <c r="J1554">
        <v>115</v>
      </c>
      <c r="K1554" t="b">
        <v>1</v>
      </c>
      <c r="N1554" s="30" t="s">
        <v>216</v>
      </c>
      <c r="O1554" s="2">
        <f>INDEX(Маршруты,MATCH(N1554,$B$3:$B$498,0),1)</f>
        <v>69</v>
      </c>
      <c r="P1554" s="27">
        <v>27</v>
      </c>
      <c r="Q1554" s="2">
        <f>INDEX(Остановки,MATCH(R1554,ИД_Остановки!$B$3:$B$467,0),1)</f>
        <v>48</v>
      </c>
      <c r="R1554" s="45" t="s">
        <v>42</v>
      </c>
      <c r="S1554" s="20">
        <v>0.72</v>
      </c>
    </row>
    <row r="1555" spans="8:19" x14ac:dyDescent="0.25">
      <c r="H1555">
        <v>8</v>
      </c>
      <c r="I1555">
        <v>762</v>
      </c>
      <c r="J1555">
        <v>115</v>
      </c>
      <c r="K1555" t="b">
        <v>1</v>
      </c>
      <c r="N1555" s="25" t="s">
        <v>216</v>
      </c>
      <c r="O1555" s="2">
        <f>INDEX(Маршруты,MATCH(N1555,$B$3:$B$498,0),1)</f>
        <v>69</v>
      </c>
      <c r="P1555" s="27">
        <v>28</v>
      </c>
      <c r="Q1555" s="2">
        <f>INDEX(Остановки,MATCH(R1555,ИД_Остановки!$B$3:$B$467,0),1)</f>
        <v>136</v>
      </c>
      <c r="R1555" s="45" t="s">
        <v>84</v>
      </c>
      <c r="S1555" s="20">
        <v>0.5</v>
      </c>
    </row>
    <row r="1556" spans="8:19" x14ac:dyDescent="0.25">
      <c r="H1556">
        <v>8</v>
      </c>
      <c r="I1556">
        <v>765</v>
      </c>
      <c r="J1556">
        <v>115</v>
      </c>
      <c r="K1556" t="b">
        <v>1</v>
      </c>
      <c r="N1556" s="30" t="s">
        <v>216</v>
      </c>
      <c r="O1556" s="2">
        <f>INDEX(Маршруты,MATCH(N1556,$B$3:$B$498,0),1)</f>
        <v>69</v>
      </c>
      <c r="P1556" s="27">
        <v>29</v>
      </c>
      <c r="Q1556" s="2">
        <f>INDEX(Остановки,MATCH(R1556,ИД_Остановки!$B$3:$B$467,0),1)</f>
        <v>137</v>
      </c>
      <c r="R1556" s="45" t="s">
        <v>309</v>
      </c>
      <c r="S1556" s="20">
        <v>0.63</v>
      </c>
    </row>
    <row r="1557" spans="8:19" x14ac:dyDescent="0.25">
      <c r="H1557">
        <v>8</v>
      </c>
      <c r="I1557">
        <v>768</v>
      </c>
      <c r="J1557">
        <v>115</v>
      </c>
      <c r="K1557" t="b">
        <v>1</v>
      </c>
      <c r="N1557" s="25" t="s">
        <v>216</v>
      </c>
      <c r="O1557" s="2">
        <f>INDEX(Маршруты,MATCH(N1557,$B$3:$B$498,0),1)</f>
        <v>69</v>
      </c>
      <c r="P1557" s="28">
        <v>30</v>
      </c>
      <c r="Q1557" s="2">
        <f>INDEX(Остановки,MATCH(R1557,ИД_Остановки!$B$3:$B$467,0),1)</f>
        <v>138</v>
      </c>
      <c r="R1557" s="24" t="s">
        <v>310</v>
      </c>
      <c r="S1557" s="20">
        <v>0.6</v>
      </c>
    </row>
    <row r="1558" spans="8:19" x14ac:dyDescent="0.25">
      <c r="H1558">
        <v>8</v>
      </c>
      <c r="I1558">
        <v>771</v>
      </c>
      <c r="J1558">
        <v>115</v>
      </c>
      <c r="K1558" t="b">
        <v>1</v>
      </c>
      <c r="N1558" s="25" t="s">
        <v>216</v>
      </c>
      <c r="O1558" s="2">
        <f>INDEX(Маршруты,MATCH(N1558,$B$3:$B$498,0),1)</f>
        <v>69</v>
      </c>
      <c r="P1558" s="28">
        <v>31</v>
      </c>
      <c r="Q1558" s="2">
        <f>INDEX(Остановки,MATCH(R1558,ИД_Остановки!$B$3:$B$467,0),1)</f>
        <v>139</v>
      </c>
      <c r="R1558" s="24" t="s">
        <v>311</v>
      </c>
      <c r="S1558" s="20">
        <v>0.34</v>
      </c>
    </row>
    <row r="1559" spans="8:19" x14ac:dyDescent="0.25">
      <c r="H1559">
        <v>8</v>
      </c>
      <c r="I1559">
        <v>774</v>
      </c>
      <c r="J1559">
        <v>115</v>
      </c>
      <c r="K1559" t="b">
        <v>1</v>
      </c>
      <c r="N1559" s="25" t="s">
        <v>216</v>
      </c>
      <c r="O1559" s="2">
        <f>INDEX(Маршруты,MATCH(N1559,$B$3:$B$498,0),1)</f>
        <v>69</v>
      </c>
      <c r="P1559" s="27">
        <v>32</v>
      </c>
      <c r="Q1559" s="2">
        <f>INDEX(Остановки,MATCH(R1559,ИД_Остановки!$B$3:$B$467,0),1)</f>
        <v>140</v>
      </c>
      <c r="R1559" s="45" t="s">
        <v>312</v>
      </c>
      <c r="S1559" s="20">
        <v>0.47</v>
      </c>
    </row>
    <row r="1560" spans="8:19" x14ac:dyDescent="0.25">
      <c r="H1560">
        <v>8</v>
      </c>
      <c r="I1560">
        <v>777</v>
      </c>
      <c r="J1560">
        <v>115</v>
      </c>
      <c r="K1560" t="b">
        <v>1</v>
      </c>
      <c r="N1560" s="30" t="s">
        <v>216</v>
      </c>
      <c r="O1560" s="2">
        <f>INDEX(Маршруты,MATCH(N1560,$B$3:$B$498,0),1)</f>
        <v>69</v>
      </c>
      <c r="P1560" s="27">
        <v>33</v>
      </c>
      <c r="Q1560" s="2">
        <f>INDEX(Остановки,MATCH(R1560,ИД_Остановки!$B$3:$B$467,0),1)</f>
        <v>141</v>
      </c>
      <c r="R1560" s="45" t="s">
        <v>313</v>
      </c>
      <c r="S1560" s="20">
        <v>0.47</v>
      </c>
    </row>
    <row r="1561" spans="8:19" x14ac:dyDescent="0.25">
      <c r="H1561">
        <v>8</v>
      </c>
      <c r="I1561">
        <v>780</v>
      </c>
      <c r="J1561">
        <v>115</v>
      </c>
      <c r="K1561" t="b">
        <v>1</v>
      </c>
      <c r="N1561" s="32" t="s">
        <v>545</v>
      </c>
      <c r="O1561" s="2">
        <f>INDEX(Маршруты,MATCH(N1561,$B$3:$B$498,0),1)</f>
        <v>70</v>
      </c>
      <c r="P1561" s="27">
        <v>1</v>
      </c>
      <c r="Q1561" s="2">
        <f>INDEX(Остановки,MATCH(R1561,ИД_Остановки!$B$3:$B$467,0),1)</f>
        <v>290</v>
      </c>
      <c r="R1561" s="45" t="s">
        <v>160</v>
      </c>
      <c r="S1561" s="20"/>
    </row>
    <row r="1562" spans="8:19" x14ac:dyDescent="0.25">
      <c r="H1562">
        <v>8</v>
      </c>
      <c r="I1562">
        <v>783</v>
      </c>
      <c r="J1562">
        <v>115</v>
      </c>
      <c r="K1562" t="b">
        <v>1</v>
      </c>
      <c r="N1562" s="30" t="s">
        <v>545</v>
      </c>
      <c r="O1562" s="2">
        <f>INDEX(Маршруты,MATCH(N1562,$B$3:$B$498,0),1)</f>
        <v>70</v>
      </c>
      <c r="P1562" s="27">
        <v>2</v>
      </c>
      <c r="Q1562" s="2">
        <f>INDEX(Остановки,MATCH(R1562,ИД_Остановки!$B$3:$B$467,0),1)</f>
        <v>393</v>
      </c>
      <c r="R1562" s="45" t="s">
        <v>450</v>
      </c>
      <c r="S1562" s="20">
        <v>13.7</v>
      </c>
    </row>
    <row r="1563" spans="8:19" x14ac:dyDescent="0.25">
      <c r="H1563">
        <v>8</v>
      </c>
      <c r="I1563">
        <v>786</v>
      </c>
      <c r="J1563">
        <v>115</v>
      </c>
      <c r="K1563" t="b">
        <v>1</v>
      </c>
      <c r="N1563" s="30" t="s">
        <v>545</v>
      </c>
      <c r="O1563" s="2">
        <f>INDEX(Маршруты,MATCH(N1563,$B$3:$B$498,0),1)</f>
        <v>70</v>
      </c>
      <c r="P1563" s="27">
        <v>3</v>
      </c>
      <c r="Q1563" s="2">
        <f>INDEX(Остановки,MATCH(R1563,ИД_Остановки!$B$3:$B$467,0),1)</f>
        <v>253</v>
      </c>
      <c r="R1563" s="45" t="s">
        <v>375</v>
      </c>
      <c r="S1563" s="20">
        <v>3.25</v>
      </c>
    </row>
    <row r="1564" spans="8:19" x14ac:dyDescent="0.25">
      <c r="H1564">
        <v>8</v>
      </c>
      <c r="I1564">
        <v>789</v>
      </c>
      <c r="J1564">
        <v>115</v>
      </c>
      <c r="K1564" t="b">
        <v>1</v>
      </c>
      <c r="N1564" s="26" t="s">
        <v>545</v>
      </c>
      <c r="O1564" s="2">
        <f>INDEX(Маршруты,MATCH(N1564,$B$3:$B$498,0),1)</f>
        <v>70</v>
      </c>
      <c r="P1564" s="27">
        <v>4</v>
      </c>
      <c r="Q1564" s="2">
        <f>INDEX(Остановки,MATCH(R1564,ИД_Остановки!$B$3:$B$467,0),1)</f>
        <v>375</v>
      </c>
      <c r="R1564" s="45" t="s">
        <v>433</v>
      </c>
      <c r="S1564" s="20">
        <v>0.68</v>
      </c>
    </row>
    <row r="1565" spans="8:19" x14ac:dyDescent="0.25">
      <c r="H1565">
        <v>8</v>
      </c>
      <c r="I1565">
        <v>792</v>
      </c>
      <c r="J1565">
        <v>115</v>
      </c>
      <c r="K1565" t="b">
        <v>1</v>
      </c>
      <c r="N1565" s="25" t="s">
        <v>545</v>
      </c>
      <c r="O1565" s="2">
        <f>INDEX(Маршруты,MATCH(N1565,$B$3:$B$498,0),1)</f>
        <v>70</v>
      </c>
      <c r="P1565" s="27">
        <v>5</v>
      </c>
      <c r="Q1565" s="2">
        <f>INDEX(Остановки,MATCH(R1565,ИД_Остановки!$B$3:$B$467,0),1)</f>
        <v>392</v>
      </c>
      <c r="R1565" s="45" t="s">
        <v>449</v>
      </c>
      <c r="S1565" s="20">
        <v>0.44</v>
      </c>
    </row>
    <row r="1566" spans="8:19" x14ac:dyDescent="0.25">
      <c r="H1566">
        <v>8</v>
      </c>
      <c r="I1566">
        <v>795</v>
      </c>
      <c r="J1566">
        <v>115</v>
      </c>
      <c r="K1566" t="b">
        <v>1</v>
      </c>
      <c r="N1566" s="25" t="s">
        <v>545</v>
      </c>
      <c r="O1566" s="2">
        <f>INDEX(Маршруты,MATCH(N1566,$B$3:$B$498,0),1)</f>
        <v>70</v>
      </c>
      <c r="P1566" s="27">
        <v>6</v>
      </c>
      <c r="Q1566" s="2">
        <f>INDEX(Остановки,MATCH(R1566,ИД_Остановки!$B$3:$B$467,0),1)</f>
        <v>376</v>
      </c>
      <c r="R1566" s="45" t="s">
        <v>434</v>
      </c>
      <c r="S1566" s="20">
        <v>0.42</v>
      </c>
    </row>
    <row r="1567" spans="8:19" x14ac:dyDescent="0.25">
      <c r="H1567">
        <v>8</v>
      </c>
      <c r="I1567">
        <v>798</v>
      </c>
      <c r="J1567">
        <v>115</v>
      </c>
      <c r="K1567" t="b">
        <v>1</v>
      </c>
      <c r="N1567" s="30" t="s">
        <v>545</v>
      </c>
      <c r="O1567" s="2">
        <f>INDEX(Маршруты,MATCH(N1567,$B$3:$B$498,0),1)</f>
        <v>70</v>
      </c>
      <c r="P1567" s="27">
        <v>7</v>
      </c>
      <c r="Q1567" s="2">
        <f>INDEX(Остановки,MATCH(R1567,ИД_Остановки!$B$3:$B$467,0),1)</f>
        <v>288</v>
      </c>
      <c r="R1567" s="45" t="s">
        <v>388</v>
      </c>
      <c r="S1567" s="20">
        <v>1.2</v>
      </c>
    </row>
    <row r="1568" spans="8:19" x14ac:dyDescent="0.25">
      <c r="H1568">
        <v>8</v>
      </c>
      <c r="I1568">
        <v>801</v>
      </c>
      <c r="J1568">
        <v>115</v>
      </c>
      <c r="K1568" t="b">
        <v>1</v>
      </c>
      <c r="N1568" s="30" t="s">
        <v>545</v>
      </c>
      <c r="O1568" s="2">
        <f>INDEX(Маршруты,MATCH(N1568,$B$3:$B$498,0),1)</f>
        <v>70</v>
      </c>
      <c r="P1568" s="28">
        <v>8</v>
      </c>
      <c r="Q1568" s="2">
        <f>INDEX(Остановки,MATCH(R1568,ИД_Остановки!$B$3:$B$467,0),1)</f>
        <v>254</v>
      </c>
      <c r="R1568" s="24" t="s">
        <v>136</v>
      </c>
      <c r="S1568" s="20">
        <v>0.79</v>
      </c>
    </row>
    <row r="1569" spans="8:19" x14ac:dyDescent="0.25">
      <c r="H1569">
        <v>8</v>
      </c>
      <c r="I1569">
        <v>804</v>
      </c>
      <c r="J1569">
        <v>115</v>
      </c>
      <c r="K1569" t="b">
        <v>1</v>
      </c>
      <c r="N1569" s="26" t="s">
        <v>545</v>
      </c>
      <c r="O1569" s="2">
        <f>INDEX(Маршруты,MATCH(N1569,$B$3:$B$498,0),1)</f>
        <v>70</v>
      </c>
      <c r="P1569" s="27">
        <v>9</v>
      </c>
      <c r="Q1569" s="2">
        <f>INDEX(Остановки,MATCH(R1569,ИД_Остановки!$B$3:$B$467,0),1)</f>
        <v>403</v>
      </c>
      <c r="R1569" s="45" t="s">
        <v>99</v>
      </c>
      <c r="S1569" s="20">
        <v>1</v>
      </c>
    </row>
    <row r="1570" spans="8:19" x14ac:dyDescent="0.25">
      <c r="H1570">
        <v>8</v>
      </c>
      <c r="I1570">
        <v>807</v>
      </c>
      <c r="J1570">
        <v>115</v>
      </c>
      <c r="K1570" t="b">
        <v>1</v>
      </c>
      <c r="N1570" s="26" t="s">
        <v>545</v>
      </c>
      <c r="O1570" s="2">
        <f>INDEX(Маршруты,MATCH(N1570,$B$3:$B$498,0),1)</f>
        <v>70</v>
      </c>
      <c r="P1570" s="27">
        <v>10</v>
      </c>
      <c r="Q1570" s="2">
        <f>INDEX(Остановки,MATCH(R1570,ИД_Остановки!$B$3:$B$467,0),1)</f>
        <v>337</v>
      </c>
      <c r="R1570" s="45" t="s">
        <v>407</v>
      </c>
      <c r="S1570" s="20">
        <v>0.59</v>
      </c>
    </row>
    <row r="1571" spans="8:19" x14ac:dyDescent="0.25">
      <c r="H1571">
        <v>8</v>
      </c>
      <c r="I1571">
        <v>810</v>
      </c>
      <c r="J1571">
        <v>115</v>
      </c>
      <c r="K1571" t="b">
        <v>1</v>
      </c>
      <c r="N1571" s="25" t="s">
        <v>545</v>
      </c>
      <c r="O1571" s="2">
        <f>INDEX(Маршруты,MATCH(N1571,$B$3:$B$498,0),1)</f>
        <v>70</v>
      </c>
      <c r="P1571" s="27">
        <v>11</v>
      </c>
      <c r="Q1571" s="2">
        <f>INDEX(Остановки,MATCH(R1571,ИД_Остановки!$B$3:$B$467,0),1)</f>
        <v>22</v>
      </c>
      <c r="R1571" s="24" t="s">
        <v>22</v>
      </c>
      <c r="S1571" s="20">
        <v>0.39</v>
      </c>
    </row>
    <row r="1572" spans="8:19" x14ac:dyDescent="0.25">
      <c r="H1572">
        <v>8</v>
      </c>
      <c r="I1572">
        <v>813</v>
      </c>
      <c r="J1572">
        <v>115</v>
      </c>
      <c r="K1572" t="b">
        <v>1</v>
      </c>
      <c r="N1572" s="25" t="s">
        <v>545</v>
      </c>
      <c r="O1572" s="2">
        <f>INDEX(Маршруты,MATCH(N1572,$B$3:$B$498,0),1)</f>
        <v>70</v>
      </c>
      <c r="P1572" s="27">
        <v>12</v>
      </c>
      <c r="Q1572" s="2">
        <f>INDEX(Остановки,MATCH(R1572,ИД_Остановки!$B$3:$B$467,0),1)</f>
        <v>199</v>
      </c>
      <c r="R1572" s="45" t="s">
        <v>118</v>
      </c>
      <c r="S1572" s="20">
        <v>0.42</v>
      </c>
    </row>
    <row r="1573" spans="8:19" x14ac:dyDescent="0.25">
      <c r="H1573">
        <v>8</v>
      </c>
      <c r="I1573">
        <v>816</v>
      </c>
      <c r="J1573">
        <v>115</v>
      </c>
      <c r="K1573" t="b">
        <v>1</v>
      </c>
      <c r="N1573" s="25" t="s">
        <v>545</v>
      </c>
      <c r="O1573" s="2">
        <f>INDEX(Маршруты,MATCH(N1573,$B$3:$B$498,0),1)</f>
        <v>70</v>
      </c>
      <c r="P1573" s="27">
        <v>13</v>
      </c>
      <c r="Q1573" s="2">
        <f>INDEX(Остановки,MATCH(R1573,ИД_Остановки!$B$3:$B$467,0),1)</f>
        <v>200</v>
      </c>
      <c r="R1573" s="45" t="s">
        <v>119</v>
      </c>
      <c r="S1573" s="20">
        <v>0.75</v>
      </c>
    </row>
    <row r="1574" spans="8:19" x14ac:dyDescent="0.25">
      <c r="H1574">
        <v>8</v>
      </c>
      <c r="I1574">
        <v>819</v>
      </c>
      <c r="J1574">
        <v>115</v>
      </c>
      <c r="K1574" t="b">
        <v>1</v>
      </c>
      <c r="N1574" s="30" t="s">
        <v>545</v>
      </c>
      <c r="O1574" s="2">
        <f>INDEX(Маршруты,MATCH(N1574,$B$3:$B$498,0),1)</f>
        <v>70</v>
      </c>
      <c r="P1574" s="27">
        <v>14</v>
      </c>
      <c r="Q1574" s="2">
        <f>INDEX(Остановки,MATCH(R1574,ИД_Остановки!$B$3:$B$467,0),1)</f>
        <v>255</v>
      </c>
      <c r="R1574" s="45" t="s">
        <v>137</v>
      </c>
      <c r="S1574" s="20">
        <v>0.67</v>
      </c>
    </row>
    <row r="1575" spans="8:19" x14ac:dyDescent="0.25">
      <c r="H1575">
        <v>8</v>
      </c>
      <c r="I1575">
        <v>822</v>
      </c>
      <c r="J1575">
        <v>115</v>
      </c>
      <c r="K1575" t="b">
        <v>1</v>
      </c>
      <c r="N1575" s="25" t="s">
        <v>545</v>
      </c>
      <c r="O1575" s="2">
        <f>INDEX(Маршруты,MATCH(N1575,$B$3:$B$498,0),1)</f>
        <v>70</v>
      </c>
      <c r="P1575" s="27">
        <v>15</v>
      </c>
      <c r="Q1575" s="2">
        <f>INDEX(Остановки,MATCH(R1575,ИД_Остановки!$B$3:$B$467,0),1)</f>
        <v>257</v>
      </c>
      <c r="R1575" s="45" t="s">
        <v>377</v>
      </c>
      <c r="S1575" s="20">
        <v>0.61</v>
      </c>
    </row>
    <row r="1576" spans="8:19" x14ac:dyDescent="0.25">
      <c r="H1576">
        <v>8</v>
      </c>
      <c r="I1576">
        <v>825</v>
      </c>
      <c r="J1576">
        <v>115</v>
      </c>
      <c r="K1576" t="b">
        <v>1</v>
      </c>
      <c r="N1576" s="30" t="s">
        <v>545</v>
      </c>
      <c r="O1576" s="2">
        <f>INDEX(Маршруты,MATCH(N1576,$B$3:$B$498,0),1)</f>
        <v>70</v>
      </c>
      <c r="P1576" s="27">
        <v>16</v>
      </c>
      <c r="Q1576" s="2">
        <f>INDEX(Остановки,MATCH(R1576,ИД_Остановки!$B$3:$B$467,0),1)</f>
        <v>238</v>
      </c>
      <c r="R1576" s="45" t="s">
        <v>131</v>
      </c>
      <c r="S1576" s="20">
        <v>0.56000000000000005</v>
      </c>
    </row>
    <row r="1577" spans="8:19" x14ac:dyDescent="0.25">
      <c r="H1577">
        <v>8</v>
      </c>
      <c r="I1577">
        <v>828</v>
      </c>
      <c r="J1577">
        <v>115</v>
      </c>
      <c r="K1577" t="b">
        <v>1</v>
      </c>
      <c r="N1577" s="25" t="s">
        <v>545</v>
      </c>
      <c r="O1577" s="2">
        <f>INDEX(Маршруты,MATCH(N1577,$B$3:$B$498,0),1)</f>
        <v>70</v>
      </c>
      <c r="P1577" s="27">
        <v>17</v>
      </c>
      <c r="Q1577" s="2">
        <f>INDEX(Остановки,MATCH(R1577,ИД_Остановки!$B$3:$B$467,0),1)</f>
        <v>228</v>
      </c>
      <c r="R1577" s="45" t="s">
        <v>127</v>
      </c>
      <c r="S1577" s="20">
        <v>0.94</v>
      </c>
    </row>
    <row r="1578" spans="8:19" x14ac:dyDescent="0.25">
      <c r="H1578">
        <v>8</v>
      </c>
      <c r="I1578">
        <v>831</v>
      </c>
      <c r="J1578">
        <v>115</v>
      </c>
      <c r="K1578" t="b">
        <v>1</v>
      </c>
      <c r="N1578" s="14" t="s">
        <v>545</v>
      </c>
      <c r="O1578" s="2">
        <f>INDEX(Маршруты,MATCH(N1578,$B$3:$B$498,0),1)</f>
        <v>70</v>
      </c>
      <c r="P1578" s="27">
        <v>18</v>
      </c>
      <c r="Q1578" s="2">
        <f>INDEX(Остановки,MATCH(R1578,ИД_Остановки!$B$3:$B$467,0),1)</f>
        <v>3</v>
      </c>
      <c r="R1578" s="45" t="s">
        <v>243</v>
      </c>
      <c r="S1578" s="20">
        <v>1.18</v>
      </c>
    </row>
    <row r="1579" spans="8:19" x14ac:dyDescent="0.25">
      <c r="H1579">
        <v>8</v>
      </c>
      <c r="I1579">
        <v>834</v>
      </c>
      <c r="J1579">
        <v>115</v>
      </c>
      <c r="K1579" t="b">
        <v>1</v>
      </c>
      <c r="N1579" s="25" t="s">
        <v>545</v>
      </c>
      <c r="O1579" s="2">
        <f>INDEX(Маршруты,MATCH(N1579,$B$3:$B$498,0),1)</f>
        <v>70</v>
      </c>
      <c r="P1579" s="28">
        <v>19</v>
      </c>
      <c r="Q1579" s="2">
        <f>INDEX(Остановки,MATCH(R1579,ИД_Остановки!$B$3:$B$467,0),1)</f>
        <v>208</v>
      </c>
      <c r="R1579" s="24" t="s">
        <v>121</v>
      </c>
      <c r="S1579" s="20">
        <v>0.9</v>
      </c>
    </row>
    <row r="1580" spans="8:19" x14ac:dyDescent="0.25">
      <c r="H1580">
        <v>8</v>
      </c>
      <c r="I1580">
        <v>837</v>
      </c>
      <c r="J1580">
        <v>115</v>
      </c>
      <c r="K1580" t="b">
        <v>1</v>
      </c>
      <c r="N1580" s="30" t="s">
        <v>545</v>
      </c>
      <c r="O1580" s="2">
        <f>INDEX(Маршруты,MATCH(N1580,$B$3:$B$498,0),1)</f>
        <v>70</v>
      </c>
      <c r="P1580" s="28">
        <v>20</v>
      </c>
      <c r="Q1580" s="2">
        <f>INDEX(Остановки,MATCH(R1580,ИД_Остановки!$B$3:$B$467,0),1)</f>
        <v>207</v>
      </c>
      <c r="R1580" s="24" t="s">
        <v>345</v>
      </c>
      <c r="S1580" s="20">
        <v>0.56999999999999995</v>
      </c>
    </row>
    <row r="1581" spans="8:19" x14ac:dyDescent="0.25">
      <c r="H1581">
        <v>8</v>
      </c>
      <c r="I1581">
        <v>840</v>
      </c>
      <c r="J1581">
        <v>115</v>
      </c>
      <c r="K1581" t="b">
        <v>1</v>
      </c>
      <c r="N1581" s="30" t="s">
        <v>545</v>
      </c>
      <c r="O1581" s="2">
        <f>INDEX(Маршруты,MATCH(N1581,$B$3:$B$498,0),1)</f>
        <v>70</v>
      </c>
      <c r="P1581" s="27">
        <v>21</v>
      </c>
      <c r="Q1581" s="2">
        <f>INDEX(Остановки,MATCH(R1581,ИД_Остановки!$B$3:$B$467,0),1)</f>
        <v>241</v>
      </c>
      <c r="R1581" s="24" t="s">
        <v>132</v>
      </c>
      <c r="S1581" s="20">
        <v>0.74</v>
      </c>
    </row>
    <row r="1582" spans="8:19" x14ac:dyDescent="0.25">
      <c r="H1582">
        <v>8</v>
      </c>
      <c r="I1582">
        <v>843</v>
      </c>
      <c r="J1582">
        <v>115</v>
      </c>
      <c r="K1582" t="b">
        <v>1</v>
      </c>
      <c r="N1582" s="30" t="s">
        <v>545</v>
      </c>
      <c r="O1582" s="2">
        <f>INDEX(Маршруты,MATCH(N1582,$B$3:$B$498,0),1)</f>
        <v>70</v>
      </c>
      <c r="P1582" s="27">
        <v>22</v>
      </c>
      <c r="Q1582" s="2">
        <f>INDEX(Остановки,MATCH(R1582,ИД_Остановки!$B$3:$B$467,0),1)</f>
        <v>21</v>
      </c>
      <c r="R1582" s="45" t="s">
        <v>21</v>
      </c>
      <c r="S1582" s="20">
        <v>1.56</v>
      </c>
    </row>
    <row r="1583" spans="8:19" x14ac:dyDescent="0.25">
      <c r="H1583">
        <v>8</v>
      </c>
      <c r="I1583">
        <v>846</v>
      </c>
      <c r="J1583">
        <v>115</v>
      </c>
      <c r="K1583" t="b">
        <v>1</v>
      </c>
      <c r="N1583" s="24" t="s">
        <v>545</v>
      </c>
      <c r="O1583" s="2">
        <f>INDEX(Маршруты,MATCH(N1583,$B$3:$B$498,0),1)</f>
        <v>70</v>
      </c>
      <c r="P1583" s="27">
        <v>23</v>
      </c>
      <c r="Q1583" s="2">
        <f>INDEX(Остановки,MATCH(R1583,ИД_Остановки!$B$3:$B$467,0),1)</f>
        <v>395</v>
      </c>
      <c r="R1583" s="45" t="s">
        <v>452</v>
      </c>
      <c r="S1583" s="20">
        <v>1.1499999999999999</v>
      </c>
    </row>
    <row r="1584" spans="8:19" x14ac:dyDescent="0.25">
      <c r="H1584">
        <v>8</v>
      </c>
      <c r="I1584">
        <v>849</v>
      </c>
      <c r="J1584">
        <v>115</v>
      </c>
      <c r="K1584" t="b">
        <v>1</v>
      </c>
      <c r="N1584" s="25" t="s">
        <v>545</v>
      </c>
      <c r="O1584" s="2">
        <f>INDEX(Маршруты,MATCH(N1584,$B$3:$B$498,0),1)</f>
        <v>70</v>
      </c>
      <c r="P1584" s="28">
        <v>24</v>
      </c>
      <c r="Q1584" s="2">
        <f>INDEX(Остановки,MATCH(R1584,ИД_Остановки!$B$3:$B$467,0),1)</f>
        <v>396</v>
      </c>
      <c r="R1584" s="24" t="s">
        <v>453</v>
      </c>
      <c r="S1584" s="20">
        <v>0.44</v>
      </c>
    </row>
    <row r="1585" spans="8:19" x14ac:dyDescent="0.25">
      <c r="H1585">
        <v>8</v>
      </c>
      <c r="I1585">
        <v>852</v>
      </c>
      <c r="J1585">
        <v>115</v>
      </c>
      <c r="K1585" t="b">
        <v>1</v>
      </c>
      <c r="N1585" s="30" t="s">
        <v>546</v>
      </c>
      <c r="O1585" s="2">
        <f>INDEX(Маршруты,MATCH(N1585,$B$3:$B$498,0),1)</f>
        <v>71</v>
      </c>
      <c r="P1585" s="27">
        <v>1</v>
      </c>
      <c r="Q1585" s="2">
        <f>INDEX(Остановки,MATCH(R1585,ИД_Остановки!$B$3:$B$467,0),1)</f>
        <v>396</v>
      </c>
      <c r="R1585" s="45" t="s">
        <v>453</v>
      </c>
      <c r="S1585" s="20"/>
    </row>
    <row r="1586" spans="8:19" x14ac:dyDescent="0.25">
      <c r="H1586">
        <v>8</v>
      </c>
      <c r="I1586">
        <v>855</v>
      </c>
      <c r="J1586">
        <v>115</v>
      </c>
      <c r="K1586" t="b">
        <v>1</v>
      </c>
      <c r="N1586" s="30" t="s">
        <v>546</v>
      </c>
      <c r="O1586" s="2">
        <f>INDEX(Маршруты,MATCH(N1586,$B$3:$B$498,0),1)</f>
        <v>71</v>
      </c>
      <c r="P1586" s="27">
        <v>2</v>
      </c>
      <c r="Q1586" s="2">
        <f>INDEX(Остановки,MATCH(R1586,ИД_Остановки!$B$3:$B$467,0),1)</f>
        <v>395</v>
      </c>
      <c r="R1586" s="45" t="s">
        <v>452</v>
      </c>
      <c r="S1586" s="20">
        <v>0.44</v>
      </c>
    </row>
    <row r="1587" spans="8:19" x14ac:dyDescent="0.25">
      <c r="H1587">
        <v>8</v>
      </c>
      <c r="I1587">
        <v>858</v>
      </c>
      <c r="J1587">
        <v>115</v>
      </c>
      <c r="K1587" t="b">
        <v>1</v>
      </c>
      <c r="N1587" s="30" t="s">
        <v>546</v>
      </c>
      <c r="O1587" s="2">
        <f>INDEX(Маршруты,MATCH(N1587,$B$3:$B$498,0),1)</f>
        <v>71</v>
      </c>
      <c r="P1587" s="27">
        <v>3</v>
      </c>
      <c r="Q1587" s="2">
        <f>INDEX(Остановки,MATCH(R1587,ИД_Остановки!$B$3:$B$467,0),1)</f>
        <v>21</v>
      </c>
      <c r="R1587" s="45" t="s">
        <v>21</v>
      </c>
      <c r="S1587" s="20">
        <v>1.1499999999999999</v>
      </c>
    </row>
    <row r="1588" spans="8:19" x14ac:dyDescent="0.25">
      <c r="H1588">
        <v>8</v>
      </c>
      <c r="I1588">
        <v>861</v>
      </c>
      <c r="J1588">
        <v>115</v>
      </c>
      <c r="K1588" t="b">
        <v>1</v>
      </c>
      <c r="N1588" s="14" t="s">
        <v>546</v>
      </c>
      <c r="O1588" s="2">
        <f>INDEX(Маршруты,MATCH(N1588,$B$3:$B$498,0),1)</f>
        <v>71</v>
      </c>
      <c r="P1588" s="27">
        <v>4</v>
      </c>
      <c r="Q1588" s="2">
        <f>INDEX(Остановки,MATCH(R1588,ИД_Остановки!$B$3:$B$467,0),1)</f>
        <v>241</v>
      </c>
      <c r="R1588" s="45" t="s">
        <v>132</v>
      </c>
      <c r="S1588" s="20">
        <v>1.56</v>
      </c>
    </row>
    <row r="1589" spans="8:19" x14ac:dyDescent="0.25">
      <c r="H1589">
        <v>8</v>
      </c>
      <c r="I1589">
        <v>864</v>
      </c>
      <c r="J1589">
        <v>115</v>
      </c>
      <c r="K1589" t="b">
        <v>1</v>
      </c>
      <c r="N1589" s="30" t="s">
        <v>546</v>
      </c>
      <c r="O1589" s="2">
        <f>INDEX(Маршруты,MATCH(N1589,$B$3:$B$498,0),1)</f>
        <v>71</v>
      </c>
      <c r="P1589" s="27">
        <v>5</v>
      </c>
      <c r="Q1589" s="2">
        <f>INDEX(Остановки,MATCH(R1589,ИД_Остановки!$B$3:$B$467,0),1)</f>
        <v>207</v>
      </c>
      <c r="R1589" s="45" t="s">
        <v>345</v>
      </c>
      <c r="S1589" s="20">
        <v>0.74</v>
      </c>
    </row>
    <row r="1590" spans="8:19" x14ac:dyDescent="0.25">
      <c r="H1590">
        <v>8</v>
      </c>
      <c r="I1590">
        <v>867</v>
      </c>
      <c r="J1590">
        <v>115</v>
      </c>
      <c r="K1590" t="b">
        <v>1</v>
      </c>
      <c r="N1590" s="25" t="s">
        <v>546</v>
      </c>
      <c r="O1590" s="2">
        <f>INDEX(Маршруты,MATCH(N1590,$B$3:$B$498,0),1)</f>
        <v>71</v>
      </c>
      <c r="P1590" s="27">
        <v>6</v>
      </c>
      <c r="Q1590" s="2">
        <f>INDEX(Остановки,MATCH(R1590,ИД_Остановки!$B$3:$B$467,0),1)</f>
        <v>208</v>
      </c>
      <c r="R1590" s="24" t="s">
        <v>121</v>
      </c>
      <c r="S1590" s="20">
        <v>0.56999999999999995</v>
      </c>
    </row>
    <row r="1591" spans="8:19" x14ac:dyDescent="0.25">
      <c r="H1591">
        <v>8</v>
      </c>
      <c r="I1591">
        <v>870</v>
      </c>
      <c r="J1591">
        <v>115</v>
      </c>
      <c r="K1591" t="b">
        <v>1</v>
      </c>
      <c r="N1591" s="25" t="s">
        <v>546</v>
      </c>
      <c r="O1591" s="2">
        <f>INDEX(Маршруты,MATCH(N1591,$B$3:$B$498,0),1)</f>
        <v>71</v>
      </c>
      <c r="P1591" s="28">
        <v>7</v>
      </c>
      <c r="Q1591" s="2">
        <f>INDEX(Остановки,MATCH(R1591,ИД_Остановки!$B$3:$B$467,0),1)</f>
        <v>3</v>
      </c>
      <c r="R1591" s="24" t="s">
        <v>243</v>
      </c>
      <c r="S1591" s="20">
        <v>0.9</v>
      </c>
    </row>
    <row r="1592" spans="8:19" x14ac:dyDescent="0.25">
      <c r="H1592">
        <v>8</v>
      </c>
      <c r="I1592">
        <v>873</v>
      </c>
      <c r="J1592">
        <v>115</v>
      </c>
      <c r="K1592" t="b">
        <v>1</v>
      </c>
      <c r="N1592" s="25" t="s">
        <v>546</v>
      </c>
      <c r="O1592" s="2">
        <f>INDEX(Маршруты,MATCH(N1592,$B$3:$B$498,0),1)</f>
        <v>71</v>
      </c>
      <c r="P1592" s="27">
        <v>8</v>
      </c>
      <c r="Q1592" s="2">
        <f>INDEX(Остановки,MATCH(R1592,ИД_Остановки!$B$3:$B$467,0),1)</f>
        <v>228</v>
      </c>
      <c r="R1592" s="45" t="s">
        <v>127</v>
      </c>
      <c r="S1592" s="20">
        <v>1.18</v>
      </c>
    </row>
    <row r="1593" spans="8:19" x14ac:dyDescent="0.25">
      <c r="H1593">
        <v>8</v>
      </c>
      <c r="I1593">
        <v>876</v>
      </c>
      <c r="J1593">
        <v>115</v>
      </c>
      <c r="K1593" t="b">
        <v>1</v>
      </c>
      <c r="N1593" s="30" t="s">
        <v>546</v>
      </c>
      <c r="O1593" s="2">
        <f>INDEX(Маршруты,MATCH(N1593,$B$3:$B$498,0),1)</f>
        <v>71</v>
      </c>
      <c r="P1593" s="27">
        <v>9</v>
      </c>
      <c r="Q1593" s="2">
        <f>INDEX(Остановки,MATCH(R1593,ИД_Остановки!$B$3:$B$467,0),1)</f>
        <v>238</v>
      </c>
      <c r="R1593" s="45" t="s">
        <v>131</v>
      </c>
      <c r="S1593" s="20">
        <v>0.94</v>
      </c>
    </row>
    <row r="1594" spans="8:19" x14ac:dyDescent="0.25">
      <c r="H1594">
        <v>8</v>
      </c>
      <c r="I1594">
        <v>879</v>
      </c>
      <c r="J1594">
        <v>115</v>
      </c>
      <c r="K1594" t="b">
        <v>1</v>
      </c>
      <c r="N1594" s="25" t="s">
        <v>546</v>
      </c>
      <c r="O1594" s="2">
        <f>INDEX(Маршруты,MATCH(N1594,$B$3:$B$498,0),1)</f>
        <v>71</v>
      </c>
      <c r="P1594" s="28">
        <v>10</v>
      </c>
      <c r="Q1594" s="2">
        <f>INDEX(Остановки,MATCH(R1594,ИД_Остановки!$B$3:$B$467,0),1)</f>
        <v>257</v>
      </c>
      <c r="R1594" s="24" t="s">
        <v>377</v>
      </c>
      <c r="S1594" s="20">
        <v>0.56000000000000005</v>
      </c>
    </row>
    <row r="1595" spans="8:19" x14ac:dyDescent="0.25">
      <c r="H1595">
        <v>8</v>
      </c>
      <c r="I1595">
        <v>882</v>
      </c>
      <c r="J1595">
        <v>115</v>
      </c>
      <c r="K1595" t="b">
        <v>1</v>
      </c>
      <c r="N1595" s="25" t="s">
        <v>546</v>
      </c>
      <c r="O1595" s="2">
        <f>INDEX(Маршруты,MATCH(N1595,$B$3:$B$498,0),1)</f>
        <v>71</v>
      </c>
      <c r="P1595" s="28">
        <v>11</v>
      </c>
      <c r="Q1595" s="2">
        <f>INDEX(Остановки,MATCH(R1595,ИД_Остановки!$B$3:$B$467,0),1)</f>
        <v>255</v>
      </c>
      <c r="R1595" s="24" t="s">
        <v>137</v>
      </c>
      <c r="S1595" s="20">
        <v>0.61</v>
      </c>
    </row>
    <row r="1596" spans="8:19" x14ac:dyDescent="0.25">
      <c r="H1596">
        <v>8</v>
      </c>
      <c r="I1596">
        <v>885</v>
      </c>
      <c r="J1596">
        <v>115</v>
      </c>
      <c r="K1596" t="b">
        <v>1</v>
      </c>
      <c r="N1596" s="26" t="s">
        <v>546</v>
      </c>
      <c r="O1596" s="2">
        <f>INDEX(Маршруты,MATCH(N1596,$B$3:$B$498,0),1)</f>
        <v>71</v>
      </c>
      <c r="P1596" s="27">
        <v>12</v>
      </c>
      <c r="Q1596" s="2">
        <f>INDEX(Остановки,MATCH(R1596,ИД_Остановки!$B$3:$B$467,0),1)</f>
        <v>200</v>
      </c>
      <c r="R1596" s="45" t="s">
        <v>119</v>
      </c>
      <c r="S1596" s="20">
        <v>0.67</v>
      </c>
    </row>
    <row r="1597" spans="8:19" x14ac:dyDescent="0.25">
      <c r="H1597">
        <v>8</v>
      </c>
      <c r="I1597">
        <v>888</v>
      </c>
      <c r="J1597">
        <v>115</v>
      </c>
      <c r="K1597" t="b">
        <v>1</v>
      </c>
      <c r="N1597" s="25" t="s">
        <v>546</v>
      </c>
      <c r="O1597" s="2">
        <f>INDEX(Маршруты,MATCH(N1597,$B$3:$B$498,0),1)</f>
        <v>71</v>
      </c>
      <c r="P1597" s="27">
        <v>13</v>
      </c>
      <c r="Q1597" s="2">
        <f>INDEX(Остановки,MATCH(R1597,ИД_Остановки!$B$3:$B$467,0),1)</f>
        <v>199</v>
      </c>
      <c r="R1597" s="45" t="s">
        <v>118</v>
      </c>
      <c r="S1597" s="20">
        <v>0.75</v>
      </c>
    </row>
    <row r="1598" spans="8:19" x14ac:dyDescent="0.25">
      <c r="H1598">
        <v>8</v>
      </c>
      <c r="I1598">
        <v>891</v>
      </c>
      <c r="J1598">
        <v>115</v>
      </c>
      <c r="K1598" t="b">
        <v>1</v>
      </c>
      <c r="N1598" s="25" t="s">
        <v>546</v>
      </c>
      <c r="O1598" s="2">
        <f>INDEX(Маршруты,MATCH(N1598,$B$3:$B$498,0),1)</f>
        <v>71</v>
      </c>
      <c r="P1598" s="28">
        <v>14</v>
      </c>
      <c r="Q1598" s="2">
        <f>INDEX(Остановки,MATCH(R1598,ИД_Остановки!$B$3:$B$467,0),1)</f>
        <v>22</v>
      </c>
      <c r="R1598" s="24" t="s">
        <v>22</v>
      </c>
      <c r="S1598" s="20">
        <v>0.42</v>
      </c>
    </row>
    <row r="1599" spans="8:19" x14ac:dyDescent="0.25">
      <c r="H1599">
        <v>8</v>
      </c>
      <c r="I1599">
        <v>894</v>
      </c>
      <c r="J1599">
        <v>115</v>
      </c>
      <c r="K1599" t="b">
        <v>1</v>
      </c>
      <c r="N1599" s="25" t="s">
        <v>546</v>
      </c>
      <c r="O1599" s="2">
        <f>INDEX(Маршруты,MATCH(N1599,$B$3:$B$498,0),1)</f>
        <v>71</v>
      </c>
      <c r="P1599" s="27">
        <v>15</v>
      </c>
      <c r="Q1599" s="2">
        <f>INDEX(Остановки,MATCH(R1599,ИД_Остановки!$B$3:$B$467,0),1)</f>
        <v>337</v>
      </c>
      <c r="R1599" s="45" t="s">
        <v>407</v>
      </c>
      <c r="S1599" s="20">
        <v>0.39</v>
      </c>
    </row>
    <row r="1600" spans="8:19" x14ac:dyDescent="0.25">
      <c r="H1600">
        <v>8</v>
      </c>
      <c r="I1600">
        <v>897</v>
      </c>
      <c r="J1600">
        <v>115</v>
      </c>
      <c r="K1600" t="b">
        <v>1</v>
      </c>
      <c r="N1600" s="25" t="s">
        <v>546</v>
      </c>
      <c r="O1600" s="2">
        <f>INDEX(Маршруты,MATCH(N1600,$B$3:$B$498,0),1)</f>
        <v>71</v>
      </c>
      <c r="P1600" s="27">
        <v>16</v>
      </c>
      <c r="Q1600" s="2">
        <f>INDEX(Остановки,MATCH(R1600,ИД_Остановки!$B$3:$B$467,0),1)</f>
        <v>403</v>
      </c>
      <c r="R1600" s="45" t="s">
        <v>99</v>
      </c>
      <c r="S1600" s="20">
        <v>0.59</v>
      </c>
    </row>
    <row r="1601" spans="8:19" x14ac:dyDescent="0.25">
      <c r="H1601">
        <v>8</v>
      </c>
      <c r="I1601">
        <v>900</v>
      </c>
      <c r="J1601">
        <v>115</v>
      </c>
      <c r="K1601" t="b">
        <v>1</v>
      </c>
      <c r="N1601" s="25" t="s">
        <v>546</v>
      </c>
      <c r="O1601" s="2">
        <f>INDEX(Маршруты,MATCH(N1601,$B$3:$B$498,0),1)</f>
        <v>71</v>
      </c>
      <c r="P1601" s="27">
        <v>17</v>
      </c>
      <c r="Q1601" s="2">
        <f>INDEX(Остановки,MATCH(R1601,ИД_Остановки!$B$3:$B$467,0),1)</f>
        <v>254</v>
      </c>
      <c r="R1601" s="45" t="s">
        <v>136</v>
      </c>
      <c r="S1601" s="20">
        <v>1</v>
      </c>
    </row>
    <row r="1602" spans="8:19" x14ac:dyDescent="0.25">
      <c r="H1602">
        <v>8</v>
      </c>
      <c r="I1602">
        <v>903</v>
      </c>
      <c r="J1602">
        <v>115</v>
      </c>
      <c r="K1602" t="b">
        <v>1</v>
      </c>
      <c r="N1602" s="25" t="s">
        <v>546</v>
      </c>
      <c r="O1602" s="2">
        <f>INDEX(Маршруты,MATCH(N1602,$B$3:$B$498,0),1)</f>
        <v>71</v>
      </c>
      <c r="P1602" s="28">
        <v>18</v>
      </c>
      <c r="Q1602" s="2">
        <f>INDEX(Остановки,MATCH(R1602,ИД_Остановки!$B$3:$B$467,0),1)</f>
        <v>288</v>
      </c>
      <c r="R1602" s="24" t="s">
        <v>388</v>
      </c>
      <c r="S1602" s="20">
        <v>0.79</v>
      </c>
    </row>
    <row r="1603" spans="8:19" x14ac:dyDescent="0.25">
      <c r="H1603">
        <v>8</v>
      </c>
      <c r="I1603">
        <v>906</v>
      </c>
      <c r="J1603">
        <v>115</v>
      </c>
      <c r="K1603" t="b">
        <v>1</v>
      </c>
      <c r="N1603" s="25" t="s">
        <v>546</v>
      </c>
      <c r="O1603" s="2">
        <f>INDEX(Маршруты,MATCH(N1603,$B$3:$B$498,0),1)</f>
        <v>71</v>
      </c>
      <c r="P1603" s="27">
        <v>19</v>
      </c>
      <c r="Q1603" s="2">
        <f>INDEX(Остановки,MATCH(R1603,ИД_Остановки!$B$3:$B$467,0),1)</f>
        <v>376</v>
      </c>
      <c r="R1603" s="24" t="s">
        <v>434</v>
      </c>
      <c r="S1603" s="20">
        <v>1.2</v>
      </c>
    </row>
    <row r="1604" spans="8:19" x14ac:dyDescent="0.25">
      <c r="H1604">
        <v>8</v>
      </c>
      <c r="I1604">
        <v>909</v>
      </c>
      <c r="J1604">
        <v>115</v>
      </c>
      <c r="K1604" t="b">
        <v>1</v>
      </c>
      <c r="N1604" s="25" t="s">
        <v>546</v>
      </c>
      <c r="O1604" s="2">
        <f>INDEX(Маршруты,MATCH(N1604,$B$3:$B$498,0),1)</f>
        <v>71</v>
      </c>
      <c r="P1604" s="27">
        <v>20</v>
      </c>
      <c r="Q1604" s="2">
        <f>INDEX(Остановки,MATCH(R1604,ИД_Остановки!$B$3:$B$467,0),1)</f>
        <v>392</v>
      </c>
      <c r="R1604" s="45" t="s">
        <v>449</v>
      </c>
      <c r="S1604" s="20">
        <v>0.42</v>
      </c>
    </row>
    <row r="1605" spans="8:19" x14ac:dyDescent="0.25">
      <c r="H1605">
        <v>8</v>
      </c>
      <c r="I1605">
        <v>912</v>
      </c>
      <c r="J1605">
        <v>115</v>
      </c>
      <c r="K1605" t="b">
        <v>1</v>
      </c>
      <c r="N1605" s="30" t="s">
        <v>546</v>
      </c>
      <c r="O1605" s="2">
        <f>INDEX(Маршруты,MATCH(N1605,$B$3:$B$498,0),1)</f>
        <v>71</v>
      </c>
      <c r="P1605" s="27">
        <v>21</v>
      </c>
      <c r="Q1605" s="2">
        <f>INDEX(Остановки,MATCH(R1605,ИД_Остановки!$B$3:$B$467,0),1)</f>
        <v>375</v>
      </c>
      <c r="R1605" s="45" t="s">
        <v>433</v>
      </c>
      <c r="S1605" s="20">
        <v>0.44</v>
      </c>
    </row>
    <row r="1606" spans="8:19" x14ac:dyDescent="0.25">
      <c r="H1606">
        <v>8</v>
      </c>
      <c r="I1606">
        <v>915</v>
      </c>
      <c r="J1606">
        <v>115</v>
      </c>
      <c r="K1606" t="b">
        <v>1</v>
      </c>
      <c r="N1606" s="30" t="s">
        <v>546</v>
      </c>
      <c r="O1606" s="2">
        <f>INDEX(Маршруты,MATCH(N1606,$B$3:$B$498,0),1)</f>
        <v>71</v>
      </c>
      <c r="P1606" s="27">
        <v>22</v>
      </c>
      <c r="Q1606" s="2">
        <f>INDEX(Остановки,MATCH(R1606,ИД_Остановки!$B$3:$B$467,0),1)</f>
        <v>253</v>
      </c>
      <c r="R1606" s="45" t="s">
        <v>375</v>
      </c>
      <c r="S1606" s="20">
        <v>0.68</v>
      </c>
    </row>
    <row r="1607" spans="8:19" x14ac:dyDescent="0.25">
      <c r="H1607">
        <v>8</v>
      </c>
      <c r="I1607">
        <v>918</v>
      </c>
      <c r="J1607">
        <v>115</v>
      </c>
      <c r="K1607" t="b">
        <v>1</v>
      </c>
      <c r="N1607" s="30" t="s">
        <v>546</v>
      </c>
      <c r="O1607" s="2">
        <f>INDEX(Маршруты,MATCH(N1607,$B$3:$B$498,0),1)</f>
        <v>71</v>
      </c>
      <c r="P1607" s="27">
        <v>23</v>
      </c>
      <c r="Q1607" s="2">
        <f>INDEX(Остановки,MATCH(R1607,ИД_Остановки!$B$3:$B$467,0),1)</f>
        <v>393</v>
      </c>
      <c r="R1607" s="45" t="s">
        <v>450</v>
      </c>
      <c r="S1607" s="20">
        <v>3.25</v>
      </c>
    </row>
    <row r="1608" spans="8:19" x14ac:dyDescent="0.25">
      <c r="H1608">
        <v>8</v>
      </c>
      <c r="I1608">
        <v>921</v>
      </c>
      <c r="J1608">
        <v>115</v>
      </c>
      <c r="K1608" t="b">
        <v>1</v>
      </c>
      <c r="N1608" s="30" t="s">
        <v>546</v>
      </c>
      <c r="O1608" s="2">
        <f>INDEX(Маршруты,MATCH(N1608,$B$3:$B$498,0),1)</f>
        <v>71</v>
      </c>
      <c r="P1608" s="27">
        <v>24</v>
      </c>
      <c r="Q1608" s="2">
        <f>INDEX(Остановки,MATCH(R1608,ИД_Остановки!$B$3:$B$467,0),1)</f>
        <v>290</v>
      </c>
      <c r="R1608" s="45" t="s">
        <v>160</v>
      </c>
      <c r="S1608" s="20">
        <v>13.7</v>
      </c>
    </row>
    <row r="1609" spans="8:19" x14ac:dyDescent="0.25">
      <c r="H1609">
        <v>8</v>
      </c>
      <c r="I1609">
        <v>924</v>
      </c>
      <c r="J1609">
        <v>115</v>
      </c>
      <c r="K1609" t="b">
        <v>1</v>
      </c>
      <c r="N1609" s="30" t="s">
        <v>547</v>
      </c>
      <c r="O1609" s="2">
        <f>INDEX(Маршруты,MATCH(N1609,$B$3:$B$498,0),1)</f>
        <v>72</v>
      </c>
      <c r="P1609" s="27">
        <v>1</v>
      </c>
      <c r="Q1609" s="2">
        <f>INDEX(Остановки,MATCH(R1609,ИД_Остановки!$B$3:$B$467,0),1)</f>
        <v>135</v>
      </c>
      <c r="R1609" s="45" t="s">
        <v>83</v>
      </c>
      <c r="S1609" s="20"/>
    </row>
    <row r="1610" spans="8:19" x14ac:dyDescent="0.25">
      <c r="H1610">
        <v>8</v>
      </c>
      <c r="I1610">
        <v>927</v>
      </c>
      <c r="J1610">
        <v>115</v>
      </c>
      <c r="K1610" t="b">
        <v>1</v>
      </c>
      <c r="N1610" s="30" t="s">
        <v>547</v>
      </c>
      <c r="O1610" s="2">
        <f>INDEX(Маршруты,MATCH(N1610,$B$3:$B$498,0),1)</f>
        <v>72</v>
      </c>
      <c r="P1610" s="27">
        <v>2</v>
      </c>
      <c r="Q1610" s="2">
        <f>INDEX(Остановки,MATCH(R1610,ИД_Остановки!$B$3:$B$467,0),1)</f>
        <v>83</v>
      </c>
      <c r="R1610" s="45" t="s">
        <v>280</v>
      </c>
      <c r="S1610" s="20">
        <v>1.26</v>
      </c>
    </row>
    <row r="1611" spans="8:19" x14ac:dyDescent="0.25">
      <c r="H1611">
        <v>8</v>
      </c>
      <c r="I1611">
        <v>930</v>
      </c>
      <c r="J1611">
        <v>115</v>
      </c>
      <c r="K1611" t="b">
        <v>1</v>
      </c>
      <c r="N1611" s="30" t="s">
        <v>547</v>
      </c>
      <c r="O1611" s="2">
        <f>INDEX(Маршруты,MATCH(N1611,$B$3:$B$498,0),1)</f>
        <v>72</v>
      </c>
      <c r="P1611" s="27">
        <v>3</v>
      </c>
      <c r="Q1611" s="2">
        <f>INDEX(Остановки,MATCH(R1611,ИД_Остановки!$B$3:$B$467,0),1)</f>
        <v>391</v>
      </c>
      <c r="R1611" s="45" t="s">
        <v>448</v>
      </c>
      <c r="S1611" s="20">
        <v>0.85</v>
      </c>
    </row>
    <row r="1612" spans="8:19" x14ac:dyDescent="0.25">
      <c r="H1612">
        <v>8</v>
      </c>
      <c r="I1612">
        <v>933</v>
      </c>
      <c r="J1612">
        <v>115</v>
      </c>
      <c r="K1612" t="b">
        <v>1</v>
      </c>
      <c r="N1612" s="25" t="s">
        <v>547</v>
      </c>
      <c r="O1612" s="2">
        <f>INDEX(Маршруты,MATCH(N1612,$B$3:$B$498,0),1)</f>
        <v>72</v>
      </c>
      <c r="P1612" s="27">
        <v>4</v>
      </c>
      <c r="Q1612" s="2">
        <f>INDEX(Остановки,MATCH(R1612,ИД_Остановки!$B$3:$B$467,0),1)</f>
        <v>134</v>
      </c>
      <c r="R1612" s="45" t="s">
        <v>308</v>
      </c>
      <c r="S1612" s="20">
        <v>0.26</v>
      </c>
    </row>
    <row r="1613" spans="8:19" x14ac:dyDescent="0.25">
      <c r="H1613">
        <v>8</v>
      </c>
      <c r="I1613">
        <v>936</v>
      </c>
      <c r="J1613">
        <v>115</v>
      </c>
      <c r="K1613" t="b">
        <v>1</v>
      </c>
      <c r="N1613" s="25" t="s">
        <v>547</v>
      </c>
      <c r="O1613" s="2">
        <f>INDEX(Маршруты,MATCH(N1613,$B$3:$B$498,0),1)</f>
        <v>72</v>
      </c>
      <c r="P1613" s="27">
        <v>5</v>
      </c>
      <c r="Q1613" s="2">
        <f>INDEX(Остановки,MATCH(R1613,ИД_Остановки!$B$3:$B$467,0),1)</f>
        <v>133</v>
      </c>
      <c r="R1613" s="45" t="s">
        <v>82</v>
      </c>
      <c r="S1613" s="20">
        <v>0.3</v>
      </c>
    </row>
    <row r="1614" spans="8:19" x14ac:dyDescent="0.25">
      <c r="H1614">
        <v>8</v>
      </c>
      <c r="I1614">
        <v>939</v>
      </c>
      <c r="J1614">
        <v>115</v>
      </c>
      <c r="K1614" t="b">
        <v>1</v>
      </c>
      <c r="N1614" s="25" t="s">
        <v>547</v>
      </c>
      <c r="O1614" s="2">
        <f>INDEX(Маршруты,MATCH(N1614,$B$3:$B$498,0),1)</f>
        <v>72</v>
      </c>
      <c r="P1614" s="27">
        <v>6</v>
      </c>
      <c r="Q1614" s="2">
        <f>INDEX(Остановки,MATCH(R1614,ИД_Остановки!$B$3:$B$467,0),1)</f>
        <v>132</v>
      </c>
      <c r="R1614" s="45" t="s">
        <v>307</v>
      </c>
      <c r="S1614" s="20">
        <v>0.49</v>
      </c>
    </row>
    <row r="1615" spans="8:19" x14ac:dyDescent="0.25">
      <c r="H1615">
        <v>8</v>
      </c>
      <c r="I1615">
        <v>942</v>
      </c>
      <c r="J1615">
        <v>115</v>
      </c>
      <c r="K1615" t="b">
        <v>1</v>
      </c>
      <c r="N1615" s="30" t="s">
        <v>547</v>
      </c>
      <c r="O1615" s="2">
        <f>INDEX(Маршруты,MATCH(N1615,$B$3:$B$498,0),1)</f>
        <v>72</v>
      </c>
      <c r="P1615" s="27">
        <v>7</v>
      </c>
      <c r="Q1615" s="2">
        <f>INDEX(Остановки,MATCH(R1615,ИД_Остановки!$B$3:$B$467,0),1)</f>
        <v>131</v>
      </c>
      <c r="R1615" s="45" t="s">
        <v>306</v>
      </c>
      <c r="S1615" s="20">
        <v>0.56999999999999995</v>
      </c>
    </row>
    <row r="1616" spans="8:19" x14ac:dyDescent="0.25">
      <c r="H1616">
        <v>8</v>
      </c>
      <c r="I1616">
        <v>945</v>
      </c>
      <c r="J1616">
        <v>115</v>
      </c>
      <c r="K1616" t="b">
        <v>1</v>
      </c>
      <c r="N1616" s="25" t="s">
        <v>547</v>
      </c>
      <c r="O1616" s="2">
        <f>INDEX(Маршруты,MATCH(N1616,$B$3:$B$498,0),1)</f>
        <v>72</v>
      </c>
      <c r="P1616" s="27">
        <v>8</v>
      </c>
      <c r="Q1616" s="2">
        <f>INDEX(Остановки,MATCH(R1616,ИД_Остановки!$B$3:$B$467,0),1)</f>
        <v>130</v>
      </c>
      <c r="R1616" s="45" t="s">
        <v>305</v>
      </c>
      <c r="S1616" s="20">
        <v>0.39</v>
      </c>
    </row>
    <row r="1617" spans="8:19" x14ac:dyDescent="0.25">
      <c r="H1617">
        <v>8</v>
      </c>
      <c r="I1617">
        <v>948</v>
      </c>
      <c r="J1617">
        <v>115</v>
      </c>
      <c r="K1617" t="b">
        <v>1</v>
      </c>
      <c r="N1617" s="30" t="s">
        <v>547</v>
      </c>
      <c r="O1617" s="2">
        <f>INDEX(Маршруты,MATCH(N1617,$B$3:$B$498,0),1)</f>
        <v>72</v>
      </c>
      <c r="P1617" s="27">
        <v>9</v>
      </c>
      <c r="Q1617" s="2">
        <f>INDEX(Остановки,MATCH(R1617,ИД_Остановки!$B$3:$B$467,0),1)</f>
        <v>145</v>
      </c>
      <c r="R1617" s="45" t="s">
        <v>87</v>
      </c>
      <c r="S1617" s="20">
        <v>0.63</v>
      </c>
    </row>
    <row r="1618" spans="8:19" x14ac:dyDescent="0.25">
      <c r="H1618">
        <v>8</v>
      </c>
      <c r="I1618">
        <v>951</v>
      </c>
      <c r="J1618">
        <v>115</v>
      </c>
      <c r="K1618" t="b">
        <v>1</v>
      </c>
      <c r="N1618" s="25" t="s">
        <v>547</v>
      </c>
      <c r="O1618" s="2">
        <f>INDEX(Маршруты,MATCH(N1618,$B$3:$B$498,0),1)</f>
        <v>72</v>
      </c>
      <c r="P1618" s="27">
        <v>10</v>
      </c>
      <c r="Q1618" s="2">
        <f>INDEX(Остановки,MATCH(R1618,ИД_Остановки!$B$3:$B$467,0),1)</f>
        <v>47</v>
      </c>
      <c r="R1618" s="45" t="s">
        <v>259</v>
      </c>
      <c r="S1618" s="20">
        <v>0.77</v>
      </c>
    </row>
    <row r="1619" spans="8:19" x14ac:dyDescent="0.25">
      <c r="H1619">
        <v>8</v>
      </c>
      <c r="I1619">
        <v>954</v>
      </c>
      <c r="J1619">
        <v>115</v>
      </c>
      <c r="K1619" t="b">
        <v>1</v>
      </c>
      <c r="N1619" s="25" t="s">
        <v>547</v>
      </c>
      <c r="O1619" s="2">
        <f>INDEX(Маршруты,MATCH(N1619,$B$3:$B$498,0),1)</f>
        <v>72</v>
      </c>
      <c r="P1619" s="28">
        <v>11</v>
      </c>
      <c r="Q1619" s="2">
        <f>INDEX(Остановки,MATCH(R1619,ИД_Остановки!$B$3:$B$467,0),1)</f>
        <v>46</v>
      </c>
      <c r="R1619" s="24" t="s">
        <v>41</v>
      </c>
      <c r="S1619" s="20">
        <v>0.5</v>
      </c>
    </row>
    <row r="1620" spans="8:19" x14ac:dyDescent="0.25">
      <c r="H1620">
        <v>8</v>
      </c>
      <c r="I1620">
        <v>957</v>
      </c>
      <c r="J1620">
        <v>115</v>
      </c>
      <c r="K1620" t="b">
        <v>1</v>
      </c>
      <c r="N1620" s="25" t="s">
        <v>547</v>
      </c>
      <c r="O1620" s="2">
        <f>INDEX(Маршруты,MATCH(N1620,$B$3:$B$498,0),1)</f>
        <v>72</v>
      </c>
      <c r="P1620" s="27">
        <v>12</v>
      </c>
      <c r="Q1620" s="2">
        <f>INDEX(Остановки,MATCH(R1620,ИД_Остановки!$B$3:$B$467,0),1)</f>
        <v>45</v>
      </c>
      <c r="R1620" s="45" t="s">
        <v>40</v>
      </c>
      <c r="S1620" s="20">
        <v>0.45</v>
      </c>
    </row>
    <row r="1621" spans="8:19" x14ac:dyDescent="0.25">
      <c r="H1621">
        <v>9</v>
      </c>
      <c r="I1621">
        <v>0</v>
      </c>
      <c r="J1621">
        <v>350</v>
      </c>
      <c r="K1621" t="b">
        <v>1</v>
      </c>
      <c r="N1621" s="26" t="s">
        <v>547</v>
      </c>
      <c r="O1621" s="2">
        <f>INDEX(Маршруты,MATCH(N1621,$B$3:$B$498,0),1)</f>
        <v>72</v>
      </c>
      <c r="P1621" s="27">
        <v>13</v>
      </c>
      <c r="Q1621" s="2">
        <f>INDEX(Остановки,MATCH(R1621,ИД_Остановки!$B$3:$B$467,0),1)</f>
        <v>44</v>
      </c>
      <c r="R1621" s="45" t="s">
        <v>258</v>
      </c>
      <c r="S1621" s="20">
        <v>0.39</v>
      </c>
    </row>
    <row r="1622" spans="8:19" x14ac:dyDescent="0.25">
      <c r="H1622">
        <v>9</v>
      </c>
      <c r="I1622">
        <v>11</v>
      </c>
      <c r="J1622">
        <v>350</v>
      </c>
      <c r="K1622" t="b">
        <v>1</v>
      </c>
      <c r="N1622" s="30" t="s">
        <v>547</v>
      </c>
      <c r="O1622" s="2">
        <f>INDEX(Маршруты,MATCH(N1622,$B$3:$B$498,0),1)</f>
        <v>72</v>
      </c>
      <c r="P1622" s="27">
        <v>14</v>
      </c>
      <c r="Q1622" s="2">
        <f>INDEX(Остановки,MATCH(R1622,ИД_Остановки!$B$3:$B$467,0),1)</f>
        <v>302</v>
      </c>
      <c r="R1622" s="45" t="s">
        <v>170</v>
      </c>
      <c r="S1622" s="20">
        <v>0.59</v>
      </c>
    </row>
    <row r="1623" spans="8:19" x14ac:dyDescent="0.25">
      <c r="H1623">
        <v>9</v>
      </c>
      <c r="I1623">
        <v>22</v>
      </c>
      <c r="J1623">
        <v>350</v>
      </c>
      <c r="K1623" t="b">
        <v>1</v>
      </c>
      <c r="N1623" s="26" t="s">
        <v>547</v>
      </c>
      <c r="O1623" s="2">
        <f>INDEX(Маршруты,MATCH(N1623,$B$3:$B$498,0),1)</f>
        <v>72</v>
      </c>
      <c r="P1623" s="27">
        <v>15</v>
      </c>
      <c r="Q1623" s="2">
        <f>INDEX(Остановки,MATCH(R1623,ИД_Остановки!$B$3:$B$467,0),1)</f>
        <v>303</v>
      </c>
      <c r="R1623" s="45" t="s">
        <v>171</v>
      </c>
      <c r="S1623" s="20">
        <v>0.63</v>
      </c>
    </row>
    <row r="1624" spans="8:19" x14ac:dyDescent="0.25">
      <c r="H1624">
        <v>9</v>
      </c>
      <c r="I1624">
        <v>33</v>
      </c>
      <c r="J1624">
        <v>350</v>
      </c>
      <c r="K1624" t="b">
        <v>1</v>
      </c>
      <c r="N1624" s="30" t="s">
        <v>547</v>
      </c>
      <c r="O1624" s="2">
        <f>INDEX(Маршруты,MATCH(N1624,$B$3:$B$498,0),1)</f>
        <v>72</v>
      </c>
      <c r="P1624" s="27">
        <v>16</v>
      </c>
      <c r="Q1624" s="2">
        <f>INDEX(Остановки,MATCH(R1624,ИД_Остановки!$B$3:$B$467,0),1)</f>
        <v>304</v>
      </c>
      <c r="R1624" s="24" t="s">
        <v>172</v>
      </c>
      <c r="S1624" s="20">
        <v>0.59</v>
      </c>
    </row>
    <row r="1625" spans="8:19" x14ac:dyDescent="0.25">
      <c r="H1625">
        <v>9</v>
      </c>
      <c r="I1625">
        <v>44</v>
      </c>
      <c r="J1625">
        <v>350</v>
      </c>
      <c r="K1625" t="b">
        <v>1</v>
      </c>
      <c r="N1625" s="30" t="s">
        <v>547</v>
      </c>
      <c r="O1625" s="2">
        <f>INDEX(Маршруты,MATCH(N1625,$B$3:$B$498,0),1)</f>
        <v>72</v>
      </c>
      <c r="P1625" s="27">
        <v>17</v>
      </c>
      <c r="Q1625" s="2">
        <f>INDEX(Остановки,MATCH(R1625,ИД_Остановки!$B$3:$B$467,0),1)</f>
        <v>305</v>
      </c>
      <c r="R1625" s="45" t="s">
        <v>173</v>
      </c>
      <c r="S1625" s="20">
        <v>0.34</v>
      </c>
    </row>
    <row r="1626" spans="8:19" x14ac:dyDescent="0.25">
      <c r="H1626">
        <v>9</v>
      </c>
      <c r="I1626">
        <v>55</v>
      </c>
      <c r="J1626">
        <v>350</v>
      </c>
      <c r="K1626" t="b">
        <v>1</v>
      </c>
      <c r="N1626" s="30" t="s">
        <v>547</v>
      </c>
      <c r="O1626" s="2">
        <f>INDEX(Маршруты,MATCH(N1626,$B$3:$B$498,0),1)</f>
        <v>72</v>
      </c>
      <c r="P1626" s="27">
        <v>18</v>
      </c>
      <c r="Q1626" s="2">
        <f>INDEX(Остановки,MATCH(R1626,ИД_Остановки!$B$3:$B$467,0),1)</f>
        <v>306</v>
      </c>
      <c r="R1626" s="45" t="s">
        <v>174</v>
      </c>
      <c r="S1626" s="20">
        <v>0.56000000000000005</v>
      </c>
    </row>
    <row r="1627" spans="8:19" x14ac:dyDescent="0.25">
      <c r="H1627">
        <v>9</v>
      </c>
      <c r="I1627">
        <v>66</v>
      </c>
      <c r="J1627">
        <v>350</v>
      </c>
      <c r="K1627" t="b">
        <v>1</v>
      </c>
      <c r="N1627" s="30" t="s">
        <v>547</v>
      </c>
      <c r="O1627" s="2">
        <f>INDEX(Маршруты,MATCH(N1627,$B$3:$B$498,0),1)</f>
        <v>72</v>
      </c>
      <c r="P1627" s="28">
        <v>19</v>
      </c>
      <c r="Q1627" s="2">
        <f>INDEX(Остановки,MATCH(R1627,ИД_Остановки!$B$3:$B$467,0),1)</f>
        <v>307</v>
      </c>
      <c r="R1627" s="24" t="s">
        <v>175</v>
      </c>
      <c r="S1627" s="20">
        <v>0.4</v>
      </c>
    </row>
    <row r="1628" spans="8:19" x14ac:dyDescent="0.25">
      <c r="H1628">
        <v>9</v>
      </c>
      <c r="I1628">
        <v>77</v>
      </c>
      <c r="J1628">
        <v>350</v>
      </c>
      <c r="K1628" t="b">
        <v>1</v>
      </c>
      <c r="N1628" s="30" t="s">
        <v>547</v>
      </c>
      <c r="O1628" s="2">
        <f>INDEX(Маршруты,MATCH(N1628,$B$3:$B$498,0),1)</f>
        <v>72</v>
      </c>
      <c r="P1628" s="27">
        <v>20</v>
      </c>
      <c r="Q1628" s="2">
        <f>INDEX(Остановки,MATCH(R1628,ИД_Остановки!$B$3:$B$467,0),1)</f>
        <v>308</v>
      </c>
      <c r="R1628" s="45" t="s">
        <v>176</v>
      </c>
      <c r="S1628" s="20">
        <v>0.8</v>
      </c>
    </row>
    <row r="1629" spans="8:19" x14ac:dyDescent="0.25">
      <c r="H1629">
        <v>9</v>
      </c>
      <c r="I1629">
        <v>88</v>
      </c>
      <c r="J1629">
        <v>350</v>
      </c>
      <c r="K1629" t="b">
        <v>1</v>
      </c>
      <c r="N1629" s="30" t="s">
        <v>547</v>
      </c>
      <c r="O1629" s="2">
        <f>INDEX(Маршруты,MATCH(N1629,$B$3:$B$498,0),1)</f>
        <v>72</v>
      </c>
      <c r="P1629" s="27">
        <v>21</v>
      </c>
      <c r="Q1629" s="2">
        <f>INDEX(Остановки,MATCH(R1629,ИД_Остановки!$B$3:$B$467,0),1)</f>
        <v>309</v>
      </c>
      <c r="R1629" s="45" t="s">
        <v>177</v>
      </c>
      <c r="S1629" s="20">
        <v>1.69</v>
      </c>
    </row>
    <row r="1630" spans="8:19" x14ac:dyDescent="0.25">
      <c r="H1630">
        <v>9</v>
      </c>
      <c r="I1630">
        <v>99</v>
      </c>
      <c r="J1630">
        <v>350</v>
      </c>
      <c r="K1630" t="b">
        <v>1</v>
      </c>
      <c r="N1630" s="30" t="s">
        <v>547</v>
      </c>
      <c r="O1630" s="2">
        <f>INDEX(Маршруты,MATCH(N1630,$B$3:$B$498,0),1)</f>
        <v>72</v>
      </c>
      <c r="P1630" s="27">
        <v>22</v>
      </c>
      <c r="Q1630" s="2">
        <f>INDEX(Остановки,MATCH(R1630,ИД_Остановки!$B$3:$B$467,0),1)</f>
        <v>310</v>
      </c>
      <c r="R1630" s="45" t="s">
        <v>394</v>
      </c>
      <c r="S1630" s="20">
        <v>0.5</v>
      </c>
    </row>
    <row r="1631" spans="8:19" x14ac:dyDescent="0.25">
      <c r="H1631">
        <v>9</v>
      </c>
      <c r="I1631">
        <v>110</v>
      </c>
      <c r="J1631">
        <v>350</v>
      </c>
      <c r="K1631" t="b">
        <v>1</v>
      </c>
      <c r="N1631" s="30" t="s">
        <v>547</v>
      </c>
      <c r="O1631" s="2">
        <f>INDEX(Маршруты,MATCH(N1631,$B$3:$B$498,0),1)</f>
        <v>72</v>
      </c>
      <c r="P1631" s="27">
        <v>23</v>
      </c>
      <c r="Q1631" s="2">
        <f>INDEX(Остановки,MATCH(R1631,ИД_Остановки!$B$3:$B$467,0),1)</f>
        <v>311</v>
      </c>
      <c r="R1631" s="45" t="s">
        <v>178</v>
      </c>
      <c r="S1631" s="20">
        <v>0.98</v>
      </c>
    </row>
    <row r="1632" spans="8:19" x14ac:dyDescent="0.25">
      <c r="H1632">
        <v>9</v>
      </c>
      <c r="I1632">
        <v>121</v>
      </c>
      <c r="J1632">
        <v>350</v>
      </c>
      <c r="K1632" t="b">
        <v>1</v>
      </c>
      <c r="N1632" s="30" t="s">
        <v>547</v>
      </c>
      <c r="O1632" s="2">
        <f>INDEX(Маршруты,MATCH(N1632,$B$3:$B$498,0),1)</f>
        <v>72</v>
      </c>
      <c r="P1632" s="27">
        <v>24</v>
      </c>
      <c r="Q1632" s="2">
        <f>INDEX(Остановки,MATCH(R1632,ИД_Остановки!$B$3:$B$467,0),1)</f>
        <v>312</v>
      </c>
      <c r="R1632" s="45" t="s">
        <v>179</v>
      </c>
      <c r="S1632" s="20">
        <v>1.26</v>
      </c>
    </row>
    <row r="1633" spans="8:19" x14ac:dyDescent="0.25">
      <c r="H1633">
        <v>9</v>
      </c>
      <c r="I1633">
        <v>132</v>
      </c>
      <c r="J1633">
        <v>350</v>
      </c>
      <c r="K1633" t="b">
        <v>1</v>
      </c>
      <c r="N1633" s="30" t="s">
        <v>547</v>
      </c>
      <c r="O1633" s="2">
        <f>INDEX(Маршруты,MATCH(N1633,$B$3:$B$498,0),1)</f>
        <v>72</v>
      </c>
      <c r="P1633" s="27">
        <v>25</v>
      </c>
      <c r="Q1633" s="2">
        <f>INDEX(Остановки,MATCH(R1633,ИД_Остановки!$B$3:$B$467,0),1)</f>
        <v>313</v>
      </c>
      <c r="R1633" s="24" t="s">
        <v>180</v>
      </c>
      <c r="S1633" s="20">
        <v>0.59</v>
      </c>
    </row>
    <row r="1634" spans="8:19" x14ac:dyDescent="0.25">
      <c r="H1634">
        <v>9</v>
      </c>
      <c r="I1634">
        <v>143</v>
      </c>
      <c r="J1634">
        <v>350</v>
      </c>
      <c r="K1634" t="b">
        <v>1</v>
      </c>
      <c r="N1634" s="26" t="s">
        <v>547</v>
      </c>
      <c r="O1634" s="2">
        <f>INDEX(Маршруты,MATCH(N1634,$B$3:$B$498,0),1)</f>
        <v>72</v>
      </c>
      <c r="P1634" s="27">
        <v>26</v>
      </c>
      <c r="Q1634" s="2">
        <f>INDEX(Остановки,MATCH(R1634,ИД_Остановки!$B$3:$B$467,0),1)</f>
        <v>419</v>
      </c>
      <c r="R1634" s="45" t="s">
        <v>475</v>
      </c>
      <c r="S1634" s="20">
        <v>0.51</v>
      </c>
    </row>
    <row r="1635" spans="8:19" x14ac:dyDescent="0.25">
      <c r="H1635">
        <v>9</v>
      </c>
      <c r="I1635">
        <v>154</v>
      </c>
      <c r="J1635">
        <v>350</v>
      </c>
      <c r="K1635" t="b">
        <v>1</v>
      </c>
      <c r="N1635" s="30" t="s">
        <v>547</v>
      </c>
      <c r="O1635" s="2">
        <f>INDEX(Маршруты,MATCH(N1635,$B$3:$B$498,0),1)</f>
        <v>72</v>
      </c>
      <c r="P1635" s="27">
        <v>27</v>
      </c>
      <c r="Q1635" s="2">
        <f>INDEX(Остановки,MATCH(R1635,ИД_Остановки!$B$3:$B$467,0),1)</f>
        <v>378</v>
      </c>
      <c r="R1635" s="45" t="s">
        <v>436</v>
      </c>
      <c r="S1635" s="20">
        <v>0.46</v>
      </c>
    </row>
    <row r="1636" spans="8:19" x14ac:dyDescent="0.25">
      <c r="H1636">
        <v>9</v>
      </c>
      <c r="I1636">
        <v>165</v>
      </c>
      <c r="J1636">
        <v>350</v>
      </c>
      <c r="K1636" t="b">
        <v>1</v>
      </c>
      <c r="N1636" s="25" t="s">
        <v>547</v>
      </c>
      <c r="O1636" s="2">
        <f>INDEX(Маршруты,MATCH(N1636,$B$3:$B$498,0),1)</f>
        <v>72</v>
      </c>
      <c r="P1636" s="27">
        <v>28</v>
      </c>
      <c r="Q1636" s="2">
        <f>INDEX(Остановки,MATCH(R1636,ИД_Остановки!$B$3:$B$467,0),1)</f>
        <v>314</v>
      </c>
      <c r="R1636" s="45" t="s">
        <v>181</v>
      </c>
      <c r="S1636" s="20">
        <v>1.92</v>
      </c>
    </row>
    <row r="1637" spans="8:19" x14ac:dyDescent="0.25">
      <c r="H1637">
        <v>9</v>
      </c>
      <c r="I1637">
        <v>176</v>
      </c>
      <c r="J1637">
        <v>350</v>
      </c>
      <c r="K1637" t="b">
        <v>1</v>
      </c>
      <c r="N1637" s="25" t="s">
        <v>547</v>
      </c>
      <c r="O1637" s="2">
        <f>INDEX(Маршруты,MATCH(N1637,$B$3:$B$498,0),1)</f>
        <v>72</v>
      </c>
      <c r="P1637" s="27">
        <v>29</v>
      </c>
      <c r="Q1637" s="2">
        <f>INDEX(Остановки,MATCH(R1637,ИД_Остановки!$B$3:$B$467,0),1)</f>
        <v>229</v>
      </c>
      <c r="R1637" s="45" t="s">
        <v>128</v>
      </c>
      <c r="S1637" s="20">
        <v>0.52</v>
      </c>
    </row>
    <row r="1638" spans="8:19" x14ac:dyDescent="0.25">
      <c r="H1638">
        <v>9</v>
      </c>
      <c r="I1638">
        <v>187</v>
      </c>
      <c r="J1638">
        <v>350</v>
      </c>
      <c r="K1638" t="b">
        <v>1</v>
      </c>
      <c r="N1638" s="30" t="s">
        <v>548</v>
      </c>
      <c r="O1638" s="2">
        <f>INDEX(Маршруты,MATCH(N1638,$B$3:$B$498,0),1)</f>
        <v>73</v>
      </c>
      <c r="P1638" s="27">
        <v>1</v>
      </c>
      <c r="Q1638" s="2">
        <f>INDEX(Остановки,MATCH(R1638,ИД_Остановки!$B$3:$B$467,0),1)</f>
        <v>229</v>
      </c>
      <c r="R1638" s="45" t="s">
        <v>128</v>
      </c>
      <c r="S1638" s="20"/>
    </row>
    <row r="1639" spans="8:19" x14ac:dyDescent="0.25">
      <c r="H1639">
        <v>9</v>
      </c>
      <c r="I1639">
        <v>198</v>
      </c>
      <c r="J1639">
        <v>350</v>
      </c>
      <c r="K1639" t="b">
        <v>1</v>
      </c>
      <c r="N1639" s="30" t="s">
        <v>548</v>
      </c>
      <c r="O1639" s="2">
        <f>INDEX(Маршруты,MATCH(N1639,$B$3:$B$498,0),1)</f>
        <v>73</v>
      </c>
      <c r="P1639" s="27">
        <v>2</v>
      </c>
      <c r="Q1639" s="2">
        <f>INDEX(Остановки,MATCH(R1639,ИД_Остановки!$B$3:$B$467,0),1)</f>
        <v>314</v>
      </c>
      <c r="R1639" s="45" t="s">
        <v>181</v>
      </c>
      <c r="S1639" s="20">
        <v>0.52</v>
      </c>
    </row>
    <row r="1640" spans="8:19" x14ac:dyDescent="0.25">
      <c r="H1640">
        <v>9</v>
      </c>
      <c r="I1640">
        <v>209</v>
      </c>
      <c r="J1640">
        <v>350</v>
      </c>
      <c r="K1640" t="b">
        <v>1</v>
      </c>
      <c r="N1640" s="30" t="s">
        <v>548</v>
      </c>
      <c r="O1640" s="2">
        <f>INDEX(Маршруты,MATCH(N1640,$B$3:$B$498,0),1)</f>
        <v>73</v>
      </c>
      <c r="P1640" s="27">
        <v>3</v>
      </c>
      <c r="Q1640" s="2">
        <f>INDEX(Остановки,MATCH(R1640,ИД_Остановки!$B$3:$B$467,0),1)</f>
        <v>378</v>
      </c>
      <c r="R1640" s="45" t="s">
        <v>436</v>
      </c>
      <c r="S1640" s="20">
        <v>1.92</v>
      </c>
    </row>
    <row r="1641" spans="8:19" x14ac:dyDescent="0.25">
      <c r="H1641">
        <v>9</v>
      </c>
      <c r="I1641">
        <v>220</v>
      </c>
      <c r="J1641">
        <v>350</v>
      </c>
      <c r="K1641" t="b">
        <v>1</v>
      </c>
      <c r="N1641" s="25" t="s">
        <v>548</v>
      </c>
      <c r="O1641" s="2">
        <f>INDEX(Маршруты,MATCH(N1641,$B$3:$B$498,0),1)</f>
        <v>73</v>
      </c>
      <c r="P1641" s="27">
        <v>4</v>
      </c>
      <c r="Q1641" s="2">
        <f>INDEX(Остановки,MATCH(R1641,ИД_Остановки!$B$3:$B$467,0),1)</f>
        <v>419</v>
      </c>
      <c r="R1641" s="45" t="s">
        <v>475</v>
      </c>
      <c r="S1641" s="20">
        <v>0.46</v>
      </c>
    </row>
    <row r="1642" spans="8:19" x14ac:dyDescent="0.25">
      <c r="H1642">
        <v>9</v>
      </c>
      <c r="I1642">
        <v>231</v>
      </c>
      <c r="J1642">
        <v>350</v>
      </c>
      <c r="K1642" t="b">
        <v>1</v>
      </c>
      <c r="N1642" s="25" t="s">
        <v>548</v>
      </c>
      <c r="O1642" s="2">
        <f>INDEX(Маршруты,MATCH(N1642,$B$3:$B$498,0),1)</f>
        <v>73</v>
      </c>
      <c r="P1642" s="27">
        <v>5</v>
      </c>
      <c r="Q1642" s="2">
        <f>INDEX(Остановки,MATCH(R1642,ИД_Остановки!$B$3:$B$467,0),1)</f>
        <v>313</v>
      </c>
      <c r="R1642" s="45" t="s">
        <v>180</v>
      </c>
      <c r="S1642" s="20">
        <v>0.51</v>
      </c>
    </row>
    <row r="1643" spans="8:19" x14ac:dyDescent="0.25">
      <c r="H1643">
        <v>9</v>
      </c>
      <c r="I1643">
        <v>242</v>
      </c>
      <c r="J1643">
        <v>350</v>
      </c>
      <c r="K1643" t="b">
        <v>1</v>
      </c>
      <c r="N1643" s="30" t="s">
        <v>548</v>
      </c>
      <c r="O1643" s="2">
        <f>INDEX(Маршруты,MATCH(N1643,$B$3:$B$498,0),1)</f>
        <v>73</v>
      </c>
      <c r="P1643" s="27">
        <v>6</v>
      </c>
      <c r="Q1643" s="2">
        <f>INDEX(Остановки,MATCH(R1643,ИД_Остановки!$B$3:$B$467,0),1)</f>
        <v>312</v>
      </c>
      <c r="R1643" s="45" t="s">
        <v>179</v>
      </c>
      <c r="S1643" s="20">
        <v>0.59</v>
      </c>
    </row>
    <row r="1644" spans="8:19" x14ac:dyDescent="0.25">
      <c r="H1644">
        <v>9</v>
      </c>
      <c r="I1644">
        <v>253</v>
      </c>
      <c r="J1644">
        <v>350</v>
      </c>
      <c r="K1644" t="b">
        <v>1</v>
      </c>
      <c r="N1644" s="30" t="s">
        <v>548</v>
      </c>
      <c r="O1644" s="2">
        <f>INDEX(Маршруты,MATCH(N1644,$B$3:$B$498,0),1)</f>
        <v>73</v>
      </c>
      <c r="P1644" s="27">
        <v>7</v>
      </c>
      <c r="Q1644" s="2">
        <f>INDEX(Остановки,MATCH(R1644,ИД_Остановки!$B$3:$B$467,0),1)</f>
        <v>311</v>
      </c>
      <c r="R1644" s="45" t="s">
        <v>178</v>
      </c>
      <c r="S1644" s="20">
        <v>1.26</v>
      </c>
    </row>
    <row r="1645" spans="8:19" x14ac:dyDescent="0.25">
      <c r="H1645">
        <v>9</v>
      </c>
      <c r="I1645">
        <v>264</v>
      </c>
      <c r="J1645">
        <v>350</v>
      </c>
      <c r="K1645" t="b">
        <v>1</v>
      </c>
      <c r="N1645" s="30" t="s">
        <v>548</v>
      </c>
      <c r="O1645" s="2">
        <f>INDEX(Маршруты,MATCH(N1645,$B$3:$B$498,0),1)</f>
        <v>73</v>
      </c>
      <c r="P1645" s="27">
        <v>8</v>
      </c>
      <c r="Q1645" s="2">
        <f>INDEX(Остановки,MATCH(R1645,ИД_Остановки!$B$3:$B$467,0),1)</f>
        <v>310</v>
      </c>
      <c r="R1645" s="24" t="s">
        <v>394</v>
      </c>
      <c r="S1645" s="20">
        <v>0.98</v>
      </c>
    </row>
    <row r="1646" spans="8:19" x14ac:dyDescent="0.25">
      <c r="H1646">
        <v>9</v>
      </c>
      <c r="I1646">
        <v>275</v>
      </c>
      <c r="J1646">
        <v>350</v>
      </c>
      <c r="K1646" t="b">
        <v>1</v>
      </c>
      <c r="N1646" s="30" t="s">
        <v>548</v>
      </c>
      <c r="O1646" s="2">
        <f>INDEX(Маршруты,MATCH(N1646,$B$3:$B$498,0),1)</f>
        <v>73</v>
      </c>
      <c r="P1646" s="27">
        <v>9</v>
      </c>
      <c r="Q1646" s="2">
        <f>INDEX(Остановки,MATCH(R1646,ИД_Остановки!$B$3:$B$467,0),1)</f>
        <v>309</v>
      </c>
      <c r="R1646" s="24" t="s">
        <v>177</v>
      </c>
      <c r="S1646" s="20">
        <v>0.5</v>
      </c>
    </row>
    <row r="1647" spans="8:19" x14ac:dyDescent="0.25">
      <c r="H1647">
        <v>9</v>
      </c>
      <c r="I1647">
        <v>286</v>
      </c>
      <c r="J1647">
        <v>350</v>
      </c>
      <c r="K1647" t="b">
        <v>1</v>
      </c>
      <c r="N1647" s="30" t="s">
        <v>548</v>
      </c>
      <c r="O1647" s="2">
        <f>INDEX(Маршруты,MATCH(N1647,$B$3:$B$498,0),1)</f>
        <v>73</v>
      </c>
      <c r="P1647" s="27">
        <v>10</v>
      </c>
      <c r="Q1647" s="2">
        <f>INDEX(Остановки,MATCH(R1647,ИД_Остановки!$B$3:$B$467,0),1)</f>
        <v>308</v>
      </c>
      <c r="R1647" s="24" t="s">
        <v>176</v>
      </c>
      <c r="S1647" s="20">
        <v>1.69</v>
      </c>
    </row>
    <row r="1648" spans="8:19" x14ac:dyDescent="0.25">
      <c r="H1648">
        <v>9</v>
      </c>
      <c r="I1648">
        <v>297</v>
      </c>
      <c r="J1648">
        <v>350</v>
      </c>
      <c r="K1648" t="b">
        <v>1</v>
      </c>
      <c r="N1648" s="26" t="s">
        <v>548</v>
      </c>
      <c r="O1648" s="2">
        <f>INDEX(Маршруты,MATCH(N1648,$B$3:$B$498,0),1)</f>
        <v>73</v>
      </c>
      <c r="P1648" s="27">
        <v>11</v>
      </c>
      <c r="Q1648" s="2">
        <f>INDEX(Остановки,MATCH(R1648,ИД_Остановки!$B$3:$B$467,0),1)</f>
        <v>307</v>
      </c>
      <c r="R1648" s="45" t="s">
        <v>175</v>
      </c>
      <c r="S1648" s="20">
        <v>0.8</v>
      </c>
    </row>
    <row r="1649" spans="8:19" x14ac:dyDescent="0.25">
      <c r="H1649">
        <v>9</v>
      </c>
      <c r="I1649">
        <v>308</v>
      </c>
      <c r="J1649">
        <v>350</v>
      </c>
      <c r="K1649" t="b">
        <v>1</v>
      </c>
      <c r="N1649" s="25" t="s">
        <v>548</v>
      </c>
      <c r="O1649" s="2">
        <f>INDEX(Маршруты,MATCH(N1649,$B$3:$B$498,0),1)</f>
        <v>73</v>
      </c>
      <c r="P1649" s="27">
        <v>12</v>
      </c>
      <c r="Q1649" s="2">
        <f>INDEX(Остановки,MATCH(R1649,ИД_Остановки!$B$3:$B$467,0),1)</f>
        <v>306</v>
      </c>
      <c r="R1649" s="45" t="s">
        <v>174</v>
      </c>
      <c r="S1649" s="20">
        <v>0.4</v>
      </c>
    </row>
    <row r="1650" spans="8:19" x14ac:dyDescent="0.25">
      <c r="H1650">
        <v>9</v>
      </c>
      <c r="I1650">
        <v>319</v>
      </c>
      <c r="J1650">
        <v>350</v>
      </c>
      <c r="K1650" t="b">
        <v>1</v>
      </c>
      <c r="N1650" s="30" t="s">
        <v>548</v>
      </c>
      <c r="O1650" s="2">
        <f>INDEX(Маршруты,MATCH(N1650,$B$3:$B$498,0),1)</f>
        <v>73</v>
      </c>
      <c r="P1650" s="27">
        <v>13</v>
      </c>
      <c r="Q1650" s="2">
        <f>INDEX(Остановки,MATCH(R1650,ИД_Остановки!$B$3:$B$467,0),1)</f>
        <v>305</v>
      </c>
      <c r="R1650" s="45" t="s">
        <v>173</v>
      </c>
      <c r="S1650" s="20">
        <v>0.56000000000000005</v>
      </c>
    </row>
    <row r="1651" spans="8:19" x14ac:dyDescent="0.25">
      <c r="H1651">
        <v>9</v>
      </c>
      <c r="I1651">
        <v>330</v>
      </c>
      <c r="J1651">
        <v>350</v>
      </c>
      <c r="K1651" t="b">
        <v>1</v>
      </c>
      <c r="N1651" s="30" t="s">
        <v>548</v>
      </c>
      <c r="O1651" s="2">
        <f>INDEX(Маршруты,MATCH(N1651,$B$3:$B$498,0),1)</f>
        <v>73</v>
      </c>
      <c r="P1651" s="27">
        <v>14</v>
      </c>
      <c r="Q1651" s="2">
        <f>INDEX(Остановки,MATCH(R1651,ИД_Остановки!$B$3:$B$467,0),1)</f>
        <v>304</v>
      </c>
      <c r="R1651" s="45" t="s">
        <v>172</v>
      </c>
      <c r="S1651" s="20">
        <v>0.34</v>
      </c>
    </row>
    <row r="1652" spans="8:19" x14ac:dyDescent="0.25">
      <c r="H1652">
        <v>9</v>
      </c>
      <c r="I1652">
        <v>341</v>
      </c>
      <c r="J1652">
        <v>350</v>
      </c>
      <c r="K1652" t="b">
        <v>1</v>
      </c>
      <c r="N1652" s="30" t="s">
        <v>548</v>
      </c>
      <c r="O1652" s="2">
        <f>INDEX(Маршруты,MATCH(N1652,$B$3:$B$498,0),1)</f>
        <v>73</v>
      </c>
      <c r="P1652" s="27">
        <v>15</v>
      </c>
      <c r="Q1652" s="2">
        <f>INDEX(Остановки,MATCH(R1652,ИД_Остановки!$B$3:$B$467,0),1)</f>
        <v>303</v>
      </c>
      <c r="R1652" s="45" t="s">
        <v>171</v>
      </c>
      <c r="S1652" s="20">
        <v>0.59</v>
      </c>
    </row>
    <row r="1653" spans="8:19" x14ac:dyDescent="0.25">
      <c r="H1653">
        <v>9</v>
      </c>
      <c r="I1653">
        <v>352</v>
      </c>
      <c r="J1653">
        <v>350</v>
      </c>
      <c r="K1653" t="b">
        <v>1</v>
      </c>
      <c r="N1653" s="30" t="s">
        <v>548</v>
      </c>
      <c r="O1653" s="2">
        <f>INDEX(Маршруты,MATCH(N1653,$B$3:$B$498,0),1)</f>
        <v>73</v>
      </c>
      <c r="P1653" s="27">
        <v>16</v>
      </c>
      <c r="Q1653" s="2">
        <f>INDEX(Остановки,MATCH(R1653,ИД_Остановки!$B$3:$B$467,0),1)</f>
        <v>302</v>
      </c>
      <c r="R1653" s="45" t="s">
        <v>170</v>
      </c>
      <c r="S1653" s="20">
        <v>0.63</v>
      </c>
    </row>
    <row r="1654" spans="8:19" x14ac:dyDescent="0.25">
      <c r="H1654">
        <v>9</v>
      </c>
      <c r="I1654">
        <v>363</v>
      </c>
      <c r="J1654">
        <v>350</v>
      </c>
      <c r="K1654" t="b">
        <v>1</v>
      </c>
      <c r="N1654" s="25" t="s">
        <v>548</v>
      </c>
      <c r="O1654" s="2">
        <f>INDEX(Маршруты,MATCH(N1654,$B$3:$B$498,0),1)</f>
        <v>73</v>
      </c>
      <c r="P1654" s="27">
        <v>17</v>
      </c>
      <c r="Q1654" s="2">
        <f>INDEX(Остановки,MATCH(R1654,ИД_Остановки!$B$3:$B$467,0),1)</f>
        <v>44</v>
      </c>
      <c r="R1654" s="45" t="s">
        <v>258</v>
      </c>
      <c r="S1654" s="20">
        <v>0.59</v>
      </c>
    </row>
    <row r="1655" spans="8:19" x14ac:dyDescent="0.25">
      <c r="H1655">
        <v>9</v>
      </c>
      <c r="I1655">
        <v>374</v>
      </c>
      <c r="J1655">
        <v>350</v>
      </c>
      <c r="K1655" t="b">
        <v>1</v>
      </c>
      <c r="N1655" s="25" t="s">
        <v>548</v>
      </c>
      <c r="O1655" s="2">
        <f>INDEX(Маршруты,MATCH(N1655,$B$3:$B$498,0),1)</f>
        <v>73</v>
      </c>
      <c r="P1655" s="27">
        <v>18</v>
      </c>
      <c r="Q1655" s="2">
        <f>INDEX(Остановки,MATCH(R1655,ИД_Остановки!$B$3:$B$467,0),1)</f>
        <v>45</v>
      </c>
      <c r="R1655" s="45" t="s">
        <v>40</v>
      </c>
      <c r="S1655" s="20">
        <v>0.39</v>
      </c>
    </row>
    <row r="1656" spans="8:19" x14ac:dyDescent="0.25">
      <c r="H1656">
        <v>9</v>
      </c>
      <c r="I1656">
        <v>385</v>
      </c>
      <c r="J1656">
        <v>350</v>
      </c>
      <c r="K1656" t="b">
        <v>1</v>
      </c>
      <c r="N1656" s="30" t="s">
        <v>548</v>
      </c>
      <c r="O1656" s="2">
        <f>INDEX(Маршруты,MATCH(N1656,$B$3:$B$498,0),1)</f>
        <v>73</v>
      </c>
      <c r="P1656" s="27">
        <v>19</v>
      </c>
      <c r="Q1656" s="2">
        <f>INDEX(Остановки,MATCH(R1656,ИД_Остановки!$B$3:$B$467,0),1)</f>
        <v>46</v>
      </c>
      <c r="R1656" s="45" t="s">
        <v>41</v>
      </c>
      <c r="S1656" s="20">
        <v>0.45</v>
      </c>
    </row>
    <row r="1657" spans="8:19" x14ac:dyDescent="0.25">
      <c r="H1657">
        <v>9</v>
      </c>
      <c r="I1657">
        <v>396</v>
      </c>
      <c r="J1657">
        <v>350</v>
      </c>
      <c r="K1657" t="b">
        <v>1</v>
      </c>
      <c r="N1657" s="30" t="s">
        <v>548</v>
      </c>
      <c r="O1657" s="2">
        <f>INDEX(Маршруты,MATCH(N1657,$B$3:$B$498,0),1)</f>
        <v>73</v>
      </c>
      <c r="P1657" s="27">
        <v>20</v>
      </c>
      <c r="Q1657" s="2">
        <f>INDEX(Остановки,MATCH(R1657,ИД_Остановки!$B$3:$B$467,0),1)</f>
        <v>47</v>
      </c>
      <c r="R1657" s="45" t="s">
        <v>259</v>
      </c>
      <c r="S1657" s="20">
        <v>0.5</v>
      </c>
    </row>
    <row r="1658" spans="8:19" x14ac:dyDescent="0.25">
      <c r="H1658">
        <v>9</v>
      </c>
      <c r="I1658">
        <v>407</v>
      </c>
      <c r="J1658">
        <v>350</v>
      </c>
      <c r="K1658" t="b">
        <v>1</v>
      </c>
      <c r="N1658" s="25" t="s">
        <v>548</v>
      </c>
      <c r="O1658" s="2">
        <f>INDEX(Маршруты,MATCH(N1658,$B$3:$B$498,0),1)</f>
        <v>73</v>
      </c>
      <c r="P1658" s="27">
        <v>21</v>
      </c>
      <c r="Q1658" s="2">
        <f>INDEX(Остановки,MATCH(R1658,ИД_Остановки!$B$3:$B$467,0),1)</f>
        <v>145</v>
      </c>
      <c r="R1658" s="45" t="s">
        <v>87</v>
      </c>
      <c r="S1658" s="20">
        <v>0.77</v>
      </c>
    </row>
    <row r="1659" spans="8:19" x14ac:dyDescent="0.25">
      <c r="H1659">
        <v>9</v>
      </c>
      <c r="I1659">
        <v>418</v>
      </c>
      <c r="J1659">
        <v>350</v>
      </c>
      <c r="K1659" t="b">
        <v>1</v>
      </c>
      <c r="N1659" s="32" t="s">
        <v>548</v>
      </c>
      <c r="O1659" s="2">
        <f>INDEX(Маршруты,MATCH(N1659,$B$3:$B$498,0),1)</f>
        <v>73</v>
      </c>
      <c r="P1659" s="27">
        <v>22</v>
      </c>
      <c r="Q1659" s="2">
        <f>INDEX(Остановки,MATCH(R1659,ИД_Остановки!$B$3:$B$467,0),1)</f>
        <v>130</v>
      </c>
      <c r="R1659" s="45" t="s">
        <v>305</v>
      </c>
      <c r="S1659" s="20">
        <v>0.63</v>
      </c>
    </row>
    <row r="1660" spans="8:19" x14ac:dyDescent="0.25">
      <c r="H1660">
        <v>9</v>
      </c>
      <c r="I1660">
        <v>429</v>
      </c>
      <c r="J1660">
        <v>350</v>
      </c>
      <c r="K1660" t="b">
        <v>1</v>
      </c>
      <c r="N1660" s="25" t="s">
        <v>548</v>
      </c>
      <c r="O1660" s="2">
        <f>INDEX(Маршруты,MATCH(N1660,$B$3:$B$498,0),1)</f>
        <v>73</v>
      </c>
      <c r="P1660" s="27">
        <v>23</v>
      </c>
      <c r="Q1660" s="2">
        <f>INDEX(Остановки,MATCH(R1660,ИД_Остановки!$B$3:$B$467,0),1)</f>
        <v>131</v>
      </c>
      <c r="R1660" s="45" t="s">
        <v>306</v>
      </c>
      <c r="S1660" s="20">
        <v>0.39</v>
      </c>
    </row>
    <row r="1661" spans="8:19" x14ac:dyDescent="0.25">
      <c r="H1661">
        <v>9</v>
      </c>
      <c r="I1661">
        <v>440</v>
      </c>
      <c r="J1661">
        <v>350</v>
      </c>
      <c r="K1661" t="b">
        <v>1</v>
      </c>
      <c r="N1661" s="25" t="s">
        <v>548</v>
      </c>
      <c r="O1661" s="2">
        <f>INDEX(Маршруты,MATCH(N1661,$B$3:$B$498,0),1)</f>
        <v>73</v>
      </c>
      <c r="P1661" s="27">
        <v>24</v>
      </c>
      <c r="Q1661" s="2">
        <f>INDEX(Остановки,MATCH(R1661,ИД_Остановки!$B$3:$B$467,0),1)</f>
        <v>132</v>
      </c>
      <c r="R1661" s="45" t="s">
        <v>307</v>
      </c>
      <c r="S1661" s="20">
        <v>0.56999999999999995</v>
      </c>
    </row>
    <row r="1662" spans="8:19" x14ac:dyDescent="0.25">
      <c r="H1662">
        <v>9</v>
      </c>
      <c r="I1662">
        <v>451</v>
      </c>
      <c r="J1662">
        <v>350</v>
      </c>
      <c r="K1662" t="b">
        <v>1</v>
      </c>
      <c r="N1662" s="25" t="s">
        <v>548</v>
      </c>
      <c r="O1662" s="2">
        <f>INDEX(Маршруты,MATCH(N1662,$B$3:$B$498,0),1)</f>
        <v>73</v>
      </c>
      <c r="P1662" s="27">
        <v>25</v>
      </c>
      <c r="Q1662" s="2">
        <f>INDEX(Остановки,MATCH(R1662,ИД_Остановки!$B$3:$B$467,0),1)</f>
        <v>133</v>
      </c>
      <c r="R1662" s="45" t="s">
        <v>82</v>
      </c>
      <c r="S1662" s="20">
        <v>0.49</v>
      </c>
    </row>
    <row r="1663" spans="8:19" x14ac:dyDescent="0.25">
      <c r="H1663">
        <v>9</v>
      </c>
      <c r="I1663">
        <v>462</v>
      </c>
      <c r="J1663">
        <v>350</v>
      </c>
      <c r="K1663" t="b">
        <v>1</v>
      </c>
      <c r="N1663" s="25" t="s">
        <v>548</v>
      </c>
      <c r="O1663" s="2">
        <f>INDEX(Маршруты,MATCH(N1663,$B$3:$B$498,0),1)</f>
        <v>73</v>
      </c>
      <c r="P1663" s="27">
        <v>26</v>
      </c>
      <c r="Q1663" s="2">
        <f>INDEX(Остановки,MATCH(R1663,ИД_Остановки!$B$3:$B$467,0),1)</f>
        <v>134</v>
      </c>
      <c r="R1663" s="45" t="s">
        <v>308</v>
      </c>
      <c r="S1663" s="20">
        <v>0.3</v>
      </c>
    </row>
    <row r="1664" spans="8:19" x14ac:dyDescent="0.25">
      <c r="H1664">
        <v>9</v>
      </c>
      <c r="I1664">
        <v>473</v>
      </c>
      <c r="J1664">
        <v>350</v>
      </c>
      <c r="K1664" t="b">
        <v>1</v>
      </c>
      <c r="N1664" s="26" t="s">
        <v>548</v>
      </c>
      <c r="O1664" s="2">
        <f>INDEX(Маршруты,MATCH(N1664,$B$3:$B$498,0),1)</f>
        <v>73</v>
      </c>
      <c r="P1664" s="27">
        <v>27</v>
      </c>
      <c r="Q1664" s="2">
        <f>INDEX(Остановки,MATCH(R1664,ИД_Остановки!$B$3:$B$467,0),1)</f>
        <v>391</v>
      </c>
      <c r="R1664" s="45" t="s">
        <v>448</v>
      </c>
      <c r="S1664" s="20">
        <v>0.26</v>
      </c>
    </row>
    <row r="1665" spans="8:19" x14ac:dyDescent="0.25">
      <c r="H1665">
        <v>9</v>
      </c>
      <c r="I1665">
        <v>484</v>
      </c>
      <c r="J1665">
        <v>350</v>
      </c>
      <c r="K1665" t="b">
        <v>1</v>
      </c>
      <c r="N1665" s="25" t="s">
        <v>548</v>
      </c>
      <c r="O1665" s="2">
        <f>INDEX(Маршруты,MATCH(N1665,$B$3:$B$498,0),1)</f>
        <v>73</v>
      </c>
      <c r="P1665" s="27">
        <v>28</v>
      </c>
      <c r="Q1665" s="2">
        <f>INDEX(Остановки,MATCH(R1665,ИД_Остановки!$B$3:$B$467,0),1)</f>
        <v>83</v>
      </c>
      <c r="R1665" s="45" t="s">
        <v>280</v>
      </c>
      <c r="S1665" s="20">
        <v>0.85</v>
      </c>
    </row>
    <row r="1666" spans="8:19" x14ac:dyDescent="0.25">
      <c r="H1666">
        <v>9</v>
      </c>
      <c r="I1666">
        <v>495</v>
      </c>
      <c r="J1666">
        <v>350</v>
      </c>
      <c r="K1666" t="b">
        <v>1</v>
      </c>
      <c r="N1666" s="30" t="s">
        <v>548</v>
      </c>
      <c r="O1666" s="2">
        <f>INDEX(Маршруты,MATCH(N1666,$B$3:$B$498,0),1)</f>
        <v>73</v>
      </c>
      <c r="P1666" s="27">
        <v>29</v>
      </c>
      <c r="Q1666" s="2">
        <f>INDEX(Остановки,MATCH(R1666,ИД_Остановки!$B$3:$B$467,0),1)</f>
        <v>135</v>
      </c>
      <c r="R1666" s="45" t="s">
        <v>83</v>
      </c>
      <c r="S1666" s="20">
        <v>1.26</v>
      </c>
    </row>
    <row r="1667" spans="8:19" x14ac:dyDescent="0.25">
      <c r="H1667">
        <v>9</v>
      </c>
      <c r="I1667">
        <v>506</v>
      </c>
      <c r="J1667">
        <v>350</v>
      </c>
      <c r="K1667" t="b">
        <v>1</v>
      </c>
      <c r="N1667" s="30" t="s">
        <v>549</v>
      </c>
      <c r="O1667" s="2">
        <f>INDEX(Маршруты,MATCH(N1667,$B$3:$B$498,0),1)</f>
        <v>74</v>
      </c>
      <c r="P1667" s="27">
        <v>1</v>
      </c>
      <c r="Q1667" s="2">
        <f>INDEX(Остановки,MATCH(R1667,ИД_Остановки!$B$3:$B$467,0),1)</f>
        <v>242</v>
      </c>
      <c r="R1667" s="45" t="s">
        <v>367</v>
      </c>
      <c r="S1667" s="20"/>
    </row>
    <row r="1668" spans="8:19" x14ac:dyDescent="0.25">
      <c r="H1668">
        <v>9</v>
      </c>
      <c r="I1668">
        <v>517</v>
      </c>
      <c r="J1668">
        <v>350</v>
      </c>
      <c r="K1668" t="b">
        <v>1</v>
      </c>
      <c r="N1668" s="30" t="s">
        <v>549</v>
      </c>
      <c r="O1668" s="2">
        <f>INDEX(Маршруты,MATCH(N1668,$B$3:$B$498,0),1)</f>
        <v>74</v>
      </c>
      <c r="P1668" s="27">
        <v>2</v>
      </c>
      <c r="Q1668" s="2">
        <f>INDEX(Остановки,MATCH(R1668,ИД_Остановки!$B$3:$B$467,0),1)</f>
        <v>243</v>
      </c>
      <c r="R1668" s="45" t="s">
        <v>368</v>
      </c>
      <c r="S1668" s="20">
        <v>1.42</v>
      </c>
    </row>
    <row r="1669" spans="8:19" x14ac:dyDescent="0.25">
      <c r="H1669">
        <v>9</v>
      </c>
      <c r="I1669">
        <v>528</v>
      </c>
      <c r="J1669">
        <v>350</v>
      </c>
      <c r="K1669" t="b">
        <v>1</v>
      </c>
      <c r="N1669" s="30" t="s">
        <v>549</v>
      </c>
      <c r="O1669" s="2">
        <f>INDEX(Маршруты,MATCH(N1669,$B$3:$B$498,0),1)</f>
        <v>74</v>
      </c>
      <c r="P1669" s="27">
        <v>3</v>
      </c>
      <c r="Q1669" s="2">
        <f>INDEX(Остановки,MATCH(R1669,ИД_Остановки!$B$3:$B$467,0),1)</f>
        <v>251</v>
      </c>
      <c r="R1669" s="45" t="s">
        <v>164</v>
      </c>
      <c r="S1669" s="20">
        <v>0.7</v>
      </c>
    </row>
    <row r="1670" spans="8:19" x14ac:dyDescent="0.25">
      <c r="H1670">
        <v>9</v>
      </c>
      <c r="I1670">
        <v>539</v>
      </c>
      <c r="J1670">
        <v>350</v>
      </c>
      <c r="K1670" t="b">
        <v>1</v>
      </c>
      <c r="N1670" s="25" t="s">
        <v>549</v>
      </c>
      <c r="O1670" s="2">
        <f>INDEX(Маршруты,MATCH(N1670,$B$3:$B$498,0),1)</f>
        <v>74</v>
      </c>
      <c r="P1670" s="27">
        <v>4</v>
      </c>
      <c r="Q1670" s="2">
        <f>INDEX(Остановки,MATCH(R1670,ИД_Остановки!$B$3:$B$467,0),1)</f>
        <v>244</v>
      </c>
      <c r="R1670" s="45" t="s">
        <v>133</v>
      </c>
      <c r="S1670" s="20">
        <v>0.64</v>
      </c>
    </row>
    <row r="1671" spans="8:19" x14ac:dyDescent="0.25">
      <c r="H1671">
        <v>9</v>
      </c>
      <c r="I1671">
        <v>550</v>
      </c>
      <c r="J1671">
        <v>350</v>
      </c>
      <c r="K1671" t="b">
        <v>1</v>
      </c>
      <c r="N1671" s="30" t="s">
        <v>549</v>
      </c>
      <c r="O1671" s="2">
        <f>INDEX(Маршруты,MATCH(N1671,$B$3:$B$498,0),1)</f>
        <v>74</v>
      </c>
      <c r="P1671" s="27">
        <v>5</v>
      </c>
      <c r="Q1671" s="2">
        <f>INDEX(Остановки,MATCH(R1671,ИД_Остановки!$B$3:$B$467,0),1)</f>
        <v>258</v>
      </c>
      <c r="R1671" s="45" t="s">
        <v>378</v>
      </c>
      <c r="S1671" s="20">
        <v>0.215</v>
      </c>
    </row>
    <row r="1672" spans="8:19" x14ac:dyDescent="0.25">
      <c r="H1672">
        <v>9</v>
      </c>
      <c r="I1672">
        <v>561</v>
      </c>
      <c r="J1672">
        <v>350</v>
      </c>
      <c r="K1672" t="b">
        <v>1</v>
      </c>
      <c r="N1672" s="25" t="s">
        <v>549</v>
      </c>
      <c r="O1672" s="2">
        <f>INDEX(Маршруты,MATCH(N1672,$B$3:$B$498,0),1)</f>
        <v>74</v>
      </c>
      <c r="P1672" s="27">
        <v>6</v>
      </c>
      <c r="Q1672" s="2">
        <f>INDEX(Остановки,MATCH(R1672,ИД_Остановки!$B$3:$B$467,0),1)</f>
        <v>245</v>
      </c>
      <c r="R1672" s="45" t="s">
        <v>369</v>
      </c>
      <c r="S1672" s="20">
        <v>0.3</v>
      </c>
    </row>
    <row r="1673" spans="8:19" x14ac:dyDescent="0.25">
      <c r="H1673">
        <v>9</v>
      </c>
      <c r="I1673">
        <v>572</v>
      </c>
      <c r="J1673">
        <v>350</v>
      </c>
      <c r="K1673" t="b">
        <v>1</v>
      </c>
      <c r="N1673" s="26" t="s">
        <v>549</v>
      </c>
      <c r="O1673" s="2">
        <f>INDEX(Маршруты,MATCH(N1673,$B$3:$B$498,0),1)</f>
        <v>74</v>
      </c>
      <c r="P1673" s="27">
        <v>7</v>
      </c>
      <c r="Q1673" s="2">
        <f>INDEX(Остановки,MATCH(R1673,ИД_Остановки!$B$3:$B$467,0),1)</f>
        <v>236</v>
      </c>
      <c r="R1673" s="45" t="s">
        <v>130</v>
      </c>
      <c r="S1673" s="20">
        <v>0.38</v>
      </c>
    </row>
    <row r="1674" spans="8:19" x14ac:dyDescent="0.25">
      <c r="H1674">
        <v>9</v>
      </c>
      <c r="I1674">
        <v>583</v>
      </c>
      <c r="J1674">
        <v>350</v>
      </c>
      <c r="K1674" t="b">
        <v>1</v>
      </c>
      <c r="N1674" s="30" t="s">
        <v>549</v>
      </c>
      <c r="O1674" s="2">
        <f>INDEX(Маршруты,MATCH(N1674,$B$3:$B$498,0),1)</f>
        <v>74</v>
      </c>
      <c r="P1674" s="27">
        <v>8</v>
      </c>
      <c r="Q1674" s="2">
        <f>INDEX(Остановки,MATCH(R1674,ИД_Остановки!$B$3:$B$467,0),1)</f>
        <v>252</v>
      </c>
      <c r="R1674" s="45" t="s">
        <v>135</v>
      </c>
      <c r="S1674" s="20">
        <v>0.59</v>
      </c>
    </row>
    <row r="1675" spans="8:19" x14ac:dyDescent="0.25">
      <c r="H1675">
        <v>9</v>
      </c>
      <c r="I1675">
        <v>594</v>
      </c>
      <c r="J1675">
        <v>350</v>
      </c>
      <c r="K1675" t="b">
        <v>1</v>
      </c>
      <c r="N1675" s="25" t="s">
        <v>549</v>
      </c>
      <c r="O1675" s="2">
        <f>INDEX(Маршруты,MATCH(N1675,$B$3:$B$498,0),1)</f>
        <v>74</v>
      </c>
      <c r="P1675" s="27">
        <v>9</v>
      </c>
      <c r="Q1675" s="2">
        <f>INDEX(Остановки,MATCH(R1675,ИД_Остановки!$B$3:$B$467,0),1)</f>
        <v>288</v>
      </c>
      <c r="R1675" s="24" t="s">
        <v>388</v>
      </c>
      <c r="S1675" s="20">
        <v>0.28999999999999998</v>
      </c>
    </row>
    <row r="1676" spans="8:19" x14ac:dyDescent="0.25">
      <c r="H1676">
        <v>9</v>
      </c>
      <c r="I1676">
        <v>605</v>
      </c>
      <c r="J1676">
        <v>350</v>
      </c>
      <c r="K1676" t="b">
        <v>1</v>
      </c>
      <c r="N1676" s="25" t="s">
        <v>549</v>
      </c>
      <c r="O1676" s="2">
        <f>INDEX(Маршруты,MATCH(N1676,$B$3:$B$498,0),1)</f>
        <v>74</v>
      </c>
      <c r="P1676" s="27">
        <v>10</v>
      </c>
      <c r="Q1676" s="2">
        <f>INDEX(Остановки,MATCH(R1676,ИД_Остановки!$B$3:$B$467,0),1)</f>
        <v>376</v>
      </c>
      <c r="R1676" s="45" t="s">
        <v>434</v>
      </c>
      <c r="S1676" s="20">
        <v>1.2</v>
      </c>
    </row>
    <row r="1677" spans="8:19" x14ac:dyDescent="0.25">
      <c r="H1677">
        <v>9</v>
      </c>
      <c r="I1677">
        <v>616</v>
      </c>
      <c r="J1677">
        <v>350</v>
      </c>
      <c r="K1677" t="b">
        <v>1</v>
      </c>
      <c r="N1677" s="25" t="s">
        <v>549</v>
      </c>
      <c r="O1677" s="2">
        <f>INDEX(Маршруты,MATCH(N1677,$B$3:$B$498,0),1)</f>
        <v>74</v>
      </c>
      <c r="P1677" s="27">
        <v>11</v>
      </c>
      <c r="Q1677" s="2">
        <f>INDEX(Остановки,MATCH(R1677,ИД_Остановки!$B$3:$B$467,0),1)</f>
        <v>375</v>
      </c>
      <c r="R1677" s="45" t="s">
        <v>433</v>
      </c>
      <c r="S1677" s="20">
        <v>1.31</v>
      </c>
    </row>
    <row r="1678" spans="8:19" x14ac:dyDescent="0.25">
      <c r="H1678">
        <v>9</v>
      </c>
      <c r="I1678">
        <v>627</v>
      </c>
      <c r="J1678">
        <v>350</v>
      </c>
      <c r="K1678" t="b">
        <v>1</v>
      </c>
      <c r="N1678" s="32" t="s">
        <v>549</v>
      </c>
      <c r="O1678" s="2">
        <f>INDEX(Маршруты,MATCH(N1678,$B$3:$B$498,0),1)</f>
        <v>74</v>
      </c>
      <c r="P1678" s="27">
        <v>12</v>
      </c>
      <c r="Q1678" s="2">
        <f>INDEX(Остановки,MATCH(R1678,ИД_Остановки!$B$3:$B$467,0),1)</f>
        <v>253</v>
      </c>
      <c r="R1678" s="45" t="s">
        <v>375</v>
      </c>
      <c r="S1678" s="20">
        <v>0.68</v>
      </c>
    </row>
    <row r="1679" spans="8:19" x14ac:dyDescent="0.25">
      <c r="H1679">
        <v>9</v>
      </c>
      <c r="I1679">
        <v>638</v>
      </c>
      <c r="J1679">
        <v>350</v>
      </c>
      <c r="K1679" t="b">
        <v>1</v>
      </c>
      <c r="N1679" s="25" t="s">
        <v>549</v>
      </c>
      <c r="O1679" s="2">
        <f>INDEX(Маршруты,MATCH(N1679,$B$3:$B$498,0),1)</f>
        <v>74</v>
      </c>
      <c r="P1679" s="27">
        <v>13</v>
      </c>
      <c r="Q1679" s="2">
        <f>INDEX(Остановки,MATCH(R1679,ИД_Остановки!$B$3:$B$467,0),1)</f>
        <v>393</v>
      </c>
      <c r="R1679" s="24" t="s">
        <v>450</v>
      </c>
      <c r="S1679" s="20">
        <v>3.25</v>
      </c>
    </row>
    <row r="1680" spans="8:19" x14ac:dyDescent="0.25">
      <c r="H1680">
        <v>9</v>
      </c>
      <c r="I1680">
        <v>649</v>
      </c>
      <c r="J1680">
        <v>350</v>
      </c>
      <c r="K1680" t="b">
        <v>1</v>
      </c>
      <c r="N1680" s="25" t="s">
        <v>549</v>
      </c>
      <c r="O1680" s="2">
        <f>INDEX(Маршруты,MATCH(N1680,$B$3:$B$498,0),1)</f>
        <v>74</v>
      </c>
      <c r="P1680" s="28">
        <v>14</v>
      </c>
      <c r="Q1680" s="2">
        <f>INDEX(Остановки,MATCH(R1680,ИД_Остановки!$B$3:$B$467,0),1)</f>
        <v>418</v>
      </c>
      <c r="R1680" s="24" t="s">
        <v>474</v>
      </c>
      <c r="S1680" s="20">
        <v>10.9</v>
      </c>
    </row>
    <row r="1681" spans="8:19" x14ac:dyDescent="0.25">
      <c r="H1681">
        <v>9</v>
      </c>
      <c r="I1681">
        <v>660</v>
      </c>
      <c r="J1681">
        <v>350</v>
      </c>
      <c r="K1681" t="b">
        <v>1</v>
      </c>
      <c r="N1681" s="25" t="s">
        <v>549</v>
      </c>
      <c r="O1681" s="2">
        <f>INDEX(Маршруты,MATCH(N1681,$B$3:$B$498,0),1)</f>
        <v>74</v>
      </c>
      <c r="P1681" s="27">
        <v>15</v>
      </c>
      <c r="Q1681" s="2">
        <f>INDEX(Остановки,MATCH(R1681,ИД_Остановки!$B$3:$B$467,0),1)</f>
        <v>162</v>
      </c>
      <c r="R1681" s="45" t="s">
        <v>100</v>
      </c>
      <c r="S1681" s="20">
        <v>7.28</v>
      </c>
    </row>
    <row r="1682" spans="8:19" x14ac:dyDescent="0.25">
      <c r="H1682">
        <v>9</v>
      </c>
      <c r="I1682">
        <v>671</v>
      </c>
      <c r="J1682">
        <v>350</v>
      </c>
      <c r="K1682" t="b">
        <v>1</v>
      </c>
      <c r="N1682" s="26" t="s">
        <v>549</v>
      </c>
      <c r="O1682" s="2">
        <f>INDEX(Маршруты,MATCH(N1682,$B$3:$B$498,0),1)</f>
        <v>74</v>
      </c>
      <c r="P1682" s="27">
        <v>16</v>
      </c>
      <c r="Q1682" s="2">
        <f>INDEX(Остановки,MATCH(R1682,ИД_Остановки!$B$3:$B$467,0),1)</f>
        <v>159</v>
      </c>
      <c r="R1682" s="45" t="s">
        <v>98</v>
      </c>
      <c r="S1682" s="20">
        <v>7.52</v>
      </c>
    </row>
    <row r="1683" spans="8:19" x14ac:dyDescent="0.25">
      <c r="H1683">
        <v>9</v>
      </c>
      <c r="I1683">
        <v>682</v>
      </c>
      <c r="J1683">
        <v>350</v>
      </c>
      <c r="K1683" t="b">
        <v>1</v>
      </c>
      <c r="N1683" s="30" t="s">
        <v>550</v>
      </c>
      <c r="O1683" s="2">
        <f>INDEX(Маршруты,MATCH(N1683,$B$3:$B$498,0),1)</f>
        <v>75</v>
      </c>
      <c r="P1683" s="27">
        <v>1</v>
      </c>
      <c r="Q1683" s="2">
        <f>INDEX(Остановки,MATCH(R1683,ИД_Остановки!$B$3:$B$467,0),1)</f>
        <v>159</v>
      </c>
      <c r="R1683" s="45" t="s">
        <v>98</v>
      </c>
      <c r="S1683" s="20"/>
    </row>
    <row r="1684" spans="8:19" x14ac:dyDescent="0.25">
      <c r="H1684">
        <v>9</v>
      </c>
      <c r="I1684">
        <v>693</v>
      </c>
      <c r="J1684">
        <v>350</v>
      </c>
      <c r="K1684" t="b">
        <v>1</v>
      </c>
      <c r="N1684" s="30" t="s">
        <v>550</v>
      </c>
      <c r="O1684" s="2">
        <f>INDEX(Маршруты,MATCH(N1684,$B$3:$B$498,0),1)</f>
        <v>75</v>
      </c>
      <c r="P1684" s="27">
        <v>2</v>
      </c>
      <c r="Q1684" s="2">
        <f>INDEX(Остановки,MATCH(R1684,ИД_Остановки!$B$3:$B$467,0),1)</f>
        <v>162</v>
      </c>
      <c r="R1684" s="45" t="s">
        <v>100</v>
      </c>
      <c r="S1684" s="20">
        <v>7.52</v>
      </c>
    </row>
    <row r="1685" spans="8:19" x14ac:dyDescent="0.25">
      <c r="H1685">
        <v>9</v>
      </c>
      <c r="I1685">
        <v>704</v>
      </c>
      <c r="J1685">
        <v>350</v>
      </c>
      <c r="K1685" t="b">
        <v>1</v>
      </c>
      <c r="N1685" s="30" t="s">
        <v>550</v>
      </c>
      <c r="O1685" s="2">
        <f>INDEX(Маршруты,MATCH(N1685,$B$3:$B$498,0),1)</f>
        <v>75</v>
      </c>
      <c r="P1685" s="27">
        <v>3</v>
      </c>
      <c r="Q1685" s="2">
        <f>INDEX(Остановки,MATCH(R1685,ИД_Остановки!$B$3:$B$467,0),1)</f>
        <v>418</v>
      </c>
      <c r="R1685" s="45" t="s">
        <v>474</v>
      </c>
      <c r="S1685" s="20">
        <v>7.28</v>
      </c>
    </row>
    <row r="1686" spans="8:19" x14ac:dyDescent="0.25">
      <c r="H1686">
        <v>9</v>
      </c>
      <c r="I1686">
        <v>715</v>
      </c>
      <c r="J1686">
        <v>350</v>
      </c>
      <c r="K1686" t="b">
        <v>1</v>
      </c>
      <c r="N1686" s="25" t="s">
        <v>550</v>
      </c>
      <c r="O1686" s="2">
        <f>INDEX(Маршруты,MATCH(N1686,$B$3:$B$498,0),1)</f>
        <v>75</v>
      </c>
      <c r="P1686" s="27">
        <v>4</v>
      </c>
      <c r="Q1686" s="2">
        <f>INDEX(Остановки,MATCH(R1686,ИД_Остановки!$B$3:$B$467,0),1)</f>
        <v>393</v>
      </c>
      <c r="R1686" s="45" t="s">
        <v>450</v>
      </c>
      <c r="S1686" s="20">
        <v>10.9</v>
      </c>
    </row>
    <row r="1687" spans="8:19" x14ac:dyDescent="0.25">
      <c r="H1687">
        <v>9</v>
      </c>
      <c r="I1687">
        <v>726</v>
      </c>
      <c r="J1687">
        <v>350</v>
      </c>
      <c r="K1687" t="b">
        <v>1</v>
      </c>
      <c r="N1687" s="26" t="s">
        <v>550</v>
      </c>
      <c r="O1687" s="2">
        <f>INDEX(Маршруты,MATCH(N1687,$B$3:$B$498,0),1)</f>
        <v>75</v>
      </c>
      <c r="P1687" s="27">
        <v>5</v>
      </c>
      <c r="Q1687" s="2">
        <f>INDEX(Остановки,MATCH(R1687,ИД_Остановки!$B$3:$B$467,0),1)</f>
        <v>253</v>
      </c>
      <c r="R1687" s="45" t="s">
        <v>375</v>
      </c>
      <c r="S1687" s="20">
        <v>3.25</v>
      </c>
    </row>
    <row r="1688" spans="8:19" x14ac:dyDescent="0.25">
      <c r="H1688">
        <v>9</v>
      </c>
      <c r="I1688">
        <v>737</v>
      </c>
      <c r="J1688">
        <v>350</v>
      </c>
      <c r="K1688" t="b">
        <v>1</v>
      </c>
      <c r="N1688" s="25" t="s">
        <v>550</v>
      </c>
      <c r="O1688" s="2">
        <f>INDEX(Маршруты,MATCH(N1688,$B$3:$B$498,0),1)</f>
        <v>75</v>
      </c>
      <c r="P1688" s="28">
        <v>6</v>
      </c>
      <c r="Q1688" s="2">
        <f>INDEX(Остановки,MATCH(R1688,ИД_Остановки!$B$3:$B$467,0),1)</f>
        <v>375</v>
      </c>
      <c r="R1688" s="24" t="s">
        <v>433</v>
      </c>
      <c r="S1688" s="20">
        <v>0.68</v>
      </c>
    </row>
    <row r="1689" spans="8:19" x14ac:dyDescent="0.25">
      <c r="H1689">
        <v>9</v>
      </c>
      <c r="I1689">
        <v>748</v>
      </c>
      <c r="J1689">
        <v>350</v>
      </c>
      <c r="K1689" t="b">
        <v>1</v>
      </c>
      <c r="N1689" s="25" t="s">
        <v>550</v>
      </c>
      <c r="O1689" s="2">
        <f>INDEX(Маршруты,MATCH(N1689,$B$3:$B$498,0),1)</f>
        <v>75</v>
      </c>
      <c r="P1689" s="27">
        <v>7</v>
      </c>
      <c r="Q1689" s="2">
        <f>INDEX(Остановки,MATCH(R1689,ИД_Остановки!$B$3:$B$467,0),1)</f>
        <v>376</v>
      </c>
      <c r="R1689" s="45" t="s">
        <v>434</v>
      </c>
      <c r="S1689" s="20">
        <v>1.31</v>
      </c>
    </row>
    <row r="1690" spans="8:19" x14ac:dyDescent="0.25">
      <c r="H1690">
        <v>9</v>
      </c>
      <c r="I1690">
        <v>759</v>
      </c>
      <c r="J1690">
        <v>350</v>
      </c>
      <c r="K1690" t="b">
        <v>1</v>
      </c>
      <c r="N1690" s="30" t="s">
        <v>550</v>
      </c>
      <c r="O1690" s="2">
        <f>INDEX(Маршруты,MATCH(N1690,$B$3:$B$498,0),1)</f>
        <v>75</v>
      </c>
      <c r="P1690" s="27">
        <v>8</v>
      </c>
      <c r="Q1690" s="2">
        <f>INDEX(Остановки,MATCH(R1690,ИД_Остановки!$B$3:$B$467,0),1)</f>
        <v>288</v>
      </c>
      <c r="R1690" s="45" t="s">
        <v>388</v>
      </c>
      <c r="S1690" s="20">
        <v>1.2</v>
      </c>
    </row>
    <row r="1691" spans="8:19" x14ac:dyDescent="0.25">
      <c r="H1691">
        <v>9</v>
      </c>
      <c r="I1691">
        <v>770</v>
      </c>
      <c r="J1691">
        <v>350</v>
      </c>
      <c r="K1691" t="b">
        <v>1</v>
      </c>
      <c r="N1691" s="25" t="s">
        <v>550</v>
      </c>
      <c r="O1691" s="2">
        <f>INDEX(Маршруты,MATCH(N1691,$B$3:$B$498,0),1)</f>
        <v>75</v>
      </c>
      <c r="P1691" s="27">
        <v>9</v>
      </c>
      <c r="Q1691" s="2">
        <f>INDEX(Остановки,MATCH(R1691,ИД_Остановки!$B$3:$B$467,0),1)</f>
        <v>252</v>
      </c>
      <c r="R1691" s="24" t="s">
        <v>135</v>
      </c>
      <c r="S1691" s="20">
        <v>0.28999999999999998</v>
      </c>
    </row>
    <row r="1692" spans="8:19" x14ac:dyDescent="0.25">
      <c r="H1692">
        <v>9</v>
      </c>
      <c r="I1692">
        <v>781</v>
      </c>
      <c r="J1692">
        <v>350</v>
      </c>
      <c r="K1692" t="b">
        <v>1</v>
      </c>
      <c r="N1692" s="24" t="s">
        <v>550</v>
      </c>
      <c r="O1692" s="2">
        <f>INDEX(Маршруты,MATCH(N1692,$B$3:$B$498,0),1)</f>
        <v>75</v>
      </c>
      <c r="P1692" s="27">
        <v>10</v>
      </c>
      <c r="Q1692" s="2">
        <f>INDEX(Остановки,MATCH(R1692,ИД_Остановки!$B$3:$B$467,0),1)</f>
        <v>236</v>
      </c>
      <c r="R1692" s="45" t="s">
        <v>130</v>
      </c>
      <c r="S1692" s="20">
        <v>0.59</v>
      </c>
    </row>
    <row r="1693" spans="8:19" x14ac:dyDescent="0.25">
      <c r="H1693">
        <v>9</v>
      </c>
      <c r="I1693">
        <v>792</v>
      </c>
      <c r="J1693">
        <v>350</v>
      </c>
      <c r="K1693" t="b">
        <v>1</v>
      </c>
      <c r="N1693" s="25" t="s">
        <v>550</v>
      </c>
      <c r="O1693" s="2">
        <f>INDEX(Маршруты,MATCH(N1693,$B$3:$B$498,0),1)</f>
        <v>75</v>
      </c>
      <c r="P1693" s="27">
        <v>11</v>
      </c>
      <c r="Q1693" s="2">
        <f>INDEX(Остановки,MATCH(R1693,ИД_Остановки!$B$3:$B$467,0),1)</f>
        <v>245</v>
      </c>
      <c r="R1693" s="45" t="s">
        <v>369</v>
      </c>
      <c r="S1693" s="20">
        <v>0.38</v>
      </c>
    </row>
    <row r="1694" spans="8:19" x14ac:dyDescent="0.25">
      <c r="H1694">
        <v>9</v>
      </c>
      <c r="I1694">
        <v>803</v>
      </c>
      <c r="J1694">
        <v>350</v>
      </c>
      <c r="K1694" t="b">
        <v>1</v>
      </c>
      <c r="N1694" s="25" t="s">
        <v>550</v>
      </c>
      <c r="O1694" s="2">
        <f>INDEX(Маршруты,MATCH(N1694,$B$3:$B$498,0),1)</f>
        <v>75</v>
      </c>
      <c r="P1694" s="27">
        <v>12</v>
      </c>
      <c r="Q1694" s="2">
        <f>INDEX(Остановки,MATCH(R1694,ИД_Остановки!$B$3:$B$467,0),1)</f>
        <v>258</v>
      </c>
      <c r="R1694" s="45" t="s">
        <v>378</v>
      </c>
      <c r="S1694" s="20">
        <v>0.3</v>
      </c>
    </row>
    <row r="1695" spans="8:19" x14ac:dyDescent="0.25">
      <c r="H1695">
        <v>9</v>
      </c>
      <c r="I1695">
        <v>814</v>
      </c>
      <c r="J1695">
        <v>350</v>
      </c>
      <c r="K1695" t="b">
        <v>1</v>
      </c>
      <c r="N1695" s="25" t="s">
        <v>550</v>
      </c>
      <c r="O1695" s="2">
        <f>INDEX(Маршруты,MATCH(N1695,$B$3:$B$498,0),1)</f>
        <v>75</v>
      </c>
      <c r="P1695" s="27">
        <v>13</v>
      </c>
      <c r="Q1695" s="2">
        <f>INDEX(Остановки,MATCH(R1695,ИД_Остановки!$B$3:$B$467,0),1)</f>
        <v>244</v>
      </c>
      <c r="R1695" s="45" t="s">
        <v>133</v>
      </c>
      <c r="S1695" s="20">
        <v>0.215</v>
      </c>
    </row>
    <row r="1696" spans="8:19" x14ac:dyDescent="0.25">
      <c r="H1696">
        <v>9</v>
      </c>
      <c r="I1696">
        <v>825</v>
      </c>
      <c r="J1696">
        <v>350</v>
      </c>
      <c r="K1696" t="b">
        <v>1</v>
      </c>
      <c r="N1696" s="25" t="s">
        <v>550</v>
      </c>
      <c r="O1696" s="2">
        <f>INDEX(Маршруты,MATCH(N1696,$B$3:$B$498,0),1)</f>
        <v>75</v>
      </c>
      <c r="P1696" s="28">
        <v>14</v>
      </c>
      <c r="Q1696" s="2">
        <f>INDEX(Остановки,MATCH(R1696,ИД_Остановки!$B$3:$B$467,0),1)</f>
        <v>251</v>
      </c>
      <c r="R1696" s="24" t="s">
        <v>164</v>
      </c>
      <c r="S1696" s="21">
        <v>0.64</v>
      </c>
    </row>
    <row r="1697" spans="8:19" x14ac:dyDescent="0.25">
      <c r="H1697">
        <v>9</v>
      </c>
      <c r="I1697">
        <v>836</v>
      </c>
      <c r="J1697">
        <v>350</v>
      </c>
      <c r="K1697" t="b">
        <v>1</v>
      </c>
      <c r="N1697" s="25" t="s">
        <v>550</v>
      </c>
      <c r="O1697" s="2">
        <f>INDEX(Маршруты,MATCH(N1697,$B$3:$B$498,0),1)</f>
        <v>75</v>
      </c>
      <c r="P1697" s="27">
        <v>15</v>
      </c>
      <c r="Q1697" s="2">
        <f>INDEX(Остановки,MATCH(R1697,ИД_Остановки!$B$3:$B$467,0),1)</f>
        <v>243</v>
      </c>
      <c r="R1697" s="45" t="s">
        <v>368</v>
      </c>
      <c r="S1697" s="20">
        <v>0.7</v>
      </c>
    </row>
    <row r="1698" spans="8:19" x14ac:dyDescent="0.25">
      <c r="H1698">
        <v>9</v>
      </c>
      <c r="I1698">
        <v>847</v>
      </c>
      <c r="J1698">
        <v>350</v>
      </c>
      <c r="K1698" t="b">
        <v>1</v>
      </c>
      <c r="N1698" s="30" t="s">
        <v>550</v>
      </c>
      <c r="O1698" s="2">
        <f>INDEX(Маршруты,MATCH(N1698,$B$3:$B$498,0),1)</f>
        <v>75</v>
      </c>
      <c r="P1698" s="27">
        <v>16</v>
      </c>
      <c r="Q1698" s="2">
        <f>INDEX(Остановки,MATCH(R1698,ИД_Остановки!$B$3:$B$467,0),1)</f>
        <v>242</v>
      </c>
      <c r="R1698" s="45" t="s">
        <v>367</v>
      </c>
      <c r="S1698" s="20">
        <v>1.42</v>
      </c>
    </row>
    <row r="1699" spans="8:19" x14ac:dyDescent="0.25">
      <c r="H1699">
        <v>9</v>
      </c>
      <c r="I1699">
        <v>858</v>
      </c>
      <c r="J1699">
        <v>350</v>
      </c>
      <c r="K1699" t="b">
        <v>1</v>
      </c>
      <c r="N1699" s="30" t="s">
        <v>551</v>
      </c>
      <c r="O1699" s="2">
        <f>INDEX(Маршруты,MATCH(N1699,$B$3:$B$498,0),1)</f>
        <v>76</v>
      </c>
      <c r="P1699" s="27">
        <v>1</v>
      </c>
      <c r="Q1699" s="2">
        <f>INDEX(Остановки,MATCH(R1699,ИД_Остановки!$B$3:$B$467,0),1)</f>
        <v>57</v>
      </c>
      <c r="R1699" s="45" t="s">
        <v>47</v>
      </c>
      <c r="S1699" s="20"/>
    </row>
    <row r="1700" spans="8:19" x14ac:dyDescent="0.25">
      <c r="H1700">
        <v>9</v>
      </c>
      <c r="I1700">
        <v>869</v>
      </c>
      <c r="J1700">
        <v>350</v>
      </c>
      <c r="K1700" t="b">
        <v>1</v>
      </c>
      <c r="N1700" s="30" t="s">
        <v>551</v>
      </c>
      <c r="O1700" s="2">
        <f>INDEX(Маршруты,MATCH(N1700,$B$3:$B$498,0),1)</f>
        <v>76</v>
      </c>
      <c r="P1700" s="27">
        <v>2</v>
      </c>
      <c r="Q1700" s="2">
        <f>INDEX(Остановки,MATCH(R1700,ИД_Остановки!$B$3:$B$467,0),1)</f>
        <v>56</v>
      </c>
      <c r="R1700" s="45" t="s">
        <v>264</v>
      </c>
      <c r="S1700" s="20">
        <v>0.48</v>
      </c>
    </row>
    <row r="1701" spans="8:19" x14ac:dyDescent="0.25">
      <c r="H1701">
        <v>9</v>
      </c>
      <c r="I1701">
        <v>880</v>
      </c>
      <c r="J1701">
        <v>350</v>
      </c>
      <c r="K1701" t="b">
        <v>1</v>
      </c>
      <c r="N1701" s="30" t="s">
        <v>551</v>
      </c>
      <c r="O1701" s="2">
        <f>INDEX(Маршруты,MATCH(N1701,$B$3:$B$498,0),1)</f>
        <v>76</v>
      </c>
      <c r="P1701" s="27">
        <v>3</v>
      </c>
      <c r="Q1701" s="2">
        <f>INDEX(Остановки,MATCH(R1701,ИД_Остановки!$B$3:$B$467,0),1)</f>
        <v>55</v>
      </c>
      <c r="R1701" s="45" t="s">
        <v>263</v>
      </c>
      <c r="S1701" s="20">
        <v>0.86</v>
      </c>
    </row>
    <row r="1702" spans="8:19" x14ac:dyDescent="0.25">
      <c r="H1702">
        <v>9</v>
      </c>
      <c r="I1702">
        <v>891</v>
      </c>
      <c r="J1702">
        <v>350</v>
      </c>
      <c r="K1702" t="b">
        <v>1</v>
      </c>
      <c r="N1702" s="30" t="s">
        <v>551</v>
      </c>
      <c r="O1702" s="2">
        <f>INDEX(Маршруты,MATCH(N1702,$B$3:$B$498,0),1)</f>
        <v>76</v>
      </c>
      <c r="P1702" s="27">
        <v>4</v>
      </c>
      <c r="Q1702" s="2">
        <f>INDEX(Остановки,MATCH(R1702,ИД_Остановки!$B$3:$B$467,0),1)</f>
        <v>54</v>
      </c>
      <c r="R1702" s="45" t="s">
        <v>45</v>
      </c>
      <c r="S1702" s="20">
        <v>0.37</v>
      </c>
    </row>
    <row r="1703" spans="8:19" x14ac:dyDescent="0.25">
      <c r="H1703">
        <v>9</v>
      </c>
      <c r="I1703">
        <v>902</v>
      </c>
      <c r="J1703">
        <v>350</v>
      </c>
      <c r="K1703" t="b">
        <v>1</v>
      </c>
      <c r="N1703" s="30" t="s">
        <v>551</v>
      </c>
      <c r="O1703" s="2">
        <f>INDEX(Маршруты,MATCH(N1703,$B$3:$B$498,0),1)</f>
        <v>76</v>
      </c>
      <c r="P1703" s="27">
        <v>5</v>
      </c>
      <c r="Q1703" s="2">
        <f>INDEX(Остановки,MATCH(R1703,ИД_Остановки!$B$3:$B$467,0),1)</f>
        <v>176</v>
      </c>
      <c r="R1703" s="45" t="s">
        <v>111</v>
      </c>
      <c r="S1703" s="20">
        <v>0.65</v>
      </c>
    </row>
    <row r="1704" spans="8:19" x14ac:dyDescent="0.25">
      <c r="H1704">
        <v>9</v>
      </c>
      <c r="I1704">
        <v>913</v>
      </c>
      <c r="J1704">
        <v>350</v>
      </c>
      <c r="K1704" t="b">
        <v>1</v>
      </c>
      <c r="N1704" s="30" t="s">
        <v>551</v>
      </c>
      <c r="O1704" s="2">
        <f>INDEX(Маршруты,MATCH(N1704,$B$3:$B$498,0),1)</f>
        <v>76</v>
      </c>
      <c r="P1704" s="27">
        <v>6</v>
      </c>
      <c r="Q1704" s="2">
        <f>INDEX(Остановки,MATCH(R1704,ИД_Остановки!$B$3:$B$467,0),1)</f>
        <v>53</v>
      </c>
      <c r="R1704" s="45" t="s">
        <v>44</v>
      </c>
      <c r="S1704" s="20">
        <v>0.64</v>
      </c>
    </row>
    <row r="1705" spans="8:19" x14ac:dyDescent="0.25">
      <c r="H1705">
        <v>9</v>
      </c>
      <c r="I1705">
        <v>924</v>
      </c>
      <c r="J1705">
        <v>350</v>
      </c>
      <c r="K1705" t="b">
        <v>1</v>
      </c>
      <c r="N1705" s="25" t="s">
        <v>551</v>
      </c>
      <c r="O1705" s="2">
        <f>INDEX(Маршруты,MATCH(N1705,$B$3:$B$498,0),1)</f>
        <v>76</v>
      </c>
      <c r="P1705" s="27">
        <v>7</v>
      </c>
      <c r="Q1705" s="2">
        <f>INDEX(Остановки,MATCH(R1705,ИД_Остановки!$B$3:$B$467,0),1)</f>
        <v>175</v>
      </c>
      <c r="R1705" s="45" t="s">
        <v>327</v>
      </c>
      <c r="S1705" s="20">
        <v>1.44</v>
      </c>
    </row>
    <row r="1706" spans="8:19" x14ac:dyDescent="0.25">
      <c r="H1706">
        <v>9</v>
      </c>
      <c r="I1706">
        <v>935</v>
      </c>
      <c r="J1706">
        <v>350</v>
      </c>
      <c r="K1706" t="b">
        <v>1</v>
      </c>
      <c r="N1706" s="25" t="s">
        <v>551</v>
      </c>
      <c r="O1706" s="2">
        <f>INDEX(Маршруты,MATCH(N1706,$B$3:$B$498,0),1)</f>
        <v>76</v>
      </c>
      <c r="P1706" s="27">
        <v>8</v>
      </c>
      <c r="Q1706" s="2">
        <f>INDEX(Остановки,MATCH(R1706,ИД_Остановки!$B$3:$B$467,0),1)</f>
        <v>174</v>
      </c>
      <c r="R1706" s="24" t="s">
        <v>326</v>
      </c>
      <c r="S1706" s="20">
        <v>0.89</v>
      </c>
    </row>
    <row r="1707" spans="8:19" x14ac:dyDescent="0.25">
      <c r="H1707">
        <v>9</v>
      </c>
      <c r="I1707">
        <v>946</v>
      </c>
      <c r="J1707">
        <v>350</v>
      </c>
      <c r="K1707" t="b">
        <v>1</v>
      </c>
      <c r="N1707" s="25" t="s">
        <v>551</v>
      </c>
      <c r="O1707" s="2">
        <f>INDEX(Маршруты,MATCH(N1707,$B$3:$B$498,0),1)</f>
        <v>76</v>
      </c>
      <c r="P1707" s="27">
        <v>9</v>
      </c>
      <c r="Q1707" s="2">
        <f>INDEX(Остановки,MATCH(R1707,ИД_Остановки!$B$3:$B$467,0),1)</f>
        <v>173</v>
      </c>
      <c r="R1707" s="45" t="s">
        <v>325</v>
      </c>
      <c r="S1707" s="20">
        <v>0.79</v>
      </c>
    </row>
    <row r="1708" spans="8:19" x14ac:dyDescent="0.25">
      <c r="H1708">
        <v>10</v>
      </c>
      <c r="I1708">
        <v>0</v>
      </c>
      <c r="J1708">
        <v>350</v>
      </c>
      <c r="K1708" t="b">
        <v>1</v>
      </c>
      <c r="N1708" s="25" t="s">
        <v>551</v>
      </c>
      <c r="O1708" s="2">
        <f>INDEX(Маршруты,MATCH(N1708,$B$3:$B$498,0),1)</f>
        <v>76</v>
      </c>
      <c r="P1708" s="27">
        <v>10</v>
      </c>
      <c r="Q1708" s="2">
        <f>INDEX(Остановки,MATCH(R1708,ИД_Остановки!$B$3:$B$467,0),1)</f>
        <v>172</v>
      </c>
      <c r="R1708" s="45" t="s">
        <v>109</v>
      </c>
      <c r="S1708" s="20">
        <v>0.79</v>
      </c>
    </row>
    <row r="1709" spans="8:19" x14ac:dyDescent="0.25">
      <c r="H1709">
        <v>10</v>
      </c>
      <c r="I1709">
        <v>11</v>
      </c>
      <c r="J1709">
        <v>350</v>
      </c>
      <c r="K1709" t="b">
        <v>1</v>
      </c>
      <c r="N1709" s="25" t="s">
        <v>551</v>
      </c>
      <c r="O1709" s="2">
        <f>INDEX(Маршруты,MATCH(N1709,$B$3:$B$498,0),1)</f>
        <v>76</v>
      </c>
      <c r="P1709" s="27">
        <v>11</v>
      </c>
      <c r="Q1709" s="2">
        <f>INDEX(Остановки,MATCH(R1709,ИД_Остановки!$B$3:$B$467,0),1)</f>
        <v>171</v>
      </c>
      <c r="R1709" s="45" t="s">
        <v>108</v>
      </c>
      <c r="S1709" s="20">
        <v>0.75</v>
      </c>
    </row>
    <row r="1710" spans="8:19" x14ac:dyDescent="0.25">
      <c r="H1710">
        <v>10</v>
      </c>
      <c r="I1710">
        <v>22</v>
      </c>
      <c r="J1710">
        <v>350</v>
      </c>
      <c r="K1710" t="b">
        <v>1</v>
      </c>
      <c r="N1710" s="25" t="s">
        <v>551</v>
      </c>
      <c r="O1710" s="2">
        <f>INDEX(Маршруты,MATCH(N1710,$B$3:$B$498,0),1)</f>
        <v>76</v>
      </c>
      <c r="P1710" s="28">
        <v>12</v>
      </c>
      <c r="Q1710" s="2">
        <f>INDEX(Остановки,MATCH(R1710,ИД_Остановки!$B$3:$B$467,0),1)</f>
        <v>170</v>
      </c>
      <c r="R1710" s="24" t="s">
        <v>107</v>
      </c>
      <c r="S1710" s="20">
        <v>0.68</v>
      </c>
    </row>
    <row r="1711" spans="8:19" x14ac:dyDescent="0.25">
      <c r="H1711">
        <v>10</v>
      </c>
      <c r="I1711">
        <v>33</v>
      </c>
      <c r="J1711">
        <v>350</v>
      </c>
      <c r="K1711" t="b">
        <v>1</v>
      </c>
      <c r="N1711" s="30" t="s">
        <v>551</v>
      </c>
      <c r="O1711" s="2">
        <f>INDEX(Маршруты,MATCH(N1711,$B$3:$B$498,0),1)</f>
        <v>76</v>
      </c>
      <c r="P1711" s="27">
        <v>13</v>
      </c>
      <c r="Q1711" s="2">
        <f>INDEX(Остановки,MATCH(R1711,ИД_Остановки!$B$3:$B$467,0),1)</f>
        <v>169</v>
      </c>
      <c r="R1711" s="45" t="s">
        <v>106</v>
      </c>
      <c r="S1711" s="20">
        <v>1.84</v>
      </c>
    </row>
    <row r="1712" spans="8:19" x14ac:dyDescent="0.25">
      <c r="H1712">
        <v>10</v>
      </c>
      <c r="I1712">
        <v>44</v>
      </c>
      <c r="J1712">
        <v>350</v>
      </c>
      <c r="K1712" t="b">
        <v>1</v>
      </c>
      <c r="N1712" s="30" t="s">
        <v>551</v>
      </c>
      <c r="O1712" s="2">
        <f>INDEX(Маршруты,MATCH(N1712,$B$3:$B$498,0),1)</f>
        <v>76</v>
      </c>
      <c r="P1712" s="27">
        <v>14</v>
      </c>
      <c r="Q1712" s="2">
        <f>INDEX(Остановки,MATCH(R1712,ИД_Остановки!$B$3:$B$467,0),1)</f>
        <v>168</v>
      </c>
      <c r="R1712" s="45" t="s">
        <v>105</v>
      </c>
      <c r="S1712" s="20">
        <v>0.63</v>
      </c>
    </row>
    <row r="1713" spans="8:19" x14ac:dyDescent="0.25">
      <c r="H1713">
        <v>10</v>
      </c>
      <c r="I1713">
        <v>55</v>
      </c>
      <c r="J1713">
        <v>350</v>
      </c>
      <c r="K1713" t="b">
        <v>1</v>
      </c>
      <c r="N1713" s="25" t="s">
        <v>551</v>
      </c>
      <c r="O1713" s="2">
        <f>INDEX(Маршруты,MATCH(N1713,$B$3:$B$498,0),1)</f>
        <v>76</v>
      </c>
      <c r="P1713" s="27">
        <v>15</v>
      </c>
      <c r="Q1713" s="2">
        <f>INDEX(Остановки,MATCH(R1713,ИД_Остановки!$B$3:$B$467,0),1)</f>
        <v>221</v>
      </c>
      <c r="R1713" s="24" t="s">
        <v>353</v>
      </c>
      <c r="S1713" s="20">
        <v>0.97</v>
      </c>
    </row>
    <row r="1714" spans="8:19" x14ac:dyDescent="0.25">
      <c r="H1714">
        <v>10</v>
      </c>
      <c r="I1714">
        <v>66</v>
      </c>
      <c r="J1714">
        <v>350</v>
      </c>
      <c r="K1714" t="b">
        <v>1</v>
      </c>
      <c r="N1714" s="25" t="s">
        <v>551</v>
      </c>
      <c r="O1714" s="2">
        <f>INDEX(Маршруты,MATCH(N1714,$B$3:$B$498,0),1)</f>
        <v>76</v>
      </c>
      <c r="P1714" s="27">
        <v>16</v>
      </c>
      <c r="Q1714" s="2">
        <f>INDEX(Остановки,MATCH(R1714,ИД_Остановки!$B$3:$B$467,0),1)</f>
        <v>293</v>
      </c>
      <c r="R1714" s="45" t="s">
        <v>163</v>
      </c>
      <c r="S1714" s="20">
        <v>0.95</v>
      </c>
    </row>
    <row r="1715" spans="8:19" x14ac:dyDescent="0.25">
      <c r="H1715">
        <v>10</v>
      </c>
      <c r="I1715">
        <v>77</v>
      </c>
      <c r="J1715">
        <v>350</v>
      </c>
      <c r="K1715" t="b">
        <v>1</v>
      </c>
      <c r="N1715" s="25" t="s">
        <v>551</v>
      </c>
      <c r="O1715" s="2">
        <f>INDEX(Маршруты,MATCH(N1715,$B$3:$B$498,0),1)</f>
        <v>76</v>
      </c>
      <c r="P1715" s="28">
        <v>17</v>
      </c>
      <c r="Q1715" s="2">
        <f>INDEX(Остановки,MATCH(R1715,ИД_Остановки!$B$3:$B$467,0),1)</f>
        <v>292</v>
      </c>
      <c r="R1715" s="24" t="s">
        <v>162</v>
      </c>
      <c r="S1715" s="20">
        <v>0.49</v>
      </c>
    </row>
    <row r="1716" spans="8:19" x14ac:dyDescent="0.25">
      <c r="H1716">
        <v>10</v>
      </c>
      <c r="I1716">
        <v>88</v>
      </c>
      <c r="J1716">
        <v>350</v>
      </c>
      <c r="K1716" t="b">
        <v>1</v>
      </c>
      <c r="N1716" s="30" t="s">
        <v>551</v>
      </c>
      <c r="O1716" s="2">
        <f>INDEX(Маршруты,MATCH(N1716,$B$3:$B$498,0),1)</f>
        <v>76</v>
      </c>
      <c r="P1716" s="27">
        <v>18</v>
      </c>
      <c r="Q1716" s="2">
        <f>INDEX(Остановки,MATCH(R1716,ИД_Остановки!$B$3:$B$467,0),1)</f>
        <v>294</v>
      </c>
      <c r="R1716" s="45" t="s">
        <v>389</v>
      </c>
      <c r="S1716" s="20">
        <v>0.43</v>
      </c>
    </row>
    <row r="1717" spans="8:19" x14ac:dyDescent="0.25">
      <c r="H1717">
        <v>10</v>
      </c>
      <c r="I1717">
        <v>99</v>
      </c>
      <c r="J1717">
        <v>350</v>
      </c>
      <c r="K1717" t="b">
        <v>1</v>
      </c>
      <c r="N1717" s="30" t="s">
        <v>551</v>
      </c>
      <c r="O1717" s="2">
        <f>INDEX(Маршруты,MATCH(N1717,$B$3:$B$498,0),1)</f>
        <v>76</v>
      </c>
      <c r="P1717" s="27">
        <v>19</v>
      </c>
      <c r="Q1717" s="2">
        <f>INDEX(Остановки,MATCH(R1717,ИД_Остановки!$B$3:$B$467,0),1)</f>
        <v>248</v>
      </c>
      <c r="R1717" s="45" t="s">
        <v>617</v>
      </c>
      <c r="S1717" s="20">
        <v>0.61</v>
      </c>
    </row>
    <row r="1718" spans="8:19" x14ac:dyDescent="0.25">
      <c r="H1718">
        <v>10</v>
      </c>
      <c r="I1718">
        <v>110</v>
      </c>
      <c r="J1718">
        <v>350</v>
      </c>
      <c r="K1718" t="b">
        <v>1</v>
      </c>
      <c r="N1718" s="30" t="s">
        <v>551</v>
      </c>
      <c r="O1718" s="2">
        <f>INDEX(Маршруты,MATCH(N1718,$B$3:$B$498,0),1)</f>
        <v>76</v>
      </c>
      <c r="P1718" s="27">
        <v>20</v>
      </c>
      <c r="Q1718" s="2">
        <f>INDEX(Остановки,MATCH(R1718,ИД_Остановки!$B$3:$B$467,0),1)</f>
        <v>249</v>
      </c>
      <c r="R1718" s="45" t="s">
        <v>372</v>
      </c>
      <c r="S1718" s="20">
        <v>0.77</v>
      </c>
    </row>
    <row r="1719" spans="8:19" x14ac:dyDescent="0.25">
      <c r="H1719">
        <v>10</v>
      </c>
      <c r="I1719">
        <v>121</v>
      </c>
      <c r="J1719">
        <v>350</v>
      </c>
      <c r="K1719" t="b">
        <v>1</v>
      </c>
      <c r="N1719" s="26" t="s">
        <v>551</v>
      </c>
      <c r="O1719" s="2">
        <f>INDEX(Маршруты,MATCH(N1719,$B$3:$B$498,0),1)</f>
        <v>76</v>
      </c>
      <c r="P1719" s="27">
        <v>21</v>
      </c>
      <c r="Q1719" s="2">
        <f>INDEX(Остановки,MATCH(R1719,ИД_Остановки!$B$3:$B$467,0),1)</f>
        <v>250</v>
      </c>
      <c r="R1719" s="45" t="s">
        <v>373</v>
      </c>
      <c r="S1719" s="20">
        <v>0.32</v>
      </c>
    </row>
    <row r="1720" spans="8:19" x14ac:dyDescent="0.25">
      <c r="H1720">
        <v>10</v>
      </c>
      <c r="I1720">
        <v>132</v>
      </c>
      <c r="J1720">
        <v>350</v>
      </c>
      <c r="K1720" t="b">
        <v>1</v>
      </c>
      <c r="N1720" s="25" t="s">
        <v>551</v>
      </c>
      <c r="O1720" s="2">
        <f>INDEX(Маршруты,MATCH(N1720,$B$3:$B$498,0),1)</f>
        <v>76</v>
      </c>
      <c r="P1720" s="27">
        <v>22</v>
      </c>
      <c r="Q1720" s="2">
        <f>INDEX(Остановки,MATCH(R1720,ИД_Остановки!$B$3:$B$467,0),1)</f>
        <v>222</v>
      </c>
      <c r="R1720" s="45" t="s">
        <v>354</v>
      </c>
      <c r="S1720" s="20">
        <v>0.64</v>
      </c>
    </row>
    <row r="1721" spans="8:19" x14ac:dyDescent="0.25">
      <c r="H1721">
        <v>10</v>
      </c>
      <c r="I1721">
        <v>143</v>
      </c>
      <c r="J1721">
        <v>350</v>
      </c>
      <c r="K1721" t="b">
        <v>1</v>
      </c>
      <c r="N1721" s="30" t="s">
        <v>551</v>
      </c>
      <c r="O1721" s="2">
        <f>INDEX(Маршруты,MATCH(N1721,$B$3:$B$498,0),1)</f>
        <v>76</v>
      </c>
      <c r="P1721" s="27">
        <v>23</v>
      </c>
      <c r="Q1721" s="2">
        <f>INDEX(Остановки,MATCH(R1721,ИД_Остановки!$B$3:$B$467,0),1)</f>
        <v>243</v>
      </c>
      <c r="R1721" s="45" t="s">
        <v>368</v>
      </c>
      <c r="S1721" s="20">
        <v>0.36</v>
      </c>
    </row>
    <row r="1722" spans="8:19" x14ac:dyDescent="0.25">
      <c r="H1722">
        <v>10</v>
      </c>
      <c r="I1722">
        <v>154</v>
      </c>
      <c r="J1722">
        <v>350</v>
      </c>
      <c r="K1722" t="b">
        <v>1</v>
      </c>
      <c r="N1722" s="30" t="s">
        <v>551</v>
      </c>
      <c r="O1722" s="2">
        <f>INDEX(Маршруты,MATCH(N1722,$B$3:$B$498,0),1)</f>
        <v>76</v>
      </c>
      <c r="P1722" s="27">
        <v>24</v>
      </c>
      <c r="Q1722" s="2">
        <f>INDEX(Остановки,MATCH(R1722,ИД_Остановки!$B$3:$B$467,0),1)</f>
        <v>251</v>
      </c>
      <c r="R1722" s="45" t="s">
        <v>164</v>
      </c>
      <c r="S1722" s="20">
        <v>0.7</v>
      </c>
    </row>
    <row r="1723" spans="8:19" x14ac:dyDescent="0.25">
      <c r="H1723">
        <v>10</v>
      </c>
      <c r="I1723">
        <v>165</v>
      </c>
      <c r="J1723">
        <v>350</v>
      </c>
      <c r="K1723" t="b">
        <v>1</v>
      </c>
      <c r="N1723" s="25" t="s">
        <v>551</v>
      </c>
      <c r="O1723" s="2">
        <f>INDEX(Маршруты,MATCH(N1723,$B$3:$B$498,0),1)</f>
        <v>76</v>
      </c>
      <c r="P1723" s="27">
        <v>25</v>
      </c>
      <c r="Q1723" s="2">
        <f>INDEX(Остановки,MATCH(R1723,ИД_Остановки!$B$3:$B$467,0),1)</f>
        <v>244</v>
      </c>
      <c r="R1723" s="45" t="s">
        <v>133</v>
      </c>
      <c r="S1723" s="20">
        <v>0.64</v>
      </c>
    </row>
    <row r="1724" spans="8:19" x14ac:dyDescent="0.25">
      <c r="H1724">
        <v>10</v>
      </c>
      <c r="I1724">
        <v>176</v>
      </c>
      <c r="J1724">
        <v>350</v>
      </c>
      <c r="K1724" t="b">
        <v>1</v>
      </c>
      <c r="N1724" s="25" t="s">
        <v>551</v>
      </c>
      <c r="O1724" s="2">
        <f>INDEX(Маршруты,MATCH(N1724,$B$3:$B$498,0),1)</f>
        <v>76</v>
      </c>
      <c r="P1724" s="27">
        <v>26</v>
      </c>
      <c r="Q1724" s="2">
        <f>INDEX(Остановки,MATCH(R1724,ИД_Остановки!$B$3:$B$467,0),1)</f>
        <v>258</v>
      </c>
      <c r="R1724" s="45" t="s">
        <v>378</v>
      </c>
      <c r="S1724" s="20">
        <v>0.215</v>
      </c>
    </row>
    <row r="1725" spans="8:19" x14ac:dyDescent="0.25">
      <c r="H1725">
        <v>10</v>
      </c>
      <c r="I1725">
        <v>187</v>
      </c>
      <c r="J1725">
        <v>350</v>
      </c>
      <c r="K1725" t="b">
        <v>1</v>
      </c>
      <c r="N1725" s="25" t="s">
        <v>551</v>
      </c>
      <c r="O1725" s="2">
        <f>INDEX(Маршруты,MATCH(N1725,$B$3:$B$498,0),1)</f>
        <v>76</v>
      </c>
      <c r="P1725" s="27">
        <v>27</v>
      </c>
      <c r="Q1725" s="2">
        <f>INDEX(Остановки,MATCH(R1725,ИД_Остановки!$B$3:$B$467,0),1)</f>
        <v>245</v>
      </c>
      <c r="R1725" s="45" t="s">
        <v>369</v>
      </c>
      <c r="S1725" s="20">
        <v>0.3</v>
      </c>
    </row>
    <row r="1726" spans="8:19" x14ac:dyDescent="0.25">
      <c r="H1726">
        <v>10</v>
      </c>
      <c r="I1726">
        <v>198</v>
      </c>
      <c r="J1726">
        <v>350</v>
      </c>
      <c r="K1726" t="b">
        <v>1</v>
      </c>
      <c r="N1726" s="30" t="s">
        <v>551</v>
      </c>
      <c r="O1726" s="2">
        <f>INDEX(Маршруты,MATCH(N1726,$B$3:$B$498,0),1)</f>
        <v>76</v>
      </c>
      <c r="P1726" s="27">
        <v>28</v>
      </c>
      <c r="Q1726" s="2">
        <f>INDEX(Остановки,MATCH(R1726,ИД_Остановки!$B$3:$B$467,0),1)</f>
        <v>236</v>
      </c>
      <c r="R1726" s="45" t="s">
        <v>130</v>
      </c>
      <c r="S1726" s="20">
        <v>0.38</v>
      </c>
    </row>
    <row r="1727" spans="8:19" x14ac:dyDescent="0.25">
      <c r="H1727">
        <v>10</v>
      </c>
      <c r="I1727">
        <v>209</v>
      </c>
      <c r="J1727">
        <v>350</v>
      </c>
      <c r="K1727" t="b">
        <v>1</v>
      </c>
      <c r="N1727" s="30" t="s">
        <v>551</v>
      </c>
      <c r="O1727" s="2">
        <f>INDEX(Маршруты,MATCH(N1727,$B$3:$B$498,0),1)</f>
        <v>76</v>
      </c>
      <c r="P1727" s="27">
        <v>29</v>
      </c>
      <c r="Q1727" s="2">
        <f>INDEX(Остановки,MATCH(R1727,ИД_Остановки!$B$3:$B$467,0),1)</f>
        <v>252</v>
      </c>
      <c r="R1727" s="45" t="s">
        <v>135</v>
      </c>
      <c r="S1727" s="20">
        <v>0.59</v>
      </c>
    </row>
    <row r="1728" spans="8:19" x14ac:dyDescent="0.25">
      <c r="H1728">
        <v>10</v>
      </c>
      <c r="I1728">
        <v>220</v>
      </c>
      <c r="J1728">
        <v>350</v>
      </c>
      <c r="K1728" t="b">
        <v>1</v>
      </c>
      <c r="N1728" s="25" t="s">
        <v>551</v>
      </c>
      <c r="O1728" s="2">
        <f>INDEX(Маршруты,MATCH(N1728,$B$3:$B$498,0),1)</f>
        <v>76</v>
      </c>
      <c r="P1728" s="27">
        <v>30</v>
      </c>
      <c r="Q1728" s="2">
        <f>INDEX(Остановки,MATCH(R1728,ИД_Остановки!$B$3:$B$467,0),1)</f>
        <v>288</v>
      </c>
      <c r="R1728" s="45" t="s">
        <v>388</v>
      </c>
      <c r="S1728" s="20">
        <v>0.28999999999999998</v>
      </c>
    </row>
    <row r="1729" spans="8:19" x14ac:dyDescent="0.25">
      <c r="H1729">
        <v>10</v>
      </c>
      <c r="I1729">
        <v>231</v>
      </c>
      <c r="J1729">
        <v>350</v>
      </c>
      <c r="K1729" t="b">
        <v>1</v>
      </c>
      <c r="N1729" s="25" t="s">
        <v>551</v>
      </c>
      <c r="O1729" s="2">
        <f>INDEX(Маршруты,MATCH(N1729,$B$3:$B$498,0),1)</f>
        <v>76</v>
      </c>
      <c r="P1729" s="27">
        <v>31</v>
      </c>
      <c r="Q1729" s="2">
        <f>INDEX(Остановки,MATCH(R1729,ИД_Остановки!$B$3:$B$467,0),1)</f>
        <v>254</v>
      </c>
      <c r="R1729" s="45" t="s">
        <v>136</v>
      </c>
      <c r="S1729" s="20">
        <v>0.79</v>
      </c>
    </row>
    <row r="1730" spans="8:19" x14ac:dyDescent="0.25">
      <c r="H1730">
        <v>10</v>
      </c>
      <c r="I1730">
        <v>242</v>
      </c>
      <c r="J1730">
        <v>350</v>
      </c>
      <c r="K1730" t="b">
        <v>1</v>
      </c>
      <c r="N1730" s="25" t="s">
        <v>551</v>
      </c>
      <c r="O1730" s="2">
        <f>INDEX(Маршруты,MATCH(N1730,$B$3:$B$498,0),1)</f>
        <v>76</v>
      </c>
      <c r="P1730" s="27">
        <v>32</v>
      </c>
      <c r="Q1730" s="2">
        <f>INDEX(Остановки,MATCH(R1730,ИД_Остановки!$B$3:$B$467,0),1)</f>
        <v>160</v>
      </c>
      <c r="R1730" s="45" t="s">
        <v>323</v>
      </c>
      <c r="S1730" s="20">
        <v>0.49</v>
      </c>
    </row>
    <row r="1731" spans="8:19" x14ac:dyDescent="0.25">
      <c r="H1731">
        <v>10</v>
      </c>
      <c r="I1731">
        <v>253</v>
      </c>
      <c r="J1731">
        <v>350</v>
      </c>
      <c r="K1731" t="b">
        <v>1</v>
      </c>
      <c r="N1731" s="25" t="s">
        <v>551</v>
      </c>
      <c r="O1731" s="2">
        <f>INDEX(Маршруты,MATCH(N1731,$B$3:$B$498,0),1)</f>
        <v>76</v>
      </c>
      <c r="P1731" s="27">
        <v>33</v>
      </c>
      <c r="Q1731" s="2">
        <f>INDEX(Остановки,MATCH(R1731,ИД_Остановки!$B$3:$B$467,0),1)</f>
        <v>337</v>
      </c>
      <c r="R1731" s="45" t="s">
        <v>407</v>
      </c>
      <c r="S1731" s="20">
        <v>0.6</v>
      </c>
    </row>
    <row r="1732" spans="8:19" x14ac:dyDescent="0.25">
      <c r="H1732">
        <v>10</v>
      </c>
      <c r="I1732">
        <v>264</v>
      </c>
      <c r="J1732">
        <v>350</v>
      </c>
      <c r="K1732" t="b">
        <v>1</v>
      </c>
      <c r="N1732" s="25" t="s">
        <v>551</v>
      </c>
      <c r="O1732" s="2">
        <f>INDEX(Маршруты,MATCH(N1732,$B$3:$B$498,0),1)</f>
        <v>76</v>
      </c>
      <c r="P1732" s="27">
        <v>34</v>
      </c>
      <c r="Q1732" s="2">
        <f>INDEX(Остановки,MATCH(R1732,ИД_Остановки!$B$3:$B$467,0),1)</f>
        <v>22</v>
      </c>
      <c r="R1732" s="45" t="s">
        <v>22</v>
      </c>
      <c r="S1732" s="20">
        <v>0.39</v>
      </c>
    </row>
    <row r="1733" spans="8:19" x14ac:dyDescent="0.25">
      <c r="H1733">
        <v>10</v>
      </c>
      <c r="I1733">
        <v>275</v>
      </c>
      <c r="J1733">
        <v>350</v>
      </c>
      <c r="K1733" t="b">
        <v>1</v>
      </c>
      <c r="N1733" s="30" t="s">
        <v>551</v>
      </c>
      <c r="O1733" s="2">
        <f>INDEX(Маршруты,MATCH(N1733,$B$3:$B$498,0),1)</f>
        <v>76</v>
      </c>
      <c r="P1733" s="27">
        <v>35</v>
      </c>
      <c r="Q1733" s="2">
        <f>INDEX(Остановки,MATCH(R1733,ИД_Остановки!$B$3:$B$467,0),1)</f>
        <v>199</v>
      </c>
      <c r="R1733" s="45" t="s">
        <v>118</v>
      </c>
      <c r="S1733" s="20">
        <v>0.42</v>
      </c>
    </row>
    <row r="1734" spans="8:19" x14ac:dyDescent="0.25">
      <c r="H1734">
        <v>10</v>
      </c>
      <c r="I1734">
        <v>286</v>
      </c>
      <c r="J1734">
        <v>350</v>
      </c>
      <c r="K1734" t="b">
        <v>1</v>
      </c>
      <c r="N1734" s="30" t="s">
        <v>551</v>
      </c>
      <c r="O1734" s="2">
        <f>INDEX(Маршруты,MATCH(N1734,$B$3:$B$498,0),1)</f>
        <v>76</v>
      </c>
      <c r="P1734" s="27">
        <v>36</v>
      </c>
      <c r="Q1734" s="2">
        <f>INDEX(Остановки,MATCH(R1734,ИД_Остановки!$B$3:$B$467,0),1)</f>
        <v>200</v>
      </c>
      <c r="R1734" s="45" t="s">
        <v>119</v>
      </c>
      <c r="S1734" s="20">
        <v>0.75</v>
      </c>
    </row>
    <row r="1735" spans="8:19" x14ac:dyDescent="0.25">
      <c r="H1735">
        <v>10</v>
      </c>
      <c r="I1735">
        <v>297</v>
      </c>
      <c r="J1735">
        <v>350</v>
      </c>
      <c r="K1735" t="b">
        <v>1</v>
      </c>
      <c r="N1735" s="25" t="s">
        <v>551</v>
      </c>
      <c r="O1735" s="2">
        <f>INDEX(Маршруты,MATCH(N1735,$B$3:$B$498,0),1)</f>
        <v>76</v>
      </c>
      <c r="P1735" s="27">
        <v>37</v>
      </c>
      <c r="Q1735" s="2">
        <f>INDEX(Остановки,MATCH(R1735,ИД_Остановки!$B$3:$B$467,0),1)</f>
        <v>255</v>
      </c>
      <c r="R1735" s="45" t="s">
        <v>137</v>
      </c>
      <c r="S1735" s="20">
        <v>0.67</v>
      </c>
    </row>
    <row r="1736" spans="8:19" x14ac:dyDescent="0.25">
      <c r="H1736">
        <v>10</v>
      </c>
      <c r="I1736">
        <v>308</v>
      </c>
      <c r="J1736">
        <v>350</v>
      </c>
      <c r="K1736" t="b">
        <v>1</v>
      </c>
      <c r="N1736" s="30" t="s">
        <v>551</v>
      </c>
      <c r="O1736" s="2">
        <f>INDEX(Маршруты,MATCH(N1736,$B$3:$B$498,0),1)</f>
        <v>76</v>
      </c>
      <c r="P1736" s="27">
        <v>38</v>
      </c>
      <c r="Q1736" s="2">
        <f>INDEX(Остановки,MATCH(R1736,ИД_Остановки!$B$3:$B$467,0),1)</f>
        <v>257</v>
      </c>
      <c r="R1736" s="45" t="s">
        <v>377</v>
      </c>
      <c r="S1736" s="20">
        <v>0.61</v>
      </c>
    </row>
    <row r="1737" spans="8:19" x14ac:dyDescent="0.25">
      <c r="H1737">
        <v>10</v>
      </c>
      <c r="I1737">
        <v>319</v>
      </c>
      <c r="J1737">
        <v>350</v>
      </c>
      <c r="K1737" t="b">
        <v>1</v>
      </c>
      <c r="N1737" s="25" t="s">
        <v>551</v>
      </c>
      <c r="O1737" s="2">
        <f>INDEX(Маршруты,MATCH(N1737,$B$3:$B$498,0),1)</f>
        <v>76</v>
      </c>
      <c r="P1737" s="27">
        <v>39</v>
      </c>
      <c r="Q1737" s="2">
        <f>INDEX(Остановки,MATCH(R1737,ИД_Остановки!$B$3:$B$467,0),1)</f>
        <v>238</v>
      </c>
      <c r="R1737" s="45" t="s">
        <v>131</v>
      </c>
      <c r="S1737" s="20">
        <v>0.56000000000000005</v>
      </c>
    </row>
    <row r="1738" spans="8:19" x14ac:dyDescent="0.25">
      <c r="H1738">
        <v>10</v>
      </c>
      <c r="I1738">
        <v>330</v>
      </c>
      <c r="J1738">
        <v>350</v>
      </c>
      <c r="K1738" t="b">
        <v>1</v>
      </c>
      <c r="N1738" s="30" t="s">
        <v>551</v>
      </c>
      <c r="O1738" s="2">
        <f>INDEX(Маршруты,MATCH(N1738,$B$3:$B$498,0),1)</f>
        <v>76</v>
      </c>
      <c r="P1738" s="27">
        <v>40</v>
      </c>
      <c r="Q1738" s="2">
        <f>INDEX(Остановки,MATCH(R1738,ИД_Остановки!$B$3:$B$467,0),1)</f>
        <v>228</v>
      </c>
      <c r="R1738" s="45" t="s">
        <v>127</v>
      </c>
      <c r="S1738" s="20">
        <v>0.94</v>
      </c>
    </row>
    <row r="1739" spans="8:19" x14ac:dyDescent="0.25">
      <c r="H1739">
        <v>10</v>
      </c>
      <c r="I1739">
        <v>341</v>
      </c>
      <c r="J1739">
        <v>350</v>
      </c>
      <c r="K1739" t="b">
        <v>1</v>
      </c>
      <c r="N1739" s="30" t="s">
        <v>551</v>
      </c>
      <c r="O1739" s="2">
        <f>INDEX(Маршруты,MATCH(N1739,$B$3:$B$498,0),1)</f>
        <v>76</v>
      </c>
      <c r="P1739" s="27">
        <v>41</v>
      </c>
      <c r="Q1739" s="2">
        <f>INDEX(Остановки,MATCH(R1739,ИД_Остановки!$B$3:$B$467,0),1)</f>
        <v>3</v>
      </c>
      <c r="R1739" s="45" t="s">
        <v>243</v>
      </c>
      <c r="S1739" s="20">
        <v>1.18</v>
      </c>
    </row>
    <row r="1740" spans="8:19" x14ac:dyDescent="0.25">
      <c r="H1740">
        <v>10</v>
      </c>
      <c r="I1740">
        <v>352</v>
      </c>
      <c r="J1740">
        <v>350</v>
      </c>
      <c r="K1740" t="b">
        <v>1</v>
      </c>
      <c r="N1740" s="30" t="s">
        <v>551</v>
      </c>
      <c r="O1740" s="2">
        <f>INDEX(Маршруты,MATCH(N1740,$B$3:$B$498,0),1)</f>
        <v>76</v>
      </c>
      <c r="P1740" s="27">
        <v>42</v>
      </c>
      <c r="Q1740" s="2">
        <f>INDEX(Остановки,MATCH(R1740,ИД_Остановки!$B$3:$B$467,0),1)</f>
        <v>208</v>
      </c>
      <c r="R1740" s="45" t="s">
        <v>121</v>
      </c>
      <c r="S1740" s="20">
        <v>0.9</v>
      </c>
    </row>
    <row r="1741" spans="8:19" x14ac:dyDescent="0.25">
      <c r="H1741">
        <v>10</v>
      </c>
      <c r="I1741">
        <v>363</v>
      </c>
      <c r="J1741">
        <v>350</v>
      </c>
      <c r="K1741" t="b">
        <v>1</v>
      </c>
      <c r="N1741" s="30" t="s">
        <v>551</v>
      </c>
      <c r="O1741" s="2">
        <f>INDEX(Маршруты,MATCH(N1741,$B$3:$B$498,0),1)</f>
        <v>76</v>
      </c>
      <c r="P1741" s="27">
        <v>43</v>
      </c>
      <c r="Q1741" s="2">
        <f>INDEX(Остановки,MATCH(R1741,ИД_Остановки!$B$3:$B$467,0),1)</f>
        <v>207</v>
      </c>
      <c r="R1741" s="45" t="s">
        <v>345</v>
      </c>
      <c r="S1741" s="20">
        <v>0.56999999999999995</v>
      </c>
    </row>
    <row r="1742" spans="8:19" x14ac:dyDescent="0.25">
      <c r="H1742">
        <v>10</v>
      </c>
      <c r="I1742">
        <v>374</v>
      </c>
      <c r="J1742">
        <v>350</v>
      </c>
      <c r="K1742" t="b">
        <v>1</v>
      </c>
      <c r="N1742" s="30" t="s">
        <v>551</v>
      </c>
      <c r="O1742" s="2">
        <f>INDEX(Маршруты,MATCH(N1742,$B$3:$B$498,0),1)</f>
        <v>76</v>
      </c>
      <c r="P1742" s="27">
        <v>44</v>
      </c>
      <c r="Q1742" s="2">
        <f>INDEX(Остановки,MATCH(R1742,ИД_Остановки!$B$3:$B$467,0),1)</f>
        <v>241</v>
      </c>
      <c r="R1742" s="45" t="s">
        <v>132</v>
      </c>
      <c r="S1742" s="20">
        <v>0.74</v>
      </c>
    </row>
    <row r="1743" spans="8:19" x14ac:dyDescent="0.25">
      <c r="H1743">
        <v>10</v>
      </c>
      <c r="I1743">
        <v>385</v>
      </c>
      <c r="J1743">
        <v>350</v>
      </c>
      <c r="K1743" t="b">
        <v>1</v>
      </c>
      <c r="N1743" s="30" t="s">
        <v>551</v>
      </c>
      <c r="O1743" s="2">
        <f>INDEX(Маршруты,MATCH(N1743,$B$3:$B$498,0),1)</f>
        <v>76</v>
      </c>
      <c r="P1743" s="27">
        <v>45</v>
      </c>
      <c r="Q1743" s="2">
        <f>INDEX(Остановки,MATCH(R1743,ИД_Остановки!$B$3:$B$467,0),1)</f>
        <v>21</v>
      </c>
      <c r="R1743" s="45" t="s">
        <v>21</v>
      </c>
      <c r="S1743" s="20">
        <v>1.56</v>
      </c>
    </row>
    <row r="1744" spans="8:19" x14ac:dyDescent="0.25">
      <c r="H1744">
        <v>10</v>
      </c>
      <c r="I1744">
        <v>396</v>
      </c>
      <c r="J1744">
        <v>350</v>
      </c>
      <c r="K1744" t="b">
        <v>1</v>
      </c>
      <c r="N1744" s="30" t="s">
        <v>551</v>
      </c>
      <c r="O1744" s="2">
        <f>INDEX(Маршруты,MATCH(N1744,$B$3:$B$498,0),1)</f>
        <v>76</v>
      </c>
      <c r="P1744" s="27">
        <v>46</v>
      </c>
      <c r="Q1744" s="2">
        <f>INDEX(Остановки,MATCH(R1744,ИД_Остановки!$B$3:$B$467,0),1)</f>
        <v>428</v>
      </c>
      <c r="R1744" s="45" t="s">
        <v>484</v>
      </c>
      <c r="S1744" s="20">
        <v>0.89</v>
      </c>
    </row>
    <row r="1745" spans="8:19" x14ac:dyDescent="0.25">
      <c r="H1745">
        <v>10</v>
      </c>
      <c r="I1745">
        <v>407</v>
      </c>
      <c r="J1745">
        <v>350</v>
      </c>
      <c r="K1745" t="b">
        <v>1</v>
      </c>
      <c r="N1745" s="30" t="s">
        <v>551</v>
      </c>
      <c r="O1745" s="2">
        <f>INDEX(Маршруты,MATCH(N1745,$B$3:$B$498,0),1)</f>
        <v>76</v>
      </c>
      <c r="P1745" s="27">
        <v>47</v>
      </c>
      <c r="Q1745" s="2">
        <f>INDEX(Остановки,MATCH(R1745,ИД_Остановки!$B$3:$B$467,0),1)</f>
        <v>132</v>
      </c>
      <c r="R1745" s="45" t="s">
        <v>307</v>
      </c>
      <c r="S1745" s="20">
        <v>0.39</v>
      </c>
    </row>
    <row r="1746" spans="8:19" x14ac:dyDescent="0.25">
      <c r="H1746">
        <v>10</v>
      </c>
      <c r="I1746">
        <v>418</v>
      </c>
      <c r="J1746">
        <v>350</v>
      </c>
      <c r="K1746" t="b">
        <v>1</v>
      </c>
      <c r="N1746" s="30" t="s">
        <v>551</v>
      </c>
      <c r="O1746" s="2">
        <f>INDEX(Маршруты,MATCH(N1746,$B$3:$B$498,0),1)</f>
        <v>76</v>
      </c>
      <c r="P1746" s="28">
        <v>48</v>
      </c>
      <c r="Q1746" s="2">
        <f>INDEX(Остановки,MATCH(R1746,ИД_Остановки!$B$3:$B$467,0),1)</f>
        <v>131</v>
      </c>
      <c r="R1746" s="24" t="s">
        <v>306</v>
      </c>
      <c r="S1746" s="20">
        <v>0.56999999999999995</v>
      </c>
    </row>
    <row r="1747" spans="8:19" x14ac:dyDescent="0.25">
      <c r="H1747">
        <v>10</v>
      </c>
      <c r="I1747">
        <v>429</v>
      </c>
      <c r="J1747">
        <v>350</v>
      </c>
      <c r="K1747" t="b">
        <v>1</v>
      </c>
      <c r="N1747" s="26" t="s">
        <v>551</v>
      </c>
      <c r="O1747" s="2">
        <f>INDEX(Маршруты,MATCH(N1747,$B$3:$B$498,0),1)</f>
        <v>76</v>
      </c>
      <c r="P1747" s="27">
        <v>49</v>
      </c>
      <c r="Q1747" s="2">
        <f>INDEX(Остановки,MATCH(R1747,ИД_Остановки!$B$3:$B$467,0),1)</f>
        <v>130</v>
      </c>
      <c r="R1747" s="45" t="s">
        <v>305</v>
      </c>
      <c r="S1747" s="20">
        <v>0.39</v>
      </c>
    </row>
    <row r="1748" spans="8:19" x14ac:dyDescent="0.25">
      <c r="H1748">
        <v>10</v>
      </c>
      <c r="I1748">
        <v>440</v>
      </c>
      <c r="J1748">
        <v>350</v>
      </c>
      <c r="K1748" t="b">
        <v>1</v>
      </c>
      <c r="N1748" s="30" t="s">
        <v>551</v>
      </c>
      <c r="O1748" s="2">
        <f>INDEX(Маршруты,MATCH(N1748,$B$3:$B$498,0),1)</f>
        <v>76</v>
      </c>
      <c r="P1748" s="27">
        <v>50</v>
      </c>
      <c r="Q1748" s="2">
        <f>INDEX(Остановки,MATCH(R1748,ИД_Остановки!$B$3:$B$467,0),1)</f>
        <v>48</v>
      </c>
      <c r="R1748" s="45" t="s">
        <v>42</v>
      </c>
      <c r="S1748" s="20">
        <v>0.72</v>
      </c>
    </row>
    <row r="1749" spans="8:19" x14ac:dyDescent="0.25">
      <c r="H1749">
        <v>10</v>
      </c>
      <c r="I1749">
        <v>451</v>
      </c>
      <c r="J1749">
        <v>350</v>
      </c>
      <c r="K1749" t="b">
        <v>1</v>
      </c>
      <c r="N1749" s="30" t="s">
        <v>551</v>
      </c>
      <c r="O1749" s="2">
        <f>INDEX(Маршруты,MATCH(N1749,$B$3:$B$498,0),1)</f>
        <v>76</v>
      </c>
      <c r="P1749" s="27">
        <v>51</v>
      </c>
      <c r="Q1749" s="2">
        <f>INDEX(Остановки,MATCH(R1749,ИД_Остановки!$B$3:$B$467,0),1)</f>
        <v>136</v>
      </c>
      <c r="R1749" s="45" t="s">
        <v>84</v>
      </c>
      <c r="S1749" s="20">
        <v>0.5</v>
      </c>
    </row>
    <row r="1750" spans="8:19" x14ac:dyDescent="0.25">
      <c r="H1750">
        <v>10</v>
      </c>
      <c r="I1750">
        <v>462</v>
      </c>
      <c r="J1750">
        <v>350</v>
      </c>
      <c r="K1750" t="b">
        <v>1</v>
      </c>
      <c r="N1750" s="25" t="s">
        <v>551</v>
      </c>
      <c r="O1750" s="2">
        <f>INDEX(Маршруты,MATCH(N1750,$B$3:$B$498,0),1)</f>
        <v>76</v>
      </c>
      <c r="P1750" s="27">
        <v>52</v>
      </c>
      <c r="Q1750" s="2">
        <f>INDEX(Остановки,MATCH(R1750,ИД_Остановки!$B$3:$B$467,0),1)</f>
        <v>137</v>
      </c>
      <c r="R1750" s="45" t="s">
        <v>309</v>
      </c>
      <c r="S1750" s="20">
        <v>0.63</v>
      </c>
    </row>
    <row r="1751" spans="8:19" x14ac:dyDescent="0.25">
      <c r="H1751">
        <v>10</v>
      </c>
      <c r="I1751">
        <v>473</v>
      </c>
      <c r="J1751">
        <v>350</v>
      </c>
      <c r="K1751" t="b">
        <v>1</v>
      </c>
      <c r="N1751" s="25" t="s">
        <v>551</v>
      </c>
      <c r="O1751" s="2">
        <f>INDEX(Маршруты,MATCH(N1751,$B$3:$B$498,0),1)</f>
        <v>76</v>
      </c>
      <c r="P1751" s="27">
        <v>53</v>
      </c>
      <c r="Q1751" s="2">
        <f>INDEX(Остановки,MATCH(R1751,ИД_Остановки!$B$3:$B$467,0),1)</f>
        <v>138</v>
      </c>
      <c r="R1751" s="45" t="s">
        <v>310</v>
      </c>
      <c r="S1751" s="20">
        <v>0.6</v>
      </c>
    </row>
    <row r="1752" spans="8:19" x14ac:dyDescent="0.25">
      <c r="H1752">
        <v>10</v>
      </c>
      <c r="I1752">
        <v>484</v>
      </c>
      <c r="J1752">
        <v>350</v>
      </c>
      <c r="K1752" t="b">
        <v>1</v>
      </c>
      <c r="N1752" s="25" t="s">
        <v>551</v>
      </c>
      <c r="O1752" s="2">
        <f>INDEX(Маршруты,MATCH(N1752,$B$3:$B$498,0),1)</f>
        <v>76</v>
      </c>
      <c r="P1752" s="27">
        <v>54</v>
      </c>
      <c r="Q1752" s="2">
        <f>INDEX(Остановки,MATCH(R1752,ИД_Остановки!$B$3:$B$467,0),1)</f>
        <v>139</v>
      </c>
      <c r="R1752" s="45" t="s">
        <v>311</v>
      </c>
      <c r="S1752" s="20">
        <v>0.34</v>
      </c>
    </row>
    <row r="1753" spans="8:19" x14ac:dyDescent="0.25">
      <c r="H1753">
        <v>10</v>
      </c>
      <c r="I1753">
        <v>495</v>
      </c>
      <c r="J1753">
        <v>350</v>
      </c>
      <c r="K1753" t="b">
        <v>1</v>
      </c>
      <c r="N1753" s="30" t="s">
        <v>551</v>
      </c>
      <c r="O1753" s="2">
        <f>INDEX(Маршруты,MATCH(N1753,$B$3:$B$498,0),1)</f>
        <v>76</v>
      </c>
      <c r="P1753" s="27">
        <v>55</v>
      </c>
      <c r="Q1753" s="2">
        <f>INDEX(Остановки,MATCH(R1753,ИД_Остановки!$B$3:$B$467,0),1)</f>
        <v>140</v>
      </c>
      <c r="R1753" s="45" t="s">
        <v>312</v>
      </c>
      <c r="S1753" s="20">
        <v>0.47</v>
      </c>
    </row>
    <row r="1754" spans="8:19" x14ac:dyDescent="0.25">
      <c r="H1754">
        <v>10</v>
      </c>
      <c r="I1754">
        <v>506</v>
      </c>
      <c r="J1754">
        <v>350</v>
      </c>
      <c r="K1754" t="b">
        <v>1</v>
      </c>
      <c r="N1754" s="30" t="s">
        <v>551</v>
      </c>
      <c r="O1754" s="2">
        <f>INDEX(Маршруты,MATCH(N1754,$B$3:$B$498,0),1)</f>
        <v>76</v>
      </c>
      <c r="P1754" s="27">
        <v>56</v>
      </c>
      <c r="Q1754" s="2">
        <f>INDEX(Остановки,MATCH(R1754,ИД_Остановки!$B$3:$B$467,0),1)</f>
        <v>141</v>
      </c>
      <c r="R1754" s="45" t="s">
        <v>313</v>
      </c>
      <c r="S1754" s="20">
        <v>0.47</v>
      </c>
    </row>
    <row r="1755" spans="8:19" x14ac:dyDescent="0.25">
      <c r="H1755">
        <v>10</v>
      </c>
      <c r="I1755">
        <v>517</v>
      </c>
      <c r="J1755">
        <v>350</v>
      </c>
      <c r="K1755" t="b">
        <v>1</v>
      </c>
      <c r="N1755" s="30" t="s">
        <v>551</v>
      </c>
      <c r="O1755" s="2">
        <f>INDEX(Маршруты,MATCH(N1755,$B$3:$B$498,0),1)</f>
        <v>76</v>
      </c>
      <c r="P1755" s="27">
        <v>57</v>
      </c>
      <c r="Q1755" s="2">
        <f>INDEX(Остановки,MATCH(R1755,ИД_Остановки!$B$3:$B$467,0),1)</f>
        <v>142</v>
      </c>
      <c r="R1755" s="45" t="s">
        <v>314</v>
      </c>
      <c r="S1755" s="20">
        <v>0.43</v>
      </c>
    </row>
    <row r="1756" spans="8:19" x14ac:dyDescent="0.25">
      <c r="H1756">
        <v>10</v>
      </c>
      <c r="I1756">
        <v>528</v>
      </c>
      <c r="J1756">
        <v>350</v>
      </c>
      <c r="K1756" t="b">
        <v>1</v>
      </c>
      <c r="N1756" s="26" t="s">
        <v>551</v>
      </c>
      <c r="O1756" s="2">
        <f>INDEX(Маршруты,MATCH(N1756,$B$3:$B$498,0),1)</f>
        <v>76</v>
      </c>
      <c r="P1756" s="27">
        <v>58</v>
      </c>
      <c r="Q1756" s="2">
        <f>INDEX(Остановки,MATCH(R1756,ИД_Остановки!$B$3:$B$467,0),1)</f>
        <v>143</v>
      </c>
      <c r="R1756" s="45" t="s">
        <v>85</v>
      </c>
      <c r="S1756" s="20">
        <v>0.76</v>
      </c>
    </row>
    <row r="1757" spans="8:19" x14ac:dyDescent="0.25">
      <c r="H1757">
        <v>10</v>
      </c>
      <c r="I1757">
        <v>539</v>
      </c>
      <c r="J1757">
        <v>350</v>
      </c>
      <c r="K1757" t="b">
        <v>1</v>
      </c>
      <c r="N1757" s="25" t="s">
        <v>551</v>
      </c>
      <c r="O1757" s="2">
        <f>INDEX(Маршруты,MATCH(N1757,$B$3:$B$498,0),1)</f>
        <v>76</v>
      </c>
      <c r="P1757" s="28">
        <v>59</v>
      </c>
      <c r="Q1757" s="2">
        <f>INDEX(Остановки,MATCH(R1757,ИД_Остановки!$B$3:$B$467,0),1)</f>
        <v>224</v>
      </c>
      <c r="R1757" s="24" t="s">
        <v>355</v>
      </c>
      <c r="S1757" s="20">
        <v>2.83</v>
      </c>
    </row>
    <row r="1758" spans="8:19" x14ac:dyDescent="0.25">
      <c r="H1758">
        <v>10</v>
      </c>
      <c r="I1758">
        <v>550</v>
      </c>
      <c r="J1758">
        <v>350</v>
      </c>
      <c r="K1758" t="b">
        <v>1</v>
      </c>
      <c r="N1758" s="30" t="s">
        <v>552</v>
      </c>
      <c r="O1758" s="2">
        <f>INDEX(Маршруты,MATCH(N1758,$B$3:$B$498,0),1)</f>
        <v>77</v>
      </c>
      <c r="P1758" s="27">
        <v>1</v>
      </c>
      <c r="Q1758" s="2">
        <f>INDEX(Остановки,MATCH(R1758,ИД_Остановки!$B$3:$B$467,0),1)</f>
        <v>224</v>
      </c>
      <c r="R1758" s="45" t="s">
        <v>355</v>
      </c>
      <c r="S1758" s="20"/>
    </row>
    <row r="1759" spans="8:19" x14ac:dyDescent="0.25">
      <c r="H1759">
        <v>10</v>
      </c>
      <c r="I1759">
        <v>561</v>
      </c>
      <c r="J1759">
        <v>350</v>
      </c>
      <c r="K1759" t="b">
        <v>1</v>
      </c>
      <c r="N1759" s="30" t="s">
        <v>552</v>
      </c>
      <c r="O1759" s="2">
        <f>INDEX(Маршруты,MATCH(N1759,$B$3:$B$498,0),1)</f>
        <v>77</v>
      </c>
      <c r="P1759" s="27">
        <v>2</v>
      </c>
      <c r="Q1759" s="2">
        <f>INDEX(Остановки,MATCH(R1759,ИД_Остановки!$B$3:$B$467,0),1)</f>
        <v>143</v>
      </c>
      <c r="R1759" s="45" t="s">
        <v>85</v>
      </c>
      <c r="S1759" s="20">
        <v>2.83</v>
      </c>
    </row>
    <row r="1760" spans="8:19" x14ac:dyDescent="0.25">
      <c r="H1760">
        <v>10</v>
      </c>
      <c r="I1760">
        <v>572</v>
      </c>
      <c r="J1760">
        <v>350</v>
      </c>
      <c r="K1760" t="b">
        <v>1</v>
      </c>
      <c r="N1760" s="30" t="s">
        <v>552</v>
      </c>
      <c r="O1760" s="2">
        <f>INDEX(Маршруты,MATCH(N1760,$B$3:$B$498,0),1)</f>
        <v>77</v>
      </c>
      <c r="P1760" s="27">
        <v>3</v>
      </c>
      <c r="Q1760" s="2">
        <f>INDEX(Остановки,MATCH(R1760,ИД_Остановки!$B$3:$B$467,0),1)</f>
        <v>142</v>
      </c>
      <c r="R1760" s="45" t="s">
        <v>314</v>
      </c>
      <c r="S1760" s="20">
        <v>0.76</v>
      </c>
    </row>
    <row r="1761" spans="8:19" x14ac:dyDescent="0.25">
      <c r="H1761">
        <v>10</v>
      </c>
      <c r="I1761">
        <v>583</v>
      </c>
      <c r="J1761">
        <v>350</v>
      </c>
      <c r="K1761" t="b">
        <v>1</v>
      </c>
      <c r="N1761" s="30" t="s">
        <v>552</v>
      </c>
      <c r="O1761" s="2">
        <f>INDEX(Маршруты,MATCH(N1761,$B$3:$B$498,0),1)</f>
        <v>77</v>
      </c>
      <c r="P1761" s="27">
        <v>4</v>
      </c>
      <c r="Q1761" s="2">
        <f>INDEX(Остановки,MATCH(R1761,ИД_Остановки!$B$3:$B$467,0),1)</f>
        <v>141</v>
      </c>
      <c r="R1761" s="45" t="s">
        <v>313</v>
      </c>
      <c r="S1761" s="20">
        <v>0.43</v>
      </c>
    </row>
    <row r="1762" spans="8:19" x14ac:dyDescent="0.25">
      <c r="H1762">
        <v>10</v>
      </c>
      <c r="I1762">
        <v>594</v>
      </c>
      <c r="J1762">
        <v>350</v>
      </c>
      <c r="K1762" t="b">
        <v>1</v>
      </c>
      <c r="N1762" s="25" t="s">
        <v>552</v>
      </c>
      <c r="O1762" s="2">
        <f>INDEX(Маршруты,MATCH(N1762,$B$3:$B$498,0),1)</f>
        <v>77</v>
      </c>
      <c r="P1762" s="27">
        <v>5</v>
      </c>
      <c r="Q1762" s="2">
        <f>INDEX(Остановки,MATCH(R1762,ИД_Остановки!$B$3:$B$467,0),1)</f>
        <v>140</v>
      </c>
      <c r="R1762" s="45" t="s">
        <v>312</v>
      </c>
      <c r="S1762" s="20">
        <v>0.47</v>
      </c>
    </row>
    <row r="1763" spans="8:19" x14ac:dyDescent="0.25">
      <c r="H1763">
        <v>10</v>
      </c>
      <c r="I1763">
        <v>605</v>
      </c>
      <c r="J1763">
        <v>350</v>
      </c>
      <c r="K1763" t="b">
        <v>1</v>
      </c>
      <c r="N1763" s="30" t="s">
        <v>552</v>
      </c>
      <c r="O1763" s="2">
        <f>INDEX(Маршруты,MATCH(N1763,$B$3:$B$498,0),1)</f>
        <v>77</v>
      </c>
      <c r="P1763" s="27">
        <v>6</v>
      </c>
      <c r="Q1763" s="2">
        <f>INDEX(Остановки,MATCH(R1763,ИД_Остановки!$B$3:$B$467,0),1)</f>
        <v>139</v>
      </c>
      <c r="R1763" s="45" t="s">
        <v>311</v>
      </c>
      <c r="S1763" s="20">
        <v>0.47</v>
      </c>
    </row>
    <row r="1764" spans="8:19" x14ac:dyDescent="0.25">
      <c r="H1764">
        <v>10</v>
      </c>
      <c r="I1764">
        <v>616</v>
      </c>
      <c r="J1764">
        <v>350</v>
      </c>
      <c r="K1764" t="b">
        <v>1</v>
      </c>
      <c r="N1764" s="30" t="s">
        <v>552</v>
      </c>
      <c r="O1764" s="2">
        <f>INDEX(Маршруты,MATCH(N1764,$B$3:$B$498,0),1)</f>
        <v>77</v>
      </c>
      <c r="P1764" s="27">
        <v>7</v>
      </c>
      <c r="Q1764" s="2">
        <f>INDEX(Остановки,MATCH(R1764,ИД_Остановки!$B$3:$B$467,0),1)</f>
        <v>138</v>
      </c>
      <c r="R1764" s="45" t="s">
        <v>310</v>
      </c>
      <c r="S1764" s="20">
        <v>0.34</v>
      </c>
    </row>
    <row r="1765" spans="8:19" x14ac:dyDescent="0.25">
      <c r="H1765">
        <v>10</v>
      </c>
      <c r="I1765">
        <v>627</v>
      </c>
      <c r="J1765">
        <v>350</v>
      </c>
      <c r="K1765" t="b">
        <v>1</v>
      </c>
      <c r="N1765" s="25" t="s">
        <v>552</v>
      </c>
      <c r="O1765" s="2">
        <f>INDEX(Маршруты,MATCH(N1765,$B$3:$B$498,0),1)</f>
        <v>77</v>
      </c>
      <c r="P1765" s="27">
        <v>8</v>
      </c>
      <c r="Q1765" s="2">
        <f>INDEX(Остановки,MATCH(R1765,ИД_Остановки!$B$3:$B$467,0),1)</f>
        <v>137</v>
      </c>
      <c r="R1765" s="45" t="s">
        <v>309</v>
      </c>
      <c r="S1765" s="20">
        <v>0.6</v>
      </c>
    </row>
    <row r="1766" spans="8:19" x14ac:dyDescent="0.25">
      <c r="H1766">
        <v>10</v>
      </c>
      <c r="I1766">
        <v>638</v>
      </c>
      <c r="J1766">
        <v>350</v>
      </c>
      <c r="K1766" t="b">
        <v>1</v>
      </c>
      <c r="N1766" s="30" t="s">
        <v>552</v>
      </c>
      <c r="O1766" s="2">
        <f>INDEX(Маршруты,MATCH(N1766,$B$3:$B$498,0),1)</f>
        <v>77</v>
      </c>
      <c r="P1766" s="27">
        <v>9</v>
      </c>
      <c r="Q1766" s="2">
        <f>INDEX(Остановки,MATCH(R1766,ИД_Остановки!$B$3:$B$467,0),1)</f>
        <v>136</v>
      </c>
      <c r="R1766" s="45" t="s">
        <v>84</v>
      </c>
      <c r="S1766" s="20">
        <v>0.63</v>
      </c>
    </row>
    <row r="1767" spans="8:19" x14ac:dyDescent="0.25">
      <c r="H1767">
        <v>10</v>
      </c>
      <c r="I1767">
        <v>649</v>
      </c>
      <c r="J1767">
        <v>350</v>
      </c>
      <c r="K1767" t="b">
        <v>1</v>
      </c>
      <c r="N1767" s="25" t="s">
        <v>552</v>
      </c>
      <c r="O1767" s="2">
        <f>INDEX(Маршруты,MATCH(N1767,$B$3:$B$498,0),1)</f>
        <v>77</v>
      </c>
      <c r="P1767" s="27">
        <v>10</v>
      </c>
      <c r="Q1767" s="2">
        <f>INDEX(Остановки,MATCH(R1767,ИД_Остановки!$B$3:$B$467,0),1)</f>
        <v>48</v>
      </c>
      <c r="R1767" s="24" t="s">
        <v>42</v>
      </c>
      <c r="S1767" s="20">
        <v>0.5</v>
      </c>
    </row>
    <row r="1768" spans="8:19" x14ac:dyDescent="0.25">
      <c r="H1768">
        <v>10</v>
      </c>
      <c r="I1768">
        <v>660</v>
      </c>
      <c r="J1768">
        <v>350</v>
      </c>
      <c r="K1768" t="b">
        <v>1</v>
      </c>
      <c r="N1768" s="25" t="s">
        <v>552</v>
      </c>
      <c r="O1768" s="2">
        <f>INDEX(Маршруты,MATCH(N1768,$B$3:$B$498,0),1)</f>
        <v>77</v>
      </c>
      <c r="P1768" s="27">
        <v>11</v>
      </c>
      <c r="Q1768" s="2">
        <f>INDEX(Остановки,MATCH(R1768,ИД_Остановки!$B$3:$B$467,0),1)</f>
        <v>130</v>
      </c>
      <c r="R1768" s="45" t="s">
        <v>305</v>
      </c>
      <c r="S1768" s="20">
        <v>0.72</v>
      </c>
    </row>
    <row r="1769" spans="8:19" x14ac:dyDescent="0.25">
      <c r="H1769">
        <v>10</v>
      </c>
      <c r="I1769">
        <v>671</v>
      </c>
      <c r="J1769">
        <v>350</v>
      </c>
      <c r="K1769" t="b">
        <v>1</v>
      </c>
      <c r="N1769" s="25" t="s">
        <v>552</v>
      </c>
      <c r="O1769" s="2">
        <f>INDEX(Маршруты,MATCH(N1769,$B$3:$B$498,0),1)</f>
        <v>77</v>
      </c>
      <c r="P1769" s="27">
        <v>12</v>
      </c>
      <c r="Q1769" s="2">
        <f>INDEX(Остановки,MATCH(R1769,ИД_Остановки!$B$3:$B$467,0),1)</f>
        <v>131</v>
      </c>
      <c r="R1769" s="45" t="s">
        <v>306</v>
      </c>
      <c r="S1769" s="20">
        <v>0.39</v>
      </c>
    </row>
    <row r="1770" spans="8:19" x14ac:dyDescent="0.25">
      <c r="H1770">
        <v>10</v>
      </c>
      <c r="I1770">
        <v>682</v>
      </c>
      <c r="J1770">
        <v>350</v>
      </c>
      <c r="K1770" t="b">
        <v>1</v>
      </c>
      <c r="N1770" s="26" t="s">
        <v>552</v>
      </c>
      <c r="O1770" s="2">
        <f>INDEX(Маршруты,MATCH(N1770,$B$3:$B$498,0),1)</f>
        <v>77</v>
      </c>
      <c r="P1770" s="27">
        <v>13</v>
      </c>
      <c r="Q1770" s="2">
        <f>INDEX(Остановки,MATCH(R1770,ИД_Остановки!$B$3:$B$467,0),1)</f>
        <v>132</v>
      </c>
      <c r="R1770" s="45" t="s">
        <v>307</v>
      </c>
      <c r="S1770" s="20">
        <v>0.56999999999999995</v>
      </c>
    </row>
    <row r="1771" spans="8:19" x14ac:dyDescent="0.25">
      <c r="H1771">
        <v>10</v>
      </c>
      <c r="I1771">
        <v>693</v>
      </c>
      <c r="J1771">
        <v>350</v>
      </c>
      <c r="K1771" t="b">
        <v>1</v>
      </c>
      <c r="N1771" s="25" t="s">
        <v>552</v>
      </c>
      <c r="O1771" s="2">
        <f>INDEX(Маршруты,MATCH(N1771,$B$3:$B$498,0),1)</f>
        <v>77</v>
      </c>
      <c r="P1771" s="27">
        <v>14</v>
      </c>
      <c r="Q1771" s="2">
        <f>INDEX(Остановки,MATCH(R1771,ИД_Остановки!$B$3:$B$467,0),1)</f>
        <v>428</v>
      </c>
      <c r="R1771" s="45" t="s">
        <v>484</v>
      </c>
      <c r="S1771" s="20">
        <v>0.39</v>
      </c>
    </row>
    <row r="1772" spans="8:19" x14ac:dyDescent="0.25">
      <c r="H1772">
        <v>10</v>
      </c>
      <c r="I1772">
        <v>704</v>
      </c>
      <c r="J1772">
        <v>350</v>
      </c>
      <c r="K1772" t="b">
        <v>1</v>
      </c>
      <c r="N1772" s="30" t="s">
        <v>552</v>
      </c>
      <c r="O1772" s="2">
        <f>INDEX(Маршруты,MATCH(N1772,$B$3:$B$498,0),1)</f>
        <v>77</v>
      </c>
      <c r="P1772" s="27">
        <v>15</v>
      </c>
      <c r="Q1772" s="2">
        <f>INDEX(Остановки,MATCH(R1772,ИД_Остановки!$B$3:$B$467,0),1)</f>
        <v>21</v>
      </c>
      <c r="R1772" s="45" t="s">
        <v>21</v>
      </c>
      <c r="S1772" s="20">
        <v>0.89</v>
      </c>
    </row>
    <row r="1773" spans="8:19" x14ac:dyDescent="0.25">
      <c r="H1773">
        <v>10</v>
      </c>
      <c r="I1773">
        <v>715</v>
      </c>
      <c r="J1773">
        <v>350</v>
      </c>
      <c r="K1773" t="b">
        <v>1</v>
      </c>
      <c r="N1773" s="30" t="s">
        <v>552</v>
      </c>
      <c r="O1773" s="2">
        <f>INDEX(Маршруты,MATCH(N1773,$B$3:$B$498,0),1)</f>
        <v>77</v>
      </c>
      <c r="P1773" s="27">
        <v>16</v>
      </c>
      <c r="Q1773" s="2">
        <f>INDEX(Остановки,MATCH(R1773,ИД_Остановки!$B$3:$B$467,0),1)</f>
        <v>241</v>
      </c>
      <c r="R1773" s="45" t="s">
        <v>132</v>
      </c>
      <c r="S1773" s="20">
        <v>1.56</v>
      </c>
    </row>
    <row r="1774" spans="8:19" x14ac:dyDescent="0.25">
      <c r="H1774">
        <v>10</v>
      </c>
      <c r="I1774">
        <v>726</v>
      </c>
      <c r="J1774">
        <v>350</v>
      </c>
      <c r="K1774" t="b">
        <v>1</v>
      </c>
      <c r="N1774" s="25" t="s">
        <v>552</v>
      </c>
      <c r="O1774" s="2">
        <f>INDEX(Маршруты,MATCH(N1774,$B$3:$B$498,0),1)</f>
        <v>77</v>
      </c>
      <c r="P1774" s="27">
        <v>17</v>
      </c>
      <c r="Q1774" s="2">
        <f>INDEX(Остановки,MATCH(R1774,ИД_Остановки!$B$3:$B$467,0),1)</f>
        <v>207</v>
      </c>
      <c r="R1774" s="45" t="s">
        <v>345</v>
      </c>
      <c r="S1774" s="20">
        <v>0.74</v>
      </c>
    </row>
    <row r="1775" spans="8:19" x14ac:dyDescent="0.25">
      <c r="H1775">
        <v>10</v>
      </c>
      <c r="I1775">
        <v>737</v>
      </c>
      <c r="J1775">
        <v>350</v>
      </c>
      <c r="K1775" t="b">
        <v>1</v>
      </c>
      <c r="N1775" s="25" t="s">
        <v>552</v>
      </c>
      <c r="O1775" s="2">
        <f>INDEX(Маршруты,MATCH(N1775,$B$3:$B$498,0),1)</f>
        <v>77</v>
      </c>
      <c r="P1775" s="28">
        <v>18</v>
      </c>
      <c r="Q1775" s="2">
        <f>INDEX(Остановки,MATCH(R1775,ИД_Остановки!$B$3:$B$467,0),1)</f>
        <v>208</v>
      </c>
      <c r="R1775" s="24" t="s">
        <v>121</v>
      </c>
      <c r="S1775" s="20">
        <v>0.56999999999999995</v>
      </c>
    </row>
    <row r="1776" spans="8:19" x14ac:dyDescent="0.25">
      <c r="H1776">
        <v>10</v>
      </c>
      <c r="I1776">
        <v>748</v>
      </c>
      <c r="J1776">
        <v>350</v>
      </c>
      <c r="K1776" t="b">
        <v>1</v>
      </c>
      <c r="N1776" s="30" t="s">
        <v>552</v>
      </c>
      <c r="O1776" s="2">
        <f>INDEX(Маршруты,MATCH(N1776,$B$3:$B$498,0),1)</f>
        <v>77</v>
      </c>
      <c r="P1776" s="27">
        <v>19</v>
      </c>
      <c r="Q1776" s="2">
        <f>INDEX(Остановки,MATCH(R1776,ИД_Остановки!$B$3:$B$467,0),1)</f>
        <v>3</v>
      </c>
      <c r="R1776" s="45" t="s">
        <v>243</v>
      </c>
      <c r="S1776" s="20">
        <v>0.9</v>
      </c>
    </row>
    <row r="1777" spans="8:19" x14ac:dyDescent="0.25">
      <c r="H1777">
        <v>10</v>
      </c>
      <c r="I1777">
        <v>759</v>
      </c>
      <c r="J1777">
        <v>350</v>
      </c>
      <c r="K1777" t="b">
        <v>1</v>
      </c>
      <c r="N1777" s="30" t="s">
        <v>552</v>
      </c>
      <c r="O1777" s="2">
        <f>INDEX(Маршруты,MATCH(N1777,$B$3:$B$498,0),1)</f>
        <v>77</v>
      </c>
      <c r="P1777" s="27">
        <v>20</v>
      </c>
      <c r="Q1777" s="2">
        <f>INDEX(Остановки,MATCH(R1777,ИД_Остановки!$B$3:$B$467,0),1)</f>
        <v>228</v>
      </c>
      <c r="R1777" s="45" t="s">
        <v>127</v>
      </c>
      <c r="S1777" s="20">
        <v>1.18</v>
      </c>
    </row>
    <row r="1778" spans="8:19" x14ac:dyDescent="0.25">
      <c r="H1778">
        <v>10</v>
      </c>
      <c r="I1778">
        <v>770</v>
      </c>
      <c r="J1778">
        <v>350</v>
      </c>
      <c r="K1778" t="b">
        <v>1</v>
      </c>
      <c r="N1778" s="25" t="s">
        <v>552</v>
      </c>
      <c r="O1778" s="2">
        <f>INDEX(Маршруты,MATCH(N1778,$B$3:$B$498,0),1)</f>
        <v>77</v>
      </c>
      <c r="P1778" s="27">
        <v>21</v>
      </c>
      <c r="Q1778" s="2">
        <f>INDEX(Остановки,MATCH(R1778,ИД_Остановки!$B$3:$B$467,0),1)</f>
        <v>238</v>
      </c>
      <c r="R1778" s="45" t="s">
        <v>131</v>
      </c>
      <c r="S1778" s="20">
        <v>0.94</v>
      </c>
    </row>
    <row r="1779" spans="8:19" x14ac:dyDescent="0.25">
      <c r="H1779">
        <v>10</v>
      </c>
      <c r="I1779">
        <v>781</v>
      </c>
      <c r="J1779">
        <v>350</v>
      </c>
      <c r="K1779" t="b">
        <v>1</v>
      </c>
      <c r="N1779" s="25" t="s">
        <v>552</v>
      </c>
      <c r="O1779" s="2">
        <f>INDEX(Маршруты,MATCH(N1779,$B$3:$B$498,0),1)</f>
        <v>77</v>
      </c>
      <c r="P1779" s="27">
        <v>22</v>
      </c>
      <c r="Q1779" s="2">
        <f>INDEX(Остановки,MATCH(R1779,ИД_Остановки!$B$3:$B$467,0),1)</f>
        <v>257</v>
      </c>
      <c r="R1779" s="45" t="s">
        <v>377</v>
      </c>
      <c r="S1779" s="20">
        <v>0.56000000000000005</v>
      </c>
    </row>
    <row r="1780" spans="8:19" x14ac:dyDescent="0.25">
      <c r="H1780">
        <v>10</v>
      </c>
      <c r="I1780">
        <v>792</v>
      </c>
      <c r="J1780">
        <v>350</v>
      </c>
      <c r="K1780" t="b">
        <v>1</v>
      </c>
      <c r="N1780" s="32" t="s">
        <v>552</v>
      </c>
      <c r="O1780" s="2">
        <f>INDEX(Маршруты,MATCH(N1780,$B$3:$B$498,0),1)</f>
        <v>77</v>
      </c>
      <c r="P1780" s="27">
        <v>23</v>
      </c>
      <c r="Q1780" s="2">
        <f>INDEX(Остановки,MATCH(R1780,ИД_Остановки!$B$3:$B$467,0),1)</f>
        <v>255</v>
      </c>
      <c r="R1780" s="45" t="s">
        <v>137</v>
      </c>
      <c r="S1780" s="20">
        <v>0.61</v>
      </c>
    </row>
    <row r="1781" spans="8:19" x14ac:dyDescent="0.25">
      <c r="H1781">
        <v>10</v>
      </c>
      <c r="I1781">
        <v>803</v>
      </c>
      <c r="J1781">
        <v>350</v>
      </c>
      <c r="K1781" t="b">
        <v>1</v>
      </c>
      <c r="N1781" s="30" t="s">
        <v>552</v>
      </c>
      <c r="O1781" s="2">
        <f>INDEX(Маршруты,MATCH(N1781,$B$3:$B$498,0),1)</f>
        <v>77</v>
      </c>
      <c r="P1781" s="27">
        <v>24</v>
      </c>
      <c r="Q1781" s="2">
        <f>INDEX(Остановки,MATCH(R1781,ИД_Остановки!$B$3:$B$467,0),1)</f>
        <v>200</v>
      </c>
      <c r="R1781" s="45" t="s">
        <v>119</v>
      </c>
      <c r="S1781" s="20">
        <v>0.67</v>
      </c>
    </row>
    <row r="1782" spans="8:19" x14ac:dyDescent="0.25">
      <c r="H1782">
        <v>10</v>
      </c>
      <c r="I1782">
        <v>814</v>
      </c>
      <c r="J1782">
        <v>350</v>
      </c>
      <c r="K1782" t="b">
        <v>1</v>
      </c>
      <c r="N1782" s="25" t="s">
        <v>552</v>
      </c>
      <c r="O1782" s="2">
        <f>INDEX(Маршруты,MATCH(N1782,$B$3:$B$498,0),1)</f>
        <v>77</v>
      </c>
      <c r="P1782" s="27">
        <v>25</v>
      </c>
      <c r="Q1782" s="2">
        <f>INDEX(Остановки,MATCH(R1782,ИД_Остановки!$B$3:$B$467,0),1)</f>
        <v>199</v>
      </c>
      <c r="R1782" s="45" t="s">
        <v>118</v>
      </c>
      <c r="S1782" s="20">
        <v>0.75</v>
      </c>
    </row>
    <row r="1783" spans="8:19" x14ac:dyDescent="0.25">
      <c r="H1783">
        <v>10</v>
      </c>
      <c r="I1783">
        <v>825</v>
      </c>
      <c r="J1783">
        <v>350</v>
      </c>
      <c r="K1783" t="b">
        <v>1</v>
      </c>
      <c r="N1783" s="25" t="s">
        <v>552</v>
      </c>
      <c r="O1783" s="2">
        <f>INDEX(Маршруты,MATCH(N1783,$B$3:$B$498,0),1)</f>
        <v>77</v>
      </c>
      <c r="P1783" s="27">
        <v>26</v>
      </c>
      <c r="Q1783" s="2">
        <f>INDEX(Остановки,MATCH(R1783,ИД_Остановки!$B$3:$B$467,0),1)</f>
        <v>22</v>
      </c>
      <c r="R1783" s="45" t="s">
        <v>22</v>
      </c>
      <c r="S1783" s="20">
        <v>0.42</v>
      </c>
    </row>
    <row r="1784" spans="8:19" x14ac:dyDescent="0.25">
      <c r="H1784">
        <v>10</v>
      </c>
      <c r="I1784">
        <v>836</v>
      </c>
      <c r="J1784">
        <v>350</v>
      </c>
      <c r="K1784" t="b">
        <v>1</v>
      </c>
      <c r="N1784" s="30" t="s">
        <v>552</v>
      </c>
      <c r="O1784" s="2">
        <f>INDEX(Маршруты,MATCH(N1784,$B$3:$B$498,0),1)</f>
        <v>77</v>
      </c>
      <c r="P1784" s="27">
        <v>27</v>
      </c>
      <c r="Q1784" s="2">
        <f>INDEX(Остановки,MATCH(R1784,ИД_Остановки!$B$3:$B$467,0),1)</f>
        <v>337</v>
      </c>
      <c r="R1784" s="45" t="s">
        <v>407</v>
      </c>
      <c r="S1784" s="20">
        <v>0.39</v>
      </c>
    </row>
    <row r="1785" spans="8:19" x14ac:dyDescent="0.25">
      <c r="H1785">
        <v>10</v>
      </c>
      <c r="I1785">
        <v>847</v>
      </c>
      <c r="J1785">
        <v>350</v>
      </c>
      <c r="K1785" t="b">
        <v>1</v>
      </c>
      <c r="N1785" s="30" t="s">
        <v>552</v>
      </c>
      <c r="O1785" s="2">
        <f>INDEX(Маршруты,MATCH(N1785,$B$3:$B$498,0),1)</f>
        <v>77</v>
      </c>
      <c r="P1785" s="27">
        <v>28</v>
      </c>
      <c r="Q1785" s="2">
        <f>INDEX(Остановки,MATCH(R1785,ИД_Остановки!$B$3:$B$467,0),1)</f>
        <v>160</v>
      </c>
      <c r="R1785" s="45" t="s">
        <v>323</v>
      </c>
      <c r="S1785" s="20">
        <v>0.6</v>
      </c>
    </row>
    <row r="1786" spans="8:19" x14ac:dyDescent="0.25">
      <c r="H1786">
        <v>10</v>
      </c>
      <c r="I1786">
        <v>858</v>
      </c>
      <c r="J1786">
        <v>350</v>
      </c>
      <c r="K1786" t="b">
        <v>1</v>
      </c>
      <c r="N1786" s="25" t="s">
        <v>552</v>
      </c>
      <c r="O1786" s="2">
        <f>INDEX(Маршруты,MATCH(N1786,$B$3:$B$498,0),1)</f>
        <v>77</v>
      </c>
      <c r="P1786" s="28">
        <v>29</v>
      </c>
      <c r="Q1786" s="2">
        <f>INDEX(Остановки,MATCH(R1786,ИД_Остановки!$B$3:$B$467,0),1)</f>
        <v>254</v>
      </c>
      <c r="R1786" s="24" t="s">
        <v>136</v>
      </c>
      <c r="S1786" s="20">
        <v>0.49</v>
      </c>
    </row>
    <row r="1787" spans="8:19" x14ac:dyDescent="0.25">
      <c r="H1787">
        <v>10</v>
      </c>
      <c r="I1787">
        <v>869</v>
      </c>
      <c r="J1787">
        <v>350</v>
      </c>
      <c r="K1787" t="b">
        <v>1</v>
      </c>
      <c r="N1787" s="30" t="s">
        <v>552</v>
      </c>
      <c r="O1787" s="2">
        <f>INDEX(Маршруты,MATCH(N1787,$B$3:$B$498,0),1)</f>
        <v>77</v>
      </c>
      <c r="P1787" s="27">
        <v>30</v>
      </c>
      <c r="Q1787" s="2">
        <f>INDEX(Остановки,MATCH(R1787,ИД_Остановки!$B$3:$B$467,0),1)</f>
        <v>288</v>
      </c>
      <c r="R1787" s="45" t="s">
        <v>388</v>
      </c>
      <c r="S1787" s="20">
        <v>0.79</v>
      </c>
    </row>
    <row r="1788" spans="8:19" x14ac:dyDescent="0.25">
      <c r="H1788">
        <v>10</v>
      </c>
      <c r="I1788">
        <v>880</v>
      </c>
      <c r="J1788">
        <v>350</v>
      </c>
      <c r="K1788" t="b">
        <v>1</v>
      </c>
      <c r="N1788" s="25" t="s">
        <v>552</v>
      </c>
      <c r="O1788" s="2">
        <f>INDEX(Маршруты,MATCH(N1788,$B$3:$B$498,0),1)</f>
        <v>77</v>
      </c>
      <c r="P1788" s="27">
        <v>31</v>
      </c>
      <c r="Q1788" s="2">
        <f>INDEX(Остановки,MATCH(R1788,ИД_Остановки!$B$3:$B$467,0),1)</f>
        <v>252</v>
      </c>
      <c r="R1788" s="45" t="s">
        <v>135</v>
      </c>
      <c r="S1788" s="20">
        <v>0.28999999999999998</v>
      </c>
    </row>
    <row r="1789" spans="8:19" x14ac:dyDescent="0.25">
      <c r="H1789">
        <v>10</v>
      </c>
      <c r="I1789">
        <v>891</v>
      </c>
      <c r="J1789">
        <v>350</v>
      </c>
      <c r="K1789" t="b">
        <v>1</v>
      </c>
      <c r="N1789" s="25" t="s">
        <v>552</v>
      </c>
      <c r="O1789" s="2">
        <f>INDEX(Маршруты,MATCH(N1789,$B$3:$B$498,0),1)</f>
        <v>77</v>
      </c>
      <c r="P1789" s="27">
        <v>32</v>
      </c>
      <c r="Q1789" s="2">
        <f>INDEX(Остановки,MATCH(R1789,ИД_Остановки!$B$3:$B$467,0),1)</f>
        <v>236</v>
      </c>
      <c r="R1789" s="24" t="s">
        <v>130</v>
      </c>
      <c r="S1789" s="20">
        <v>0.59</v>
      </c>
    </row>
    <row r="1790" spans="8:19" x14ac:dyDescent="0.25">
      <c r="H1790">
        <v>10</v>
      </c>
      <c r="I1790">
        <v>902</v>
      </c>
      <c r="J1790">
        <v>350</v>
      </c>
      <c r="K1790" t="b">
        <v>1</v>
      </c>
      <c r="N1790" s="25" t="s">
        <v>552</v>
      </c>
      <c r="O1790" s="2">
        <f>INDEX(Маршруты,MATCH(N1790,$B$3:$B$498,0),1)</f>
        <v>77</v>
      </c>
      <c r="P1790" s="27">
        <v>33</v>
      </c>
      <c r="Q1790" s="2">
        <f>INDEX(Остановки,MATCH(R1790,ИД_Остановки!$B$3:$B$467,0),1)</f>
        <v>245</v>
      </c>
      <c r="R1790" s="45" t="s">
        <v>369</v>
      </c>
      <c r="S1790" s="20">
        <v>0.38</v>
      </c>
    </row>
    <row r="1791" spans="8:19" x14ac:dyDescent="0.25">
      <c r="H1791">
        <v>10</v>
      </c>
      <c r="I1791">
        <v>913</v>
      </c>
      <c r="J1791">
        <v>350</v>
      </c>
      <c r="K1791" t="b">
        <v>1</v>
      </c>
      <c r="N1791" s="26" t="s">
        <v>552</v>
      </c>
      <c r="O1791" s="2">
        <f>INDEX(Маршруты,MATCH(N1791,$B$3:$B$498,0),1)</f>
        <v>77</v>
      </c>
      <c r="P1791" s="27">
        <v>34</v>
      </c>
      <c r="Q1791" s="2">
        <f>INDEX(Остановки,MATCH(R1791,ИД_Остановки!$B$3:$B$467,0),1)</f>
        <v>258</v>
      </c>
      <c r="R1791" s="45" t="s">
        <v>378</v>
      </c>
      <c r="S1791" s="20">
        <v>0.3</v>
      </c>
    </row>
    <row r="1792" spans="8:19" x14ac:dyDescent="0.25">
      <c r="H1792">
        <v>10</v>
      </c>
      <c r="I1792">
        <v>924</v>
      </c>
      <c r="J1792">
        <v>350</v>
      </c>
      <c r="K1792" t="b">
        <v>1</v>
      </c>
      <c r="N1792" s="25" t="s">
        <v>552</v>
      </c>
      <c r="O1792" s="2">
        <f>INDEX(Маршруты,MATCH(N1792,$B$3:$B$498,0),1)</f>
        <v>77</v>
      </c>
      <c r="P1792" s="27">
        <v>35</v>
      </c>
      <c r="Q1792" s="2">
        <f>INDEX(Остановки,MATCH(R1792,ИД_Остановки!$B$3:$B$467,0),1)</f>
        <v>244</v>
      </c>
      <c r="R1792" s="45" t="s">
        <v>133</v>
      </c>
      <c r="S1792" s="20">
        <v>0.215</v>
      </c>
    </row>
    <row r="1793" spans="8:19" x14ac:dyDescent="0.25">
      <c r="H1793">
        <v>10</v>
      </c>
      <c r="I1793">
        <v>935</v>
      </c>
      <c r="J1793">
        <v>350</v>
      </c>
      <c r="K1793" t="b">
        <v>1</v>
      </c>
      <c r="N1793" s="30" t="s">
        <v>552</v>
      </c>
      <c r="O1793" s="2">
        <f>INDEX(Маршруты,MATCH(N1793,$B$3:$B$498,0),1)</f>
        <v>77</v>
      </c>
      <c r="P1793" s="27">
        <v>36</v>
      </c>
      <c r="Q1793" s="2">
        <f>INDEX(Остановки,MATCH(R1793,ИД_Остановки!$B$3:$B$467,0),1)</f>
        <v>251</v>
      </c>
      <c r="R1793" s="45" t="s">
        <v>164</v>
      </c>
      <c r="S1793" s="20">
        <v>0.64</v>
      </c>
    </row>
    <row r="1794" spans="8:19" x14ac:dyDescent="0.25">
      <c r="H1794">
        <v>10</v>
      </c>
      <c r="I1794">
        <v>946</v>
      </c>
      <c r="J1794">
        <v>350</v>
      </c>
      <c r="K1794" t="b">
        <v>1</v>
      </c>
      <c r="N1794" s="25" t="s">
        <v>552</v>
      </c>
      <c r="O1794" s="2">
        <f>INDEX(Маршруты,MATCH(N1794,$B$3:$B$498,0),1)</f>
        <v>77</v>
      </c>
      <c r="P1794" s="27">
        <v>37</v>
      </c>
      <c r="Q1794" s="2">
        <f>INDEX(Остановки,MATCH(R1794,ИД_Остановки!$B$3:$B$467,0),1)</f>
        <v>243</v>
      </c>
      <c r="R1794" s="45" t="s">
        <v>368</v>
      </c>
      <c r="S1794" s="20">
        <v>0.7</v>
      </c>
    </row>
    <row r="1795" spans="8:19" x14ac:dyDescent="0.25">
      <c r="H1795">
        <v>11</v>
      </c>
      <c r="I1795">
        <v>0</v>
      </c>
      <c r="J1795">
        <v>115</v>
      </c>
      <c r="K1795" t="b">
        <v>1</v>
      </c>
      <c r="N1795" s="26" t="s">
        <v>552</v>
      </c>
      <c r="O1795" s="2">
        <f>INDEX(Маршруты,MATCH(N1795,$B$3:$B$498,0),1)</f>
        <v>77</v>
      </c>
      <c r="P1795" s="27">
        <v>38</v>
      </c>
      <c r="Q1795" s="2">
        <f>INDEX(Остановки,MATCH(R1795,ИД_Остановки!$B$3:$B$467,0),1)</f>
        <v>222</v>
      </c>
      <c r="R1795" s="45" t="s">
        <v>354</v>
      </c>
      <c r="S1795" s="20">
        <v>0.36</v>
      </c>
    </row>
    <row r="1796" spans="8:19" x14ac:dyDescent="0.25">
      <c r="H1796">
        <v>11</v>
      </c>
      <c r="I1796">
        <v>19</v>
      </c>
      <c r="J1796">
        <v>115</v>
      </c>
      <c r="K1796" t="b">
        <v>1</v>
      </c>
      <c r="N1796" s="30" t="s">
        <v>552</v>
      </c>
      <c r="O1796" s="2">
        <f>INDEX(Маршруты,MATCH(N1796,$B$3:$B$498,0),1)</f>
        <v>77</v>
      </c>
      <c r="P1796" s="27">
        <v>39</v>
      </c>
      <c r="Q1796" s="2">
        <f>INDEX(Остановки,MATCH(R1796,ИД_Остановки!$B$3:$B$467,0),1)</f>
        <v>250</v>
      </c>
      <c r="R1796" s="45" t="s">
        <v>373</v>
      </c>
      <c r="S1796" s="20">
        <v>0.64</v>
      </c>
    </row>
    <row r="1797" spans="8:19" x14ac:dyDescent="0.25">
      <c r="H1797">
        <v>11</v>
      </c>
      <c r="I1797">
        <v>38</v>
      </c>
      <c r="J1797">
        <v>115</v>
      </c>
      <c r="K1797" t="b">
        <v>1</v>
      </c>
      <c r="N1797" s="25" t="s">
        <v>552</v>
      </c>
      <c r="O1797" s="2">
        <f>INDEX(Маршруты,MATCH(N1797,$B$3:$B$498,0),1)</f>
        <v>77</v>
      </c>
      <c r="P1797" s="27">
        <v>40</v>
      </c>
      <c r="Q1797" s="2">
        <f>INDEX(Остановки,MATCH(R1797,ИД_Остановки!$B$3:$B$467,0),1)</f>
        <v>249</v>
      </c>
      <c r="R1797" s="45" t="s">
        <v>372</v>
      </c>
      <c r="S1797" s="20">
        <v>0.32</v>
      </c>
    </row>
    <row r="1798" spans="8:19" x14ac:dyDescent="0.25">
      <c r="H1798">
        <v>11</v>
      </c>
      <c r="I1798">
        <v>57</v>
      </c>
      <c r="J1798">
        <v>115</v>
      </c>
      <c r="K1798" t="b">
        <v>1</v>
      </c>
      <c r="N1798" s="23" t="s">
        <v>552</v>
      </c>
      <c r="O1798" s="2">
        <f>INDEX(Маршруты,MATCH(N1798,$B$3:$B$498,0),1)</f>
        <v>77</v>
      </c>
      <c r="P1798" s="27">
        <v>41</v>
      </c>
      <c r="Q1798" s="2">
        <f>INDEX(Остановки,MATCH(R1798,ИД_Остановки!$B$3:$B$467,0),1)</f>
        <v>248</v>
      </c>
      <c r="R1798" s="45" t="s">
        <v>617</v>
      </c>
      <c r="S1798" s="20">
        <v>0.77</v>
      </c>
    </row>
    <row r="1799" spans="8:19" x14ac:dyDescent="0.25">
      <c r="H1799">
        <v>11</v>
      </c>
      <c r="I1799">
        <v>76</v>
      </c>
      <c r="J1799">
        <v>115</v>
      </c>
      <c r="K1799" t="b">
        <v>1</v>
      </c>
      <c r="N1799" s="26" t="s">
        <v>552</v>
      </c>
      <c r="O1799" s="2">
        <f>INDEX(Маршруты,MATCH(N1799,$B$3:$B$498,0),1)</f>
        <v>77</v>
      </c>
      <c r="P1799" s="27">
        <v>42</v>
      </c>
      <c r="Q1799" s="2">
        <f>INDEX(Остановки,MATCH(R1799,ИД_Остановки!$B$3:$B$467,0),1)</f>
        <v>294</v>
      </c>
      <c r="R1799" s="45" t="s">
        <v>389</v>
      </c>
      <c r="S1799" s="20">
        <v>0.61</v>
      </c>
    </row>
    <row r="1800" spans="8:19" x14ac:dyDescent="0.25">
      <c r="H1800">
        <v>11</v>
      </c>
      <c r="I1800">
        <v>95</v>
      </c>
      <c r="J1800">
        <v>115</v>
      </c>
      <c r="K1800" t="b">
        <v>1</v>
      </c>
      <c r="N1800" s="25" t="s">
        <v>552</v>
      </c>
      <c r="O1800" s="2">
        <f>INDEX(Маршруты,MATCH(N1800,$B$3:$B$498,0),1)</f>
        <v>77</v>
      </c>
      <c r="P1800" s="27">
        <v>43</v>
      </c>
      <c r="Q1800" s="2">
        <f>INDEX(Остановки,MATCH(R1800,ИД_Остановки!$B$3:$B$467,0),1)</f>
        <v>292</v>
      </c>
      <c r="R1800" s="45" t="s">
        <v>162</v>
      </c>
      <c r="S1800" s="20">
        <v>0.43</v>
      </c>
    </row>
    <row r="1801" spans="8:19" x14ac:dyDescent="0.25">
      <c r="H1801">
        <v>11</v>
      </c>
      <c r="I1801">
        <v>114</v>
      </c>
      <c r="J1801">
        <v>115</v>
      </c>
      <c r="K1801" t="b">
        <v>1</v>
      </c>
      <c r="N1801" s="30" t="s">
        <v>552</v>
      </c>
      <c r="O1801" s="2">
        <f>INDEX(Маршруты,MATCH(N1801,$B$3:$B$498,0),1)</f>
        <v>77</v>
      </c>
      <c r="P1801" s="27">
        <v>44</v>
      </c>
      <c r="Q1801" s="2">
        <f>INDEX(Остановки,MATCH(R1801,ИД_Остановки!$B$3:$B$467,0),1)</f>
        <v>293</v>
      </c>
      <c r="R1801" s="45" t="s">
        <v>163</v>
      </c>
      <c r="S1801" s="20">
        <v>0.49</v>
      </c>
    </row>
    <row r="1802" spans="8:19" x14ac:dyDescent="0.25">
      <c r="H1802">
        <v>11</v>
      </c>
      <c r="I1802">
        <v>133</v>
      </c>
      <c r="J1802">
        <v>115</v>
      </c>
      <c r="K1802" t="b">
        <v>1</v>
      </c>
      <c r="N1802" s="30" t="s">
        <v>552</v>
      </c>
      <c r="O1802" s="2">
        <f>INDEX(Маршруты,MATCH(N1802,$B$3:$B$498,0),1)</f>
        <v>77</v>
      </c>
      <c r="P1802" s="27">
        <v>45</v>
      </c>
      <c r="Q1802" s="2">
        <f>INDEX(Остановки,MATCH(R1802,ИД_Остановки!$B$3:$B$467,0),1)</f>
        <v>221</v>
      </c>
      <c r="R1802" s="45" t="s">
        <v>353</v>
      </c>
      <c r="S1802" s="20">
        <v>0.95</v>
      </c>
    </row>
    <row r="1803" spans="8:19" x14ac:dyDescent="0.25">
      <c r="H1803">
        <v>11</v>
      </c>
      <c r="I1803">
        <v>152</v>
      </c>
      <c r="J1803">
        <v>115</v>
      </c>
      <c r="K1803" t="b">
        <v>1</v>
      </c>
      <c r="N1803" s="25" t="s">
        <v>552</v>
      </c>
      <c r="O1803" s="2">
        <f>INDEX(Маршруты,MATCH(N1803,$B$3:$B$498,0),1)</f>
        <v>77</v>
      </c>
      <c r="P1803" s="27">
        <v>46</v>
      </c>
      <c r="Q1803" s="2">
        <f>INDEX(Остановки,MATCH(R1803,ИД_Остановки!$B$3:$B$467,0),1)</f>
        <v>168</v>
      </c>
      <c r="R1803" s="45" t="s">
        <v>105</v>
      </c>
      <c r="S1803" s="20">
        <v>0.97</v>
      </c>
    </row>
    <row r="1804" spans="8:19" x14ac:dyDescent="0.25">
      <c r="H1804">
        <v>11</v>
      </c>
      <c r="I1804">
        <v>171</v>
      </c>
      <c r="J1804">
        <v>115</v>
      </c>
      <c r="K1804" t="b">
        <v>1</v>
      </c>
      <c r="N1804" s="26" t="s">
        <v>552</v>
      </c>
      <c r="O1804" s="2">
        <f>INDEX(Маршруты,MATCH(N1804,$B$3:$B$498,0),1)</f>
        <v>77</v>
      </c>
      <c r="P1804" s="27">
        <v>47</v>
      </c>
      <c r="Q1804" s="2">
        <f>INDEX(Остановки,MATCH(R1804,ИД_Остановки!$B$3:$B$467,0),1)</f>
        <v>169</v>
      </c>
      <c r="R1804" s="45" t="s">
        <v>106</v>
      </c>
      <c r="S1804" s="20">
        <v>0.63</v>
      </c>
    </row>
    <row r="1805" spans="8:19" x14ac:dyDescent="0.25">
      <c r="H1805">
        <v>11</v>
      </c>
      <c r="I1805">
        <v>190</v>
      </c>
      <c r="J1805">
        <v>115</v>
      </c>
      <c r="K1805" t="b">
        <v>1</v>
      </c>
      <c r="N1805" s="25" t="s">
        <v>552</v>
      </c>
      <c r="O1805" s="2">
        <f>INDEX(Маршруты,MATCH(N1805,$B$3:$B$498,0),1)</f>
        <v>77</v>
      </c>
      <c r="P1805" s="27">
        <v>48</v>
      </c>
      <c r="Q1805" s="2">
        <f>INDEX(Остановки,MATCH(R1805,ИД_Остановки!$B$3:$B$467,0),1)</f>
        <v>170</v>
      </c>
      <c r="R1805" s="45" t="s">
        <v>107</v>
      </c>
      <c r="S1805" s="20">
        <v>1.84</v>
      </c>
    </row>
    <row r="1806" spans="8:19" x14ac:dyDescent="0.25">
      <c r="H1806">
        <v>11</v>
      </c>
      <c r="I1806">
        <v>209</v>
      </c>
      <c r="J1806">
        <v>115</v>
      </c>
      <c r="K1806" t="b">
        <v>1</v>
      </c>
      <c r="N1806" s="25" t="s">
        <v>552</v>
      </c>
      <c r="O1806" s="2">
        <f>INDEX(Маршруты,MATCH(N1806,$B$3:$B$498,0),1)</f>
        <v>77</v>
      </c>
      <c r="P1806" s="28">
        <v>49</v>
      </c>
      <c r="Q1806" s="2">
        <f>INDEX(Остановки,MATCH(R1806,ИД_Остановки!$B$3:$B$467,0),1)</f>
        <v>171</v>
      </c>
      <c r="R1806" s="24" t="s">
        <v>108</v>
      </c>
      <c r="S1806" s="20">
        <v>0.68</v>
      </c>
    </row>
    <row r="1807" spans="8:19" x14ac:dyDescent="0.25">
      <c r="H1807">
        <v>11</v>
      </c>
      <c r="I1807">
        <v>228</v>
      </c>
      <c r="J1807">
        <v>115</v>
      </c>
      <c r="K1807" t="b">
        <v>1</v>
      </c>
      <c r="N1807" s="30" t="s">
        <v>552</v>
      </c>
      <c r="O1807" s="2">
        <f>INDEX(Маршруты,MATCH(N1807,$B$3:$B$498,0),1)</f>
        <v>77</v>
      </c>
      <c r="P1807" s="27">
        <v>50</v>
      </c>
      <c r="Q1807" s="2">
        <f>INDEX(Остановки,MATCH(R1807,ИД_Остановки!$B$3:$B$467,0),1)</f>
        <v>172</v>
      </c>
      <c r="R1807" s="45" t="s">
        <v>109</v>
      </c>
      <c r="S1807" s="20">
        <v>0.75</v>
      </c>
    </row>
    <row r="1808" spans="8:19" x14ac:dyDescent="0.25">
      <c r="H1808">
        <v>11</v>
      </c>
      <c r="I1808">
        <v>247</v>
      </c>
      <c r="J1808">
        <v>115</v>
      </c>
      <c r="K1808" t="b">
        <v>1</v>
      </c>
      <c r="N1808" s="25" t="s">
        <v>552</v>
      </c>
      <c r="O1808" s="2">
        <f>INDEX(Маршруты,MATCH(N1808,$B$3:$B$498,0),1)</f>
        <v>77</v>
      </c>
      <c r="P1808" s="27">
        <v>51</v>
      </c>
      <c r="Q1808" s="2">
        <f>INDEX(Остановки,MATCH(R1808,ИД_Остановки!$B$3:$B$467,0),1)</f>
        <v>173</v>
      </c>
      <c r="R1808" s="45" t="s">
        <v>325</v>
      </c>
      <c r="S1808" s="20">
        <v>0.79</v>
      </c>
    </row>
    <row r="1809" spans="8:19" x14ac:dyDescent="0.25">
      <c r="H1809">
        <v>11</v>
      </c>
      <c r="I1809">
        <v>266</v>
      </c>
      <c r="J1809">
        <v>115</v>
      </c>
      <c r="K1809" t="b">
        <v>1</v>
      </c>
      <c r="N1809" s="30" t="s">
        <v>552</v>
      </c>
      <c r="O1809" s="2">
        <f>INDEX(Маршруты,MATCH(N1809,$B$3:$B$498,0),1)</f>
        <v>77</v>
      </c>
      <c r="P1809" s="27">
        <v>52</v>
      </c>
      <c r="Q1809" s="2">
        <f>INDEX(Остановки,MATCH(R1809,ИД_Остановки!$B$3:$B$467,0),1)</f>
        <v>174</v>
      </c>
      <c r="R1809" s="45" t="s">
        <v>326</v>
      </c>
      <c r="S1809" s="20">
        <v>0.79</v>
      </c>
    </row>
    <row r="1810" spans="8:19" x14ac:dyDescent="0.25">
      <c r="H1810">
        <v>11</v>
      </c>
      <c r="I1810">
        <v>285</v>
      </c>
      <c r="J1810">
        <v>115</v>
      </c>
      <c r="K1810" t="b">
        <v>1</v>
      </c>
      <c r="N1810" s="25" t="s">
        <v>552</v>
      </c>
      <c r="O1810" s="2">
        <f>INDEX(Маршруты,MATCH(N1810,$B$3:$B$498,0),1)</f>
        <v>77</v>
      </c>
      <c r="P1810" s="28">
        <v>53</v>
      </c>
      <c r="Q1810" s="2">
        <f>INDEX(Остановки,MATCH(R1810,ИД_Остановки!$B$3:$B$467,0),1)</f>
        <v>175</v>
      </c>
      <c r="R1810" s="24" t="s">
        <v>327</v>
      </c>
      <c r="S1810" s="20">
        <v>0.89</v>
      </c>
    </row>
    <row r="1811" spans="8:19" x14ac:dyDescent="0.25">
      <c r="H1811">
        <v>11</v>
      </c>
      <c r="I1811">
        <v>304</v>
      </c>
      <c r="J1811">
        <v>115</v>
      </c>
      <c r="K1811" t="b">
        <v>1</v>
      </c>
      <c r="N1811" s="25" t="s">
        <v>552</v>
      </c>
      <c r="O1811" s="2">
        <f>INDEX(Маршруты,MATCH(N1811,$B$3:$B$498,0),1)</f>
        <v>77</v>
      </c>
      <c r="P1811" s="27">
        <v>54</v>
      </c>
      <c r="Q1811" s="2">
        <f>INDEX(Остановки,MATCH(R1811,ИД_Остановки!$B$3:$B$467,0),1)</f>
        <v>53</v>
      </c>
      <c r="R1811" s="45" t="s">
        <v>44</v>
      </c>
      <c r="S1811" s="20">
        <v>1.44</v>
      </c>
    </row>
    <row r="1812" spans="8:19" x14ac:dyDescent="0.25">
      <c r="H1812">
        <v>11</v>
      </c>
      <c r="I1812">
        <v>323</v>
      </c>
      <c r="J1812">
        <v>115</v>
      </c>
      <c r="K1812" t="b">
        <v>1</v>
      </c>
      <c r="N1812" s="25" t="s">
        <v>552</v>
      </c>
      <c r="O1812" s="2">
        <f>INDEX(Маршруты,MATCH(N1812,$B$3:$B$498,0),1)</f>
        <v>77</v>
      </c>
      <c r="P1812" s="27">
        <v>55</v>
      </c>
      <c r="Q1812" s="2">
        <f>INDEX(Остановки,MATCH(R1812,ИД_Остановки!$B$3:$B$467,0),1)</f>
        <v>176</v>
      </c>
      <c r="R1812" s="45" t="s">
        <v>111</v>
      </c>
      <c r="S1812" s="20">
        <v>0.64</v>
      </c>
    </row>
    <row r="1813" spans="8:19" x14ac:dyDescent="0.25">
      <c r="H1813">
        <v>11</v>
      </c>
      <c r="I1813">
        <v>342</v>
      </c>
      <c r="J1813">
        <v>115</v>
      </c>
      <c r="K1813" t="b">
        <v>1</v>
      </c>
      <c r="N1813" s="30" t="s">
        <v>552</v>
      </c>
      <c r="O1813" s="2">
        <f>INDEX(Маршруты,MATCH(N1813,$B$3:$B$498,0),1)</f>
        <v>77</v>
      </c>
      <c r="P1813" s="27">
        <v>56</v>
      </c>
      <c r="Q1813" s="2">
        <f>INDEX(Остановки,MATCH(R1813,ИД_Остановки!$B$3:$B$467,0),1)</f>
        <v>54</v>
      </c>
      <c r="R1813" s="45" t="s">
        <v>45</v>
      </c>
      <c r="S1813" s="20">
        <v>0.65</v>
      </c>
    </row>
    <row r="1814" spans="8:19" x14ac:dyDescent="0.25">
      <c r="H1814">
        <v>11</v>
      </c>
      <c r="I1814">
        <v>361</v>
      </c>
      <c r="J1814">
        <v>115</v>
      </c>
      <c r="K1814" t="b">
        <v>1</v>
      </c>
      <c r="N1814" s="30" t="s">
        <v>552</v>
      </c>
      <c r="O1814" s="2">
        <f>INDEX(Маршруты,MATCH(N1814,$B$3:$B$498,0),1)</f>
        <v>77</v>
      </c>
      <c r="P1814" s="27">
        <v>57</v>
      </c>
      <c r="Q1814" s="2">
        <f>INDEX(Остановки,MATCH(R1814,ИД_Остановки!$B$3:$B$467,0),1)</f>
        <v>55</v>
      </c>
      <c r="R1814" s="45" t="s">
        <v>263</v>
      </c>
      <c r="S1814" s="20">
        <v>0.37</v>
      </c>
    </row>
    <row r="1815" spans="8:19" x14ac:dyDescent="0.25">
      <c r="H1815">
        <v>11</v>
      </c>
      <c r="I1815">
        <v>380</v>
      </c>
      <c r="J1815">
        <v>115</v>
      </c>
      <c r="K1815" t="b">
        <v>1</v>
      </c>
      <c r="N1815" s="25" t="s">
        <v>552</v>
      </c>
      <c r="O1815" s="2">
        <f>INDEX(Маршруты,MATCH(N1815,$B$3:$B$498,0),1)</f>
        <v>77</v>
      </c>
      <c r="P1815" s="27">
        <v>58</v>
      </c>
      <c r="Q1815" s="2">
        <f>INDEX(Остановки,MATCH(R1815,ИД_Остановки!$B$3:$B$467,0),1)</f>
        <v>56</v>
      </c>
      <c r="R1815" s="45" t="s">
        <v>264</v>
      </c>
      <c r="S1815" s="20">
        <v>0.86</v>
      </c>
    </row>
    <row r="1816" spans="8:19" x14ac:dyDescent="0.25">
      <c r="H1816">
        <v>11</v>
      </c>
      <c r="I1816">
        <v>399</v>
      </c>
      <c r="J1816">
        <v>115</v>
      </c>
      <c r="K1816" t="b">
        <v>1</v>
      </c>
      <c r="N1816" s="30" t="s">
        <v>552</v>
      </c>
      <c r="O1816" s="2">
        <f>INDEX(Маршруты,MATCH(N1816,$B$3:$B$498,0),1)</f>
        <v>77</v>
      </c>
      <c r="P1816" s="27">
        <v>59</v>
      </c>
      <c r="Q1816" s="2">
        <f>INDEX(Остановки,MATCH(R1816,ИД_Остановки!$B$3:$B$467,0),1)</f>
        <v>57</v>
      </c>
      <c r="R1816" s="45" t="s">
        <v>47</v>
      </c>
      <c r="S1816" s="20">
        <v>0.48</v>
      </c>
    </row>
    <row r="1817" spans="8:19" x14ac:dyDescent="0.25">
      <c r="H1817">
        <v>11</v>
      </c>
      <c r="I1817">
        <v>418</v>
      </c>
      <c r="J1817">
        <v>115</v>
      </c>
      <c r="K1817" t="b">
        <v>1</v>
      </c>
      <c r="N1817" s="26" t="s">
        <v>553</v>
      </c>
      <c r="O1817" s="2">
        <f>INDEX(Маршруты,MATCH(N1817,$B$3:$B$498,0),1)</f>
        <v>78</v>
      </c>
      <c r="P1817" s="27">
        <v>1</v>
      </c>
      <c r="Q1817" s="2">
        <f>INDEX(Остановки,MATCH(R1817,ИД_Остановки!$B$3:$B$467,0),1)</f>
        <v>118</v>
      </c>
      <c r="R1817" s="45" t="s">
        <v>299</v>
      </c>
      <c r="S1817" s="20"/>
    </row>
    <row r="1818" spans="8:19" x14ac:dyDescent="0.25">
      <c r="H1818">
        <v>11</v>
      </c>
      <c r="I1818">
        <v>437</v>
      </c>
      <c r="J1818">
        <v>115</v>
      </c>
      <c r="K1818" t="b">
        <v>1</v>
      </c>
      <c r="N1818" s="30" t="s">
        <v>553</v>
      </c>
      <c r="O1818" s="2">
        <f>INDEX(Маршруты,MATCH(N1818,$B$3:$B$498,0),1)</f>
        <v>78</v>
      </c>
      <c r="P1818" s="27">
        <v>2</v>
      </c>
      <c r="Q1818" s="2">
        <f>INDEX(Остановки,MATCH(R1818,ИД_Остановки!$B$3:$B$467,0),1)</f>
        <v>119</v>
      </c>
      <c r="R1818" s="45" t="s">
        <v>629</v>
      </c>
      <c r="S1818" s="20">
        <v>0.51</v>
      </c>
    </row>
    <row r="1819" spans="8:19" x14ac:dyDescent="0.25">
      <c r="H1819">
        <v>11</v>
      </c>
      <c r="I1819">
        <v>456</v>
      </c>
      <c r="J1819">
        <v>115</v>
      </c>
      <c r="K1819" t="b">
        <v>1</v>
      </c>
      <c r="N1819" s="30" t="s">
        <v>553</v>
      </c>
      <c r="O1819" s="2">
        <f>INDEX(Маршруты,MATCH(N1819,$B$3:$B$498,0),1)</f>
        <v>78</v>
      </c>
      <c r="P1819" s="27">
        <v>3</v>
      </c>
      <c r="Q1819" s="2">
        <f>INDEX(Остановки,MATCH(R1819,ИД_Остановки!$B$3:$B$467,0),1)</f>
        <v>120</v>
      </c>
      <c r="R1819" s="24" t="s">
        <v>300</v>
      </c>
      <c r="S1819" s="20">
        <v>1.1200000000000001</v>
      </c>
    </row>
    <row r="1820" spans="8:19" x14ac:dyDescent="0.25">
      <c r="H1820">
        <v>11</v>
      </c>
      <c r="I1820">
        <v>475</v>
      </c>
      <c r="J1820">
        <v>115</v>
      </c>
      <c r="K1820" t="b">
        <v>1</v>
      </c>
      <c r="N1820" s="25" t="s">
        <v>553</v>
      </c>
      <c r="O1820" s="2">
        <f>INDEX(Маршруты,MATCH(N1820,$B$3:$B$498,0),1)</f>
        <v>78</v>
      </c>
      <c r="P1820" s="28">
        <v>4</v>
      </c>
      <c r="Q1820" s="2">
        <f>INDEX(Остановки,MATCH(R1820,ИД_Остановки!$B$3:$B$467,0),1)</f>
        <v>121</v>
      </c>
      <c r="R1820" s="24" t="s">
        <v>76</v>
      </c>
      <c r="S1820" s="20">
        <v>0.31</v>
      </c>
    </row>
    <row r="1821" spans="8:19" x14ac:dyDescent="0.25">
      <c r="H1821">
        <v>11</v>
      </c>
      <c r="I1821">
        <v>494</v>
      </c>
      <c r="J1821">
        <v>115</v>
      </c>
      <c r="K1821" t="b">
        <v>1</v>
      </c>
      <c r="N1821" s="25" t="s">
        <v>553</v>
      </c>
      <c r="O1821" s="2">
        <f>INDEX(Маршруты,MATCH(N1821,$B$3:$B$498,0),1)</f>
        <v>78</v>
      </c>
      <c r="P1821" s="27">
        <v>5</v>
      </c>
      <c r="Q1821" s="2">
        <f>INDEX(Остановки,MATCH(R1821,ИД_Остановки!$B$3:$B$467,0),1)</f>
        <v>122</v>
      </c>
      <c r="R1821" s="45" t="s">
        <v>77</v>
      </c>
      <c r="S1821" s="20">
        <v>0.32</v>
      </c>
    </row>
    <row r="1822" spans="8:19" x14ac:dyDescent="0.25">
      <c r="H1822">
        <v>11</v>
      </c>
      <c r="I1822">
        <v>513</v>
      </c>
      <c r="J1822">
        <v>115</v>
      </c>
      <c r="K1822" t="b">
        <v>1</v>
      </c>
      <c r="N1822" s="30" t="s">
        <v>553</v>
      </c>
      <c r="O1822" s="2">
        <f>INDEX(Маршруты,MATCH(N1822,$B$3:$B$498,0),1)</f>
        <v>78</v>
      </c>
      <c r="P1822" s="27">
        <v>6</v>
      </c>
      <c r="Q1822" s="2">
        <f>INDEX(Остановки,MATCH(R1822,ИД_Остановки!$B$3:$B$467,0),1)</f>
        <v>96</v>
      </c>
      <c r="R1822" s="45" t="s">
        <v>285</v>
      </c>
      <c r="S1822" s="20">
        <v>0.52</v>
      </c>
    </row>
    <row r="1823" spans="8:19" x14ac:dyDescent="0.25">
      <c r="H1823">
        <v>11</v>
      </c>
      <c r="I1823">
        <v>532</v>
      </c>
      <c r="J1823">
        <v>115</v>
      </c>
      <c r="K1823" t="b">
        <v>1</v>
      </c>
      <c r="N1823" s="26" t="s">
        <v>553</v>
      </c>
      <c r="O1823" s="2">
        <f>INDEX(Маршруты,MATCH(N1823,$B$3:$B$498,0),1)</f>
        <v>78</v>
      </c>
      <c r="P1823" s="27">
        <v>7</v>
      </c>
      <c r="Q1823" s="2">
        <f>INDEX(Остановки,MATCH(R1823,ИД_Остановки!$B$3:$B$467,0),1)</f>
        <v>123</v>
      </c>
      <c r="R1823" s="45" t="s">
        <v>301</v>
      </c>
      <c r="S1823" s="20">
        <v>0.6</v>
      </c>
    </row>
    <row r="1824" spans="8:19" x14ac:dyDescent="0.25">
      <c r="H1824">
        <v>11</v>
      </c>
      <c r="I1824">
        <v>551</v>
      </c>
      <c r="J1824">
        <v>115</v>
      </c>
      <c r="K1824" t="b">
        <v>1</v>
      </c>
      <c r="N1824" s="25" t="s">
        <v>553</v>
      </c>
      <c r="O1824" s="2">
        <f>INDEX(Маршруты,MATCH(N1824,$B$3:$B$498,0),1)</f>
        <v>78</v>
      </c>
      <c r="P1824" s="27">
        <v>8</v>
      </c>
      <c r="Q1824" s="2">
        <f>INDEX(Остановки,MATCH(R1824,ИД_Остановки!$B$3:$B$467,0),1)</f>
        <v>154</v>
      </c>
      <c r="R1824" s="45" t="s">
        <v>94</v>
      </c>
      <c r="S1824" s="20">
        <v>0.74</v>
      </c>
    </row>
    <row r="1825" spans="8:19" x14ac:dyDescent="0.25">
      <c r="H1825">
        <v>11</v>
      </c>
      <c r="I1825">
        <v>570</v>
      </c>
      <c r="J1825">
        <v>115</v>
      </c>
      <c r="K1825" t="b">
        <v>1</v>
      </c>
      <c r="N1825" s="25" t="s">
        <v>553</v>
      </c>
      <c r="O1825" s="2">
        <f>INDEX(Маршруты,MATCH(N1825,$B$3:$B$498,0),1)</f>
        <v>78</v>
      </c>
      <c r="P1825" s="28">
        <v>9</v>
      </c>
      <c r="Q1825" s="2">
        <f>INDEX(Остановки,MATCH(R1825,ИД_Остановки!$B$3:$B$467,0),1)</f>
        <v>432</v>
      </c>
      <c r="R1825" s="24" t="s">
        <v>488</v>
      </c>
      <c r="S1825" s="20">
        <v>0.79</v>
      </c>
    </row>
    <row r="1826" spans="8:19" x14ac:dyDescent="0.25">
      <c r="H1826">
        <v>11</v>
      </c>
      <c r="I1826">
        <v>589</v>
      </c>
      <c r="J1826">
        <v>115</v>
      </c>
      <c r="K1826" t="b">
        <v>1</v>
      </c>
      <c r="N1826" s="26" t="s">
        <v>553</v>
      </c>
      <c r="O1826" s="2">
        <f>INDEX(Маршруты,MATCH(N1826,$B$3:$B$498,0),1)</f>
        <v>78</v>
      </c>
      <c r="P1826" s="27">
        <v>10</v>
      </c>
      <c r="Q1826" s="2">
        <f>INDEX(Остановки,MATCH(R1826,ИД_Остановки!$B$3:$B$467,0),1)</f>
        <v>365</v>
      </c>
      <c r="R1826" s="45" t="s">
        <v>425</v>
      </c>
      <c r="S1826" s="20">
        <v>0.66</v>
      </c>
    </row>
    <row r="1827" spans="8:19" x14ac:dyDescent="0.25">
      <c r="H1827">
        <v>11</v>
      </c>
      <c r="I1827">
        <v>608</v>
      </c>
      <c r="J1827">
        <v>115</v>
      </c>
      <c r="K1827" t="b">
        <v>1</v>
      </c>
      <c r="N1827" s="25" t="s">
        <v>553</v>
      </c>
      <c r="O1827" s="2">
        <f>INDEX(Маршруты,MATCH(N1827,$B$3:$B$498,0),1)</f>
        <v>78</v>
      </c>
      <c r="P1827" s="27">
        <v>11</v>
      </c>
      <c r="Q1827" s="2">
        <f>INDEX(Остановки,MATCH(R1827,ИД_Остановки!$B$3:$B$467,0),1)</f>
        <v>433</v>
      </c>
      <c r="R1827" s="45" t="s">
        <v>489</v>
      </c>
      <c r="S1827" s="20">
        <v>0.68</v>
      </c>
    </row>
    <row r="1828" spans="8:19" x14ac:dyDescent="0.25">
      <c r="H1828">
        <v>11</v>
      </c>
      <c r="I1828">
        <v>627</v>
      </c>
      <c r="J1828">
        <v>115</v>
      </c>
      <c r="K1828" t="b">
        <v>1</v>
      </c>
      <c r="N1828" s="30" t="s">
        <v>553</v>
      </c>
      <c r="O1828" s="2">
        <f>INDEX(Маршруты,MATCH(N1828,$B$3:$B$498,0),1)</f>
        <v>78</v>
      </c>
      <c r="P1828" s="27">
        <v>12</v>
      </c>
      <c r="Q1828" s="2">
        <f>INDEX(Остановки,MATCH(R1828,ИД_Остановки!$B$3:$B$467,0),1)</f>
        <v>223</v>
      </c>
      <c r="R1828" s="45" t="s">
        <v>166</v>
      </c>
      <c r="S1828" s="20">
        <v>0.8</v>
      </c>
    </row>
    <row r="1829" spans="8:19" x14ac:dyDescent="0.25">
      <c r="H1829">
        <v>11</v>
      </c>
      <c r="I1829">
        <v>646</v>
      </c>
      <c r="J1829">
        <v>115</v>
      </c>
      <c r="K1829" t="b">
        <v>1</v>
      </c>
      <c r="N1829" s="30" t="s">
        <v>553</v>
      </c>
      <c r="O1829" s="2">
        <f>INDEX(Маршруты,MATCH(N1829,$B$3:$B$498,0),1)</f>
        <v>78</v>
      </c>
      <c r="P1829" s="27">
        <v>13</v>
      </c>
      <c r="Q1829" s="2">
        <f>INDEX(Остановки,MATCH(R1829,ИД_Остановки!$B$3:$B$467,0),1)</f>
        <v>295</v>
      </c>
      <c r="R1829" s="45" t="s">
        <v>167</v>
      </c>
      <c r="S1829" s="20">
        <v>0.23</v>
      </c>
    </row>
    <row r="1830" spans="8:19" x14ac:dyDescent="0.25">
      <c r="H1830">
        <v>11</v>
      </c>
      <c r="I1830">
        <v>665</v>
      </c>
      <c r="J1830">
        <v>115</v>
      </c>
      <c r="K1830" t="b">
        <v>1</v>
      </c>
      <c r="N1830" s="30" t="s">
        <v>553</v>
      </c>
      <c r="O1830" s="2">
        <f>INDEX(Маршруты,MATCH(N1830,$B$3:$B$498,0),1)</f>
        <v>78</v>
      </c>
      <c r="P1830" s="27">
        <v>14</v>
      </c>
      <c r="Q1830" s="2">
        <f>INDEX(Остановки,MATCH(R1830,ИД_Остановки!$B$3:$B$467,0),1)</f>
        <v>225</v>
      </c>
      <c r="R1830" s="45" t="s">
        <v>356</v>
      </c>
      <c r="S1830" s="20">
        <v>0.94</v>
      </c>
    </row>
    <row r="1831" spans="8:19" x14ac:dyDescent="0.25">
      <c r="H1831">
        <v>11</v>
      </c>
      <c r="I1831">
        <v>684</v>
      </c>
      <c r="J1831">
        <v>115</v>
      </c>
      <c r="K1831" t="b">
        <v>1</v>
      </c>
      <c r="N1831" s="26" t="s">
        <v>553</v>
      </c>
      <c r="O1831" s="2">
        <f>INDEX(Маршруты,MATCH(N1831,$B$3:$B$498,0),1)</f>
        <v>78</v>
      </c>
      <c r="P1831" s="27">
        <v>15</v>
      </c>
      <c r="Q1831" s="2">
        <f>INDEX(Остановки,MATCH(R1831,ИД_Остановки!$B$3:$B$467,0),1)</f>
        <v>226</v>
      </c>
      <c r="R1831" s="45" t="s">
        <v>357</v>
      </c>
      <c r="S1831" s="20">
        <v>0.68</v>
      </c>
    </row>
    <row r="1832" spans="8:19" x14ac:dyDescent="0.25">
      <c r="H1832">
        <v>11</v>
      </c>
      <c r="I1832">
        <v>703</v>
      </c>
      <c r="J1832">
        <v>115</v>
      </c>
      <c r="K1832" t="b">
        <v>1</v>
      </c>
      <c r="N1832" s="26" t="s">
        <v>553</v>
      </c>
      <c r="O1832" s="2">
        <f>INDEX(Маршруты,MATCH(N1832,$B$3:$B$498,0),1)</f>
        <v>78</v>
      </c>
      <c r="P1832" s="27">
        <v>16</v>
      </c>
      <c r="Q1832" s="2">
        <f>INDEX(Остановки,MATCH(R1832,ИД_Остановки!$B$3:$B$467,0),1)</f>
        <v>227</v>
      </c>
      <c r="R1832" s="45" t="s">
        <v>358</v>
      </c>
      <c r="S1832" s="20">
        <v>0.44</v>
      </c>
    </row>
    <row r="1833" spans="8:19" x14ac:dyDescent="0.25">
      <c r="H1833">
        <v>11</v>
      </c>
      <c r="I1833">
        <v>722</v>
      </c>
      <c r="J1833">
        <v>115</v>
      </c>
      <c r="K1833" t="b">
        <v>1</v>
      </c>
      <c r="N1833" s="30" t="s">
        <v>553</v>
      </c>
      <c r="O1833" s="2">
        <f>INDEX(Маршруты,MATCH(N1833,$B$3:$B$498,0),1)</f>
        <v>78</v>
      </c>
      <c r="P1833" s="27">
        <v>17</v>
      </c>
      <c r="Q1833" s="2">
        <f>INDEX(Остановки,MATCH(R1833,ИД_Остановки!$B$3:$B$467,0),1)</f>
        <v>219</v>
      </c>
      <c r="R1833" s="45" t="s">
        <v>126</v>
      </c>
      <c r="S1833" s="20">
        <v>0.36</v>
      </c>
    </row>
    <row r="1834" spans="8:19" x14ac:dyDescent="0.25">
      <c r="H1834">
        <v>11</v>
      </c>
      <c r="I1834">
        <v>741</v>
      </c>
      <c r="J1834">
        <v>115</v>
      </c>
      <c r="K1834" t="b">
        <v>1</v>
      </c>
      <c r="N1834" s="30" t="s">
        <v>554</v>
      </c>
      <c r="O1834" s="2">
        <f>INDEX(Маршруты,MATCH(N1834,$B$3:$B$498,0),1)</f>
        <v>79</v>
      </c>
      <c r="P1834" s="28">
        <v>1</v>
      </c>
      <c r="Q1834" s="2">
        <f>INDEX(Остановки,MATCH(R1834,ИД_Остановки!$B$3:$B$467,0),1)</f>
        <v>219</v>
      </c>
      <c r="R1834" s="24" t="s">
        <v>126</v>
      </c>
      <c r="S1834" s="20"/>
    </row>
    <row r="1835" spans="8:19" x14ac:dyDescent="0.25">
      <c r="H1835">
        <v>11</v>
      </c>
      <c r="I1835">
        <v>760</v>
      </c>
      <c r="J1835">
        <v>115</v>
      </c>
      <c r="K1835" t="b">
        <v>1</v>
      </c>
      <c r="N1835" s="30" t="s">
        <v>554</v>
      </c>
      <c r="O1835" s="2">
        <f>INDEX(Маршруты,MATCH(N1835,$B$3:$B$498,0),1)</f>
        <v>79</v>
      </c>
      <c r="P1835" s="27">
        <v>2</v>
      </c>
      <c r="Q1835" s="2">
        <f>INDEX(Остановки,MATCH(R1835,ИД_Остановки!$B$3:$B$467,0),1)</f>
        <v>227</v>
      </c>
      <c r="R1835" s="45" t="s">
        <v>358</v>
      </c>
      <c r="S1835" s="20">
        <v>0.36</v>
      </c>
    </row>
    <row r="1836" spans="8:19" x14ac:dyDescent="0.25">
      <c r="H1836">
        <v>11</v>
      </c>
      <c r="I1836">
        <v>779</v>
      </c>
      <c r="J1836">
        <v>115</v>
      </c>
      <c r="K1836" t="b">
        <v>1</v>
      </c>
      <c r="N1836" s="26" t="s">
        <v>554</v>
      </c>
      <c r="O1836" s="2">
        <f>INDEX(Маршруты,MATCH(N1836,$B$3:$B$498,0),1)</f>
        <v>79</v>
      </c>
      <c r="P1836" s="27">
        <v>3</v>
      </c>
      <c r="Q1836" s="2">
        <f>INDEX(Остановки,MATCH(R1836,ИД_Остановки!$B$3:$B$467,0),1)</f>
        <v>226</v>
      </c>
      <c r="R1836" s="45" t="s">
        <v>357</v>
      </c>
      <c r="S1836" s="20">
        <v>0.44</v>
      </c>
    </row>
    <row r="1837" spans="8:19" x14ac:dyDescent="0.25">
      <c r="H1837">
        <v>11</v>
      </c>
      <c r="I1837">
        <v>798</v>
      </c>
      <c r="J1837">
        <v>115</v>
      </c>
      <c r="K1837" t="b">
        <v>1</v>
      </c>
      <c r="N1837" s="26" t="s">
        <v>554</v>
      </c>
      <c r="O1837" s="2">
        <f>INDEX(Маршруты,MATCH(N1837,$B$3:$B$498,0),1)</f>
        <v>79</v>
      </c>
      <c r="P1837" s="27">
        <v>4</v>
      </c>
      <c r="Q1837" s="2">
        <f>INDEX(Остановки,MATCH(R1837,ИД_Остановки!$B$3:$B$467,0),1)</f>
        <v>225</v>
      </c>
      <c r="R1837" s="45" t="s">
        <v>356</v>
      </c>
      <c r="S1837" s="20">
        <v>0.68</v>
      </c>
    </row>
    <row r="1838" spans="8:19" x14ac:dyDescent="0.25">
      <c r="H1838">
        <v>11</v>
      </c>
      <c r="I1838">
        <v>817</v>
      </c>
      <c r="J1838">
        <v>115</v>
      </c>
      <c r="K1838" t="b">
        <v>1</v>
      </c>
      <c r="N1838" s="30" t="s">
        <v>554</v>
      </c>
      <c r="O1838" s="2">
        <f>INDEX(Маршруты,MATCH(N1838,$B$3:$B$498,0),1)</f>
        <v>79</v>
      </c>
      <c r="P1838" s="27">
        <v>5</v>
      </c>
      <c r="Q1838" s="2">
        <f>INDEX(Остановки,MATCH(R1838,ИД_Остановки!$B$3:$B$467,0),1)</f>
        <v>295</v>
      </c>
      <c r="R1838" s="45" t="s">
        <v>167</v>
      </c>
      <c r="S1838" s="20">
        <v>0.94</v>
      </c>
    </row>
    <row r="1839" spans="8:19" x14ac:dyDescent="0.25">
      <c r="H1839">
        <v>11</v>
      </c>
      <c r="I1839">
        <v>836</v>
      </c>
      <c r="J1839">
        <v>115</v>
      </c>
      <c r="K1839" t="b">
        <v>1</v>
      </c>
      <c r="N1839" s="25" t="s">
        <v>554</v>
      </c>
      <c r="O1839" s="2">
        <f>INDEX(Маршруты,MATCH(N1839,$B$3:$B$498,0),1)</f>
        <v>79</v>
      </c>
      <c r="P1839" s="27">
        <v>6</v>
      </c>
      <c r="Q1839" s="2">
        <f>INDEX(Остановки,MATCH(R1839,ИД_Остановки!$B$3:$B$467,0),1)</f>
        <v>223</v>
      </c>
      <c r="R1839" s="45" t="s">
        <v>166</v>
      </c>
      <c r="S1839" s="20">
        <v>0.23</v>
      </c>
    </row>
    <row r="1840" spans="8:19" x14ac:dyDescent="0.25">
      <c r="H1840">
        <v>11</v>
      </c>
      <c r="I1840">
        <v>855</v>
      </c>
      <c r="J1840">
        <v>115</v>
      </c>
      <c r="K1840" t="b">
        <v>1</v>
      </c>
      <c r="N1840" s="25" t="s">
        <v>554</v>
      </c>
      <c r="O1840" s="2">
        <f>INDEX(Маршруты,MATCH(N1840,$B$3:$B$498,0),1)</f>
        <v>79</v>
      </c>
      <c r="P1840" s="27">
        <v>7</v>
      </c>
      <c r="Q1840" s="2">
        <f>INDEX(Остановки,MATCH(R1840,ИД_Остановки!$B$3:$B$467,0),1)</f>
        <v>433</v>
      </c>
      <c r="R1840" s="45" t="s">
        <v>489</v>
      </c>
      <c r="S1840" s="20">
        <v>0.8</v>
      </c>
    </row>
    <row r="1841" spans="8:19" x14ac:dyDescent="0.25">
      <c r="H1841">
        <v>11</v>
      </c>
      <c r="I1841">
        <v>874</v>
      </c>
      <c r="J1841">
        <v>115</v>
      </c>
      <c r="K1841" t="b">
        <v>1</v>
      </c>
      <c r="N1841" s="30" t="s">
        <v>554</v>
      </c>
      <c r="O1841" s="2">
        <f>INDEX(Маршруты,MATCH(N1841,$B$3:$B$498,0),1)</f>
        <v>79</v>
      </c>
      <c r="P1841" s="27">
        <v>8</v>
      </c>
      <c r="Q1841" s="2">
        <f>INDEX(Остановки,MATCH(R1841,ИД_Остановки!$B$3:$B$467,0),1)</f>
        <v>365</v>
      </c>
      <c r="R1841" s="45" t="s">
        <v>425</v>
      </c>
      <c r="S1841" s="20">
        <v>0.68</v>
      </c>
    </row>
    <row r="1842" spans="8:19" x14ac:dyDescent="0.25">
      <c r="H1842">
        <v>11</v>
      </c>
      <c r="I1842">
        <v>893</v>
      </c>
      <c r="J1842">
        <v>115</v>
      </c>
      <c r="K1842" t="b">
        <v>1</v>
      </c>
      <c r="N1842" s="14" t="s">
        <v>554</v>
      </c>
      <c r="O1842" s="2">
        <f>INDEX(Маршруты,MATCH(N1842,$B$3:$B$498,0),1)</f>
        <v>79</v>
      </c>
      <c r="P1842" s="27">
        <v>9</v>
      </c>
      <c r="Q1842" s="2">
        <f>INDEX(Остановки,MATCH(R1842,ИД_Остановки!$B$3:$B$467,0),1)</f>
        <v>432</v>
      </c>
      <c r="R1842" s="45" t="s">
        <v>488</v>
      </c>
      <c r="S1842" s="20">
        <v>0.66</v>
      </c>
    </row>
    <row r="1843" spans="8:19" x14ac:dyDescent="0.25">
      <c r="H1843">
        <v>11</v>
      </c>
      <c r="I1843">
        <v>912</v>
      </c>
      <c r="J1843">
        <v>115</v>
      </c>
      <c r="K1843" t="b">
        <v>1</v>
      </c>
      <c r="N1843" s="30" t="s">
        <v>554</v>
      </c>
      <c r="O1843" s="2">
        <f>INDEX(Маршруты,MATCH(N1843,$B$3:$B$498,0),1)</f>
        <v>79</v>
      </c>
      <c r="P1843" s="27">
        <v>10</v>
      </c>
      <c r="Q1843" s="2">
        <f>INDEX(Остановки,MATCH(R1843,ИД_Остановки!$B$3:$B$467,0),1)</f>
        <v>154</v>
      </c>
      <c r="R1843" s="45" t="s">
        <v>94</v>
      </c>
      <c r="S1843" s="20">
        <v>0.79</v>
      </c>
    </row>
    <row r="1844" spans="8:19" x14ac:dyDescent="0.25">
      <c r="H1844">
        <v>11</v>
      </c>
      <c r="I1844">
        <v>931</v>
      </c>
      <c r="J1844">
        <v>115</v>
      </c>
      <c r="K1844" t="b">
        <v>1</v>
      </c>
      <c r="N1844" s="25" t="s">
        <v>554</v>
      </c>
      <c r="O1844" s="2">
        <f>INDEX(Маршруты,MATCH(N1844,$B$3:$B$498,0),1)</f>
        <v>79</v>
      </c>
      <c r="P1844" s="28">
        <v>11</v>
      </c>
      <c r="Q1844" s="2">
        <f>INDEX(Остановки,MATCH(R1844,ИД_Остановки!$B$3:$B$467,0),1)</f>
        <v>123</v>
      </c>
      <c r="R1844" s="24" t="s">
        <v>301</v>
      </c>
      <c r="S1844" s="20">
        <v>0.74</v>
      </c>
    </row>
    <row r="1845" spans="8:19" x14ac:dyDescent="0.25">
      <c r="H1845">
        <v>12</v>
      </c>
      <c r="I1845">
        <v>0</v>
      </c>
      <c r="J1845">
        <v>115</v>
      </c>
      <c r="K1845" t="b">
        <v>1</v>
      </c>
      <c r="N1845" s="30" t="s">
        <v>554</v>
      </c>
      <c r="O1845" s="2">
        <f>INDEX(Маршруты,MATCH(N1845,$B$3:$B$498,0),1)</f>
        <v>79</v>
      </c>
      <c r="P1845" s="27">
        <v>12</v>
      </c>
      <c r="Q1845" s="2">
        <f>INDEX(Остановки,MATCH(R1845,ИД_Остановки!$B$3:$B$467,0),1)</f>
        <v>96</v>
      </c>
      <c r="R1845" s="45" t="s">
        <v>285</v>
      </c>
      <c r="S1845" s="20">
        <v>0.6</v>
      </c>
    </row>
    <row r="1846" spans="8:19" x14ac:dyDescent="0.25">
      <c r="H1846">
        <v>12</v>
      </c>
      <c r="I1846">
        <v>19</v>
      </c>
      <c r="J1846">
        <v>115</v>
      </c>
      <c r="K1846" t="b">
        <v>1</v>
      </c>
      <c r="N1846" s="25" t="s">
        <v>554</v>
      </c>
      <c r="O1846" s="2">
        <f>INDEX(Маршруты,MATCH(N1846,$B$3:$B$498,0),1)</f>
        <v>79</v>
      </c>
      <c r="P1846" s="27">
        <v>13</v>
      </c>
      <c r="Q1846" s="2">
        <f>INDEX(Остановки,MATCH(R1846,ИД_Остановки!$B$3:$B$467,0),1)</f>
        <v>122</v>
      </c>
      <c r="R1846" s="45" t="s">
        <v>77</v>
      </c>
      <c r="S1846" s="20">
        <v>0.52</v>
      </c>
    </row>
    <row r="1847" spans="8:19" x14ac:dyDescent="0.25">
      <c r="H1847">
        <v>12</v>
      </c>
      <c r="I1847">
        <v>38</v>
      </c>
      <c r="J1847">
        <v>115</v>
      </c>
      <c r="K1847" t="b">
        <v>1</v>
      </c>
      <c r="N1847" s="30" t="s">
        <v>554</v>
      </c>
      <c r="O1847" s="2">
        <f>INDEX(Маршруты,MATCH(N1847,$B$3:$B$498,0),1)</f>
        <v>79</v>
      </c>
      <c r="P1847" s="27">
        <v>14</v>
      </c>
      <c r="Q1847" s="2">
        <f>INDEX(Остановки,MATCH(R1847,ИД_Остановки!$B$3:$B$467,0),1)</f>
        <v>121</v>
      </c>
      <c r="R1847" s="45" t="s">
        <v>76</v>
      </c>
      <c r="S1847" s="20">
        <v>0.32</v>
      </c>
    </row>
    <row r="1848" spans="8:19" x14ac:dyDescent="0.25">
      <c r="H1848">
        <v>12</v>
      </c>
      <c r="I1848">
        <v>57</v>
      </c>
      <c r="J1848">
        <v>115</v>
      </c>
      <c r="K1848" t="b">
        <v>1</v>
      </c>
      <c r="N1848" s="30" t="s">
        <v>554</v>
      </c>
      <c r="O1848" s="2">
        <f>INDEX(Маршруты,MATCH(N1848,$B$3:$B$498,0),1)</f>
        <v>79</v>
      </c>
      <c r="P1848" s="27">
        <v>15</v>
      </c>
      <c r="Q1848" s="2">
        <f>INDEX(Остановки,MATCH(R1848,ИД_Остановки!$B$3:$B$467,0),1)</f>
        <v>120</v>
      </c>
      <c r="R1848" s="45" t="s">
        <v>300</v>
      </c>
      <c r="S1848" s="20">
        <v>0.31</v>
      </c>
    </row>
    <row r="1849" spans="8:19" x14ac:dyDescent="0.25">
      <c r="H1849">
        <v>12</v>
      </c>
      <c r="I1849">
        <v>76</v>
      </c>
      <c r="J1849">
        <v>115</v>
      </c>
      <c r="K1849" t="b">
        <v>1</v>
      </c>
      <c r="N1849" s="30" t="s">
        <v>554</v>
      </c>
      <c r="O1849" s="2">
        <f>INDEX(Маршруты,MATCH(N1849,$B$3:$B$498,0),1)</f>
        <v>79</v>
      </c>
      <c r="P1849" s="27">
        <v>16</v>
      </c>
      <c r="Q1849" s="2">
        <f>INDEX(Остановки,MATCH(R1849,ИД_Остановки!$B$3:$B$467,0),1)</f>
        <v>119</v>
      </c>
      <c r="R1849" s="45" t="s">
        <v>629</v>
      </c>
      <c r="S1849" s="20">
        <v>1.1200000000000001</v>
      </c>
    </row>
    <row r="1850" spans="8:19" x14ac:dyDescent="0.25">
      <c r="H1850">
        <v>12</v>
      </c>
      <c r="I1850">
        <v>95</v>
      </c>
      <c r="J1850">
        <v>115</v>
      </c>
      <c r="K1850" t="b">
        <v>1</v>
      </c>
      <c r="N1850" s="25" t="s">
        <v>554</v>
      </c>
      <c r="O1850" s="2">
        <f>INDEX(Маршруты,MATCH(N1850,$B$3:$B$498,0),1)</f>
        <v>79</v>
      </c>
      <c r="P1850" s="27">
        <v>17</v>
      </c>
      <c r="Q1850" s="2">
        <f>INDEX(Остановки,MATCH(R1850,ИД_Остановки!$B$3:$B$467,0),1)</f>
        <v>118</v>
      </c>
      <c r="R1850" s="45" t="s">
        <v>299</v>
      </c>
      <c r="S1850" s="20">
        <v>0.51</v>
      </c>
    </row>
    <row r="1851" spans="8:19" x14ac:dyDescent="0.25">
      <c r="H1851">
        <v>12</v>
      </c>
      <c r="I1851">
        <v>114</v>
      </c>
      <c r="J1851">
        <v>115</v>
      </c>
      <c r="K1851" t="b">
        <v>1</v>
      </c>
      <c r="N1851" s="26" t="s">
        <v>555</v>
      </c>
      <c r="O1851" s="2">
        <f>INDEX(Маршруты,MATCH(N1851,$B$3:$B$498,0),1)</f>
        <v>80</v>
      </c>
      <c r="P1851" s="27">
        <v>1</v>
      </c>
      <c r="Q1851" s="2">
        <f>INDEX(Остановки,MATCH(R1851,ИД_Остановки!$B$3:$B$467,0),1)</f>
        <v>135</v>
      </c>
      <c r="R1851" s="45" t="s">
        <v>83</v>
      </c>
      <c r="S1851" s="20"/>
    </row>
    <row r="1852" spans="8:19" x14ac:dyDescent="0.25">
      <c r="H1852">
        <v>12</v>
      </c>
      <c r="I1852">
        <v>133</v>
      </c>
      <c r="J1852">
        <v>115</v>
      </c>
      <c r="K1852" t="b">
        <v>1</v>
      </c>
      <c r="N1852" s="26" t="s">
        <v>555</v>
      </c>
      <c r="O1852" s="2">
        <f>INDEX(Маршруты,MATCH(N1852,$B$3:$B$498,0),1)</f>
        <v>80</v>
      </c>
      <c r="P1852" s="27">
        <v>2</v>
      </c>
      <c r="Q1852" s="2">
        <f>INDEX(Остановки,MATCH(R1852,ИД_Остановки!$B$3:$B$467,0),1)</f>
        <v>395</v>
      </c>
      <c r="R1852" s="45" t="s">
        <v>452</v>
      </c>
      <c r="S1852" s="20">
        <v>0.75</v>
      </c>
    </row>
    <row r="1853" spans="8:19" x14ac:dyDescent="0.25">
      <c r="H1853">
        <v>12</v>
      </c>
      <c r="I1853">
        <v>152</v>
      </c>
      <c r="J1853">
        <v>115</v>
      </c>
      <c r="K1853" t="b">
        <v>1</v>
      </c>
      <c r="N1853" s="30" t="s">
        <v>555</v>
      </c>
      <c r="O1853" s="2">
        <f>INDEX(Маршруты,MATCH(N1853,$B$3:$B$498,0),1)</f>
        <v>80</v>
      </c>
      <c r="P1853" s="27">
        <v>3</v>
      </c>
      <c r="Q1853" s="2">
        <f>INDEX(Остановки,MATCH(R1853,ИД_Остановки!$B$3:$B$467,0),1)</f>
        <v>21</v>
      </c>
      <c r="R1853" s="45" t="s">
        <v>21</v>
      </c>
      <c r="S1853" s="20">
        <v>1.1499999999999999</v>
      </c>
    </row>
    <row r="1854" spans="8:19" x14ac:dyDescent="0.25">
      <c r="H1854">
        <v>12</v>
      </c>
      <c r="I1854">
        <v>171</v>
      </c>
      <c r="J1854">
        <v>115</v>
      </c>
      <c r="K1854" t="b">
        <v>1</v>
      </c>
      <c r="N1854" s="25" t="s">
        <v>555</v>
      </c>
      <c r="O1854" s="2">
        <f>INDEX(Маршруты,MATCH(N1854,$B$3:$B$498,0),1)</f>
        <v>80</v>
      </c>
      <c r="P1854" s="28">
        <v>4</v>
      </c>
      <c r="Q1854" s="2">
        <f>INDEX(Остановки,MATCH(R1854,ИД_Остановки!$B$3:$B$467,0),1)</f>
        <v>241</v>
      </c>
      <c r="R1854" s="24" t="s">
        <v>132</v>
      </c>
      <c r="S1854" s="20">
        <v>1.56</v>
      </c>
    </row>
    <row r="1855" spans="8:19" x14ac:dyDescent="0.25">
      <c r="H1855">
        <v>12</v>
      </c>
      <c r="I1855">
        <v>190</v>
      </c>
      <c r="J1855">
        <v>115</v>
      </c>
      <c r="K1855" t="b">
        <v>1</v>
      </c>
      <c r="N1855" s="26" t="s">
        <v>555</v>
      </c>
      <c r="O1855" s="2">
        <f>INDEX(Маршруты,MATCH(N1855,$B$3:$B$498,0),1)</f>
        <v>80</v>
      </c>
      <c r="P1855" s="27">
        <v>5</v>
      </c>
      <c r="Q1855" s="2">
        <f>INDEX(Остановки,MATCH(R1855,ИД_Остановки!$B$3:$B$467,0),1)</f>
        <v>207</v>
      </c>
      <c r="R1855" s="45" t="s">
        <v>345</v>
      </c>
      <c r="S1855" s="20">
        <v>0.74</v>
      </c>
    </row>
    <row r="1856" spans="8:19" x14ac:dyDescent="0.25">
      <c r="H1856">
        <v>12</v>
      </c>
      <c r="I1856">
        <v>209</v>
      </c>
      <c r="J1856">
        <v>115</v>
      </c>
      <c r="K1856" t="b">
        <v>1</v>
      </c>
      <c r="N1856" s="30" t="s">
        <v>555</v>
      </c>
      <c r="O1856" s="2">
        <f>INDEX(Маршруты,MATCH(N1856,$B$3:$B$498,0),1)</f>
        <v>80</v>
      </c>
      <c r="P1856" s="27">
        <v>6</v>
      </c>
      <c r="Q1856" s="2">
        <f>INDEX(Остановки,MATCH(R1856,ИД_Остановки!$B$3:$B$467,0),1)</f>
        <v>208</v>
      </c>
      <c r="R1856" s="45" t="s">
        <v>121</v>
      </c>
      <c r="S1856" s="20">
        <v>0.56999999999999995</v>
      </c>
    </row>
    <row r="1857" spans="8:19" x14ac:dyDescent="0.25">
      <c r="H1857">
        <v>12</v>
      </c>
      <c r="I1857">
        <v>228</v>
      </c>
      <c r="J1857">
        <v>115</v>
      </c>
      <c r="K1857" t="b">
        <v>1</v>
      </c>
      <c r="N1857" s="30" t="s">
        <v>555</v>
      </c>
      <c r="O1857" s="2">
        <f>INDEX(Маршруты,MATCH(N1857,$B$3:$B$498,0),1)</f>
        <v>80</v>
      </c>
      <c r="P1857" s="28">
        <v>7</v>
      </c>
      <c r="Q1857" s="2">
        <f>INDEX(Остановки,MATCH(R1857,ИД_Остановки!$B$3:$B$467,0),1)</f>
        <v>3</v>
      </c>
      <c r="R1857" s="24" t="s">
        <v>243</v>
      </c>
      <c r="S1857" s="20">
        <v>0.9</v>
      </c>
    </row>
    <row r="1858" spans="8:19" x14ac:dyDescent="0.25">
      <c r="H1858">
        <v>12</v>
      </c>
      <c r="I1858">
        <v>247</v>
      </c>
      <c r="J1858">
        <v>115</v>
      </c>
      <c r="K1858" t="b">
        <v>1</v>
      </c>
      <c r="N1858" s="30" t="s">
        <v>555</v>
      </c>
      <c r="O1858" s="2">
        <f>INDEX(Маршруты,MATCH(N1858,$B$3:$B$498,0),1)</f>
        <v>80</v>
      </c>
      <c r="P1858" s="27">
        <v>8</v>
      </c>
      <c r="Q1858" s="2">
        <f>INDEX(Остановки,MATCH(R1858,ИД_Остановки!$B$3:$B$467,0),1)</f>
        <v>228</v>
      </c>
      <c r="R1858" s="45" t="s">
        <v>127</v>
      </c>
      <c r="S1858" s="20">
        <v>1.18</v>
      </c>
    </row>
    <row r="1859" spans="8:19" x14ac:dyDescent="0.25">
      <c r="H1859">
        <v>12</v>
      </c>
      <c r="I1859">
        <v>266</v>
      </c>
      <c r="J1859">
        <v>115</v>
      </c>
      <c r="K1859" t="b">
        <v>1</v>
      </c>
      <c r="N1859" s="30" t="s">
        <v>555</v>
      </c>
      <c r="O1859" s="2">
        <f>INDEX(Маршруты,MATCH(N1859,$B$3:$B$498,0),1)</f>
        <v>80</v>
      </c>
      <c r="P1859" s="27">
        <v>9</v>
      </c>
      <c r="Q1859" s="2">
        <f>INDEX(Остановки,MATCH(R1859,ИД_Остановки!$B$3:$B$467,0),1)</f>
        <v>238</v>
      </c>
      <c r="R1859" s="45" t="s">
        <v>131</v>
      </c>
      <c r="S1859" s="20">
        <v>0.94</v>
      </c>
    </row>
    <row r="1860" spans="8:19" x14ac:dyDescent="0.25">
      <c r="H1860">
        <v>12</v>
      </c>
      <c r="I1860">
        <v>285</v>
      </c>
      <c r="J1860">
        <v>115</v>
      </c>
      <c r="K1860" t="b">
        <v>1</v>
      </c>
      <c r="N1860" s="25" t="s">
        <v>555</v>
      </c>
      <c r="O1860" s="2">
        <f>INDEX(Маршруты,MATCH(N1860,$B$3:$B$498,0),1)</f>
        <v>80</v>
      </c>
      <c r="P1860" s="27">
        <v>10</v>
      </c>
      <c r="Q1860" s="2">
        <f>INDEX(Остановки,MATCH(R1860,ИД_Остановки!$B$3:$B$467,0),1)</f>
        <v>257</v>
      </c>
      <c r="R1860" s="45" t="s">
        <v>377</v>
      </c>
      <c r="S1860" s="20">
        <v>0.56000000000000005</v>
      </c>
    </row>
    <row r="1861" spans="8:19" x14ac:dyDescent="0.25">
      <c r="H1861">
        <v>12</v>
      </c>
      <c r="I1861">
        <v>304</v>
      </c>
      <c r="J1861">
        <v>115</v>
      </c>
      <c r="K1861" t="b">
        <v>1</v>
      </c>
      <c r="N1861" s="30" t="s">
        <v>555</v>
      </c>
      <c r="O1861" s="2">
        <f>INDEX(Маршруты,MATCH(N1861,$B$3:$B$498,0),1)</f>
        <v>80</v>
      </c>
      <c r="P1861" s="27">
        <v>11</v>
      </c>
      <c r="Q1861" s="2">
        <f>INDEX(Остановки,MATCH(R1861,ИД_Остановки!$B$3:$B$467,0),1)</f>
        <v>255</v>
      </c>
      <c r="R1861" s="24" t="s">
        <v>137</v>
      </c>
      <c r="S1861" s="20">
        <v>0.61</v>
      </c>
    </row>
    <row r="1862" spans="8:19" x14ac:dyDescent="0.25">
      <c r="H1862">
        <v>12</v>
      </c>
      <c r="I1862">
        <v>323</v>
      </c>
      <c r="J1862">
        <v>115</v>
      </c>
      <c r="K1862" t="b">
        <v>1</v>
      </c>
      <c r="N1862" s="25" t="s">
        <v>555</v>
      </c>
      <c r="O1862" s="2">
        <f>INDEX(Маршруты,MATCH(N1862,$B$3:$B$498,0),1)</f>
        <v>80</v>
      </c>
      <c r="P1862" s="28">
        <v>12</v>
      </c>
      <c r="Q1862" s="2">
        <f>INDEX(Остановки,MATCH(R1862,ИД_Остановки!$B$3:$B$467,0),1)</f>
        <v>200</v>
      </c>
      <c r="R1862" s="24" t="s">
        <v>119</v>
      </c>
      <c r="S1862" s="20">
        <v>0.67</v>
      </c>
    </row>
    <row r="1863" spans="8:19" x14ac:dyDescent="0.25">
      <c r="H1863">
        <v>12</v>
      </c>
      <c r="I1863">
        <v>342</v>
      </c>
      <c r="J1863">
        <v>115</v>
      </c>
      <c r="K1863" t="b">
        <v>1</v>
      </c>
      <c r="N1863" s="30" t="s">
        <v>555</v>
      </c>
      <c r="O1863" s="2">
        <f>INDEX(Маршруты,MATCH(N1863,$B$3:$B$498,0),1)</f>
        <v>80</v>
      </c>
      <c r="P1863" s="27">
        <v>13</v>
      </c>
      <c r="Q1863" s="2">
        <f>INDEX(Остановки,MATCH(R1863,ИД_Остановки!$B$3:$B$467,0),1)</f>
        <v>199</v>
      </c>
      <c r="R1863" s="45" t="s">
        <v>118</v>
      </c>
      <c r="S1863" s="20">
        <v>0.75</v>
      </c>
    </row>
    <row r="1864" spans="8:19" x14ac:dyDescent="0.25">
      <c r="H1864">
        <v>12</v>
      </c>
      <c r="I1864">
        <v>361</v>
      </c>
      <c r="J1864">
        <v>115</v>
      </c>
      <c r="K1864" t="b">
        <v>1</v>
      </c>
      <c r="N1864" s="25" t="s">
        <v>555</v>
      </c>
      <c r="O1864" s="2">
        <f>INDEX(Маршруты,MATCH(N1864,$B$3:$B$498,0),1)</f>
        <v>80</v>
      </c>
      <c r="P1864" s="27">
        <v>14</v>
      </c>
      <c r="Q1864" s="2">
        <f>INDEX(Остановки,MATCH(R1864,ИД_Остановки!$B$3:$B$467,0),1)</f>
        <v>22</v>
      </c>
      <c r="R1864" s="24" t="s">
        <v>22</v>
      </c>
      <c r="S1864" s="20">
        <v>0.42</v>
      </c>
    </row>
    <row r="1865" spans="8:19" x14ac:dyDescent="0.25">
      <c r="H1865">
        <v>12</v>
      </c>
      <c r="I1865">
        <v>380</v>
      </c>
      <c r="J1865">
        <v>115</v>
      </c>
      <c r="K1865" t="b">
        <v>1</v>
      </c>
      <c r="N1865" s="30" t="s">
        <v>555</v>
      </c>
      <c r="O1865" s="2">
        <f>INDEX(Маршруты,MATCH(N1865,$B$3:$B$498,0),1)</f>
        <v>80</v>
      </c>
      <c r="P1865" s="27">
        <v>15</v>
      </c>
      <c r="Q1865" s="2">
        <f>INDEX(Остановки,MATCH(R1865,ИД_Остановки!$B$3:$B$467,0),1)</f>
        <v>337</v>
      </c>
      <c r="R1865" s="45" t="s">
        <v>407</v>
      </c>
      <c r="S1865" s="20">
        <v>0.39</v>
      </c>
    </row>
    <row r="1866" spans="8:19" x14ac:dyDescent="0.25">
      <c r="H1866">
        <v>12</v>
      </c>
      <c r="I1866">
        <v>399</v>
      </c>
      <c r="J1866">
        <v>115</v>
      </c>
      <c r="K1866" t="b">
        <v>1</v>
      </c>
      <c r="N1866" s="30" t="s">
        <v>555</v>
      </c>
      <c r="O1866" s="2">
        <f>INDEX(Маршруты,MATCH(N1866,$B$3:$B$498,0),1)</f>
        <v>80</v>
      </c>
      <c r="P1866" s="27">
        <v>16</v>
      </c>
      <c r="Q1866" s="2">
        <f>INDEX(Остановки,MATCH(R1866,ИД_Остановки!$B$3:$B$467,0),1)</f>
        <v>403</v>
      </c>
      <c r="R1866" s="45" t="s">
        <v>99</v>
      </c>
      <c r="S1866" s="20">
        <v>0.59</v>
      </c>
    </row>
    <row r="1867" spans="8:19" x14ac:dyDescent="0.25">
      <c r="H1867">
        <v>12</v>
      </c>
      <c r="I1867">
        <v>418</v>
      </c>
      <c r="J1867">
        <v>115</v>
      </c>
      <c r="K1867" t="b">
        <v>1</v>
      </c>
      <c r="N1867" s="30" t="s">
        <v>555</v>
      </c>
      <c r="O1867" s="2">
        <f>INDEX(Маршруты,MATCH(N1867,$B$3:$B$498,0),1)</f>
        <v>80</v>
      </c>
      <c r="P1867" s="27">
        <v>17</v>
      </c>
      <c r="Q1867" s="2">
        <f>INDEX(Остановки,MATCH(R1867,ИД_Остановки!$B$3:$B$467,0),1)</f>
        <v>254</v>
      </c>
      <c r="R1867" s="45" t="s">
        <v>136</v>
      </c>
      <c r="S1867" s="20">
        <v>1</v>
      </c>
    </row>
    <row r="1868" spans="8:19" x14ac:dyDescent="0.25">
      <c r="H1868">
        <v>12</v>
      </c>
      <c r="I1868">
        <v>437</v>
      </c>
      <c r="J1868">
        <v>115</v>
      </c>
      <c r="K1868" t="b">
        <v>1</v>
      </c>
      <c r="N1868" s="26" t="s">
        <v>555</v>
      </c>
      <c r="O1868" s="2">
        <f>INDEX(Маршруты,MATCH(N1868,$B$3:$B$498,0),1)</f>
        <v>80</v>
      </c>
      <c r="P1868" s="27">
        <v>18</v>
      </c>
      <c r="Q1868" s="2">
        <f>INDEX(Остановки,MATCH(R1868,ИД_Остановки!$B$3:$B$467,0),1)</f>
        <v>288</v>
      </c>
      <c r="R1868" s="45" t="s">
        <v>388</v>
      </c>
      <c r="S1868" s="20">
        <v>0.79</v>
      </c>
    </row>
    <row r="1869" spans="8:19" x14ac:dyDescent="0.25">
      <c r="H1869">
        <v>12</v>
      </c>
      <c r="I1869">
        <v>456</v>
      </c>
      <c r="J1869">
        <v>115</v>
      </c>
      <c r="K1869" t="b">
        <v>1</v>
      </c>
      <c r="N1869" s="30" t="s">
        <v>555</v>
      </c>
      <c r="O1869" s="2">
        <f>INDEX(Маршруты,MATCH(N1869,$B$3:$B$498,0),1)</f>
        <v>80</v>
      </c>
      <c r="P1869" s="27">
        <v>19</v>
      </c>
      <c r="Q1869" s="2">
        <f>INDEX(Остановки,MATCH(R1869,ИД_Остановки!$B$3:$B$467,0),1)</f>
        <v>376</v>
      </c>
      <c r="R1869" s="45" t="s">
        <v>434</v>
      </c>
      <c r="S1869" s="20">
        <v>1.2</v>
      </c>
    </row>
    <row r="1870" spans="8:19" x14ac:dyDescent="0.25">
      <c r="H1870">
        <v>12</v>
      </c>
      <c r="I1870">
        <v>475</v>
      </c>
      <c r="J1870">
        <v>115</v>
      </c>
      <c r="K1870" t="b">
        <v>1</v>
      </c>
      <c r="N1870" s="25" t="s">
        <v>555</v>
      </c>
      <c r="O1870" s="2">
        <f>INDEX(Маршруты,MATCH(N1870,$B$3:$B$498,0),1)</f>
        <v>80</v>
      </c>
      <c r="P1870" s="28">
        <v>20</v>
      </c>
      <c r="Q1870" s="2">
        <f>INDEX(Остановки,MATCH(R1870,ИД_Остановки!$B$3:$B$467,0),1)</f>
        <v>392</v>
      </c>
      <c r="R1870" s="24" t="s">
        <v>449</v>
      </c>
      <c r="S1870" s="20">
        <v>0.42</v>
      </c>
    </row>
    <row r="1871" spans="8:19" x14ac:dyDescent="0.25">
      <c r="H1871">
        <v>12</v>
      </c>
      <c r="I1871">
        <v>494</v>
      </c>
      <c r="J1871">
        <v>115</v>
      </c>
      <c r="K1871" t="b">
        <v>1</v>
      </c>
      <c r="N1871" s="32" t="s">
        <v>555</v>
      </c>
      <c r="O1871" s="2">
        <f>INDEX(Маршруты,MATCH(N1871,$B$3:$B$498,0),1)</f>
        <v>80</v>
      </c>
      <c r="P1871" s="27">
        <v>21</v>
      </c>
      <c r="Q1871" s="2">
        <f>INDEX(Остановки,MATCH(R1871,ИД_Остановки!$B$3:$B$467,0),1)</f>
        <v>375</v>
      </c>
      <c r="R1871" s="45" t="s">
        <v>433</v>
      </c>
      <c r="S1871" s="20">
        <v>0.44</v>
      </c>
    </row>
    <row r="1872" spans="8:19" x14ac:dyDescent="0.25">
      <c r="H1872">
        <v>12</v>
      </c>
      <c r="I1872">
        <v>513</v>
      </c>
      <c r="J1872">
        <v>115</v>
      </c>
      <c r="K1872" t="b">
        <v>1</v>
      </c>
      <c r="N1872" s="26" t="s">
        <v>555</v>
      </c>
      <c r="O1872" s="2">
        <f>INDEX(Маршруты,MATCH(N1872,$B$3:$B$498,0),1)</f>
        <v>80</v>
      </c>
      <c r="P1872" s="27">
        <v>22</v>
      </c>
      <c r="Q1872" s="2">
        <f>INDEX(Остановки,MATCH(R1872,ИД_Остановки!$B$3:$B$467,0),1)</f>
        <v>253</v>
      </c>
      <c r="R1872" s="45" t="s">
        <v>375</v>
      </c>
      <c r="S1872" s="20">
        <v>0.68</v>
      </c>
    </row>
    <row r="1873" spans="8:19" x14ac:dyDescent="0.25">
      <c r="H1873">
        <v>12</v>
      </c>
      <c r="I1873">
        <v>532</v>
      </c>
      <c r="J1873">
        <v>115</v>
      </c>
      <c r="K1873" t="b">
        <v>1</v>
      </c>
      <c r="N1873" s="25" t="s">
        <v>555</v>
      </c>
      <c r="O1873" s="2">
        <f>INDEX(Маршруты,MATCH(N1873,$B$3:$B$498,0),1)</f>
        <v>80</v>
      </c>
      <c r="P1873" s="27">
        <v>23</v>
      </c>
      <c r="Q1873" s="2">
        <f>INDEX(Остановки,MATCH(R1873,ИД_Остановки!$B$3:$B$467,0),1)</f>
        <v>393</v>
      </c>
      <c r="R1873" s="45" t="s">
        <v>450</v>
      </c>
      <c r="S1873" s="20">
        <v>3.25</v>
      </c>
    </row>
    <row r="1874" spans="8:19" x14ac:dyDescent="0.25">
      <c r="H1874">
        <v>12</v>
      </c>
      <c r="I1874">
        <v>551</v>
      </c>
      <c r="J1874">
        <v>115</v>
      </c>
      <c r="K1874" t="b">
        <v>1</v>
      </c>
      <c r="N1874" s="25" t="s">
        <v>555</v>
      </c>
      <c r="O1874" s="2">
        <f>INDEX(Маршруты,MATCH(N1874,$B$3:$B$498,0),1)</f>
        <v>80</v>
      </c>
      <c r="P1874" s="28">
        <v>24</v>
      </c>
      <c r="Q1874" s="2">
        <f>INDEX(Остановки,MATCH(R1874,ИД_Остановки!$B$3:$B$467,0),1)</f>
        <v>418</v>
      </c>
      <c r="R1874" s="24" t="s">
        <v>474</v>
      </c>
      <c r="S1874" s="20">
        <v>10.9</v>
      </c>
    </row>
    <row r="1875" spans="8:19" x14ac:dyDescent="0.25">
      <c r="H1875">
        <v>12</v>
      </c>
      <c r="I1875">
        <v>570</v>
      </c>
      <c r="J1875">
        <v>115</v>
      </c>
      <c r="K1875" t="b">
        <v>1</v>
      </c>
      <c r="N1875" s="25" t="s">
        <v>555</v>
      </c>
      <c r="O1875" s="2">
        <f>INDEX(Маршруты,MATCH(N1875,$B$3:$B$498,0),1)</f>
        <v>80</v>
      </c>
      <c r="P1875" s="27">
        <v>25</v>
      </c>
      <c r="Q1875" s="2">
        <f>INDEX(Остановки,MATCH(R1875,ИД_Остановки!$B$3:$B$467,0),1)</f>
        <v>162</v>
      </c>
      <c r="R1875" s="45" t="s">
        <v>100</v>
      </c>
      <c r="S1875" s="20">
        <v>7.28</v>
      </c>
    </row>
    <row r="1876" spans="8:19" x14ac:dyDescent="0.25">
      <c r="H1876">
        <v>12</v>
      </c>
      <c r="I1876">
        <v>589</v>
      </c>
      <c r="J1876">
        <v>115</v>
      </c>
      <c r="K1876" t="b">
        <v>1</v>
      </c>
      <c r="N1876" s="25" t="s">
        <v>555</v>
      </c>
      <c r="O1876" s="2">
        <f>INDEX(Маршруты,MATCH(N1876,$B$3:$B$498,0),1)</f>
        <v>80</v>
      </c>
      <c r="P1876" s="28">
        <v>26</v>
      </c>
      <c r="Q1876" s="2">
        <f>INDEX(Остановки,MATCH(R1876,ИД_Остановки!$B$3:$B$467,0),1)</f>
        <v>233</v>
      </c>
      <c r="R1876" s="24" t="s">
        <v>361</v>
      </c>
      <c r="S1876" s="20">
        <v>3.75</v>
      </c>
    </row>
    <row r="1877" spans="8:19" x14ac:dyDescent="0.25">
      <c r="H1877">
        <v>12</v>
      </c>
      <c r="I1877">
        <v>608</v>
      </c>
      <c r="J1877">
        <v>115</v>
      </c>
      <c r="K1877" t="b">
        <v>1</v>
      </c>
      <c r="N1877" s="30" t="s">
        <v>556</v>
      </c>
      <c r="O1877" s="2">
        <f>INDEX(Маршруты,MATCH(N1877,$B$3:$B$498,0),1)</f>
        <v>81</v>
      </c>
      <c r="P1877" s="27">
        <v>1</v>
      </c>
      <c r="Q1877" s="2">
        <f>INDEX(Остановки,MATCH(R1877,ИД_Остановки!$B$3:$B$467,0),1)</f>
        <v>233</v>
      </c>
      <c r="R1877" s="45" t="s">
        <v>361</v>
      </c>
      <c r="S1877" s="20"/>
    </row>
    <row r="1878" spans="8:19" x14ac:dyDescent="0.25">
      <c r="H1878">
        <v>12</v>
      </c>
      <c r="I1878">
        <v>627</v>
      </c>
      <c r="J1878">
        <v>115</v>
      </c>
      <c r="K1878" t="b">
        <v>1</v>
      </c>
      <c r="N1878" s="30" t="s">
        <v>556</v>
      </c>
      <c r="O1878" s="2">
        <f>INDEX(Маршруты,MATCH(N1878,$B$3:$B$498,0),1)</f>
        <v>81</v>
      </c>
      <c r="P1878" s="27">
        <v>2</v>
      </c>
      <c r="Q1878" s="2">
        <f>INDEX(Остановки,MATCH(R1878,ИД_Остановки!$B$3:$B$467,0),1)</f>
        <v>162</v>
      </c>
      <c r="R1878" s="45" t="s">
        <v>100</v>
      </c>
      <c r="S1878" s="20">
        <v>3.75</v>
      </c>
    </row>
    <row r="1879" spans="8:19" x14ac:dyDescent="0.25">
      <c r="H1879">
        <v>12</v>
      </c>
      <c r="I1879">
        <v>646</v>
      </c>
      <c r="J1879">
        <v>115</v>
      </c>
      <c r="K1879" t="b">
        <v>1</v>
      </c>
      <c r="N1879" s="30" t="s">
        <v>556</v>
      </c>
      <c r="O1879" s="2">
        <f>INDEX(Маршруты,MATCH(N1879,$B$3:$B$498,0),1)</f>
        <v>81</v>
      </c>
      <c r="P1879" s="27">
        <v>3</v>
      </c>
      <c r="Q1879" s="2">
        <f>INDEX(Остановки,MATCH(R1879,ИД_Остановки!$B$3:$B$467,0),1)</f>
        <v>418</v>
      </c>
      <c r="R1879" s="45" t="s">
        <v>474</v>
      </c>
      <c r="S1879" s="20">
        <v>7.28</v>
      </c>
    </row>
    <row r="1880" spans="8:19" x14ac:dyDescent="0.25">
      <c r="H1880">
        <v>12</v>
      </c>
      <c r="I1880">
        <v>665</v>
      </c>
      <c r="J1880">
        <v>115</v>
      </c>
      <c r="K1880" t="b">
        <v>1</v>
      </c>
      <c r="N1880" s="30" t="s">
        <v>556</v>
      </c>
      <c r="O1880" s="2">
        <f>INDEX(Маршруты,MATCH(N1880,$B$3:$B$498,0),1)</f>
        <v>81</v>
      </c>
      <c r="P1880" s="27">
        <v>4</v>
      </c>
      <c r="Q1880" s="2">
        <f>INDEX(Остановки,MATCH(R1880,ИД_Остановки!$B$3:$B$467,0),1)</f>
        <v>393</v>
      </c>
      <c r="R1880" s="45" t="s">
        <v>450</v>
      </c>
      <c r="S1880" s="20">
        <v>10.9</v>
      </c>
    </row>
    <row r="1881" spans="8:19" x14ac:dyDescent="0.25">
      <c r="H1881">
        <v>12</v>
      </c>
      <c r="I1881">
        <v>684</v>
      </c>
      <c r="J1881">
        <v>115</v>
      </c>
      <c r="K1881" t="b">
        <v>1</v>
      </c>
      <c r="N1881" s="25" t="s">
        <v>556</v>
      </c>
      <c r="O1881" s="2">
        <f>INDEX(Маршруты,MATCH(N1881,$B$3:$B$498,0),1)</f>
        <v>81</v>
      </c>
      <c r="P1881" s="27">
        <v>5</v>
      </c>
      <c r="Q1881" s="2">
        <f>INDEX(Остановки,MATCH(R1881,ИД_Остановки!$B$3:$B$467,0),1)</f>
        <v>253</v>
      </c>
      <c r="R1881" s="45" t="s">
        <v>375</v>
      </c>
      <c r="S1881" s="20">
        <v>3.25</v>
      </c>
    </row>
    <row r="1882" spans="8:19" x14ac:dyDescent="0.25">
      <c r="H1882">
        <v>12</v>
      </c>
      <c r="I1882">
        <v>703</v>
      </c>
      <c r="J1882">
        <v>115</v>
      </c>
      <c r="K1882" t="b">
        <v>1</v>
      </c>
      <c r="N1882" s="30" t="s">
        <v>556</v>
      </c>
      <c r="O1882" s="2">
        <f>INDEX(Маршруты,MATCH(N1882,$B$3:$B$498,0),1)</f>
        <v>81</v>
      </c>
      <c r="P1882" s="27">
        <v>6</v>
      </c>
      <c r="Q1882" s="2">
        <f>INDEX(Остановки,MATCH(R1882,ИД_Остановки!$B$3:$B$467,0),1)</f>
        <v>375</v>
      </c>
      <c r="R1882" s="45" t="s">
        <v>433</v>
      </c>
      <c r="S1882" s="20">
        <v>0.68</v>
      </c>
    </row>
    <row r="1883" spans="8:19" x14ac:dyDescent="0.25">
      <c r="H1883">
        <v>12</v>
      </c>
      <c r="I1883">
        <v>722</v>
      </c>
      <c r="J1883">
        <v>115</v>
      </c>
      <c r="K1883" t="b">
        <v>1</v>
      </c>
      <c r="N1883" s="25" t="s">
        <v>556</v>
      </c>
      <c r="O1883" s="2">
        <f>INDEX(Маршруты,MATCH(N1883,$B$3:$B$498,0),1)</f>
        <v>81</v>
      </c>
      <c r="P1883" s="27">
        <v>7</v>
      </c>
      <c r="Q1883" s="2">
        <f>INDEX(Остановки,MATCH(R1883,ИД_Остановки!$B$3:$B$467,0),1)</f>
        <v>392</v>
      </c>
      <c r="R1883" s="45" t="s">
        <v>449</v>
      </c>
      <c r="S1883" s="20">
        <v>0.44</v>
      </c>
    </row>
    <row r="1884" spans="8:19" x14ac:dyDescent="0.25">
      <c r="H1884">
        <v>12</v>
      </c>
      <c r="I1884">
        <v>741</v>
      </c>
      <c r="J1884">
        <v>115</v>
      </c>
      <c r="K1884" t="b">
        <v>1</v>
      </c>
      <c r="N1884" s="25" t="s">
        <v>556</v>
      </c>
      <c r="O1884" s="2">
        <f>INDEX(Маршруты,MATCH(N1884,$B$3:$B$498,0),1)</f>
        <v>81</v>
      </c>
      <c r="P1884" s="28">
        <v>8</v>
      </c>
      <c r="Q1884" s="2">
        <f>INDEX(Остановки,MATCH(R1884,ИД_Остановки!$B$3:$B$467,0),1)</f>
        <v>376</v>
      </c>
      <c r="R1884" s="24" t="s">
        <v>434</v>
      </c>
      <c r="S1884" s="20">
        <v>0.42</v>
      </c>
    </row>
    <row r="1885" spans="8:19" x14ac:dyDescent="0.25">
      <c r="H1885">
        <v>12</v>
      </c>
      <c r="I1885">
        <v>760</v>
      </c>
      <c r="J1885">
        <v>115</v>
      </c>
      <c r="K1885" t="b">
        <v>1</v>
      </c>
      <c r="N1885" s="30" t="s">
        <v>556</v>
      </c>
      <c r="O1885" s="2">
        <f>INDEX(Маршруты,MATCH(N1885,$B$3:$B$498,0),1)</f>
        <v>81</v>
      </c>
      <c r="P1885" s="27">
        <v>9</v>
      </c>
      <c r="Q1885" s="2">
        <f>INDEX(Остановки,MATCH(R1885,ИД_Остановки!$B$3:$B$467,0),1)</f>
        <v>288</v>
      </c>
      <c r="R1885" s="45" t="s">
        <v>388</v>
      </c>
      <c r="S1885" s="20">
        <v>1.2</v>
      </c>
    </row>
    <row r="1886" spans="8:19" x14ac:dyDescent="0.25">
      <c r="H1886">
        <v>12</v>
      </c>
      <c r="I1886">
        <v>779</v>
      </c>
      <c r="J1886">
        <v>115</v>
      </c>
      <c r="K1886" t="b">
        <v>1</v>
      </c>
      <c r="N1886" s="25" t="s">
        <v>556</v>
      </c>
      <c r="O1886" s="2">
        <f>INDEX(Маршруты,MATCH(N1886,$B$3:$B$498,0),1)</f>
        <v>81</v>
      </c>
      <c r="P1886" s="27">
        <v>10</v>
      </c>
      <c r="Q1886" s="2">
        <f>INDEX(Остановки,MATCH(R1886,ИД_Остановки!$B$3:$B$467,0),1)</f>
        <v>254</v>
      </c>
      <c r="R1886" s="45" t="s">
        <v>136</v>
      </c>
      <c r="S1886" s="20">
        <v>0.79</v>
      </c>
    </row>
    <row r="1887" spans="8:19" x14ac:dyDescent="0.25">
      <c r="H1887">
        <v>12</v>
      </c>
      <c r="I1887">
        <v>798</v>
      </c>
      <c r="J1887">
        <v>115</v>
      </c>
      <c r="K1887" t="b">
        <v>1</v>
      </c>
      <c r="N1887" s="30" t="s">
        <v>556</v>
      </c>
      <c r="O1887" s="2">
        <f>INDEX(Маршруты,MATCH(N1887,$B$3:$B$498,0),1)</f>
        <v>81</v>
      </c>
      <c r="P1887" s="27">
        <v>11</v>
      </c>
      <c r="Q1887" s="2">
        <f>INDEX(Остановки,MATCH(R1887,ИД_Остановки!$B$3:$B$467,0),1)</f>
        <v>403</v>
      </c>
      <c r="R1887" s="45" t="s">
        <v>99</v>
      </c>
      <c r="S1887" s="20">
        <v>1</v>
      </c>
    </row>
    <row r="1888" spans="8:19" x14ac:dyDescent="0.25">
      <c r="H1888">
        <v>12</v>
      </c>
      <c r="I1888">
        <v>817</v>
      </c>
      <c r="J1888">
        <v>115</v>
      </c>
      <c r="K1888" t="b">
        <v>1</v>
      </c>
      <c r="N1888" s="26" t="s">
        <v>556</v>
      </c>
      <c r="O1888" s="2">
        <f>INDEX(Маршруты,MATCH(N1888,$B$3:$B$498,0),1)</f>
        <v>81</v>
      </c>
      <c r="P1888" s="27">
        <v>12</v>
      </c>
      <c r="Q1888" s="2">
        <f>INDEX(Остановки,MATCH(R1888,ИД_Остановки!$B$3:$B$467,0),1)</f>
        <v>337</v>
      </c>
      <c r="R1888" s="45" t="s">
        <v>407</v>
      </c>
      <c r="S1888" s="20">
        <v>0.59</v>
      </c>
    </row>
    <row r="1889" spans="8:19" x14ac:dyDescent="0.25">
      <c r="H1889">
        <v>12</v>
      </c>
      <c r="I1889">
        <v>836</v>
      </c>
      <c r="J1889">
        <v>115</v>
      </c>
      <c r="K1889" t="b">
        <v>1</v>
      </c>
      <c r="N1889" s="25" t="s">
        <v>556</v>
      </c>
      <c r="O1889" s="2">
        <f>INDEX(Маршруты,MATCH(N1889,$B$3:$B$498,0),1)</f>
        <v>81</v>
      </c>
      <c r="P1889" s="27">
        <v>13</v>
      </c>
      <c r="Q1889" s="2">
        <f>INDEX(Остановки,MATCH(R1889,ИД_Остановки!$B$3:$B$467,0),1)</f>
        <v>22</v>
      </c>
      <c r="R1889" s="45" t="s">
        <v>22</v>
      </c>
      <c r="S1889" s="20">
        <v>0.39</v>
      </c>
    </row>
    <row r="1890" spans="8:19" x14ac:dyDescent="0.25">
      <c r="H1890">
        <v>12</v>
      </c>
      <c r="I1890">
        <v>855</v>
      </c>
      <c r="J1890">
        <v>115</v>
      </c>
      <c r="K1890" t="b">
        <v>1</v>
      </c>
      <c r="N1890" s="25" t="s">
        <v>556</v>
      </c>
      <c r="O1890" s="2">
        <f>INDEX(Маршруты,MATCH(N1890,$B$3:$B$498,0),1)</f>
        <v>81</v>
      </c>
      <c r="P1890" s="28">
        <v>14</v>
      </c>
      <c r="Q1890" s="2">
        <f>INDEX(Остановки,MATCH(R1890,ИД_Остановки!$B$3:$B$467,0),1)</f>
        <v>199</v>
      </c>
      <c r="R1890" s="24" t="s">
        <v>118</v>
      </c>
      <c r="S1890" s="20">
        <v>0.42</v>
      </c>
    </row>
    <row r="1891" spans="8:19" x14ac:dyDescent="0.25">
      <c r="H1891">
        <v>12</v>
      </c>
      <c r="I1891">
        <v>874</v>
      </c>
      <c r="J1891">
        <v>115</v>
      </c>
      <c r="K1891" t="b">
        <v>1</v>
      </c>
      <c r="N1891" s="25" t="s">
        <v>556</v>
      </c>
      <c r="O1891" s="2">
        <f>INDEX(Маршруты,MATCH(N1891,$B$3:$B$498,0),1)</f>
        <v>81</v>
      </c>
      <c r="P1891" s="27">
        <v>15</v>
      </c>
      <c r="Q1891" s="2">
        <f>INDEX(Остановки,MATCH(R1891,ИД_Остановки!$B$3:$B$467,0),1)</f>
        <v>200</v>
      </c>
      <c r="R1891" s="45" t="s">
        <v>119</v>
      </c>
      <c r="S1891" s="20">
        <v>0.75</v>
      </c>
    </row>
    <row r="1892" spans="8:19" x14ac:dyDescent="0.25">
      <c r="H1892">
        <v>12</v>
      </c>
      <c r="I1892">
        <v>893</v>
      </c>
      <c r="J1892">
        <v>115</v>
      </c>
      <c r="K1892" t="b">
        <v>1</v>
      </c>
      <c r="N1892" s="25" t="s">
        <v>556</v>
      </c>
      <c r="O1892" s="2">
        <f>INDEX(Маршруты,MATCH(N1892,$B$3:$B$498,0),1)</f>
        <v>81</v>
      </c>
      <c r="P1892" s="27">
        <v>16</v>
      </c>
      <c r="Q1892" s="2">
        <f>INDEX(Остановки,MATCH(R1892,ИД_Остановки!$B$3:$B$467,0),1)</f>
        <v>255</v>
      </c>
      <c r="R1892" s="45" t="s">
        <v>137</v>
      </c>
      <c r="S1892" s="20">
        <v>0.67</v>
      </c>
    </row>
    <row r="1893" spans="8:19" x14ac:dyDescent="0.25">
      <c r="H1893">
        <v>12</v>
      </c>
      <c r="I1893">
        <v>912</v>
      </c>
      <c r="J1893">
        <v>115</v>
      </c>
      <c r="K1893" t="b">
        <v>1</v>
      </c>
      <c r="N1893" s="30" t="s">
        <v>556</v>
      </c>
      <c r="O1893" s="2">
        <f>INDEX(Маршруты,MATCH(N1893,$B$3:$B$498,0),1)</f>
        <v>81</v>
      </c>
      <c r="P1893" s="27">
        <v>17</v>
      </c>
      <c r="Q1893" s="2">
        <f>INDEX(Остановки,MATCH(R1893,ИД_Остановки!$B$3:$B$467,0),1)</f>
        <v>257</v>
      </c>
      <c r="R1893" s="45" t="s">
        <v>377</v>
      </c>
      <c r="S1893" s="20">
        <v>0.61</v>
      </c>
    </row>
    <row r="1894" spans="8:19" x14ac:dyDescent="0.25">
      <c r="H1894">
        <v>12</v>
      </c>
      <c r="I1894">
        <v>931</v>
      </c>
      <c r="J1894">
        <v>115</v>
      </c>
      <c r="K1894" t="b">
        <v>1</v>
      </c>
      <c r="N1894" s="25" t="s">
        <v>556</v>
      </c>
      <c r="O1894" s="2">
        <f>INDEX(Маршруты,MATCH(N1894,$B$3:$B$498,0),1)</f>
        <v>81</v>
      </c>
      <c r="P1894" s="27">
        <v>18</v>
      </c>
      <c r="Q1894" s="2">
        <f>INDEX(Остановки,MATCH(R1894,ИД_Остановки!$B$3:$B$467,0),1)</f>
        <v>238</v>
      </c>
      <c r="R1894" s="45" t="s">
        <v>131</v>
      </c>
      <c r="S1894" s="20">
        <v>0.56000000000000005</v>
      </c>
    </row>
    <row r="1895" spans="8:19" x14ac:dyDescent="0.25">
      <c r="H1895">
        <v>13</v>
      </c>
      <c r="I1895">
        <v>0</v>
      </c>
      <c r="J1895">
        <v>115</v>
      </c>
      <c r="K1895" t="b">
        <v>1</v>
      </c>
      <c r="N1895" s="25" t="s">
        <v>556</v>
      </c>
      <c r="O1895" s="2">
        <f>INDEX(Маршруты,MATCH(N1895,$B$3:$B$498,0),1)</f>
        <v>81</v>
      </c>
      <c r="P1895" s="27">
        <v>19</v>
      </c>
      <c r="Q1895" s="2">
        <f>INDEX(Остановки,MATCH(R1895,ИД_Остановки!$B$3:$B$467,0),1)</f>
        <v>228</v>
      </c>
      <c r="R1895" s="45" t="s">
        <v>127</v>
      </c>
      <c r="S1895" s="20">
        <v>0.94</v>
      </c>
    </row>
    <row r="1896" spans="8:19" x14ac:dyDescent="0.25">
      <c r="H1896">
        <v>13</v>
      </c>
      <c r="I1896">
        <v>4</v>
      </c>
      <c r="J1896">
        <v>115</v>
      </c>
      <c r="K1896" t="b">
        <v>1</v>
      </c>
      <c r="N1896" s="25" t="s">
        <v>556</v>
      </c>
      <c r="O1896" s="2">
        <f>INDEX(Маршруты,MATCH(N1896,$B$3:$B$498,0),1)</f>
        <v>81</v>
      </c>
      <c r="P1896" s="28">
        <v>20</v>
      </c>
      <c r="Q1896" s="2">
        <f>INDEX(Остановки,MATCH(R1896,ИД_Остановки!$B$3:$B$467,0),1)</f>
        <v>3</v>
      </c>
      <c r="R1896" s="24" t="s">
        <v>243</v>
      </c>
      <c r="S1896" s="20">
        <v>1.18</v>
      </c>
    </row>
    <row r="1897" spans="8:19" x14ac:dyDescent="0.25">
      <c r="H1897">
        <v>13</v>
      </c>
      <c r="I1897">
        <v>8</v>
      </c>
      <c r="J1897">
        <v>115</v>
      </c>
      <c r="K1897" t="b">
        <v>1</v>
      </c>
      <c r="N1897" s="30" t="s">
        <v>556</v>
      </c>
      <c r="O1897" s="2">
        <f>INDEX(Маршруты,MATCH(N1897,$B$3:$B$498,0),1)</f>
        <v>81</v>
      </c>
      <c r="P1897" s="27">
        <v>21</v>
      </c>
      <c r="Q1897" s="2">
        <f>INDEX(Остановки,MATCH(R1897,ИД_Остановки!$B$3:$B$467,0),1)</f>
        <v>208</v>
      </c>
      <c r="R1897" s="45" t="s">
        <v>121</v>
      </c>
      <c r="S1897" s="20">
        <v>0.9</v>
      </c>
    </row>
    <row r="1898" spans="8:19" x14ac:dyDescent="0.25">
      <c r="H1898">
        <v>13</v>
      </c>
      <c r="I1898">
        <v>12</v>
      </c>
      <c r="J1898">
        <v>115</v>
      </c>
      <c r="K1898" t="b">
        <v>1</v>
      </c>
      <c r="N1898" s="25" t="s">
        <v>556</v>
      </c>
      <c r="O1898" s="2">
        <f>INDEX(Маршруты,MATCH(N1898,$B$3:$B$498,0),1)</f>
        <v>81</v>
      </c>
      <c r="P1898" s="27">
        <v>22</v>
      </c>
      <c r="Q1898" s="2">
        <f>INDEX(Остановки,MATCH(R1898,ИД_Остановки!$B$3:$B$467,0),1)</f>
        <v>207</v>
      </c>
      <c r="R1898" s="45" t="s">
        <v>345</v>
      </c>
      <c r="S1898" s="20">
        <v>0.56999999999999995</v>
      </c>
    </row>
    <row r="1899" spans="8:19" x14ac:dyDescent="0.25">
      <c r="H1899">
        <v>13</v>
      </c>
      <c r="I1899">
        <v>16</v>
      </c>
      <c r="J1899">
        <v>115</v>
      </c>
      <c r="K1899" t="b">
        <v>1</v>
      </c>
      <c r="N1899" s="24" t="s">
        <v>556</v>
      </c>
      <c r="O1899" s="2">
        <f>INDEX(Маршруты,MATCH(N1899,$B$3:$B$498,0),1)</f>
        <v>81</v>
      </c>
      <c r="P1899" s="27">
        <v>23</v>
      </c>
      <c r="Q1899" s="2">
        <f>INDEX(Остановки,MATCH(R1899,ИД_Остановки!$B$3:$B$467,0),1)</f>
        <v>241</v>
      </c>
      <c r="R1899" s="45" t="s">
        <v>132</v>
      </c>
      <c r="S1899" s="20">
        <v>0.74</v>
      </c>
    </row>
    <row r="1900" spans="8:19" x14ac:dyDescent="0.25">
      <c r="H1900">
        <v>13</v>
      </c>
      <c r="I1900">
        <v>20</v>
      </c>
      <c r="J1900">
        <v>115</v>
      </c>
      <c r="K1900" t="b">
        <v>1</v>
      </c>
      <c r="N1900" s="25" t="s">
        <v>556</v>
      </c>
      <c r="O1900" s="2">
        <f>INDEX(Маршруты,MATCH(N1900,$B$3:$B$498,0),1)</f>
        <v>81</v>
      </c>
      <c r="P1900" s="28">
        <v>24</v>
      </c>
      <c r="Q1900" s="2">
        <f>INDEX(Остановки,MATCH(R1900,ИД_Остановки!$B$3:$B$467,0),1)</f>
        <v>21</v>
      </c>
      <c r="R1900" s="24" t="s">
        <v>21</v>
      </c>
      <c r="S1900" s="20">
        <v>1.56</v>
      </c>
    </row>
    <row r="1901" spans="8:19" x14ac:dyDescent="0.25">
      <c r="H1901">
        <v>13</v>
      </c>
      <c r="I1901">
        <v>24</v>
      </c>
      <c r="J1901">
        <v>115</v>
      </c>
      <c r="K1901" t="b">
        <v>1</v>
      </c>
      <c r="N1901" s="30" t="s">
        <v>556</v>
      </c>
      <c r="O1901" s="2">
        <f>INDEX(Маршруты,MATCH(N1901,$B$3:$B$498,0),1)</f>
        <v>81</v>
      </c>
      <c r="P1901" s="27">
        <v>25</v>
      </c>
      <c r="Q1901" s="2">
        <f>INDEX(Остановки,MATCH(R1901,ИД_Остановки!$B$3:$B$467,0),1)</f>
        <v>395</v>
      </c>
      <c r="R1901" s="45" t="s">
        <v>452</v>
      </c>
      <c r="S1901" s="20">
        <v>1.1499999999999999</v>
      </c>
    </row>
    <row r="1902" spans="8:19" x14ac:dyDescent="0.25">
      <c r="H1902">
        <v>13</v>
      </c>
      <c r="I1902">
        <v>28</v>
      </c>
      <c r="J1902">
        <v>115</v>
      </c>
      <c r="K1902" t="b">
        <v>1</v>
      </c>
      <c r="N1902" s="25" t="s">
        <v>556</v>
      </c>
      <c r="O1902" s="2">
        <f>INDEX(Маршруты,MATCH(N1902,$B$3:$B$498,0),1)</f>
        <v>81</v>
      </c>
      <c r="P1902" s="27">
        <v>26</v>
      </c>
      <c r="Q1902" s="2">
        <f>INDEX(Остановки,MATCH(R1902,ИД_Остановки!$B$3:$B$467,0),1)</f>
        <v>135</v>
      </c>
      <c r="R1902" s="45" t="s">
        <v>83</v>
      </c>
      <c r="S1902" s="20">
        <v>0.75</v>
      </c>
    </row>
    <row r="1903" spans="8:19" x14ac:dyDescent="0.25">
      <c r="H1903">
        <v>13</v>
      </c>
      <c r="I1903">
        <v>32</v>
      </c>
      <c r="J1903">
        <v>115</v>
      </c>
      <c r="K1903" t="b">
        <v>1</v>
      </c>
      <c r="N1903" s="26" t="s">
        <v>557</v>
      </c>
      <c r="O1903" s="2">
        <f>INDEX(Маршруты,MATCH(N1903,$B$3:$B$498,0),1)</f>
        <v>82</v>
      </c>
      <c r="P1903" s="27">
        <v>1</v>
      </c>
      <c r="Q1903" s="2">
        <f>INDEX(Остановки,MATCH(R1903,ИД_Остановки!$B$3:$B$467,0),1)</f>
        <v>24</v>
      </c>
      <c r="R1903" s="45" t="s">
        <v>252</v>
      </c>
      <c r="S1903" s="20"/>
    </row>
    <row r="1904" spans="8:19" x14ac:dyDescent="0.25">
      <c r="H1904">
        <v>13</v>
      </c>
      <c r="I1904">
        <v>36</v>
      </c>
      <c r="J1904">
        <v>115</v>
      </c>
      <c r="K1904" t="b">
        <v>1</v>
      </c>
      <c r="N1904" s="30" t="s">
        <v>557</v>
      </c>
      <c r="O1904" s="2">
        <f>INDEX(Маршруты,MATCH(N1904,$B$3:$B$498,0),1)</f>
        <v>82</v>
      </c>
      <c r="P1904" s="27">
        <v>2</v>
      </c>
      <c r="Q1904" s="2">
        <f>INDEX(Остановки,MATCH(R1904,ИД_Остановки!$B$3:$B$467,0),1)</f>
        <v>200</v>
      </c>
      <c r="R1904" s="45" t="s">
        <v>119</v>
      </c>
      <c r="S1904" s="20">
        <v>0.46</v>
      </c>
    </row>
    <row r="1905" spans="8:19" x14ac:dyDescent="0.25">
      <c r="H1905">
        <v>13</v>
      </c>
      <c r="I1905">
        <v>40</v>
      </c>
      <c r="J1905">
        <v>115</v>
      </c>
      <c r="K1905" t="b">
        <v>1</v>
      </c>
      <c r="N1905" s="30" t="s">
        <v>557</v>
      </c>
      <c r="O1905" s="2">
        <f>INDEX(Маршруты,MATCH(N1905,$B$3:$B$498,0),1)</f>
        <v>82</v>
      </c>
      <c r="P1905" s="27">
        <v>3</v>
      </c>
      <c r="Q1905" s="2">
        <f>INDEX(Остановки,MATCH(R1905,ИД_Остановки!$B$3:$B$467,0),1)</f>
        <v>199</v>
      </c>
      <c r="R1905" s="45" t="s">
        <v>118</v>
      </c>
      <c r="S1905" s="20">
        <v>0.75</v>
      </c>
    </row>
    <row r="1906" spans="8:19" x14ac:dyDescent="0.25">
      <c r="H1906">
        <v>13</v>
      </c>
      <c r="I1906">
        <v>44</v>
      </c>
      <c r="J1906">
        <v>115</v>
      </c>
      <c r="K1906" t="b">
        <v>1</v>
      </c>
      <c r="N1906" s="26" t="s">
        <v>557</v>
      </c>
      <c r="O1906" s="2">
        <f>INDEX(Маршруты,MATCH(N1906,$B$3:$B$498,0),1)</f>
        <v>82</v>
      </c>
      <c r="P1906" s="27">
        <v>4</v>
      </c>
      <c r="Q1906" s="2">
        <f>INDEX(Остановки,MATCH(R1906,ИД_Остановки!$B$3:$B$467,0),1)</f>
        <v>22</v>
      </c>
      <c r="R1906" s="45" t="s">
        <v>22</v>
      </c>
      <c r="S1906" s="20">
        <v>0.42</v>
      </c>
    </row>
    <row r="1907" spans="8:19" x14ac:dyDescent="0.25">
      <c r="H1907">
        <v>13</v>
      </c>
      <c r="I1907">
        <v>48</v>
      </c>
      <c r="J1907">
        <v>115</v>
      </c>
      <c r="K1907" t="b">
        <v>1</v>
      </c>
      <c r="N1907" s="30" t="s">
        <v>557</v>
      </c>
      <c r="O1907" s="2">
        <f>INDEX(Маршруты,MATCH(N1907,$B$3:$B$498,0),1)</f>
        <v>82</v>
      </c>
      <c r="P1907" s="27">
        <v>5</v>
      </c>
      <c r="Q1907" s="2">
        <f>INDEX(Остановки,MATCH(R1907,ИД_Остановки!$B$3:$B$467,0),1)</f>
        <v>337</v>
      </c>
      <c r="R1907" s="45" t="s">
        <v>407</v>
      </c>
      <c r="S1907" s="20">
        <v>0.39</v>
      </c>
    </row>
    <row r="1908" spans="8:19" x14ac:dyDescent="0.25">
      <c r="H1908">
        <v>13</v>
      </c>
      <c r="I1908">
        <v>52</v>
      </c>
      <c r="J1908">
        <v>115</v>
      </c>
      <c r="K1908" t="b">
        <v>1</v>
      </c>
      <c r="N1908" s="30" t="s">
        <v>557</v>
      </c>
      <c r="O1908" s="2">
        <f>INDEX(Маршруты,MATCH(N1908,$B$3:$B$498,0),1)</f>
        <v>82</v>
      </c>
      <c r="P1908" s="27">
        <v>6</v>
      </c>
      <c r="Q1908" s="2">
        <f>INDEX(Остановки,MATCH(R1908,ИД_Остановки!$B$3:$B$467,0),1)</f>
        <v>160</v>
      </c>
      <c r="R1908" s="45" t="s">
        <v>323</v>
      </c>
      <c r="S1908" s="20">
        <v>0.6</v>
      </c>
    </row>
    <row r="1909" spans="8:19" x14ac:dyDescent="0.25">
      <c r="H1909">
        <v>13</v>
      </c>
      <c r="I1909">
        <v>56</v>
      </c>
      <c r="J1909">
        <v>115</v>
      </c>
      <c r="K1909" t="b">
        <v>1</v>
      </c>
      <c r="N1909" s="30" t="s">
        <v>557</v>
      </c>
      <c r="O1909" s="2">
        <f>INDEX(Маршруты,MATCH(N1909,$B$3:$B$498,0),1)</f>
        <v>82</v>
      </c>
      <c r="P1909" s="27">
        <v>7</v>
      </c>
      <c r="Q1909" s="2">
        <f>INDEX(Остановки,MATCH(R1909,ИД_Остановки!$B$3:$B$467,0),1)</f>
        <v>254</v>
      </c>
      <c r="R1909" s="45" t="s">
        <v>136</v>
      </c>
      <c r="S1909" s="20">
        <v>0.49</v>
      </c>
    </row>
    <row r="1910" spans="8:19" x14ac:dyDescent="0.25">
      <c r="H1910">
        <v>13</v>
      </c>
      <c r="I1910">
        <v>60</v>
      </c>
      <c r="J1910">
        <v>115</v>
      </c>
      <c r="K1910" t="b">
        <v>1</v>
      </c>
      <c r="N1910" s="26" t="s">
        <v>557</v>
      </c>
      <c r="O1910" s="2">
        <f>INDEX(Маршруты,MATCH(N1910,$B$3:$B$498,0),1)</f>
        <v>82</v>
      </c>
      <c r="P1910" s="27">
        <v>8</v>
      </c>
      <c r="Q1910" s="2">
        <f>INDEX(Остановки,MATCH(R1910,ИД_Остановки!$B$3:$B$467,0),1)</f>
        <v>288</v>
      </c>
      <c r="R1910" s="45" t="s">
        <v>388</v>
      </c>
      <c r="S1910" s="20">
        <v>0.79</v>
      </c>
    </row>
    <row r="1911" spans="8:19" x14ac:dyDescent="0.25">
      <c r="H1911">
        <v>13</v>
      </c>
      <c r="I1911">
        <v>64</v>
      </c>
      <c r="J1911">
        <v>115</v>
      </c>
      <c r="K1911" t="b">
        <v>1</v>
      </c>
      <c r="N1911" s="25" t="s">
        <v>557</v>
      </c>
      <c r="O1911" s="2">
        <f>INDEX(Маршруты,MATCH(N1911,$B$3:$B$498,0),1)</f>
        <v>82</v>
      </c>
      <c r="P1911" s="27">
        <v>9</v>
      </c>
      <c r="Q1911" s="2">
        <f>INDEX(Остановки,MATCH(R1911,ИД_Остановки!$B$3:$B$467,0),1)</f>
        <v>376</v>
      </c>
      <c r="R1911" s="45" t="s">
        <v>434</v>
      </c>
      <c r="S1911" s="20">
        <v>1.2</v>
      </c>
    </row>
    <row r="1912" spans="8:19" x14ac:dyDescent="0.25">
      <c r="H1912">
        <v>13</v>
      </c>
      <c r="I1912">
        <v>68</v>
      </c>
      <c r="J1912">
        <v>115</v>
      </c>
      <c r="K1912" t="b">
        <v>1</v>
      </c>
      <c r="N1912" s="30" t="s">
        <v>557</v>
      </c>
      <c r="O1912" s="2">
        <f>INDEX(Маршруты,MATCH(N1912,$B$3:$B$498,0),1)</f>
        <v>82</v>
      </c>
      <c r="P1912" s="27">
        <v>10</v>
      </c>
      <c r="Q1912" s="2">
        <f>INDEX(Остановки,MATCH(R1912,ИД_Остановки!$B$3:$B$467,0),1)</f>
        <v>392</v>
      </c>
      <c r="R1912" s="45" t="s">
        <v>449</v>
      </c>
      <c r="S1912" s="20">
        <v>0.42</v>
      </c>
    </row>
    <row r="1913" spans="8:19" x14ac:dyDescent="0.25">
      <c r="H1913">
        <v>13</v>
      </c>
      <c r="I1913">
        <v>72</v>
      </c>
      <c r="J1913">
        <v>115</v>
      </c>
      <c r="K1913" t="b">
        <v>1</v>
      </c>
      <c r="N1913" s="30" t="s">
        <v>557</v>
      </c>
      <c r="O1913" s="2">
        <f>INDEX(Маршруты,MATCH(N1913,$B$3:$B$498,0),1)</f>
        <v>82</v>
      </c>
      <c r="P1913" s="27">
        <v>11</v>
      </c>
      <c r="Q1913" s="2">
        <f>INDEX(Остановки,MATCH(R1913,ИД_Остановки!$B$3:$B$467,0),1)</f>
        <v>375</v>
      </c>
      <c r="R1913" s="45" t="s">
        <v>433</v>
      </c>
      <c r="S1913" s="20">
        <v>0.44</v>
      </c>
    </row>
    <row r="1914" spans="8:19" x14ac:dyDescent="0.25">
      <c r="H1914">
        <v>13</v>
      </c>
      <c r="I1914">
        <v>76</v>
      </c>
      <c r="J1914">
        <v>115</v>
      </c>
      <c r="K1914" t="b">
        <v>1</v>
      </c>
      <c r="N1914" s="25" t="s">
        <v>557</v>
      </c>
      <c r="O1914" s="2">
        <f>INDEX(Маршруты,MATCH(N1914,$B$3:$B$498,0),1)</f>
        <v>82</v>
      </c>
      <c r="P1914" s="27">
        <v>12</v>
      </c>
      <c r="Q1914" s="2">
        <f>INDEX(Остановки,MATCH(R1914,ИД_Остановки!$B$3:$B$467,0),1)</f>
        <v>253</v>
      </c>
      <c r="R1914" s="45" t="s">
        <v>375</v>
      </c>
      <c r="S1914" s="20">
        <v>0.68</v>
      </c>
    </row>
    <row r="1915" spans="8:19" x14ac:dyDescent="0.25">
      <c r="H1915">
        <v>13</v>
      </c>
      <c r="I1915">
        <v>80</v>
      </c>
      <c r="J1915">
        <v>115</v>
      </c>
      <c r="K1915" t="b">
        <v>1</v>
      </c>
      <c r="N1915" s="30" t="s">
        <v>557</v>
      </c>
      <c r="O1915" s="2">
        <f>INDEX(Маршруты,MATCH(N1915,$B$3:$B$498,0),1)</f>
        <v>82</v>
      </c>
      <c r="P1915" s="27">
        <v>13</v>
      </c>
      <c r="Q1915" s="2">
        <f>INDEX(Остановки,MATCH(R1915,ИД_Остановки!$B$3:$B$467,0),1)</f>
        <v>393</v>
      </c>
      <c r="R1915" s="45" t="s">
        <v>450</v>
      </c>
      <c r="S1915" s="20">
        <v>3.25</v>
      </c>
    </row>
    <row r="1916" spans="8:19" x14ac:dyDescent="0.25">
      <c r="H1916">
        <v>13</v>
      </c>
      <c r="I1916">
        <v>84</v>
      </c>
      <c r="J1916">
        <v>115</v>
      </c>
      <c r="K1916" t="b">
        <v>1</v>
      </c>
      <c r="N1916" s="25" t="s">
        <v>557</v>
      </c>
      <c r="O1916" s="2">
        <f>INDEX(Маршруты,MATCH(N1916,$B$3:$B$498,0),1)</f>
        <v>82</v>
      </c>
      <c r="P1916" s="27">
        <v>14</v>
      </c>
      <c r="Q1916" s="2">
        <f>INDEX(Остановки,MATCH(R1916,ИД_Остановки!$B$3:$B$467,0),1)</f>
        <v>182</v>
      </c>
      <c r="R1916" s="45" t="s">
        <v>97</v>
      </c>
      <c r="S1916" s="20">
        <v>13.6</v>
      </c>
    </row>
    <row r="1917" spans="8:19" x14ac:dyDescent="0.25">
      <c r="H1917">
        <v>13</v>
      </c>
      <c r="I1917">
        <v>88</v>
      </c>
      <c r="J1917">
        <v>115</v>
      </c>
      <c r="K1917" t="b">
        <v>1</v>
      </c>
      <c r="N1917" s="25" t="s">
        <v>557</v>
      </c>
      <c r="O1917" s="2">
        <f>INDEX(Маршруты,MATCH(N1917,$B$3:$B$498,0),1)</f>
        <v>82</v>
      </c>
      <c r="P1917" s="27">
        <v>15</v>
      </c>
      <c r="Q1917" s="2">
        <f>INDEX(Остановки,MATCH(R1917,ИД_Остановки!$B$3:$B$467,0),1)</f>
        <v>296</v>
      </c>
      <c r="R1917" s="45" t="s">
        <v>168</v>
      </c>
      <c r="S1917" s="20">
        <v>5.91</v>
      </c>
    </row>
    <row r="1918" spans="8:19" x14ac:dyDescent="0.25">
      <c r="H1918">
        <v>13</v>
      </c>
      <c r="I1918">
        <v>92</v>
      </c>
      <c r="J1918">
        <v>115</v>
      </c>
      <c r="K1918" t="b">
        <v>1</v>
      </c>
      <c r="N1918" s="26" t="s">
        <v>557</v>
      </c>
      <c r="O1918" s="2">
        <f>INDEX(Маршруты,MATCH(N1918,$B$3:$B$498,0),1)</f>
        <v>82</v>
      </c>
      <c r="P1918" s="27">
        <v>16</v>
      </c>
      <c r="Q1918" s="2">
        <f>INDEX(Остановки,MATCH(R1918,ИД_Остановки!$B$3:$B$467,0),1)</f>
        <v>203</v>
      </c>
      <c r="R1918" s="45" t="s">
        <v>341</v>
      </c>
      <c r="S1918" s="20">
        <v>1.75</v>
      </c>
    </row>
    <row r="1919" spans="8:19" x14ac:dyDescent="0.25">
      <c r="H1919">
        <v>13</v>
      </c>
      <c r="I1919">
        <v>96</v>
      </c>
      <c r="J1919">
        <v>115</v>
      </c>
      <c r="K1919" t="b">
        <v>1</v>
      </c>
      <c r="N1919" s="30" t="s">
        <v>558</v>
      </c>
      <c r="O1919" s="2">
        <f>INDEX(Маршруты,MATCH(N1919,$B$3:$B$498,0),1)</f>
        <v>83</v>
      </c>
      <c r="P1919" s="27">
        <v>1</v>
      </c>
      <c r="Q1919" s="2">
        <f>INDEX(Остановки,MATCH(R1919,ИД_Остановки!$B$3:$B$467,0),1)</f>
        <v>203</v>
      </c>
      <c r="R1919" s="45" t="s">
        <v>341</v>
      </c>
      <c r="S1919" s="20"/>
    </row>
    <row r="1920" spans="8:19" x14ac:dyDescent="0.25">
      <c r="H1920">
        <v>13</v>
      </c>
      <c r="I1920">
        <v>100</v>
      </c>
      <c r="J1920">
        <v>115</v>
      </c>
      <c r="K1920" t="b">
        <v>1</v>
      </c>
      <c r="N1920" s="30" t="s">
        <v>558</v>
      </c>
      <c r="O1920" s="2">
        <f>INDEX(Маршруты,MATCH(N1920,$B$3:$B$498,0),1)</f>
        <v>83</v>
      </c>
      <c r="P1920" s="27">
        <v>2</v>
      </c>
      <c r="Q1920" s="2">
        <f>INDEX(Остановки,MATCH(R1920,ИД_Остановки!$B$3:$B$467,0),1)</f>
        <v>296</v>
      </c>
      <c r="R1920" s="45" t="s">
        <v>168</v>
      </c>
      <c r="S1920" s="20">
        <v>1.75</v>
      </c>
    </row>
    <row r="1921" spans="8:19" x14ac:dyDescent="0.25">
      <c r="H1921">
        <v>13</v>
      </c>
      <c r="I1921">
        <v>104</v>
      </c>
      <c r="J1921">
        <v>115</v>
      </c>
      <c r="K1921" t="b">
        <v>1</v>
      </c>
      <c r="N1921" s="26" t="s">
        <v>558</v>
      </c>
      <c r="O1921" s="2">
        <f>INDEX(Маршруты,MATCH(N1921,$B$3:$B$498,0),1)</f>
        <v>83</v>
      </c>
      <c r="P1921" s="27">
        <v>3</v>
      </c>
      <c r="Q1921" s="2">
        <f>INDEX(Остановки,MATCH(R1921,ИД_Остановки!$B$3:$B$467,0),1)</f>
        <v>182</v>
      </c>
      <c r="R1921" s="45" t="s">
        <v>97</v>
      </c>
      <c r="S1921" s="20">
        <v>5.91</v>
      </c>
    </row>
    <row r="1922" spans="8:19" x14ac:dyDescent="0.25">
      <c r="H1922">
        <v>13</v>
      </c>
      <c r="I1922">
        <v>108</v>
      </c>
      <c r="J1922">
        <v>115</v>
      </c>
      <c r="K1922" t="b">
        <v>1</v>
      </c>
      <c r="N1922" s="25" t="s">
        <v>558</v>
      </c>
      <c r="O1922" s="2">
        <f>INDEX(Маршруты,MATCH(N1922,$B$3:$B$498,0),1)</f>
        <v>83</v>
      </c>
      <c r="P1922" s="27">
        <v>4</v>
      </c>
      <c r="Q1922" s="2">
        <f>INDEX(Остановки,MATCH(R1922,ИД_Остановки!$B$3:$B$467,0),1)</f>
        <v>393</v>
      </c>
      <c r="R1922" s="45" t="s">
        <v>450</v>
      </c>
      <c r="S1922" s="20">
        <v>13.6</v>
      </c>
    </row>
    <row r="1923" spans="8:19" x14ac:dyDescent="0.25">
      <c r="H1923">
        <v>13</v>
      </c>
      <c r="I1923">
        <v>112</v>
      </c>
      <c r="J1923">
        <v>115</v>
      </c>
      <c r="K1923" t="b">
        <v>1</v>
      </c>
      <c r="N1923" s="25" t="s">
        <v>558</v>
      </c>
      <c r="O1923" s="2">
        <f>INDEX(Маршруты,MATCH(N1923,$B$3:$B$498,0),1)</f>
        <v>83</v>
      </c>
      <c r="P1923" s="27">
        <v>5</v>
      </c>
      <c r="Q1923" s="2">
        <f>INDEX(Остановки,MATCH(R1923,ИД_Остановки!$B$3:$B$467,0),1)</f>
        <v>253</v>
      </c>
      <c r="R1923" s="45" t="s">
        <v>375</v>
      </c>
      <c r="S1923" s="20">
        <v>3.25</v>
      </c>
    </row>
    <row r="1924" spans="8:19" x14ac:dyDescent="0.25">
      <c r="H1924">
        <v>13</v>
      </c>
      <c r="I1924">
        <v>116</v>
      </c>
      <c r="J1924">
        <v>115</v>
      </c>
      <c r="K1924" t="b">
        <v>1</v>
      </c>
      <c r="N1924" s="25" t="s">
        <v>558</v>
      </c>
      <c r="O1924" s="2">
        <f>INDEX(Маршруты,MATCH(N1924,$B$3:$B$498,0),1)</f>
        <v>83</v>
      </c>
      <c r="P1924" s="27">
        <v>6</v>
      </c>
      <c r="Q1924" s="2">
        <f>INDEX(Остановки,MATCH(R1924,ИД_Остановки!$B$3:$B$467,0),1)</f>
        <v>375</v>
      </c>
      <c r="R1924" s="45" t="s">
        <v>433</v>
      </c>
      <c r="S1924" s="20">
        <v>0.68</v>
      </c>
    </row>
    <row r="1925" spans="8:19" x14ac:dyDescent="0.25">
      <c r="H1925">
        <v>13</v>
      </c>
      <c r="I1925">
        <v>120</v>
      </c>
      <c r="J1925">
        <v>115</v>
      </c>
      <c r="K1925" t="b">
        <v>1</v>
      </c>
      <c r="N1925" s="25" t="s">
        <v>558</v>
      </c>
      <c r="O1925" s="2">
        <f>INDEX(Маршруты,MATCH(N1925,$B$3:$B$498,0),1)</f>
        <v>83</v>
      </c>
      <c r="P1925" s="28">
        <v>7</v>
      </c>
      <c r="Q1925" s="2">
        <f>INDEX(Остановки,MATCH(R1925,ИД_Остановки!$B$3:$B$467,0),1)</f>
        <v>392</v>
      </c>
      <c r="R1925" s="24" t="s">
        <v>449</v>
      </c>
      <c r="S1925" s="20">
        <v>0.44</v>
      </c>
    </row>
    <row r="1926" spans="8:19" x14ac:dyDescent="0.25">
      <c r="H1926">
        <v>13</v>
      </c>
      <c r="I1926">
        <v>124</v>
      </c>
      <c r="J1926">
        <v>115</v>
      </c>
      <c r="K1926" t="b">
        <v>1</v>
      </c>
      <c r="N1926" s="30" t="s">
        <v>558</v>
      </c>
      <c r="O1926" s="2">
        <f>INDEX(Маршруты,MATCH(N1926,$B$3:$B$498,0),1)</f>
        <v>83</v>
      </c>
      <c r="P1926" s="27">
        <v>8</v>
      </c>
      <c r="Q1926" s="2">
        <f>INDEX(Остановки,MATCH(R1926,ИД_Остановки!$B$3:$B$467,0),1)</f>
        <v>376</v>
      </c>
      <c r="R1926" s="45" t="s">
        <v>434</v>
      </c>
      <c r="S1926" s="20">
        <v>0.42</v>
      </c>
    </row>
    <row r="1927" spans="8:19" x14ac:dyDescent="0.25">
      <c r="H1927">
        <v>13</v>
      </c>
      <c r="I1927">
        <v>128</v>
      </c>
      <c r="J1927">
        <v>115</v>
      </c>
      <c r="K1927" t="b">
        <v>1</v>
      </c>
      <c r="N1927" s="25" t="s">
        <v>558</v>
      </c>
      <c r="O1927" s="2">
        <f>INDEX(Маршруты,MATCH(N1927,$B$3:$B$498,0),1)</f>
        <v>83</v>
      </c>
      <c r="P1927" s="27">
        <v>9</v>
      </c>
      <c r="Q1927" s="2">
        <f>INDEX(Остановки,MATCH(R1927,ИД_Остановки!$B$3:$B$467,0),1)</f>
        <v>288</v>
      </c>
      <c r="R1927" s="45" t="s">
        <v>388</v>
      </c>
      <c r="S1927" s="20">
        <v>1.2</v>
      </c>
    </row>
    <row r="1928" spans="8:19" x14ac:dyDescent="0.25">
      <c r="H1928">
        <v>13</v>
      </c>
      <c r="I1928">
        <v>132</v>
      </c>
      <c r="J1928">
        <v>115</v>
      </c>
      <c r="K1928" t="b">
        <v>1</v>
      </c>
      <c r="N1928" s="30" t="s">
        <v>558</v>
      </c>
      <c r="O1928" s="2">
        <f>INDEX(Маршруты,MATCH(N1928,$B$3:$B$498,0),1)</f>
        <v>83</v>
      </c>
      <c r="P1928" s="27">
        <v>10</v>
      </c>
      <c r="Q1928" s="2">
        <f>INDEX(Остановки,MATCH(R1928,ИД_Остановки!$B$3:$B$467,0),1)</f>
        <v>254</v>
      </c>
      <c r="R1928" s="45" t="s">
        <v>136</v>
      </c>
      <c r="S1928" s="20">
        <v>0.79</v>
      </c>
    </row>
    <row r="1929" spans="8:19" x14ac:dyDescent="0.25">
      <c r="H1929">
        <v>13</v>
      </c>
      <c r="I1929">
        <v>136</v>
      </c>
      <c r="J1929">
        <v>115</v>
      </c>
      <c r="K1929" t="b">
        <v>1</v>
      </c>
      <c r="N1929" s="26" t="s">
        <v>558</v>
      </c>
      <c r="O1929" s="2">
        <f>INDEX(Маршруты,MATCH(N1929,$B$3:$B$498,0),1)</f>
        <v>83</v>
      </c>
      <c r="P1929" s="27">
        <v>11</v>
      </c>
      <c r="Q1929" s="2">
        <f>INDEX(Остановки,MATCH(R1929,ИД_Остановки!$B$3:$B$467,0),1)</f>
        <v>160</v>
      </c>
      <c r="R1929" s="45" t="s">
        <v>323</v>
      </c>
      <c r="S1929" s="20">
        <v>0.49</v>
      </c>
    </row>
    <row r="1930" spans="8:19" x14ac:dyDescent="0.25">
      <c r="H1930">
        <v>13</v>
      </c>
      <c r="I1930">
        <v>140</v>
      </c>
      <c r="J1930">
        <v>115</v>
      </c>
      <c r="K1930" t="b">
        <v>1</v>
      </c>
      <c r="N1930" s="30" t="s">
        <v>558</v>
      </c>
      <c r="O1930" s="2">
        <f>INDEX(Маршруты,MATCH(N1930,$B$3:$B$498,0),1)</f>
        <v>83</v>
      </c>
      <c r="P1930" s="27">
        <v>12</v>
      </c>
      <c r="Q1930" s="2">
        <f>INDEX(Остановки,MATCH(R1930,ИД_Остановки!$B$3:$B$467,0),1)</f>
        <v>337</v>
      </c>
      <c r="R1930" s="45" t="s">
        <v>407</v>
      </c>
      <c r="S1930" s="20">
        <v>0.6</v>
      </c>
    </row>
    <row r="1931" spans="8:19" x14ac:dyDescent="0.25">
      <c r="H1931">
        <v>13</v>
      </c>
      <c r="I1931">
        <v>144</v>
      </c>
      <c r="J1931">
        <v>115</v>
      </c>
      <c r="K1931" t="b">
        <v>1</v>
      </c>
      <c r="N1931" s="30" t="s">
        <v>558</v>
      </c>
      <c r="O1931" s="2">
        <f>INDEX(Маршруты,MATCH(N1931,$B$3:$B$498,0),1)</f>
        <v>83</v>
      </c>
      <c r="P1931" s="27">
        <v>13</v>
      </c>
      <c r="Q1931" s="2">
        <f>INDEX(Остановки,MATCH(R1931,ИД_Остановки!$B$3:$B$467,0),1)</f>
        <v>22</v>
      </c>
      <c r="R1931" s="45" t="s">
        <v>22</v>
      </c>
      <c r="S1931" s="20">
        <v>0.39</v>
      </c>
    </row>
    <row r="1932" spans="8:19" x14ac:dyDescent="0.25">
      <c r="H1932">
        <v>13</v>
      </c>
      <c r="I1932">
        <v>148</v>
      </c>
      <c r="J1932">
        <v>115</v>
      </c>
      <c r="K1932" t="b">
        <v>1</v>
      </c>
      <c r="N1932" s="30" t="s">
        <v>558</v>
      </c>
      <c r="O1932" s="2">
        <f>INDEX(Маршруты,MATCH(N1932,$B$3:$B$498,0),1)</f>
        <v>83</v>
      </c>
      <c r="P1932" s="28">
        <v>14</v>
      </c>
      <c r="Q1932" s="2">
        <f>INDEX(Остановки,MATCH(R1932,ИД_Остановки!$B$3:$B$467,0),1)</f>
        <v>199</v>
      </c>
      <c r="R1932" s="24" t="s">
        <v>118</v>
      </c>
      <c r="S1932" s="20">
        <v>0.42</v>
      </c>
    </row>
    <row r="1933" spans="8:19" x14ac:dyDescent="0.25">
      <c r="H1933">
        <v>13</v>
      </c>
      <c r="I1933">
        <v>152</v>
      </c>
      <c r="J1933">
        <v>115</v>
      </c>
      <c r="K1933" t="b">
        <v>1</v>
      </c>
      <c r="N1933" s="30" t="s">
        <v>558</v>
      </c>
      <c r="O1933" s="2">
        <f>INDEX(Маршруты,MATCH(N1933,$B$3:$B$498,0),1)</f>
        <v>83</v>
      </c>
      <c r="P1933" s="27">
        <v>15</v>
      </c>
      <c r="Q1933" s="2">
        <f>INDEX(Остановки,MATCH(R1933,ИД_Остановки!$B$3:$B$467,0),1)</f>
        <v>200</v>
      </c>
      <c r="R1933" s="45" t="s">
        <v>119</v>
      </c>
      <c r="S1933" s="20">
        <v>0.75</v>
      </c>
    </row>
    <row r="1934" spans="8:19" x14ac:dyDescent="0.25">
      <c r="H1934">
        <v>13</v>
      </c>
      <c r="I1934">
        <v>156</v>
      </c>
      <c r="J1934">
        <v>115</v>
      </c>
      <c r="K1934" t="b">
        <v>1</v>
      </c>
      <c r="N1934" s="25" t="s">
        <v>558</v>
      </c>
      <c r="O1934" s="2">
        <f>INDEX(Маршруты,MATCH(N1934,$B$3:$B$498,0),1)</f>
        <v>83</v>
      </c>
      <c r="P1934" s="27">
        <v>16</v>
      </c>
      <c r="Q1934" s="2">
        <f>INDEX(Остановки,MATCH(R1934,ИД_Остановки!$B$3:$B$467,0),1)</f>
        <v>24</v>
      </c>
      <c r="R1934" s="45" t="s">
        <v>252</v>
      </c>
      <c r="S1934" s="20">
        <v>0.46</v>
      </c>
    </row>
    <row r="1935" spans="8:19" x14ac:dyDescent="0.25">
      <c r="H1935">
        <v>13</v>
      </c>
      <c r="I1935">
        <v>160</v>
      </c>
      <c r="J1935">
        <v>115</v>
      </c>
      <c r="K1935" t="b">
        <v>1</v>
      </c>
      <c r="N1935" s="30" t="s">
        <v>559</v>
      </c>
      <c r="O1935" s="2">
        <f>INDEX(Маршруты,MATCH(N1935,$B$3:$B$498,0),1)</f>
        <v>84</v>
      </c>
      <c r="P1935" s="27">
        <v>1</v>
      </c>
      <c r="Q1935" s="2">
        <f>INDEX(Остановки,MATCH(R1935,ИД_Остановки!$B$3:$B$467,0),1)</f>
        <v>146</v>
      </c>
      <c r="R1935" s="45" t="s">
        <v>315</v>
      </c>
      <c r="S1935" s="20"/>
    </row>
    <row r="1936" spans="8:19" x14ac:dyDescent="0.25">
      <c r="H1936">
        <v>13</v>
      </c>
      <c r="I1936">
        <v>164</v>
      </c>
      <c r="J1936">
        <v>115</v>
      </c>
      <c r="K1936" t="b">
        <v>1</v>
      </c>
      <c r="N1936" s="30" t="s">
        <v>559</v>
      </c>
      <c r="O1936" s="2">
        <f>INDEX(Маршруты,MATCH(N1936,$B$3:$B$498,0),1)</f>
        <v>84</v>
      </c>
      <c r="P1936" s="28">
        <v>2</v>
      </c>
      <c r="Q1936" s="2">
        <f>INDEX(Остановки,MATCH(R1936,ИД_Остановки!$B$3:$B$467,0),1)</f>
        <v>83</v>
      </c>
      <c r="R1936" s="24" t="s">
        <v>280</v>
      </c>
      <c r="S1936" s="21">
        <v>0.44</v>
      </c>
    </row>
    <row r="1937" spans="8:19" x14ac:dyDescent="0.25">
      <c r="H1937">
        <v>13</v>
      </c>
      <c r="I1937">
        <v>168</v>
      </c>
      <c r="J1937">
        <v>115</v>
      </c>
      <c r="K1937" t="b">
        <v>1</v>
      </c>
      <c r="N1937" s="26" t="s">
        <v>559</v>
      </c>
      <c r="O1937" s="2">
        <f>INDEX(Маршруты,MATCH(N1937,$B$3:$B$498,0),1)</f>
        <v>84</v>
      </c>
      <c r="P1937" s="27">
        <v>3</v>
      </c>
      <c r="Q1937" s="2">
        <f>INDEX(Остановки,MATCH(R1937,ИД_Остановки!$B$3:$B$467,0),1)</f>
        <v>103</v>
      </c>
      <c r="R1937" s="45" t="s">
        <v>288</v>
      </c>
      <c r="S1937" s="20">
        <v>0.3</v>
      </c>
    </row>
    <row r="1938" spans="8:19" x14ac:dyDescent="0.25">
      <c r="H1938">
        <v>13</v>
      </c>
      <c r="I1938">
        <v>172</v>
      </c>
      <c r="J1938">
        <v>115</v>
      </c>
      <c r="K1938" t="b">
        <v>1</v>
      </c>
      <c r="N1938" s="25" t="s">
        <v>559</v>
      </c>
      <c r="O1938" s="2">
        <f>INDEX(Маршруты,MATCH(N1938,$B$3:$B$498,0),1)</f>
        <v>84</v>
      </c>
      <c r="P1938" s="27">
        <v>4</v>
      </c>
      <c r="Q1938" s="2">
        <f>INDEX(Остановки,MATCH(R1938,ИД_Остановки!$B$3:$B$467,0),1)</f>
        <v>380</v>
      </c>
      <c r="R1938" s="45" t="s">
        <v>438</v>
      </c>
      <c r="S1938" s="20">
        <v>0.5</v>
      </c>
    </row>
    <row r="1939" spans="8:19" x14ac:dyDescent="0.25">
      <c r="H1939">
        <v>13</v>
      </c>
      <c r="I1939">
        <v>176</v>
      </c>
      <c r="J1939">
        <v>115</v>
      </c>
      <c r="K1939" t="b">
        <v>1</v>
      </c>
      <c r="N1939" s="25" t="s">
        <v>559</v>
      </c>
      <c r="O1939" s="2">
        <f>INDEX(Маршруты,MATCH(N1939,$B$3:$B$498,0),1)</f>
        <v>84</v>
      </c>
      <c r="P1939" s="27">
        <v>5</v>
      </c>
      <c r="Q1939" s="2">
        <f>INDEX(Остановки,MATCH(R1939,ИД_Остановки!$B$3:$B$467,0),1)</f>
        <v>84</v>
      </c>
      <c r="R1939" s="45" t="s">
        <v>281</v>
      </c>
      <c r="S1939" s="20">
        <v>0.39</v>
      </c>
    </row>
    <row r="1940" spans="8:19" x14ac:dyDescent="0.25">
      <c r="H1940">
        <v>13</v>
      </c>
      <c r="I1940">
        <v>180</v>
      </c>
      <c r="J1940">
        <v>115</v>
      </c>
      <c r="K1940" t="b">
        <v>1</v>
      </c>
      <c r="N1940" s="25" t="s">
        <v>559</v>
      </c>
      <c r="O1940" s="2">
        <f>INDEX(Маршруты,MATCH(N1940,$B$3:$B$498,0),1)</f>
        <v>84</v>
      </c>
      <c r="P1940" s="27">
        <v>6</v>
      </c>
      <c r="Q1940" s="2">
        <f>INDEX(Остановки,MATCH(R1940,ИД_Остановки!$B$3:$B$467,0),1)</f>
        <v>105</v>
      </c>
      <c r="R1940" s="45" t="s">
        <v>615</v>
      </c>
      <c r="S1940" s="20">
        <v>0.54</v>
      </c>
    </row>
    <row r="1941" spans="8:19" x14ac:dyDescent="0.25">
      <c r="H1941">
        <v>13</v>
      </c>
      <c r="I1941">
        <v>184</v>
      </c>
      <c r="J1941">
        <v>115</v>
      </c>
      <c r="K1941" t="b">
        <v>1</v>
      </c>
      <c r="N1941" s="25" t="s">
        <v>559</v>
      </c>
      <c r="O1941" s="2">
        <f>INDEX(Маршруты,MATCH(N1941,$B$3:$B$498,0),1)</f>
        <v>84</v>
      </c>
      <c r="P1941" s="27">
        <v>7</v>
      </c>
      <c r="Q1941" s="2">
        <f>INDEX(Остановки,MATCH(R1941,ИД_Остановки!$B$3:$B$467,0),1)</f>
        <v>161</v>
      </c>
      <c r="R1941" s="45" t="s">
        <v>90</v>
      </c>
      <c r="S1941" s="20">
        <v>1.18</v>
      </c>
    </row>
    <row r="1942" spans="8:19" x14ac:dyDescent="0.25">
      <c r="H1942">
        <v>13</v>
      </c>
      <c r="I1942">
        <v>188</v>
      </c>
      <c r="J1942">
        <v>115</v>
      </c>
      <c r="K1942" t="b">
        <v>1</v>
      </c>
      <c r="N1942" s="25" t="s">
        <v>559</v>
      </c>
      <c r="O1942" s="2">
        <f>INDEX(Маршруты,MATCH(N1942,$B$3:$B$498,0),1)</f>
        <v>84</v>
      </c>
      <c r="P1942" s="27">
        <v>8</v>
      </c>
      <c r="Q1942" s="2">
        <f>INDEX(Остановки,MATCH(R1942,ИД_Остановки!$B$3:$B$467,0),1)</f>
        <v>149</v>
      </c>
      <c r="R1942" s="45" t="s">
        <v>89</v>
      </c>
      <c r="S1942" s="20">
        <v>0.45</v>
      </c>
    </row>
    <row r="1943" spans="8:19" x14ac:dyDescent="0.25">
      <c r="H1943">
        <v>13</v>
      </c>
      <c r="I1943">
        <v>192</v>
      </c>
      <c r="J1943">
        <v>115</v>
      </c>
      <c r="K1943" t="b">
        <v>1</v>
      </c>
      <c r="N1943" s="30" t="s">
        <v>559</v>
      </c>
      <c r="O1943" s="2">
        <f>INDEX(Маршруты,MATCH(N1943,$B$3:$B$498,0),1)</f>
        <v>84</v>
      </c>
      <c r="P1943" s="27">
        <v>9</v>
      </c>
      <c r="Q1943" s="2">
        <f>INDEX(Остановки,MATCH(R1943,ИД_Остановки!$B$3:$B$467,0),1)</f>
        <v>297</v>
      </c>
      <c r="R1943" s="45" t="s">
        <v>390</v>
      </c>
      <c r="S1943" s="20">
        <v>0.52</v>
      </c>
    </row>
    <row r="1944" spans="8:19" x14ac:dyDescent="0.25">
      <c r="H1944">
        <v>13</v>
      </c>
      <c r="I1944">
        <v>196</v>
      </c>
      <c r="J1944">
        <v>115</v>
      </c>
      <c r="K1944" t="b">
        <v>1</v>
      </c>
      <c r="N1944" s="30" t="s">
        <v>559</v>
      </c>
      <c r="O1944" s="2">
        <f>INDEX(Маршруты,MATCH(N1944,$B$3:$B$498,0),1)</f>
        <v>84</v>
      </c>
      <c r="P1944" s="27">
        <v>10</v>
      </c>
      <c r="Q1944" s="2">
        <f>INDEX(Остановки,MATCH(R1944,ИД_Остановки!$B$3:$B$467,0),1)</f>
        <v>429</v>
      </c>
      <c r="R1944" s="45" t="s">
        <v>485</v>
      </c>
      <c r="S1944" s="20">
        <v>0.74</v>
      </c>
    </row>
    <row r="1945" spans="8:19" x14ac:dyDescent="0.25">
      <c r="H1945">
        <v>13</v>
      </c>
      <c r="I1945">
        <v>200</v>
      </c>
      <c r="J1945">
        <v>115</v>
      </c>
      <c r="K1945" t="b">
        <v>1</v>
      </c>
      <c r="N1945" s="30" t="s">
        <v>559</v>
      </c>
      <c r="O1945" s="2">
        <f>INDEX(Маршруты,MATCH(N1945,$B$3:$B$498,0),1)</f>
        <v>84</v>
      </c>
      <c r="P1945" s="27">
        <v>11</v>
      </c>
      <c r="Q1945" s="2">
        <f>INDEX(Остановки,MATCH(R1945,ИД_Остановки!$B$3:$B$467,0),1)</f>
        <v>298</v>
      </c>
      <c r="R1945" s="45" t="s">
        <v>391</v>
      </c>
      <c r="S1945" s="20">
        <v>0.75</v>
      </c>
    </row>
    <row r="1946" spans="8:19" x14ac:dyDescent="0.25">
      <c r="H1946">
        <v>13</v>
      </c>
      <c r="I1946">
        <v>204</v>
      </c>
      <c r="J1946">
        <v>115</v>
      </c>
      <c r="K1946" t="b">
        <v>1</v>
      </c>
      <c r="N1946" s="26" t="s">
        <v>559</v>
      </c>
      <c r="O1946" s="2">
        <f>INDEX(Маршруты,MATCH(N1946,$B$3:$B$498,0),1)</f>
        <v>84</v>
      </c>
      <c r="P1946" s="27">
        <v>12</v>
      </c>
      <c r="Q1946" s="2">
        <f>INDEX(Остановки,MATCH(R1946,ИД_Остановки!$B$3:$B$467,0),1)</f>
        <v>51</v>
      </c>
      <c r="R1946" s="45" t="s">
        <v>261</v>
      </c>
      <c r="S1946" s="20">
        <v>0.28000000000000003</v>
      </c>
    </row>
    <row r="1947" spans="8:19" x14ac:dyDescent="0.25">
      <c r="H1947">
        <v>13</v>
      </c>
      <c r="I1947">
        <v>208</v>
      </c>
      <c r="J1947">
        <v>115</v>
      </c>
      <c r="K1947" t="b">
        <v>1</v>
      </c>
      <c r="N1947" s="25" t="s">
        <v>559</v>
      </c>
      <c r="O1947" s="2">
        <f>INDEX(Маршруты,MATCH(N1947,$B$3:$B$498,0),1)</f>
        <v>84</v>
      </c>
      <c r="P1947" s="27">
        <v>13</v>
      </c>
      <c r="Q1947" s="2">
        <f>INDEX(Остановки,MATCH(R1947,ИД_Остановки!$B$3:$B$467,0),1)</f>
        <v>133</v>
      </c>
      <c r="R1947" s="45" t="s">
        <v>82</v>
      </c>
      <c r="S1947" s="20">
        <v>0.66</v>
      </c>
    </row>
    <row r="1948" spans="8:19" x14ac:dyDescent="0.25">
      <c r="H1948">
        <v>13</v>
      </c>
      <c r="I1948">
        <v>212</v>
      </c>
      <c r="J1948">
        <v>115</v>
      </c>
      <c r="K1948" t="b">
        <v>1</v>
      </c>
      <c r="N1948" s="26" t="s">
        <v>559</v>
      </c>
      <c r="O1948" s="2">
        <f>INDEX(Маршруты,MATCH(N1948,$B$3:$B$498,0),1)</f>
        <v>84</v>
      </c>
      <c r="P1948" s="27">
        <v>14</v>
      </c>
      <c r="Q1948" s="2">
        <f>INDEX(Остановки,MATCH(R1948,ИД_Остановки!$B$3:$B$467,0),1)</f>
        <v>134</v>
      </c>
      <c r="R1948" s="45" t="s">
        <v>308</v>
      </c>
      <c r="S1948" s="20">
        <v>0.3</v>
      </c>
    </row>
    <row r="1949" spans="8:19" x14ac:dyDescent="0.25">
      <c r="H1949">
        <v>13</v>
      </c>
      <c r="I1949">
        <v>216</v>
      </c>
      <c r="J1949">
        <v>115</v>
      </c>
      <c r="K1949" t="b">
        <v>1</v>
      </c>
      <c r="N1949" s="30" t="s">
        <v>559</v>
      </c>
      <c r="O1949" s="2">
        <f>INDEX(Маршруты,MATCH(N1949,$B$3:$B$498,0),1)</f>
        <v>84</v>
      </c>
      <c r="P1949" s="27">
        <v>15</v>
      </c>
      <c r="Q1949" s="2">
        <f>INDEX(Остановки,MATCH(R1949,ИД_Остановки!$B$3:$B$467,0),1)</f>
        <v>391</v>
      </c>
      <c r="R1949" s="45" t="s">
        <v>448</v>
      </c>
      <c r="S1949" s="20">
        <v>0.26</v>
      </c>
    </row>
    <row r="1950" spans="8:19" x14ac:dyDescent="0.25">
      <c r="H1950">
        <v>13</v>
      </c>
      <c r="I1950">
        <v>220</v>
      </c>
      <c r="J1950">
        <v>115</v>
      </c>
      <c r="K1950" t="b">
        <v>1</v>
      </c>
      <c r="N1950" s="30" t="s">
        <v>559</v>
      </c>
      <c r="O1950" s="2">
        <f>INDEX(Маршруты,MATCH(N1950,$B$3:$B$498,0),1)</f>
        <v>84</v>
      </c>
      <c r="P1950" s="27">
        <v>17</v>
      </c>
      <c r="Q1950" s="2">
        <f>INDEX(Остановки,MATCH(R1950,ИД_Остановки!$B$3:$B$467,0),1)</f>
        <v>442</v>
      </c>
      <c r="R1950" s="45" t="s">
        <v>649</v>
      </c>
      <c r="S1950" s="20">
        <v>1.29</v>
      </c>
    </row>
    <row r="1951" spans="8:19" x14ac:dyDescent="0.25">
      <c r="H1951">
        <v>13</v>
      </c>
      <c r="I1951">
        <v>224</v>
      </c>
      <c r="J1951">
        <v>115</v>
      </c>
      <c r="K1951" t="b">
        <v>1</v>
      </c>
      <c r="N1951" s="30" t="s">
        <v>560</v>
      </c>
      <c r="O1951" s="2">
        <f>INDEX(Маршруты,MATCH(N1951,$B$3:$B$498,0),1)</f>
        <v>85</v>
      </c>
      <c r="P1951" s="28">
        <v>1</v>
      </c>
      <c r="Q1951" s="2">
        <f>INDEX(Остановки,MATCH(R1951,ИД_Остановки!$B$3:$B$467,0),1)</f>
        <v>248</v>
      </c>
      <c r="R1951" s="24" t="s">
        <v>617</v>
      </c>
      <c r="S1951" s="20"/>
    </row>
    <row r="1952" spans="8:19" x14ac:dyDescent="0.25">
      <c r="H1952">
        <v>13</v>
      </c>
      <c r="I1952">
        <v>228</v>
      </c>
      <c r="J1952">
        <v>115</v>
      </c>
      <c r="K1952" t="b">
        <v>1</v>
      </c>
      <c r="N1952" s="30" t="s">
        <v>560</v>
      </c>
      <c r="O1952" s="2">
        <f>INDEX(Маршруты,MATCH(N1952,$B$3:$B$498,0),1)</f>
        <v>85</v>
      </c>
      <c r="P1952" s="27">
        <v>2</v>
      </c>
      <c r="Q1952" s="2">
        <f>INDEX(Остановки,MATCH(R1952,ИД_Остановки!$B$3:$B$467,0),1)</f>
        <v>249</v>
      </c>
      <c r="R1952" s="45" t="s">
        <v>372</v>
      </c>
      <c r="S1952" s="20">
        <v>0.77</v>
      </c>
    </row>
    <row r="1953" spans="8:19" x14ac:dyDescent="0.25">
      <c r="H1953">
        <v>13</v>
      </c>
      <c r="I1953">
        <v>232</v>
      </c>
      <c r="J1953">
        <v>115</v>
      </c>
      <c r="K1953" t="b">
        <v>1</v>
      </c>
      <c r="N1953" s="30" t="s">
        <v>560</v>
      </c>
      <c r="O1953" s="2">
        <f>INDEX(Маршруты,MATCH(N1953,$B$3:$B$498,0),1)</f>
        <v>85</v>
      </c>
      <c r="P1953" s="27">
        <v>3</v>
      </c>
      <c r="Q1953" s="2">
        <f>INDEX(Остановки,MATCH(R1953,ИД_Остановки!$B$3:$B$467,0),1)</f>
        <v>250</v>
      </c>
      <c r="R1953" s="45" t="s">
        <v>373</v>
      </c>
      <c r="S1953" s="20">
        <v>0.32</v>
      </c>
    </row>
    <row r="1954" spans="8:19" x14ac:dyDescent="0.25">
      <c r="H1954">
        <v>13</v>
      </c>
      <c r="I1954">
        <v>236</v>
      </c>
      <c r="J1954">
        <v>115</v>
      </c>
      <c r="K1954" t="b">
        <v>1</v>
      </c>
      <c r="N1954" s="25" t="s">
        <v>560</v>
      </c>
      <c r="O1954" s="2">
        <f>INDEX(Маршруты,MATCH(N1954,$B$3:$B$498,0),1)</f>
        <v>85</v>
      </c>
      <c r="P1954" s="27">
        <v>4</v>
      </c>
      <c r="Q1954" s="2">
        <f>INDEX(Остановки,MATCH(R1954,ИД_Остановки!$B$3:$B$467,0),1)</f>
        <v>222</v>
      </c>
      <c r="R1954" s="45" t="s">
        <v>354</v>
      </c>
      <c r="S1954" s="20">
        <v>0.64</v>
      </c>
    </row>
    <row r="1955" spans="8:19" x14ac:dyDescent="0.25">
      <c r="H1955">
        <v>13</v>
      </c>
      <c r="I1955">
        <v>240</v>
      </c>
      <c r="J1955">
        <v>115</v>
      </c>
      <c r="K1955" t="b">
        <v>1</v>
      </c>
      <c r="N1955" s="26" t="s">
        <v>560</v>
      </c>
      <c r="O1955" s="2">
        <f>INDEX(Маршруты,MATCH(N1955,$B$3:$B$498,0),1)</f>
        <v>85</v>
      </c>
      <c r="P1955" s="27">
        <v>5</v>
      </c>
      <c r="Q1955" s="2">
        <f>INDEX(Остановки,MATCH(R1955,ИД_Остановки!$B$3:$B$467,0),1)</f>
        <v>243</v>
      </c>
      <c r="R1955" s="45" t="s">
        <v>368</v>
      </c>
      <c r="S1955" s="20">
        <v>0.36</v>
      </c>
    </row>
    <row r="1956" spans="8:19" x14ac:dyDescent="0.25">
      <c r="H1956">
        <v>13</v>
      </c>
      <c r="I1956">
        <v>244</v>
      </c>
      <c r="J1956">
        <v>115</v>
      </c>
      <c r="K1956" t="b">
        <v>1</v>
      </c>
      <c r="N1956" s="25" t="s">
        <v>560</v>
      </c>
      <c r="O1956" s="2">
        <f>INDEX(Маршруты,MATCH(N1956,$B$3:$B$498,0),1)</f>
        <v>85</v>
      </c>
      <c r="P1956" s="27">
        <v>6</v>
      </c>
      <c r="Q1956" s="2">
        <f>INDEX(Остановки,MATCH(R1956,ИД_Остановки!$B$3:$B$467,0),1)</f>
        <v>251</v>
      </c>
      <c r="R1956" s="45" t="s">
        <v>164</v>
      </c>
      <c r="S1956" s="20">
        <v>0.7</v>
      </c>
    </row>
    <row r="1957" spans="8:19" x14ac:dyDescent="0.25">
      <c r="H1957">
        <v>13</v>
      </c>
      <c r="I1957">
        <v>248</v>
      </c>
      <c r="J1957">
        <v>115</v>
      </c>
      <c r="K1957" t="b">
        <v>1</v>
      </c>
      <c r="N1957" s="25" t="s">
        <v>560</v>
      </c>
      <c r="O1957" s="2">
        <f>INDEX(Маршруты,MATCH(N1957,$B$3:$B$498,0),1)</f>
        <v>85</v>
      </c>
      <c r="P1957" s="27">
        <v>7</v>
      </c>
      <c r="Q1957" s="2">
        <f>INDEX(Остановки,MATCH(R1957,ИД_Остановки!$B$3:$B$467,0),1)</f>
        <v>244</v>
      </c>
      <c r="R1957" s="45" t="s">
        <v>133</v>
      </c>
      <c r="S1957" s="20">
        <v>0.64</v>
      </c>
    </row>
    <row r="1958" spans="8:19" x14ac:dyDescent="0.25">
      <c r="H1958">
        <v>13</v>
      </c>
      <c r="I1958">
        <v>252</v>
      </c>
      <c r="J1958">
        <v>115</v>
      </c>
      <c r="K1958" t="b">
        <v>1</v>
      </c>
      <c r="N1958" s="25" t="s">
        <v>560</v>
      </c>
      <c r="O1958" s="2">
        <f>INDEX(Маршруты,MATCH(N1958,$B$3:$B$498,0),1)</f>
        <v>85</v>
      </c>
      <c r="P1958" s="27">
        <v>8</v>
      </c>
      <c r="Q1958" s="2">
        <f>INDEX(Остановки,MATCH(R1958,ИД_Остановки!$B$3:$B$467,0),1)</f>
        <v>258</v>
      </c>
      <c r="R1958" s="45" t="s">
        <v>378</v>
      </c>
      <c r="S1958" s="20">
        <v>0.215</v>
      </c>
    </row>
    <row r="1959" spans="8:19" x14ac:dyDescent="0.25">
      <c r="H1959">
        <v>13</v>
      </c>
      <c r="I1959">
        <v>256</v>
      </c>
      <c r="J1959">
        <v>115</v>
      </c>
      <c r="K1959" t="b">
        <v>1</v>
      </c>
      <c r="N1959" s="25" t="s">
        <v>560</v>
      </c>
      <c r="O1959" s="2">
        <f>INDEX(Маршруты,MATCH(N1959,$B$3:$B$498,0),1)</f>
        <v>85</v>
      </c>
      <c r="P1959" s="27">
        <v>9</v>
      </c>
      <c r="Q1959" s="2">
        <f>INDEX(Остановки,MATCH(R1959,ИД_Остановки!$B$3:$B$467,0),1)</f>
        <v>245</v>
      </c>
      <c r="R1959" s="45" t="s">
        <v>369</v>
      </c>
      <c r="S1959" s="20">
        <v>0.3</v>
      </c>
    </row>
    <row r="1960" spans="8:19" x14ac:dyDescent="0.25">
      <c r="H1960">
        <v>13</v>
      </c>
      <c r="I1960">
        <v>260</v>
      </c>
      <c r="J1960">
        <v>115</v>
      </c>
      <c r="K1960" t="b">
        <v>1</v>
      </c>
      <c r="N1960" s="25" t="s">
        <v>560</v>
      </c>
      <c r="O1960" s="2">
        <f>INDEX(Маршруты,MATCH(N1960,$B$3:$B$498,0),1)</f>
        <v>85</v>
      </c>
      <c r="P1960" s="27">
        <v>10</v>
      </c>
      <c r="Q1960" s="2">
        <f>INDEX(Остановки,MATCH(R1960,ИД_Остановки!$B$3:$B$467,0),1)</f>
        <v>236</v>
      </c>
      <c r="R1960" s="24" t="s">
        <v>130</v>
      </c>
      <c r="S1960" s="20">
        <v>0.38</v>
      </c>
    </row>
    <row r="1961" spans="8:19" x14ac:dyDescent="0.25">
      <c r="H1961">
        <v>13</v>
      </c>
      <c r="I1961">
        <v>264</v>
      </c>
      <c r="J1961">
        <v>115</v>
      </c>
      <c r="K1961" t="b">
        <v>1</v>
      </c>
      <c r="N1961" s="25" t="s">
        <v>560</v>
      </c>
      <c r="O1961" s="2">
        <f>INDEX(Маршруты,MATCH(N1961,$B$3:$B$498,0),1)</f>
        <v>85</v>
      </c>
      <c r="P1961" s="27">
        <v>11</v>
      </c>
      <c r="Q1961" s="2">
        <f>INDEX(Остановки,MATCH(R1961,ИД_Остановки!$B$3:$B$467,0),1)</f>
        <v>252</v>
      </c>
      <c r="R1961" s="45" t="s">
        <v>374</v>
      </c>
      <c r="S1961" s="20">
        <v>0.59</v>
      </c>
    </row>
    <row r="1962" spans="8:19" x14ac:dyDescent="0.25">
      <c r="H1962">
        <v>13</v>
      </c>
      <c r="I1962">
        <v>268</v>
      </c>
      <c r="J1962">
        <v>115</v>
      </c>
      <c r="K1962" t="b">
        <v>1</v>
      </c>
      <c r="N1962" s="30" t="s">
        <v>560</v>
      </c>
      <c r="O1962" s="2">
        <f>INDEX(Маршруты,MATCH(N1962,$B$3:$B$498,0),1)</f>
        <v>85</v>
      </c>
      <c r="P1962" s="27">
        <v>12</v>
      </c>
      <c r="Q1962" s="2">
        <f>INDEX(Остановки,MATCH(R1962,ИД_Остановки!$B$3:$B$467,0),1)</f>
        <v>288</v>
      </c>
      <c r="R1962" s="45" t="s">
        <v>388</v>
      </c>
      <c r="S1962" s="20">
        <v>0.28999999999999998</v>
      </c>
    </row>
    <row r="1963" spans="8:19" x14ac:dyDescent="0.25">
      <c r="H1963">
        <v>13</v>
      </c>
      <c r="I1963">
        <v>272</v>
      </c>
      <c r="J1963">
        <v>115</v>
      </c>
      <c r="K1963" t="b">
        <v>1</v>
      </c>
      <c r="N1963" s="26" t="s">
        <v>560</v>
      </c>
      <c r="O1963" s="2">
        <f>INDEX(Маршруты,MATCH(N1963,$B$3:$B$498,0),1)</f>
        <v>85</v>
      </c>
      <c r="P1963" s="27">
        <v>13</v>
      </c>
      <c r="Q1963" s="2">
        <f>INDEX(Остановки,MATCH(R1963,ИД_Остановки!$B$3:$B$467,0),1)</f>
        <v>254</v>
      </c>
      <c r="R1963" s="45" t="s">
        <v>136</v>
      </c>
      <c r="S1963" s="20">
        <v>0.79</v>
      </c>
    </row>
    <row r="1964" spans="8:19" x14ac:dyDescent="0.25">
      <c r="H1964">
        <v>13</v>
      </c>
      <c r="I1964">
        <v>276</v>
      </c>
      <c r="J1964">
        <v>115</v>
      </c>
      <c r="K1964" t="b">
        <v>1</v>
      </c>
      <c r="N1964" s="25" t="s">
        <v>560</v>
      </c>
      <c r="O1964" s="2">
        <f>INDEX(Маршруты,MATCH(N1964,$B$3:$B$498,0),1)</f>
        <v>85</v>
      </c>
      <c r="P1964" s="27">
        <v>14</v>
      </c>
      <c r="Q1964" s="2">
        <f>INDEX(Остановки,MATCH(R1964,ИД_Остановки!$B$3:$B$467,0),1)</f>
        <v>160</v>
      </c>
      <c r="R1964" s="24" t="s">
        <v>323</v>
      </c>
      <c r="S1964" s="20">
        <v>0.49</v>
      </c>
    </row>
    <row r="1965" spans="8:19" x14ac:dyDescent="0.25">
      <c r="H1965">
        <v>13</v>
      </c>
      <c r="I1965">
        <v>280</v>
      </c>
      <c r="J1965">
        <v>115</v>
      </c>
      <c r="K1965" t="b">
        <v>1</v>
      </c>
      <c r="N1965" s="25" t="s">
        <v>560</v>
      </c>
      <c r="O1965" s="2">
        <f>INDEX(Маршруты,MATCH(N1965,$B$3:$B$498,0),1)</f>
        <v>85</v>
      </c>
      <c r="P1965" s="27">
        <v>15</v>
      </c>
      <c r="Q1965" s="2">
        <f>INDEX(Остановки,MATCH(R1965,ИД_Остановки!$B$3:$B$467,0),1)</f>
        <v>337</v>
      </c>
      <c r="R1965" s="45" t="s">
        <v>407</v>
      </c>
      <c r="S1965" s="20">
        <v>0.6</v>
      </c>
    </row>
    <row r="1966" spans="8:19" x14ac:dyDescent="0.25">
      <c r="H1966">
        <v>13</v>
      </c>
      <c r="I1966">
        <v>284</v>
      </c>
      <c r="J1966">
        <v>115</v>
      </c>
      <c r="K1966" t="b">
        <v>1</v>
      </c>
      <c r="N1966" s="25" t="s">
        <v>560</v>
      </c>
      <c r="O1966" s="2">
        <f>INDEX(Маршруты,MATCH(N1966,$B$3:$B$498,0),1)</f>
        <v>85</v>
      </c>
      <c r="P1966" s="27">
        <v>16</v>
      </c>
      <c r="Q1966" s="2">
        <f>INDEX(Остановки,MATCH(R1966,ИД_Остановки!$B$3:$B$467,0),1)</f>
        <v>22</v>
      </c>
      <c r="R1966" s="45" t="s">
        <v>22</v>
      </c>
      <c r="S1966" s="20">
        <v>0.39</v>
      </c>
    </row>
    <row r="1967" spans="8:19" x14ac:dyDescent="0.25">
      <c r="H1967">
        <v>13</v>
      </c>
      <c r="I1967">
        <v>288</v>
      </c>
      <c r="J1967">
        <v>115</v>
      </c>
      <c r="K1967" t="b">
        <v>1</v>
      </c>
      <c r="N1967" s="25" t="s">
        <v>560</v>
      </c>
      <c r="O1967" s="2">
        <f>INDEX(Маршруты,MATCH(N1967,$B$3:$B$498,0),1)</f>
        <v>85</v>
      </c>
      <c r="P1967" s="28">
        <v>17</v>
      </c>
      <c r="Q1967" s="2">
        <f>INDEX(Остановки,MATCH(R1967,ИД_Остановки!$B$3:$B$467,0),1)</f>
        <v>199</v>
      </c>
      <c r="R1967" s="24" t="s">
        <v>118</v>
      </c>
      <c r="S1967" s="20">
        <v>0.42</v>
      </c>
    </row>
    <row r="1968" spans="8:19" x14ac:dyDescent="0.25">
      <c r="H1968">
        <v>13</v>
      </c>
      <c r="I1968">
        <v>292</v>
      </c>
      <c r="J1968">
        <v>115</v>
      </c>
      <c r="K1968" t="b">
        <v>1</v>
      </c>
      <c r="N1968" s="30" t="s">
        <v>560</v>
      </c>
      <c r="O1968" s="2">
        <f>INDEX(Маршруты,MATCH(N1968,$B$3:$B$498,0),1)</f>
        <v>85</v>
      </c>
      <c r="P1968" s="27">
        <v>18</v>
      </c>
      <c r="Q1968" s="2">
        <f>INDEX(Остановки,MATCH(R1968,ИД_Остановки!$B$3:$B$467,0),1)</f>
        <v>200</v>
      </c>
      <c r="R1968" s="45" t="s">
        <v>119</v>
      </c>
      <c r="S1968" s="20">
        <v>0.75</v>
      </c>
    </row>
    <row r="1969" spans="8:19" x14ac:dyDescent="0.25">
      <c r="H1969">
        <v>13</v>
      </c>
      <c r="I1969">
        <v>296</v>
      </c>
      <c r="J1969">
        <v>115</v>
      </c>
      <c r="K1969" t="b">
        <v>1</v>
      </c>
      <c r="N1969" s="26" t="s">
        <v>560</v>
      </c>
      <c r="O1969" s="2">
        <f>INDEX(Маршруты,MATCH(N1969,$B$3:$B$498,0),1)</f>
        <v>85</v>
      </c>
      <c r="P1969" s="27">
        <v>19</v>
      </c>
      <c r="Q1969" s="2">
        <f>INDEX(Остановки,MATCH(R1969,ИД_Остановки!$B$3:$B$467,0),1)</f>
        <v>255</v>
      </c>
      <c r="R1969" s="45" t="s">
        <v>137</v>
      </c>
      <c r="S1969" s="20">
        <v>0.67</v>
      </c>
    </row>
    <row r="1970" spans="8:19" x14ac:dyDescent="0.25">
      <c r="H1970">
        <v>13</v>
      </c>
      <c r="I1970">
        <v>300</v>
      </c>
      <c r="J1970">
        <v>115</v>
      </c>
      <c r="K1970" t="b">
        <v>1</v>
      </c>
      <c r="N1970" s="30" t="s">
        <v>560</v>
      </c>
      <c r="O1970" s="2">
        <f>INDEX(Маршруты,MATCH(N1970,$B$3:$B$498,0),1)</f>
        <v>85</v>
      </c>
      <c r="P1970" s="27">
        <v>20</v>
      </c>
      <c r="Q1970" s="2">
        <f>INDEX(Остановки,MATCH(R1970,ИД_Остановки!$B$3:$B$467,0),1)</f>
        <v>257</v>
      </c>
      <c r="R1970" s="45" t="s">
        <v>377</v>
      </c>
      <c r="S1970" s="20">
        <v>0.61</v>
      </c>
    </row>
    <row r="1971" spans="8:19" x14ac:dyDescent="0.25">
      <c r="H1971">
        <v>13</v>
      </c>
      <c r="I1971">
        <v>304</v>
      </c>
      <c r="J1971">
        <v>115</v>
      </c>
      <c r="K1971" t="b">
        <v>1</v>
      </c>
      <c r="N1971" s="25" t="s">
        <v>560</v>
      </c>
      <c r="O1971" s="2">
        <f>INDEX(Маршруты,MATCH(N1971,$B$3:$B$498,0),1)</f>
        <v>85</v>
      </c>
      <c r="P1971" s="27">
        <v>21</v>
      </c>
      <c r="Q1971" s="2">
        <f>INDEX(Остановки,MATCH(R1971,ИД_Остановки!$B$3:$B$467,0),1)</f>
        <v>238</v>
      </c>
      <c r="R1971" s="45" t="s">
        <v>131</v>
      </c>
      <c r="S1971" s="20">
        <v>0.56000000000000005</v>
      </c>
    </row>
    <row r="1972" spans="8:19" x14ac:dyDescent="0.25">
      <c r="H1972">
        <v>13</v>
      </c>
      <c r="I1972">
        <v>308</v>
      </c>
      <c r="J1972">
        <v>115</v>
      </c>
      <c r="K1972" t="b">
        <v>1</v>
      </c>
      <c r="N1972" s="25" t="s">
        <v>560</v>
      </c>
      <c r="O1972" s="2">
        <f>INDEX(Маршруты,MATCH(N1972,$B$3:$B$498,0),1)</f>
        <v>85</v>
      </c>
      <c r="P1972" s="28">
        <v>22</v>
      </c>
      <c r="Q1972" s="2">
        <f>INDEX(Остановки,MATCH(R1972,ИД_Остановки!$B$3:$B$467,0),1)</f>
        <v>228</v>
      </c>
      <c r="R1972" s="24" t="s">
        <v>127</v>
      </c>
      <c r="S1972" s="20">
        <v>0.94</v>
      </c>
    </row>
    <row r="1973" spans="8:19" x14ac:dyDescent="0.25">
      <c r="H1973">
        <v>13</v>
      </c>
      <c r="I1973">
        <v>312</v>
      </c>
      <c r="J1973">
        <v>115</v>
      </c>
      <c r="K1973" t="b">
        <v>1</v>
      </c>
      <c r="N1973" s="25" t="s">
        <v>560</v>
      </c>
      <c r="O1973" s="2">
        <f>INDEX(Маршруты,MATCH(N1973,$B$3:$B$498,0),1)</f>
        <v>85</v>
      </c>
      <c r="P1973" s="27">
        <v>23</v>
      </c>
      <c r="Q1973" s="2">
        <f>INDEX(Остановки,MATCH(R1973,ИД_Остановки!$B$3:$B$467,0),1)</f>
        <v>3</v>
      </c>
      <c r="R1973" s="45" t="s">
        <v>243</v>
      </c>
      <c r="S1973" s="20">
        <v>1.18</v>
      </c>
    </row>
    <row r="1974" spans="8:19" x14ac:dyDescent="0.25">
      <c r="H1974">
        <v>13</v>
      </c>
      <c r="I1974">
        <v>316</v>
      </c>
      <c r="J1974">
        <v>115</v>
      </c>
      <c r="K1974" t="b">
        <v>1</v>
      </c>
      <c r="N1974" s="25" t="s">
        <v>560</v>
      </c>
      <c r="O1974" s="2">
        <f>INDEX(Маршруты,MATCH(N1974,$B$3:$B$498,0),1)</f>
        <v>85</v>
      </c>
      <c r="P1974" s="27">
        <v>24</v>
      </c>
      <c r="Q1974" s="2">
        <f>INDEX(Остановки,MATCH(R1974,ИД_Остановки!$B$3:$B$467,0),1)</f>
        <v>208</v>
      </c>
      <c r="R1974" s="45" t="s">
        <v>121</v>
      </c>
      <c r="S1974" s="20">
        <v>0.9</v>
      </c>
    </row>
    <row r="1975" spans="8:19" x14ac:dyDescent="0.25">
      <c r="H1975">
        <v>13</v>
      </c>
      <c r="I1975">
        <v>320</v>
      </c>
      <c r="J1975">
        <v>115</v>
      </c>
      <c r="K1975" t="b">
        <v>1</v>
      </c>
      <c r="N1975" s="30" t="s">
        <v>560</v>
      </c>
      <c r="O1975" s="2">
        <f>INDEX(Маршруты,MATCH(N1975,$B$3:$B$498,0),1)</f>
        <v>85</v>
      </c>
      <c r="P1975" s="27">
        <v>25</v>
      </c>
      <c r="Q1975" s="2">
        <f>INDEX(Остановки,MATCH(R1975,ИД_Остановки!$B$3:$B$467,0),1)</f>
        <v>207</v>
      </c>
      <c r="R1975" s="45" t="s">
        <v>345</v>
      </c>
      <c r="S1975" s="20">
        <v>0.56999999999999995</v>
      </c>
    </row>
    <row r="1976" spans="8:19" x14ac:dyDescent="0.25">
      <c r="H1976">
        <v>13</v>
      </c>
      <c r="I1976">
        <v>324</v>
      </c>
      <c r="J1976">
        <v>115</v>
      </c>
      <c r="K1976" t="b">
        <v>1</v>
      </c>
      <c r="N1976" s="25" t="s">
        <v>560</v>
      </c>
      <c r="O1976" s="2">
        <f>INDEX(Маршруты,MATCH(N1976,$B$3:$B$498,0),1)</f>
        <v>85</v>
      </c>
      <c r="P1976" s="27">
        <v>26</v>
      </c>
      <c r="Q1976" s="2">
        <f>INDEX(Остановки,MATCH(R1976,ИД_Остановки!$B$3:$B$467,0),1)</f>
        <v>241</v>
      </c>
      <c r="R1976" s="45" t="s">
        <v>132</v>
      </c>
      <c r="S1976" s="20">
        <v>0.74</v>
      </c>
    </row>
    <row r="1977" spans="8:19" x14ac:dyDescent="0.25">
      <c r="H1977">
        <v>13</v>
      </c>
      <c r="I1977">
        <v>328</v>
      </c>
      <c r="J1977">
        <v>115</v>
      </c>
      <c r="K1977" t="b">
        <v>1</v>
      </c>
      <c r="N1977" s="25" t="s">
        <v>560</v>
      </c>
      <c r="O1977" s="2">
        <f>INDEX(Маршруты,MATCH(N1977,$B$3:$B$498,0),1)</f>
        <v>85</v>
      </c>
      <c r="P1977" s="27">
        <v>27</v>
      </c>
      <c r="Q1977" s="2">
        <f>INDEX(Остановки,MATCH(R1977,ИД_Остановки!$B$3:$B$467,0),1)</f>
        <v>287</v>
      </c>
      <c r="R1977" s="45" t="s">
        <v>158</v>
      </c>
      <c r="S1977" s="20">
        <v>0.45</v>
      </c>
    </row>
    <row r="1978" spans="8:19" x14ac:dyDescent="0.25">
      <c r="H1978">
        <v>13</v>
      </c>
      <c r="I1978">
        <v>332</v>
      </c>
      <c r="J1978">
        <v>115</v>
      </c>
      <c r="K1978" t="b">
        <v>1</v>
      </c>
      <c r="N1978" s="25" t="s">
        <v>560</v>
      </c>
      <c r="O1978" s="2">
        <f>INDEX(Маршруты,MATCH(N1978,$B$3:$B$498,0),1)</f>
        <v>85</v>
      </c>
      <c r="P1978" s="27">
        <v>28</v>
      </c>
      <c r="Q1978" s="2">
        <f>INDEX(Остановки,MATCH(R1978,ИД_Остановки!$B$3:$B$467,0),1)</f>
        <v>256</v>
      </c>
      <c r="R1978" s="45" t="s">
        <v>376</v>
      </c>
      <c r="S1978" s="20">
        <v>0.41</v>
      </c>
    </row>
    <row r="1979" spans="8:19" x14ac:dyDescent="0.25">
      <c r="H1979">
        <v>13</v>
      </c>
      <c r="I1979">
        <v>336</v>
      </c>
      <c r="J1979">
        <v>115</v>
      </c>
      <c r="K1979" t="b">
        <v>1</v>
      </c>
      <c r="N1979" s="25" t="s">
        <v>560</v>
      </c>
      <c r="O1979" s="2">
        <f>INDEX(Маршруты,MATCH(N1979,$B$3:$B$498,0),1)</f>
        <v>85</v>
      </c>
      <c r="P1979" s="27">
        <v>29</v>
      </c>
      <c r="Q1979" s="2">
        <f>INDEX(Остановки,MATCH(R1979,ИД_Остановки!$B$3:$B$467,0),1)</f>
        <v>204</v>
      </c>
      <c r="R1979" s="45" t="s">
        <v>342</v>
      </c>
      <c r="S1979" s="20">
        <v>0.68</v>
      </c>
    </row>
    <row r="1980" spans="8:19" x14ac:dyDescent="0.25">
      <c r="H1980">
        <v>13</v>
      </c>
      <c r="I1980">
        <v>340</v>
      </c>
      <c r="J1980">
        <v>115</v>
      </c>
      <c r="K1980" t="b">
        <v>1</v>
      </c>
      <c r="N1980" s="30" t="s">
        <v>560</v>
      </c>
      <c r="O1980" s="2">
        <f>INDEX(Маршруты,MATCH(N1980,$B$3:$B$498,0),1)</f>
        <v>85</v>
      </c>
      <c r="P1980" s="27">
        <v>30</v>
      </c>
      <c r="Q1980" s="2">
        <f>INDEX(Остановки,MATCH(R1980,ИД_Остановки!$B$3:$B$467,0),1)</f>
        <v>33</v>
      </c>
      <c r="R1980" s="45" t="s">
        <v>29</v>
      </c>
      <c r="S1980" s="20">
        <v>0.3</v>
      </c>
    </row>
    <row r="1981" spans="8:19" x14ac:dyDescent="0.25">
      <c r="H1981">
        <v>13</v>
      </c>
      <c r="I1981">
        <v>344</v>
      </c>
      <c r="J1981">
        <v>115</v>
      </c>
      <c r="K1981" t="b">
        <v>1</v>
      </c>
      <c r="N1981" s="26" t="s">
        <v>560</v>
      </c>
      <c r="O1981" s="2">
        <f>INDEX(Маршруты,MATCH(N1981,$B$3:$B$498,0),1)</f>
        <v>85</v>
      </c>
      <c r="P1981" s="27">
        <v>31</v>
      </c>
      <c r="Q1981" s="2">
        <f>INDEX(Остановки,MATCH(R1981,ИД_Остановки!$B$3:$B$467,0),1)</f>
        <v>93</v>
      </c>
      <c r="R1981" s="45" t="s">
        <v>65</v>
      </c>
      <c r="S1981" s="20">
        <v>0.52</v>
      </c>
    </row>
    <row r="1982" spans="8:19" x14ac:dyDescent="0.25">
      <c r="H1982">
        <v>13</v>
      </c>
      <c r="I1982">
        <v>348</v>
      </c>
      <c r="J1982">
        <v>115</v>
      </c>
      <c r="K1982" t="b">
        <v>1</v>
      </c>
      <c r="N1982" s="30" t="s">
        <v>560</v>
      </c>
      <c r="O1982" s="2">
        <f>INDEX(Маршруты,MATCH(N1982,$B$3:$B$498,0),1)</f>
        <v>85</v>
      </c>
      <c r="P1982" s="27">
        <v>32</v>
      </c>
      <c r="Q1982" s="2">
        <f>INDEX(Остановки,MATCH(R1982,ИД_Остановки!$B$3:$B$467,0),1)</f>
        <v>82</v>
      </c>
      <c r="R1982" s="45" t="s">
        <v>59</v>
      </c>
      <c r="S1982" s="20">
        <v>0.52</v>
      </c>
    </row>
    <row r="1983" spans="8:19" x14ac:dyDescent="0.25">
      <c r="H1983">
        <v>13</v>
      </c>
      <c r="I1983">
        <v>352</v>
      </c>
      <c r="J1983">
        <v>115</v>
      </c>
      <c r="K1983" t="b">
        <v>1</v>
      </c>
      <c r="N1983" s="25" t="s">
        <v>560</v>
      </c>
      <c r="O1983" s="2">
        <f>INDEX(Маршруты,MATCH(N1983,$B$3:$B$498,0),1)</f>
        <v>85</v>
      </c>
      <c r="P1983" s="27">
        <v>33</v>
      </c>
      <c r="Q1983" s="2">
        <f>INDEX(Остановки,MATCH(R1983,ИД_Остановки!$B$3:$B$467,0),1)</f>
        <v>146</v>
      </c>
      <c r="R1983" s="45" t="s">
        <v>315</v>
      </c>
      <c r="S1983" s="20">
        <v>0.47</v>
      </c>
    </row>
    <row r="1984" spans="8:19" x14ac:dyDescent="0.25">
      <c r="H1984">
        <v>13</v>
      </c>
      <c r="I1984">
        <v>356</v>
      </c>
      <c r="J1984">
        <v>115</v>
      </c>
      <c r="K1984" t="b">
        <v>1</v>
      </c>
      <c r="N1984" s="25" t="s">
        <v>560</v>
      </c>
      <c r="O1984" s="2">
        <f>INDEX(Маршруты,MATCH(N1984,$B$3:$B$498,0),1)</f>
        <v>85</v>
      </c>
      <c r="P1984" s="28">
        <v>34</v>
      </c>
      <c r="Q1984" s="2">
        <f>INDEX(Остановки,MATCH(R1984,ИД_Остановки!$B$3:$B$467,0),1)</f>
        <v>83</v>
      </c>
      <c r="R1984" s="24" t="s">
        <v>280</v>
      </c>
      <c r="S1984" s="20">
        <v>0.44</v>
      </c>
    </row>
    <row r="1985" spans="8:19" x14ac:dyDescent="0.25">
      <c r="H1985">
        <v>13</v>
      </c>
      <c r="I1985">
        <v>360</v>
      </c>
      <c r="J1985">
        <v>115</v>
      </c>
      <c r="K1985" t="b">
        <v>1</v>
      </c>
      <c r="N1985" s="32" t="s">
        <v>560</v>
      </c>
      <c r="O1985" s="2">
        <f>INDEX(Маршруты,MATCH(N1985,$B$3:$B$498,0),1)</f>
        <v>85</v>
      </c>
      <c r="P1985" s="27">
        <v>35</v>
      </c>
      <c r="Q1985" s="2">
        <f>INDEX(Остановки,MATCH(R1985,ИД_Остановки!$B$3:$B$467,0),1)</f>
        <v>103</v>
      </c>
      <c r="R1985" s="45" t="s">
        <v>288</v>
      </c>
      <c r="S1985" s="20">
        <v>0.3</v>
      </c>
    </row>
    <row r="1986" spans="8:19" x14ac:dyDescent="0.25">
      <c r="H1986">
        <v>13</v>
      </c>
      <c r="I1986">
        <v>364</v>
      </c>
      <c r="J1986">
        <v>115</v>
      </c>
      <c r="K1986" t="b">
        <v>1</v>
      </c>
      <c r="N1986" s="30" t="s">
        <v>560</v>
      </c>
      <c r="O1986" s="2">
        <f>INDEX(Маршруты,MATCH(N1986,$B$3:$B$498,0),1)</f>
        <v>85</v>
      </c>
      <c r="P1986" s="27">
        <v>36</v>
      </c>
      <c r="Q1986" s="2">
        <f>INDEX(Остановки,MATCH(R1986,ИД_Остановки!$B$3:$B$467,0),1)</f>
        <v>135</v>
      </c>
      <c r="R1986" s="45" t="s">
        <v>83</v>
      </c>
      <c r="S1986" s="20">
        <v>0.78</v>
      </c>
    </row>
    <row r="1987" spans="8:19" x14ac:dyDescent="0.25">
      <c r="H1987">
        <v>13</v>
      </c>
      <c r="I1987">
        <v>368</v>
      </c>
      <c r="J1987">
        <v>115</v>
      </c>
      <c r="K1987" t="b">
        <v>1</v>
      </c>
      <c r="N1987" s="24" t="s">
        <v>561</v>
      </c>
      <c r="O1987" s="2">
        <f>INDEX(Маршруты,MATCH(N1987,$B$3:$B$498,0),1)</f>
        <v>86</v>
      </c>
      <c r="P1987" s="27">
        <v>1</v>
      </c>
      <c r="Q1987" s="2">
        <f>INDEX(Остановки,MATCH(R1987,ИД_Остановки!$B$3:$B$467,0),1)</f>
        <v>135</v>
      </c>
      <c r="R1987" s="45" t="s">
        <v>83</v>
      </c>
      <c r="S1987" s="20"/>
    </row>
    <row r="1988" spans="8:19" x14ac:dyDescent="0.25">
      <c r="H1988">
        <v>13</v>
      </c>
      <c r="I1988">
        <v>372</v>
      </c>
      <c r="J1988">
        <v>115</v>
      </c>
      <c r="K1988" t="b">
        <v>1</v>
      </c>
      <c r="N1988" s="30" t="s">
        <v>561</v>
      </c>
      <c r="O1988" s="2">
        <f>INDEX(Маршруты,MATCH(N1988,$B$3:$B$498,0),1)</f>
        <v>86</v>
      </c>
      <c r="P1988" s="27">
        <v>2</v>
      </c>
      <c r="Q1988" s="2">
        <f>INDEX(Остановки,MATCH(R1988,ИД_Остановки!$B$3:$B$467,0),1)</f>
        <v>103</v>
      </c>
      <c r="R1988" s="45" t="s">
        <v>288</v>
      </c>
      <c r="S1988" s="20">
        <v>0.78</v>
      </c>
    </row>
    <row r="1989" spans="8:19" x14ac:dyDescent="0.25">
      <c r="H1989">
        <v>13</v>
      </c>
      <c r="I1989">
        <v>376</v>
      </c>
      <c r="J1989">
        <v>115</v>
      </c>
      <c r="K1989" t="b">
        <v>1</v>
      </c>
      <c r="N1989" s="30" t="s">
        <v>561</v>
      </c>
      <c r="O1989" s="2">
        <f>INDEX(Маршруты,MATCH(N1989,$B$3:$B$498,0),1)</f>
        <v>86</v>
      </c>
      <c r="P1989" s="27">
        <v>3</v>
      </c>
      <c r="Q1989" s="2">
        <f>INDEX(Остановки,MATCH(R1989,ИД_Остановки!$B$3:$B$467,0),1)</f>
        <v>83</v>
      </c>
      <c r="R1989" s="45" t="s">
        <v>280</v>
      </c>
      <c r="S1989" s="20">
        <v>0.3</v>
      </c>
    </row>
    <row r="1990" spans="8:19" x14ac:dyDescent="0.25">
      <c r="H1990">
        <v>13</v>
      </c>
      <c r="I1990">
        <v>380</v>
      </c>
      <c r="J1990">
        <v>115</v>
      </c>
      <c r="K1990" t="b">
        <v>1</v>
      </c>
      <c r="N1990" s="30" t="s">
        <v>561</v>
      </c>
      <c r="O1990" s="2">
        <f>INDEX(Маршруты,MATCH(N1990,$B$3:$B$498,0),1)</f>
        <v>86</v>
      </c>
      <c r="P1990" s="27">
        <v>4</v>
      </c>
      <c r="Q1990" s="2">
        <f>INDEX(Остановки,MATCH(R1990,ИД_Остановки!$B$3:$B$467,0),1)</f>
        <v>146</v>
      </c>
      <c r="R1990" s="45" t="s">
        <v>315</v>
      </c>
      <c r="S1990" s="20">
        <v>0.44</v>
      </c>
    </row>
    <row r="1991" spans="8:19" x14ac:dyDescent="0.25">
      <c r="H1991">
        <v>13</v>
      </c>
      <c r="I1991">
        <v>384</v>
      </c>
      <c r="J1991">
        <v>115</v>
      </c>
      <c r="K1991" t="b">
        <v>1</v>
      </c>
      <c r="N1991" s="25" t="s">
        <v>561</v>
      </c>
      <c r="O1991" s="2">
        <f>INDEX(Маршруты,MATCH(N1991,$B$3:$B$498,0),1)</f>
        <v>86</v>
      </c>
      <c r="P1991" s="28">
        <v>5</v>
      </c>
      <c r="Q1991" s="2">
        <f>INDEX(Остановки,MATCH(R1991,ИД_Остановки!$B$3:$B$467,0),1)</f>
        <v>82</v>
      </c>
      <c r="R1991" s="24" t="s">
        <v>59</v>
      </c>
      <c r="S1991" s="20">
        <v>0.47</v>
      </c>
    </row>
    <row r="1992" spans="8:19" x14ac:dyDescent="0.25">
      <c r="H1992">
        <v>13</v>
      </c>
      <c r="I1992">
        <v>388</v>
      </c>
      <c r="J1992">
        <v>115</v>
      </c>
      <c r="K1992" t="b">
        <v>1</v>
      </c>
      <c r="N1992" s="25" t="s">
        <v>561</v>
      </c>
      <c r="O1992" s="2">
        <f>INDEX(Маршруты,MATCH(N1992,$B$3:$B$498,0),1)</f>
        <v>86</v>
      </c>
      <c r="P1992" s="27">
        <v>6</v>
      </c>
      <c r="Q1992" s="2">
        <f>INDEX(Остановки,MATCH(R1992,ИД_Остановки!$B$3:$B$467,0),1)</f>
        <v>93</v>
      </c>
      <c r="R1992" s="45" t="s">
        <v>65</v>
      </c>
      <c r="S1992" s="20">
        <v>0.52</v>
      </c>
    </row>
    <row r="1993" spans="8:19" x14ac:dyDescent="0.25">
      <c r="H1993">
        <v>13</v>
      </c>
      <c r="I1993">
        <v>392</v>
      </c>
      <c r="J1993">
        <v>115</v>
      </c>
      <c r="K1993" t="b">
        <v>1</v>
      </c>
      <c r="N1993" s="30" t="s">
        <v>561</v>
      </c>
      <c r="O1993" s="2">
        <f>INDEX(Маршруты,MATCH(N1993,$B$3:$B$498,0),1)</f>
        <v>86</v>
      </c>
      <c r="P1993" s="27">
        <v>7</v>
      </c>
      <c r="Q1993" s="2">
        <f>INDEX(Остановки,MATCH(R1993,ИД_Остановки!$B$3:$B$467,0),1)</f>
        <v>33</v>
      </c>
      <c r="R1993" s="45" t="s">
        <v>29</v>
      </c>
      <c r="S1993" s="20">
        <v>0.52</v>
      </c>
    </row>
    <row r="1994" spans="8:19" x14ac:dyDescent="0.25">
      <c r="H1994">
        <v>13</v>
      </c>
      <c r="I1994">
        <v>396</v>
      </c>
      <c r="J1994">
        <v>115</v>
      </c>
      <c r="K1994" t="b">
        <v>1</v>
      </c>
      <c r="N1994" s="14" t="s">
        <v>561</v>
      </c>
      <c r="O1994" s="2">
        <f>INDEX(Маршруты,MATCH(N1994,$B$3:$B$498,0),1)</f>
        <v>86</v>
      </c>
      <c r="P1994" s="27">
        <v>8</v>
      </c>
      <c r="Q1994" s="2">
        <f>INDEX(Остановки,MATCH(R1994,ИД_Остановки!$B$3:$B$467,0),1)</f>
        <v>204</v>
      </c>
      <c r="R1994" s="45" t="s">
        <v>342</v>
      </c>
      <c r="S1994" s="20">
        <v>0.3</v>
      </c>
    </row>
    <row r="1995" spans="8:19" x14ac:dyDescent="0.25">
      <c r="H1995">
        <v>13</v>
      </c>
      <c r="I1995">
        <v>400</v>
      </c>
      <c r="J1995">
        <v>115</v>
      </c>
      <c r="K1995" t="b">
        <v>1</v>
      </c>
      <c r="N1995" s="30" t="s">
        <v>561</v>
      </c>
      <c r="O1995" s="2">
        <f>INDEX(Маршруты,MATCH(N1995,$B$3:$B$498,0),1)</f>
        <v>86</v>
      </c>
      <c r="P1995" s="27">
        <v>9</v>
      </c>
      <c r="Q1995" s="2">
        <f>INDEX(Остановки,MATCH(R1995,ИД_Остановки!$B$3:$B$467,0),1)</f>
        <v>256</v>
      </c>
      <c r="R1995" s="45" t="s">
        <v>376</v>
      </c>
      <c r="S1995" s="20">
        <v>0.68</v>
      </c>
    </row>
    <row r="1996" spans="8:19" x14ac:dyDescent="0.25">
      <c r="H1996">
        <v>13</v>
      </c>
      <c r="I1996">
        <v>404</v>
      </c>
      <c r="J1996">
        <v>115</v>
      </c>
      <c r="K1996" t="b">
        <v>1</v>
      </c>
      <c r="N1996" s="30" t="s">
        <v>561</v>
      </c>
      <c r="O1996" s="2">
        <f>INDEX(Маршруты,MATCH(N1996,$B$3:$B$498,0),1)</f>
        <v>86</v>
      </c>
      <c r="P1996" s="27">
        <v>10</v>
      </c>
      <c r="Q1996" s="2">
        <f>INDEX(Остановки,MATCH(R1996,ИД_Остановки!$B$3:$B$467,0),1)</f>
        <v>287</v>
      </c>
      <c r="R1996" s="45" t="s">
        <v>158</v>
      </c>
      <c r="S1996" s="20">
        <v>0.41</v>
      </c>
    </row>
    <row r="1997" spans="8:19" x14ac:dyDescent="0.25">
      <c r="H1997">
        <v>13</v>
      </c>
      <c r="I1997">
        <v>408</v>
      </c>
      <c r="J1997">
        <v>115</v>
      </c>
      <c r="K1997" t="b">
        <v>1</v>
      </c>
      <c r="N1997" s="30" t="s">
        <v>561</v>
      </c>
      <c r="O1997" s="2">
        <f>INDEX(Маршруты,MATCH(N1997,$B$3:$B$498,0),1)</f>
        <v>86</v>
      </c>
      <c r="P1997" s="27">
        <v>11</v>
      </c>
      <c r="Q1997" s="2">
        <f>INDEX(Остановки,MATCH(R1997,ИД_Остановки!$B$3:$B$467,0),1)</f>
        <v>241</v>
      </c>
      <c r="R1997" s="45" t="s">
        <v>132</v>
      </c>
      <c r="S1997" s="20">
        <v>0.45</v>
      </c>
    </row>
    <row r="1998" spans="8:19" x14ac:dyDescent="0.25">
      <c r="H1998">
        <v>13</v>
      </c>
      <c r="I1998">
        <v>412</v>
      </c>
      <c r="J1998">
        <v>115</v>
      </c>
      <c r="K1998" t="b">
        <v>1</v>
      </c>
      <c r="N1998" s="30" t="s">
        <v>561</v>
      </c>
      <c r="O1998" s="2">
        <f>INDEX(Маршруты,MATCH(N1998,$B$3:$B$498,0),1)</f>
        <v>86</v>
      </c>
      <c r="P1998" s="27">
        <v>12</v>
      </c>
      <c r="Q1998" s="2">
        <f>INDEX(Остановки,MATCH(R1998,ИД_Остановки!$B$3:$B$467,0),1)</f>
        <v>207</v>
      </c>
      <c r="R1998" s="45" t="s">
        <v>345</v>
      </c>
      <c r="S1998" s="20">
        <v>0.74</v>
      </c>
    </row>
    <row r="1999" spans="8:19" x14ac:dyDescent="0.25">
      <c r="H1999">
        <v>13</v>
      </c>
      <c r="I1999">
        <v>416</v>
      </c>
      <c r="J1999">
        <v>115</v>
      </c>
      <c r="K1999" t="b">
        <v>1</v>
      </c>
      <c r="N1999" s="30" t="s">
        <v>561</v>
      </c>
      <c r="O1999" s="2">
        <f>INDEX(Маршруты,MATCH(N1999,$B$3:$B$498,0),1)</f>
        <v>86</v>
      </c>
      <c r="P1999" s="28">
        <v>13</v>
      </c>
      <c r="Q1999" s="2">
        <f>INDEX(Остановки,MATCH(R1999,ИД_Остановки!$B$3:$B$467,0),1)</f>
        <v>208</v>
      </c>
      <c r="R1999" s="24" t="s">
        <v>121</v>
      </c>
      <c r="S1999" s="20">
        <v>0.56999999999999995</v>
      </c>
    </row>
    <row r="2000" spans="8:19" x14ac:dyDescent="0.25">
      <c r="H2000">
        <v>13</v>
      </c>
      <c r="I2000">
        <v>420</v>
      </c>
      <c r="J2000">
        <v>115</v>
      </c>
      <c r="K2000" t="b">
        <v>1</v>
      </c>
      <c r="N2000" s="30" t="s">
        <v>561</v>
      </c>
      <c r="O2000" s="2">
        <f>INDEX(Маршруты,MATCH(N2000,$B$3:$B$498,0),1)</f>
        <v>86</v>
      </c>
      <c r="P2000" s="27">
        <v>14</v>
      </c>
      <c r="Q2000" s="2">
        <f>INDEX(Остановки,MATCH(R2000,ИД_Остановки!$B$3:$B$467,0),1)</f>
        <v>3</v>
      </c>
      <c r="R2000" s="45" t="s">
        <v>243</v>
      </c>
      <c r="S2000" s="20">
        <v>0.9</v>
      </c>
    </row>
    <row r="2001" spans="8:19" x14ac:dyDescent="0.25">
      <c r="H2001">
        <v>13</v>
      </c>
      <c r="I2001">
        <v>424</v>
      </c>
      <c r="J2001">
        <v>115</v>
      </c>
      <c r="K2001" t="b">
        <v>1</v>
      </c>
      <c r="N2001" s="30" t="s">
        <v>561</v>
      </c>
      <c r="O2001" s="2">
        <f>INDEX(Маршруты,MATCH(N2001,$B$3:$B$498,0),1)</f>
        <v>86</v>
      </c>
      <c r="P2001" s="27">
        <v>15</v>
      </c>
      <c r="Q2001" s="2">
        <f>INDEX(Остановки,MATCH(R2001,ИД_Остановки!$B$3:$B$467,0),1)</f>
        <v>228</v>
      </c>
      <c r="R2001" s="45" t="s">
        <v>127</v>
      </c>
      <c r="S2001" s="20">
        <v>1.18</v>
      </c>
    </row>
    <row r="2002" spans="8:19" x14ac:dyDescent="0.25">
      <c r="H2002">
        <v>13</v>
      </c>
      <c r="I2002">
        <v>428</v>
      </c>
      <c r="J2002">
        <v>115</v>
      </c>
      <c r="K2002" t="b">
        <v>1</v>
      </c>
      <c r="N2002" s="26" t="s">
        <v>561</v>
      </c>
      <c r="O2002" s="2">
        <f>INDEX(Маршруты,MATCH(N2002,$B$3:$B$498,0),1)</f>
        <v>86</v>
      </c>
      <c r="P2002" s="27">
        <v>16</v>
      </c>
      <c r="Q2002" s="2">
        <f>INDEX(Остановки,MATCH(R2002,ИД_Остановки!$B$3:$B$467,0),1)</f>
        <v>238</v>
      </c>
      <c r="R2002" s="45" t="s">
        <v>131</v>
      </c>
      <c r="S2002" s="20">
        <v>0.94</v>
      </c>
    </row>
    <row r="2003" spans="8:19" x14ac:dyDescent="0.25">
      <c r="H2003">
        <v>13</v>
      </c>
      <c r="I2003">
        <v>432</v>
      </c>
      <c r="J2003">
        <v>115</v>
      </c>
      <c r="K2003" t="b">
        <v>1</v>
      </c>
      <c r="N2003" s="30" t="s">
        <v>561</v>
      </c>
      <c r="O2003" s="2">
        <f>INDEX(Маршруты,MATCH(N2003,$B$3:$B$498,0),1)</f>
        <v>86</v>
      </c>
      <c r="P2003" s="27">
        <v>17</v>
      </c>
      <c r="Q2003" s="2">
        <f>INDEX(Остановки,MATCH(R2003,ИД_Остановки!$B$3:$B$467,0),1)</f>
        <v>257</v>
      </c>
      <c r="R2003" s="45" t="s">
        <v>377</v>
      </c>
      <c r="S2003" s="20">
        <v>0.56000000000000005</v>
      </c>
    </row>
    <row r="2004" spans="8:19" x14ac:dyDescent="0.25">
      <c r="H2004">
        <v>13</v>
      </c>
      <c r="I2004">
        <v>436</v>
      </c>
      <c r="J2004">
        <v>115</v>
      </c>
      <c r="K2004" t="b">
        <v>1</v>
      </c>
      <c r="N2004" s="30" t="s">
        <v>561</v>
      </c>
      <c r="O2004" s="2">
        <f>INDEX(Маршруты,MATCH(N2004,$B$3:$B$498,0),1)</f>
        <v>86</v>
      </c>
      <c r="P2004" s="28">
        <v>18</v>
      </c>
      <c r="Q2004" s="2">
        <f>INDEX(Остановки,MATCH(R2004,ИД_Остановки!$B$3:$B$467,0),1)</f>
        <v>255</v>
      </c>
      <c r="R2004" s="24" t="s">
        <v>137</v>
      </c>
      <c r="S2004" s="20">
        <v>0.61</v>
      </c>
    </row>
    <row r="2005" spans="8:19" x14ac:dyDescent="0.25">
      <c r="H2005">
        <v>13</v>
      </c>
      <c r="I2005">
        <v>440</v>
      </c>
      <c r="J2005">
        <v>115</v>
      </c>
      <c r="K2005" t="b">
        <v>1</v>
      </c>
      <c r="N2005" s="30" t="s">
        <v>561</v>
      </c>
      <c r="O2005" s="2">
        <f>INDEX(Маршруты,MATCH(N2005,$B$3:$B$498,0),1)</f>
        <v>86</v>
      </c>
      <c r="P2005" s="27">
        <v>19</v>
      </c>
      <c r="Q2005" s="2">
        <f>INDEX(Остановки,MATCH(R2005,ИД_Остановки!$B$3:$B$467,0),1)</f>
        <v>200</v>
      </c>
      <c r="R2005" s="45" t="s">
        <v>119</v>
      </c>
      <c r="S2005" s="20">
        <v>0.67</v>
      </c>
    </row>
    <row r="2006" spans="8:19" x14ac:dyDescent="0.25">
      <c r="H2006">
        <v>13</v>
      </c>
      <c r="I2006">
        <v>444</v>
      </c>
      <c r="J2006">
        <v>115</v>
      </c>
      <c r="K2006" t="b">
        <v>1</v>
      </c>
      <c r="N2006" s="26" t="s">
        <v>561</v>
      </c>
      <c r="O2006" s="2">
        <f>INDEX(Маршруты,MATCH(N2006,$B$3:$B$498,0),1)</f>
        <v>86</v>
      </c>
      <c r="P2006" s="27">
        <v>20</v>
      </c>
      <c r="Q2006" s="2">
        <f>INDEX(Остановки,MATCH(R2006,ИД_Остановки!$B$3:$B$467,0),1)</f>
        <v>199</v>
      </c>
      <c r="R2006" s="45" t="s">
        <v>118</v>
      </c>
      <c r="S2006" s="20">
        <v>0.75</v>
      </c>
    </row>
    <row r="2007" spans="8:19" x14ac:dyDescent="0.25">
      <c r="H2007">
        <v>13</v>
      </c>
      <c r="I2007">
        <v>448</v>
      </c>
      <c r="J2007">
        <v>115</v>
      </c>
      <c r="K2007" t="b">
        <v>1</v>
      </c>
      <c r="N2007" s="30" t="s">
        <v>561</v>
      </c>
      <c r="O2007" s="2">
        <f>INDEX(Маршруты,MATCH(N2007,$B$3:$B$498,0),1)</f>
        <v>86</v>
      </c>
      <c r="P2007" s="27">
        <v>21</v>
      </c>
      <c r="Q2007" s="2">
        <f>INDEX(Остановки,MATCH(R2007,ИД_Остановки!$B$3:$B$467,0),1)</f>
        <v>22</v>
      </c>
      <c r="R2007" s="45" t="s">
        <v>22</v>
      </c>
      <c r="S2007" s="20">
        <v>0.42</v>
      </c>
    </row>
    <row r="2008" spans="8:19" x14ac:dyDescent="0.25">
      <c r="H2008">
        <v>13</v>
      </c>
      <c r="I2008">
        <v>452</v>
      </c>
      <c r="J2008">
        <v>115</v>
      </c>
      <c r="K2008" t="b">
        <v>1</v>
      </c>
      <c r="N2008" s="30" t="s">
        <v>561</v>
      </c>
      <c r="O2008" s="2">
        <f>INDEX(Маршруты,MATCH(N2008,$B$3:$B$498,0),1)</f>
        <v>86</v>
      </c>
      <c r="P2008" s="27">
        <v>22</v>
      </c>
      <c r="Q2008" s="2">
        <f>INDEX(Остановки,MATCH(R2008,ИД_Остановки!$B$3:$B$467,0),1)</f>
        <v>337</v>
      </c>
      <c r="R2008" s="45" t="s">
        <v>407</v>
      </c>
      <c r="S2008" s="20">
        <v>0.39</v>
      </c>
    </row>
    <row r="2009" spans="8:19" x14ac:dyDescent="0.25">
      <c r="H2009">
        <v>13</v>
      </c>
      <c r="I2009">
        <v>456</v>
      </c>
      <c r="J2009">
        <v>115</v>
      </c>
      <c r="K2009" t="b">
        <v>1</v>
      </c>
      <c r="N2009" s="30" t="s">
        <v>561</v>
      </c>
      <c r="O2009" s="2">
        <f>INDEX(Маршруты,MATCH(N2009,$B$3:$B$498,0),1)</f>
        <v>86</v>
      </c>
      <c r="P2009" s="27">
        <v>23</v>
      </c>
      <c r="Q2009" s="2">
        <f>INDEX(Остановки,MATCH(R2009,ИД_Остановки!$B$3:$B$467,0),1)</f>
        <v>160</v>
      </c>
      <c r="R2009" s="45" t="s">
        <v>323</v>
      </c>
      <c r="S2009" s="20">
        <v>0.6</v>
      </c>
    </row>
    <row r="2010" spans="8:19" x14ac:dyDescent="0.25">
      <c r="H2010">
        <v>13</v>
      </c>
      <c r="I2010">
        <v>460</v>
      </c>
      <c r="J2010">
        <v>115</v>
      </c>
      <c r="K2010" t="b">
        <v>1</v>
      </c>
      <c r="N2010" s="30" t="s">
        <v>561</v>
      </c>
      <c r="O2010" s="2">
        <f>INDEX(Маршруты,MATCH(N2010,$B$3:$B$498,0),1)</f>
        <v>86</v>
      </c>
      <c r="P2010" s="27">
        <v>24</v>
      </c>
      <c r="Q2010" s="2">
        <f>INDEX(Остановки,MATCH(R2010,ИД_Остановки!$B$3:$B$467,0),1)</f>
        <v>254</v>
      </c>
      <c r="R2010" s="45" t="s">
        <v>136</v>
      </c>
      <c r="S2010" s="20">
        <v>0.49</v>
      </c>
    </row>
    <row r="2011" spans="8:19" x14ac:dyDescent="0.25">
      <c r="H2011">
        <v>13</v>
      </c>
      <c r="I2011">
        <v>464</v>
      </c>
      <c r="J2011">
        <v>115</v>
      </c>
      <c r="K2011" t="b">
        <v>1</v>
      </c>
      <c r="N2011" s="30" t="s">
        <v>561</v>
      </c>
      <c r="O2011" s="2">
        <f>INDEX(Маршруты,MATCH(N2011,$B$3:$B$498,0),1)</f>
        <v>86</v>
      </c>
      <c r="P2011" s="27">
        <v>25</v>
      </c>
      <c r="Q2011" s="2">
        <f>INDEX(Остановки,MATCH(R2011,ИД_Остановки!$B$3:$B$467,0),1)</f>
        <v>288</v>
      </c>
      <c r="R2011" s="45" t="s">
        <v>388</v>
      </c>
      <c r="S2011" s="20">
        <v>0.79</v>
      </c>
    </row>
    <row r="2012" spans="8:19" x14ac:dyDescent="0.25">
      <c r="H2012">
        <v>13</v>
      </c>
      <c r="I2012">
        <v>468</v>
      </c>
      <c r="J2012">
        <v>115</v>
      </c>
      <c r="K2012" t="b">
        <v>1</v>
      </c>
      <c r="N2012" s="25" t="s">
        <v>561</v>
      </c>
      <c r="O2012" s="2">
        <f>INDEX(Маршруты,MATCH(N2012,$B$3:$B$498,0),1)</f>
        <v>86</v>
      </c>
      <c r="P2012" s="27">
        <v>26</v>
      </c>
      <c r="Q2012" s="2">
        <f>INDEX(Остановки,MATCH(R2012,ИД_Остановки!$B$3:$B$467,0),1)</f>
        <v>252</v>
      </c>
      <c r="R2012" s="45" t="s">
        <v>374</v>
      </c>
      <c r="S2012" s="20">
        <v>0.28999999999999998</v>
      </c>
    </row>
    <row r="2013" spans="8:19" x14ac:dyDescent="0.25">
      <c r="H2013">
        <v>13</v>
      </c>
      <c r="I2013">
        <v>472</v>
      </c>
      <c r="J2013">
        <v>115</v>
      </c>
      <c r="K2013" t="b">
        <v>1</v>
      </c>
      <c r="N2013" s="25" t="s">
        <v>561</v>
      </c>
      <c r="O2013" s="2">
        <f>INDEX(Маршруты,MATCH(N2013,$B$3:$B$498,0),1)</f>
        <v>86</v>
      </c>
      <c r="P2013" s="27">
        <v>27</v>
      </c>
      <c r="Q2013" s="2">
        <f>INDEX(Остановки,MATCH(R2013,ИД_Остановки!$B$3:$B$467,0),1)</f>
        <v>236</v>
      </c>
      <c r="R2013" s="45" t="s">
        <v>130</v>
      </c>
      <c r="S2013" s="20">
        <v>0.59</v>
      </c>
    </row>
    <row r="2014" spans="8:19" x14ac:dyDescent="0.25">
      <c r="H2014">
        <v>13</v>
      </c>
      <c r="I2014">
        <v>476</v>
      </c>
      <c r="J2014">
        <v>115</v>
      </c>
      <c r="K2014" t="b">
        <v>1</v>
      </c>
      <c r="N2014" s="30" t="s">
        <v>561</v>
      </c>
      <c r="O2014" s="2">
        <f>INDEX(Маршруты,MATCH(N2014,$B$3:$B$498,0),1)</f>
        <v>86</v>
      </c>
      <c r="P2014" s="27">
        <v>28</v>
      </c>
      <c r="Q2014" s="2">
        <f>INDEX(Остановки,MATCH(R2014,ИД_Остановки!$B$3:$B$467,0),1)</f>
        <v>245</v>
      </c>
      <c r="R2014" s="45" t="s">
        <v>369</v>
      </c>
      <c r="S2014" s="20">
        <v>0.38</v>
      </c>
    </row>
    <row r="2015" spans="8:19" x14ac:dyDescent="0.25">
      <c r="H2015">
        <v>13</v>
      </c>
      <c r="I2015">
        <v>480</v>
      </c>
      <c r="J2015">
        <v>115</v>
      </c>
      <c r="K2015" t="b">
        <v>1</v>
      </c>
      <c r="N2015" s="30" t="s">
        <v>561</v>
      </c>
      <c r="O2015" s="2">
        <f>INDEX(Маршруты,MATCH(N2015,$B$3:$B$498,0),1)</f>
        <v>86</v>
      </c>
      <c r="P2015" s="27">
        <v>29</v>
      </c>
      <c r="Q2015" s="2">
        <f>INDEX(Остановки,MATCH(R2015,ИД_Остановки!$B$3:$B$467,0),1)</f>
        <v>258</v>
      </c>
      <c r="R2015" s="45" t="s">
        <v>378</v>
      </c>
      <c r="S2015" s="20">
        <v>0.3</v>
      </c>
    </row>
    <row r="2016" spans="8:19" x14ac:dyDescent="0.25">
      <c r="H2016">
        <v>13</v>
      </c>
      <c r="I2016">
        <v>484</v>
      </c>
      <c r="J2016">
        <v>115</v>
      </c>
      <c r="K2016" t="b">
        <v>1</v>
      </c>
      <c r="N2016" s="25" t="s">
        <v>561</v>
      </c>
      <c r="O2016" s="2">
        <f>INDEX(Маршруты,MATCH(N2016,$B$3:$B$498,0),1)</f>
        <v>86</v>
      </c>
      <c r="P2016" s="27">
        <v>30</v>
      </c>
      <c r="Q2016" s="2">
        <f>INDEX(Остановки,MATCH(R2016,ИД_Остановки!$B$3:$B$467,0),1)</f>
        <v>244</v>
      </c>
      <c r="R2016" s="45" t="s">
        <v>133</v>
      </c>
      <c r="S2016" s="20">
        <v>0.215</v>
      </c>
    </row>
    <row r="2017" spans="8:19" x14ac:dyDescent="0.25">
      <c r="H2017">
        <v>13</v>
      </c>
      <c r="I2017">
        <v>488</v>
      </c>
      <c r="J2017">
        <v>115</v>
      </c>
      <c r="K2017" t="b">
        <v>1</v>
      </c>
      <c r="N2017" s="25" t="s">
        <v>561</v>
      </c>
      <c r="O2017" s="2">
        <f>INDEX(Маршруты,MATCH(N2017,$B$3:$B$498,0),1)</f>
        <v>86</v>
      </c>
      <c r="P2017" s="27">
        <v>31</v>
      </c>
      <c r="Q2017" s="2">
        <f>INDEX(Остановки,MATCH(R2017,ИД_Остановки!$B$3:$B$467,0),1)</f>
        <v>251</v>
      </c>
      <c r="R2017" s="45" t="s">
        <v>164</v>
      </c>
      <c r="S2017" s="20">
        <v>0.64</v>
      </c>
    </row>
    <row r="2018" spans="8:19" x14ac:dyDescent="0.25">
      <c r="H2018">
        <v>13</v>
      </c>
      <c r="I2018">
        <v>492</v>
      </c>
      <c r="J2018">
        <v>115</v>
      </c>
      <c r="K2018" t="b">
        <v>1</v>
      </c>
      <c r="N2018" s="25" t="s">
        <v>561</v>
      </c>
      <c r="O2018" s="2">
        <f>INDEX(Маршруты,MATCH(N2018,$B$3:$B$498,0),1)</f>
        <v>86</v>
      </c>
      <c r="P2018" s="28">
        <v>32</v>
      </c>
      <c r="Q2018" s="2">
        <f>INDEX(Остановки,MATCH(R2018,ИД_Остановки!$B$3:$B$467,0),1)</f>
        <v>243</v>
      </c>
      <c r="R2018" s="24" t="s">
        <v>368</v>
      </c>
      <c r="S2018" s="20">
        <v>0.7</v>
      </c>
    </row>
    <row r="2019" spans="8:19" x14ac:dyDescent="0.25">
      <c r="H2019">
        <v>13</v>
      </c>
      <c r="I2019">
        <v>496</v>
      </c>
      <c r="J2019">
        <v>115</v>
      </c>
      <c r="K2019" t="b">
        <v>1</v>
      </c>
      <c r="N2019" s="25" t="s">
        <v>561</v>
      </c>
      <c r="O2019" s="2">
        <f>INDEX(Маршруты,MATCH(N2019,$B$3:$B$498,0),1)</f>
        <v>86</v>
      </c>
      <c r="P2019" s="27">
        <v>33</v>
      </c>
      <c r="Q2019" s="2">
        <f>INDEX(Остановки,MATCH(R2019,ИД_Остановки!$B$3:$B$467,0),1)</f>
        <v>222</v>
      </c>
      <c r="R2019" s="45" t="s">
        <v>354</v>
      </c>
      <c r="S2019" s="20">
        <v>0.36</v>
      </c>
    </row>
    <row r="2020" spans="8:19" x14ac:dyDescent="0.25">
      <c r="H2020">
        <v>13</v>
      </c>
      <c r="I2020">
        <v>500</v>
      </c>
      <c r="J2020">
        <v>115</v>
      </c>
      <c r="K2020" t="b">
        <v>1</v>
      </c>
      <c r="N2020" s="30" t="s">
        <v>561</v>
      </c>
      <c r="O2020" s="2">
        <f>INDEX(Маршруты,MATCH(N2020,$B$3:$B$498,0),1)</f>
        <v>86</v>
      </c>
      <c r="P2020" s="27">
        <v>34</v>
      </c>
      <c r="Q2020" s="2">
        <f>INDEX(Остановки,MATCH(R2020,ИД_Остановки!$B$3:$B$467,0),1)</f>
        <v>250</v>
      </c>
      <c r="R2020" s="45" t="s">
        <v>373</v>
      </c>
      <c r="S2020" s="20">
        <v>0.64</v>
      </c>
    </row>
    <row r="2021" spans="8:19" x14ac:dyDescent="0.25">
      <c r="H2021">
        <v>13</v>
      </c>
      <c r="I2021">
        <v>504</v>
      </c>
      <c r="J2021">
        <v>115</v>
      </c>
      <c r="K2021" t="b">
        <v>1</v>
      </c>
      <c r="N2021" s="25" t="s">
        <v>561</v>
      </c>
      <c r="O2021" s="2">
        <f>INDEX(Маршруты,MATCH(N2021,$B$3:$B$498,0),1)</f>
        <v>86</v>
      </c>
      <c r="P2021" s="27">
        <v>35</v>
      </c>
      <c r="Q2021" s="2">
        <f>INDEX(Остановки,MATCH(R2021,ИД_Остановки!$B$3:$B$467,0),1)</f>
        <v>249</v>
      </c>
      <c r="R2021" s="45" t="s">
        <v>372</v>
      </c>
      <c r="S2021" s="20">
        <v>0.32</v>
      </c>
    </row>
    <row r="2022" spans="8:19" x14ac:dyDescent="0.25">
      <c r="H2022">
        <v>13</v>
      </c>
      <c r="I2022">
        <v>508</v>
      </c>
      <c r="J2022">
        <v>115</v>
      </c>
      <c r="K2022" t="b">
        <v>1</v>
      </c>
      <c r="N2022" s="30" t="s">
        <v>561</v>
      </c>
      <c r="O2022" s="2">
        <f>INDEX(Маршруты,MATCH(N2022,$B$3:$B$498,0),1)</f>
        <v>86</v>
      </c>
      <c r="P2022" s="27">
        <v>36</v>
      </c>
      <c r="Q2022" s="2">
        <f>INDEX(Остановки,MATCH(R2022,ИД_Остановки!$B$3:$B$467,0),1)</f>
        <v>248</v>
      </c>
      <c r="R2022" s="45" t="s">
        <v>617</v>
      </c>
      <c r="S2022" s="20">
        <v>0.77</v>
      </c>
    </row>
    <row r="2023" spans="8:19" x14ac:dyDescent="0.25">
      <c r="H2023">
        <v>13</v>
      </c>
      <c r="I2023">
        <v>512</v>
      </c>
      <c r="J2023">
        <v>115</v>
      </c>
      <c r="K2023" t="b">
        <v>1</v>
      </c>
      <c r="N2023" s="30" t="s">
        <v>622</v>
      </c>
      <c r="O2023" s="2">
        <f>INDEX(Маршруты,MATCH(N2023,$B$3:$B$498,0),1)</f>
        <v>87</v>
      </c>
      <c r="P2023" s="27">
        <v>1</v>
      </c>
      <c r="Q2023" s="2">
        <f>INDEX(Остановки,MATCH(R2023,ИД_Остановки!$B$3:$B$467,0),1)</f>
        <v>142</v>
      </c>
      <c r="R2023" s="45" t="s">
        <v>314</v>
      </c>
      <c r="S2023" s="20"/>
    </row>
    <row r="2024" spans="8:19" x14ac:dyDescent="0.25">
      <c r="H2024">
        <v>13</v>
      </c>
      <c r="I2024">
        <v>516</v>
      </c>
      <c r="J2024">
        <v>115</v>
      </c>
      <c r="K2024" t="b">
        <v>1</v>
      </c>
      <c r="N2024" s="30" t="s">
        <v>622</v>
      </c>
      <c r="O2024" s="2">
        <f>INDEX(Маршруты,MATCH(N2024,$B$3:$B$498,0),1)</f>
        <v>87</v>
      </c>
      <c r="P2024" s="27">
        <v>2</v>
      </c>
      <c r="Q2024" s="2">
        <f>INDEX(Остановки,MATCH(R2024,ИД_Остановки!$B$3:$B$467,0),1)</f>
        <v>300</v>
      </c>
      <c r="R2024" s="45" t="s">
        <v>169</v>
      </c>
      <c r="S2024" s="20">
        <v>0.37</v>
      </c>
    </row>
    <row r="2025" spans="8:19" x14ac:dyDescent="0.25">
      <c r="H2025">
        <v>13</v>
      </c>
      <c r="I2025">
        <v>520</v>
      </c>
      <c r="J2025">
        <v>115</v>
      </c>
      <c r="K2025" t="b">
        <v>1</v>
      </c>
      <c r="N2025" s="30" t="s">
        <v>622</v>
      </c>
      <c r="O2025" s="2">
        <f>INDEX(Маршруты,MATCH(N2025,$B$3:$B$498,0),1)</f>
        <v>87</v>
      </c>
      <c r="P2025" s="27">
        <v>3</v>
      </c>
      <c r="Q2025" s="2">
        <f>INDEX(Остановки,MATCH(R2025,ИД_Остановки!$B$3:$B$467,0),1)</f>
        <v>301</v>
      </c>
      <c r="R2025" s="45" t="s">
        <v>393</v>
      </c>
      <c r="S2025" s="20">
        <v>0.69</v>
      </c>
    </row>
    <row r="2026" spans="8:19" x14ac:dyDescent="0.25">
      <c r="H2026">
        <v>13</v>
      </c>
      <c r="I2026">
        <v>524</v>
      </c>
      <c r="J2026">
        <v>115</v>
      </c>
      <c r="K2026" t="b">
        <v>1</v>
      </c>
      <c r="N2026" s="26" t="s">
        <v>622</v>
      </c>
      <c r="O2026" s="2">
        <f>INDEX(Маршруты,MATCH(N2026,$B$3:$B$498,0),1)</f>
        <v>87</v>
      </c>
      <c r="P2026" s="27">
        <v>4</v>
      </c>
      <c r="Q2026" s="2">
        <f>INDEX(Остановки,MATCH(R2026,ИД_Остановки!$B$3:$B$467,0),1)</f>
        <v>302</v>
      </c>
      <c r="R2026" s="45" t="s">
        <v>170</v>
      </c>
      <c r="S2026" s="20">
        <v>1.23</v>
      </c>
    </row>
    <row r="2027" spans="8:19" x14ac:dyDescent="0.25">
      <c r="H2027">
        <v>13</v>
      </c>
      <c r="I2027">
        <v>528</v>
      </c>
      <c r="J2027">
        <v>115</v>
      </c>
      <c r="K2027" t="b">
        <v>1</v>
      </c>
      <c r="N2027" s="30" t="s">
        <v>622</v>
      </c>
      <c r="O2027" s="2">
        <f>INDEX(Маршруты,MATCH(N2027,$B$3:$B$498,0),1)</f>
        <v>87</v>
      </c>
      <c r="P2027" s="27">
        <v>5</v>
      </c>
      <c r="Q2027" s="2">
        <f>INDEX(Остановки,MATCH(R2027,ИД_Остановки!$B$3:$B$467,0),1)</f>
        <v>303</v>
      </c>
      <c r="R2027" s="45" t="s">
        <v>171</v>
      </c>
      <c r="S2027" s="20">
        <v>0.63</v>
      </c>
    </row>
    <row r="2028" spans="8:19" x14ac:dyDescent="0.25">
      <c r="H2028">
        <v>13</v>
      </c>
      <c r="I2028">
        <v>532</v>
      </c>
      <c r="J2028">
        <v>115</v>
      </c>
      <c r="K2028" t="b">
        <v>1</v>
      </c>
      <c r="N2028" s="25" t="s">
        <v>622</v>
      </c>
      <c r="O2028" s="2">
        <f>INDEX(Маршруты,MATCH(N2028,$B$3:$B$498,0),1)</f>
        <v>87</v>
      </c>
      <c r="P2028" s="27">
        <v>6</v>
      </c>
      <c r="Q2028" s="2">
        <f>INDEX(Остановки,MATCH(R2028,ИД_Остановки!$B$3:$B$467,0),1)</f>
        <v>304</v>
      </c>
      <c r="R2028" s="45" t="s">
        <v>172</v>
      </c>
      <c r="S2028" s="20">
        <v>0.59</v>
      </c>
    </row>
    <row r="2029" spans="8:19" x14ac:dyDescent="0.25">
      <c r="H2029">
        <v>13</v>
      </c>
      <c r="I2029">
        <v>536</v>
      </c>
      <c r="J2029">
        <v>115</v>
      </c>
      <c r="K2029" t="b">
        <v>1</v>
      </c>
      <c r="N2029" s="25" t="s">
        <v>622</v>
      </c>
      <c r="O2029" s="2">
        <f>INDEX(Маршруты,MATCH(N2029,$B$3:$B$498,0),1)</f>
        <v>87</v>
      </c>
      <c r="P2029" s="27">
        <v>7</v>
      </c>
      <c r="Q2029" s="2">
        <f>INDEX(Остановки,MATCH(R2029,ИД_Остановки!$B$3:$B$467,0),1)</f>
        <v>305</v>
      </c>
      <c r="R2029" s="45" t="s">
        <v>173</v>
      </c>
      <c r="S2029" s="20">
        <v>0.34</v>
      </c>
    </row>
    <row r="2030" spans="8:19" x14ac:dyDescent="0.25">
      <c r="H2030">
        <v>13</v>
      </c>
      <c r="I2030">
        <v>540</v>
      </c>
      <c r="J2030">
        <v>115</v>
      </c>
      <c r="K2030" t="b">
        <v>1</v>
      </c>
      <c r="N2030" s="30" t="s">
        <v>622</v>
      </c>
      <c r="O2030" s="2">
        <f>INDEX(Маршруты,MATCH(N2030,$B$3:$B$498,0),1)</f>
        <v>87</v>
      </c>
      <c r="P2030" s="27">
        <v>8</v>
      </c>
      <c r="Q2030" s="2">
        <f>INDEX(Остановки,MATCH(R2030,ИД_Остановки!$B$3:$B$467,0),1)</f>
        <v>306</v>
      </c>
      <c r="R2030" s="45" t="s">
        <v>174</v>
      </c>
      <c r="S2030" s="20">
        <v>0.56000000000000005</v>
      </c>
    </row>
    <row r="2031" spans="8:19" x14ac:dyDescent="0.25">
      <c r="H2031">
        <v>13</v>
      </c>
      <c r="I2031">
        <v>544</v>
      </c>
      <c r="J2031">
        <v>115</v>
      </c>
      <c r="K2031" t="b">
        <v>1</v>
      </c>
      <c r="N2031" s="26" t="s">
        <v>622</v>
      </c>
      <c r="O2031" s="2">
        <f>INDEX(Маршруты,MATCH(N2031,$B$3:$B$498,0),1)</f>
        <v>87</v>
      </c>
      <c r="P2031" s="27">
        <v>9</v>
      </c>
      <c r="Q2031" s="2">
        <f>INDEX(Остановки,MATCH(R2031,ИД_Остановки!$B$3:$B$467,0),1)</f>
        <v>307</v>
      </c>
      <c r="R2031" s="45" t="s">
        <v>175</v>
      </c>
      <c r="S2031" s="20">
        <v>0.4</v>
      </c>
    </row>
    <row r="2032" spans="8:19" x14ac:dyDescent="0.25">
      <c r="H2032">
        <v>13</v>
      </c>
      <c r="I2032">
        <v>548</v>
      </c>
      <c r="J2032">
        <v>115</v>
      </c>
      <c r="K2032" t="b">
        <v>1</v>
      </c>
      <c r="N2032" s="26" t="s">
        <v>622</v>
      </c>
      <c r="O2032" s="2">
        <f>INDEX(Маршруты,MATCH(N2032,$B$3:$B$498,0),1)</f>
        <v>87</v>
      </c>
      <c r="P2032" s="27">
        <v>10</v>
      </c>
      <c r="Q2032" s="2">
        <f>INDEX(Остановки,MATCH(R2032,ИД_Остановки!$B$3:$B$467,0),1)</f>
        <v>308</v>
      </c>
      <c r="R2032" s="45" t="s">
        <v>176</v>
      </c>
      <c r="S2032" s="20">
        <v>0.8</v>
      </c>
    </row>
    <row r="2033" spans="8:19" x14ac:dyDescent="0.25">
      <c r="H2033">
        <v>13</v>
      </c>
      <c r="I2033">
        <v>552</v>
      </c>
      <c r="J2033">
        <v>115</v>
      </c>
      <c r="K2033" t="b">
        <v>1</v>
      </c>
      <c r="N2033" s="26" t="s">
        <v>622</v>
      </c>
      <c r="O2033" s="2">
        <f>INDEX(Маршруты,MATCH(N2033,$B$3:$B$498,0),1)</f>
        <v>87</v>
      </c>
      <c r="P2033" s="27">
        <v>11</v>
      </c>
      <c r="Q2033" s="2">
        <f>INDEX(Остановки,MATCH(R2033,ИД_Остановки!$B$3:$B$467,0),1)</f>
        <v>309</v>
      </c>
      <c r="R2033" s="45" t="s">
        <v>177</v>
      </c>
      <c r="S2033" s="20">
        <v>1.69</v>
      </c>
    </row>
    <row r="2034" spans="8:19" x14ac:dyDescent="0.25">
      <c r="H2034">
        <v>13</v>
      </c>
      <c r="I2034">
        <v>556</v>
      </c>
      <c r="J2034">
        <v>115</v>
      </c>
      <c r="K2034" t="b">
        <v>1</v>
      </c>
      <c r="N2034" s="30" t="s">
        <v>622</v>
      </c>
      <c r="O2034" s="2">
        <f>INDEX(Маршруты,MATCH(N2034,$B$3:$B$498,0),1)</f>
        <v>87</v>
      </c>
      <c r="P2034" s="27">
        <v>12</v>
      </c>
      <c r="Q2034" s="2">
        <f>INDEX(Остановки,MATCH(R2034,ИД_Остановки!$B$3:$B$467,0),1)</f>
        <v>310</v>
      </c>
      <c r="R2034" s="45" t="s">
        <v>394</v>
      </c>
      <c r="S2034" s="20">
        <v>0.5</v>
      </c>
    </row>
    <row r="2035" spans="8:19" x14ac:dyDescent="0.25">
      <c r="H2035">
        <v>13</v>
      </c>
      <c r="I2035">
        <v>560</v>
      </c>
      <c r="J2035">
        <v>115</v>
      </c>
      <c r="K2035" t="b">
        <v>1</v>
      </c>
      <c r="N2035" s="30" t="s">
        <v>622</v>
      </c>
      <c r="O2035" s="2">
        <f>INDEX(Маршруты,MATCH(N2035,$B$3:$B$498,0),1)</f>
        <v>87</v>
      </c>
      <c r="P2035" s="27">
        <v>13</v>
      </c>
      <c r="Q2035" s="2">
        <f>INDEX(Остановки,MATCH(R2035,ИД_Остановки!$B$3:$B$467,0),1)</f>
        <v>311</v>
      </c>
      <c r="R2035" s="45" t="s">
        <v>178</v>
      </c>
      <c r="S2035" s="20">
        <v>0.98</v>
      </c>
    </row>
    <row r="2036" spans="8:19" x14ac:dyDescent="0.25">
      <c r="H2036">
        <v>13</v>
      </c>
      <c r="I2036">
        <v>564</v>
      </c>
      <c r="J2036">
        <v>115</v>
      </c>
      <c r="K2036" t="b">
        <v>1</v>
      </c>
      <c r="N2036" s="25" t="s">
        <v>622</v>
      </c>
      <c r="O2036" s="2">
        <f>INDEX(Маршруты,MATCH(N2036,$B$3:$B$498,0),1)</f>
        <v>87</v>
      </c>
      <c r="P2036" s="27">
        <v>14</v>
      </c>
      <c r="Q2036" s="2">
        <f>INDEX(Остановки,MATCH(R2036,ИД_Остановки!$B$3:$B$467,0),1)</f>
        <v>312</v>
      </c>
      <c r="R2036" s="45" t="s">
        <v>179</v>
      </c>
      <c r="S2036" s="20">
        <v>1.26</v>
      </c>
    </row>
    <row r="2037" spans="8:19" x14ac:dyDescent="0.25">
      <c r="H2037">
        <v>13</v>
      </c>
      <c r="I2037">
        <v>568</v>
      </c>
      <c r="J2037">
        <v>115</v>
      </c>
      <c r="K2037" t="b">
        <v>1</v>
      </c>
      <c r="N2037" s="14" t="s">
        <v>622</v>
      </c>
      <c r="O2037" s="2">
        <f>INDEX(Маршруты,MATCH(N2037,$B$3:$B$498,0),1)</f>
        <v>87</v>
      </c>
      <c r="P2037" s="27">
        <v>15</v>
      </c>
      <c r="Q2037" s="2">
        <f>INDEX(Остановки,MATCH(R2037,ИД_Остановки!$B$3:$B$467,0),1)</f>
        <v>313</v>
      </c>
      <c r="R2037" s="45" t="s">
        <v>180</v>
      </c>
      <c r="S2037" s="20">
        <v>0.59</v>
      </c>
    </row>
    <row r="2038" spans="8:19" x14ac:dyDescent="0.25">
      <c r="H2038">
        <v>13</v>
      </c>
      <c r="I2038">
        <v>572</v>
      </c>
      <c r="J2038">
        <v>115</v>
      </c>
      <c r="K2038" t="b">
        <v>1</v>
      </c>
      <c r="N2038" s="30" t="s">
        <v>622</v>
      </c>
      <c r="O2038" s="2">
        <f>INDEX(Маршруты,MATCH(N2038,$B$3:$B$498,0),1)</f>
        <v>87</v>
      </c>
      <c r="P2038" s="27">
        <v>16</v>
      </c>
      <c r="Q2038" s="2">
        <f>INDEX(Остановки,MATCH(R2038,ИД_Остановки!$B$3:$B$467,0),1)</f>
        <v>419</v>
      </c>
      <c r="R2038" s="45" t="s">
        <v>475</v>
      </c>
      <c r="S2038" s="20">
        <v>0.51</v>
      </c>
    </row>
    <row r="2039" spans="8:19" x14ac:dyDescent="0.25">
      <c r="H2039">
        <v>13</v>
      </c>
      <c r="I2039">
        <v>576</v>
      </c>
      <c r="J2039">
        <v>115</v>
      </c>
      <c r="K2039" t="b">
        <v>1</v>
      </c>
      <c r="N2039" s="25" t="s">
        <v>622</v>
      </c>
      <c r="O2039" s="2">
        <f>INDEX(Маршруты,MATCH(N2039,$B$3:$B$498,0),1)</f>
        <v>87</v>
      </c>
      <c r="P2039" s="27">
        <v>17</v>
      </c>
      <c r="Q2039" s="2">
        <f>INDEX(Остановки,MATCH(R2039,ИД_Остановки!$B$3:$B$467,0),1)</f>
        <v>378</v>
      </c>
      <c r="R2039" s="45" t="s">
        <v>436</v>
      </c>
      <c r="S2039" s="20">
        <v>0.46</v>
      </c>
    </row>
    <row r="2040" spans="8:19" x14ac:dyDescent="0.25">
      <c r="H2040">
        <v>13</v>
      </c>
      <c r="I2040">
        <v>580</v>
      </c>
      <c r="J2040">
        <v>115</v>
      </c>
      <c r="K2040" t="b">
        <v>1</v>
      </c>
      <c r="N2040" s="25" t="s">
        <v>622</v>
      </c>
      <c r="O2040" s="2">
        <f>INDEX(Маршруты,MATCH(N2040,$B$3:$B$498,0),1)</f>
        <v>87</v>
      </c>
      <c r="P2040" s="27">
        <v>18</v>
      </c>
      <c r="Q2040" s="2">
        <f>INDEX(Остановки,MATCH(R2040,ИД_Остановки!$B$3:$B$467,0),1)</f>
        <v>314</v>
      </c>
      <c r="R2040" s="45" t="s">
        <v>181</v>
      </c>
      <c r="S2040" s="20">
        <v>1.92</v>
      </c>
    </row>
    <row r="2041" spans="8:19" x14ac:dyDescent="0.25">
      <c r="H2041">
        <v>13</v>
      </c>
      <c r="I2041">
        <v>584</v>
      </c>
      <c r="J2041">
        <v>115</v>
      </c>
      <c r="K2041" t="b">
        <v>1</v>
      </c>
      <c r="N2041" s="25" t="s">
        <v>622</v>
      </c>
      <c r="O2041" s="2">
        <f>INDEX(Маршруты,MATCH(N2041,$B$3:$B$498,0),1)</f>
        <v>87</v>
      </c>
      <c r="P2041" s="27">
        <v>19</v>
      </c>
      <c r="Q2041" s="2">
        <f>INDEX(Остановки,MATCH(R2041,ИД_Остановки!$B$3:$B$467,0),1)</f>
        <v>229</v>
      </c>
      <c r="R2041" s="45" t="s">
        <v>128</v>
      </c>
      <c r="S2041" s="20">
        <v>0.52</v>
      </c>
    </row>
    <row r="2042" spans="8:19" x14ac:dyDescent="0.25">
      <c r="H2042">
        <v>13</v>
      </c>
      <c r="I2042">
        <v>588</v>
      </c>
      <c r="J2042">
        <v>115</v>
      </c>
      <c r="K2042" t="b">
        <v>1</v>
      </c>
      <c r="N2042" s="30" t="s">
        <v>563</v>
      </c>
      <c r="O2042" s="2">
        <f>INDEX(Маршруты,MATCH(N2042,$B$3:$B$498,0),1)</f>
        <v>88</v>
      </c>
      <c r="P2042" s="27">
        <v>1</v>
      </c>
      <c r="Q2042" s="2">
        <f>INDEX(Остановки,MATCH(R2042,ИД_Остановки!$B$3:$B$467,0),1)</f>
        <v>229</v>
      </c>
      <c r="R2042" s="45" t="s">
        <v>128</v>
      </c>
      <c r="S2042" s="20"/>
    </row>
    <row r="2043" spans="8:19" x14ac:dyDescent="0.25">
      <c r="H2043">
        <v>13</v>
      </c>
      <c r="I2043">
        <v>592</v>
      </c>
      <c r="J2043">
        <v>115</v>
      </c>
      <c r="K2043" t="b">
        <v>1</v>
      </c>
      <c r="N2043" s="26" t="s">
        <v>563</v>
      </c>
      <c r="O2043" s="2">
        <f>INDEX(Маршруты,MATCH(N2043,$B$3:$B$498,0),1)</f>
        <v>88</v>
      </c>
      <c r="P2043" s="27">
        <v>2</v>
      </c>
      <c r="Q2043" s="2">
        <f>INDEX(Остановки,MATCH(R2043,ИД_Остановки!$B$3:$B$467,0),1)</f>
        <v>314</v>
      </c>
      <c r="R2043" s="45" t="s">
        <v>181</v>
      </c>
      <c r="S2043" s="20">
        <v>0.52</v>
      </c>
    </row>
    <row r="2044" spans="8:19" x14ac:dyDescent="0.25">
      <c r="H2044">
        <v>13</v>
      </c>
      <c r="I2044">
        <v>596</v>
      </c>
      <c r="J2044">
        <v>115</v>
      </c>
      <c r="K2044" t="b">
        <v>1</v>
      </c>
      <c r="N2044" s="30" t="s">
        <v>563</v>
      </c>
      <c r="O2044" s="2">
        <f>INDEX(Маршруты,MATCH(N2044,$B$3:$B$498,0),1)</f>
        <v>88</v>
      </c>
      <c r="P2044" s="27">
        <v>3</v>
      </c>
      <c r="Q2044" s="2">
        <f>INDEX(Остановки,MATCH(R2044,ИД_Остановки!$B$3:$B$467,0),1)</f>
        <v>378</v>
      </c>
      <c r="R2044" s="45" t="s">
        <v>436</v>
      </c>
      <c r="S2044" s="20">
        <v>1.92</v>
      </c>
    </row>
    <row r="2045" spans="8:19" x14ac:dyDescent="0.25">
      <c r="H2045">
        <v>13</v>
      </c>
      <c r="I2045">
        <v>600</v>
      </c>
      <c r="J2045">
        <v>115</v>
      </c>
      <c r="K2045" t="b">
        <v>1</v>
      </c>
      <c r="N2045" s="30" t="s">
        <v>563</v>
      </c>
      <c r="O2045" s="2">
        <f>INDEX(Маршруты,MATCH(N2045,$B$3:$B$498,0),1)</f>
        <v>88</v>
      </c>
      <c r="P2045" s="27">
        <v>4</v>
      </c>
      <c r="Q2045" s="2">
        <f>INDEX(Остановки,MATCH(R2045,ИД_Остановки!$B$3:$B$467,0),1)</f>
        <v>419</v>
      </c>
      <c r="R2045" s="45" t="s">
        <v>475</v>
      </c>
      <c r="S2045" s="20">
        <v>0.46</v>
      </c>
    </row>
    <row r="2046" spans="8:19" x14ac:dyDescent="0.25">
      <c r="H2046">
        <v>13</v>
      </c>
      <c r="I2046">
        <v>604</v>
      </c>
      <c r="J2046">
        <v>115</v>
      </c>
      <c r="K2046" t="b">
        <v>1</v>
      </c>
      <c r="N2046" s="30" t="s">
        <v>563</v>
      </c>
      <c r="O2046" s="2">
        <f>INDEX(Маршруты,MATCH(N2046,$B$3:$B$498,0),1)</f>
        <v>88</v>
      </c>
      <c r="P2046" s="27">
        <v>5</v>
      </c>
      <c r="Q2046" s="2">
        <f>INDEX(Остановки,MATCH(R2046,ИД_Остановки!$B$3:$B$467,0),1)</f>
        <v>313</v>
      </c>
      <c r="R2046" s="45" t="s">
        <v>180</v>
      </c>
      <c r="S2046" s="20">
        <v>0.51</v>
      </c>
    </row>
    <row r="2047" spans="8:19" x14ac:dyDescent="0.25">
      <c r="H2047">
        <v>13</v>
      </c>
      <c r="I2047">
        <v>608</v>
      </c>
      <c r="J2047">
        <v>115</v>
      </c>
      <c r="K2047" t="b">
        <v>1</v>
      </c>
      <c r="N2047" s="25" t="s">
        <v>563</v>
      </c>
      <c r="O2047" s="2">
        <f>INDEX(Маршруты,MATCH(N2047,$B$3:$B$498,0),1)</f>
        <v>88</v>
      </c>
      <c r="P2047" s="27">
        <v>6</v>
      </c>
      <c r="Q2047" s="2">
        <f>INDEX(Остановки,MATCH(R2047,ИД_Остановки!$B$3:$B$467,0),1)</f>
        <v>312</v>
      </c>
      <c r="R2047" s="45" t="s">
        <v>179</v>
      </c>
      <c r="S2047" s="20">
        <v>0.59</v>
      </c>
    </row>
    <row r="2048" spans="8:19" x14ac:dyDescent="0.25">
      <c r="H2048">
        <v>13</v>
      </c>
      <c r="I2048">
        <v>612</v>
      </c>
      <c r="J2048">
        <v>115</v>
      </c>
      <c r="K2048" t="b">
        <v>1</v>
      </c>
      <c r="N2048" s="30" t="s">
        <v>563</v>
      </c>
      <c r="O2048" s="2">
        <f>INDEX(Маршруты,MATCH(N2048,$B$3:$B$498,0),1)</f>
        <v>88</v>
      </c>
      <c r="P2048" s="27">
        <v>7</v>
      </c>
      <c r="Q2048" s="2">
        <f>INDEX(Остановки,MATCH(R2048,ИД_Остановки!$B$3:$B$467,0),1)</f>
        <v>311</v>
      </c>
      <c r="R2048" s="45" t="s">
        <v>178</v>
      </c>
      <c r="S2048" s="20">
        <v>1.26</v>
      </c>
    </row>
    <row r="2049" spans="8:19" x14ac:dyDescent="0.25">
      <c r="H2049">
        <v>13</v>
      </c>
      <c r="I2049">
        <v>616</v>
      </c>
      <c r="J2049">
        <v>115</v>
      </c>
      <c r="K2049" t="b">
        <v>1</v>
      </c>
      <c r="N2049" s="25" t="s">
        <v>563</v>
      </c>
      <c r="O2049" s="2">
        <f>INDEX(Маршруты,MATCH(N2049,$B$3:$B$498,0),1)</f>
        <v>88</v>
      </c>
      <c r="P2049" s="27">
        <v>8</v>
      </c>
      <c r="Q2049" s="2">
        <f>INDEX(Остановки,MATCH(R2049,ИД_Остановки!$B$3:$B$467,0),1)</f>
        <v>310</v>
      </c>
      <c r="R2049" s="45" t="s">
        <v>394</v>
      </c>
      <c r="S2049" s="20">
        <v>0.98</v>
      </c>
    </row>
    <row r="2050" spans="8:19" x14ac:dyDescent="0.25">
      <c r="H2050">
        <v>13</v>
      </c>
      <c r="I2050">
        <v>620</v>
      </c>
      <c r="J2050">
        <v>115</v>
      </c>
      <c r="K2050" t="b">
        <v>1</v>
      </c>
      <c r="N2050" s="25" t="s">
        <v>563</v>
      </c>
      <c r="O2050" s="2">
        <f>INDEX(Маршруты,MATCH(N2050,$B$3:$B$498,0),1)</f>
        <v>88</v>
      </c>
      <c r="P2050" s="28">
        <v>9</v>
      </c>
      <c r="Q2050" s="2">
        <f>INDEX(Остановки,MATCH(R2050,ИД_Остановки!$B$3:$B$467,0),1)</f>
        <v>309</v>
      </c>
      <c r="R2050" s="24" t="s">
        <v>177</v>
      </c>
      <c r="S2050" s="20">
        <v>0.5</v>
      </c>
    </row>
    <row r="2051" spans="8:19" x14ac:dyDescent="0.25">
      <c r="H2051">
        <v>13</v>
      </c>
      <c r="I2051">
        <v>624</v>
      </c>
      <c r="J2051">
        <v>115</v>
      </c>
      <c r="K2051" t="b">
        <v>1</v>
      </c>
      <c r="N2051" s="25" t="s">
        <v>563</v>
      </c>
      <c r="O2051" s="2">
        <f>INDEX(Маршруты,MATCH(N2051,$B$3:$B$498,0),1)</f>
        <v>88</v>
      </c>
      <c r="P2051" s="28">
        <v>10</v>
      </c>
      <c r="Q2051" s="2">
        <f>INDEX(Остановки,MATCH(R2051,ИД_Остановки!$B$3:$B$467,0),1)</f>
        <v>308</v>
      </c>
      <c r="R2051" s="24" t="s">
        <v>176</v>
      </c>
      <c r="S2051" s="20">
        <v>1.69</v>
      </c>
    </row>
    <row r="2052" spans="8:19" x14ac:dyDescent="0.25">
      <c r="H2052">
        <v>13</v>
      </c>
      <c r="I2052">
        <v>628</v>
      </c>
      <c r="J2052">
        <v>115</v>
      </c>
      <c r="K2052" t="b">
        <v>1</v>
      </c>
      <c r="N2052" s="25" t="s">
        <v>563</v>
      </c>
      <c r="O2052" s="2">
        <f>INDEX(Маршруты,MATCH(N2052,$B$3:$B$498,0),1)</f>
        <v>88</v>
      </c>
      <c r="P2052" s="27">
        <v>11</v>
      </c>
      <c r="Q2052" s="2">
        <f>INDEX(Остановки,MATCH(R2052,ИД_Остановки!$B$3:$B$467,0),1)</f>
        <v>307</v>
      </c>
      <c r="R2052" s="45" t="s">
        <v>175</v>
      </c>
      <c r="S2052" s="20">
        <v>0.8</v>
      </c>
    </row>
    <row r="2053" spans="8:19" x14ac:dyDescent="0.25">
      <c r="H2053">
        <v>13</v>
      </c>
      <c r="I2053">
        <v>632</v>
      </c>
      <c r="J2053">
        <v>115</v>
      </c>
      <c r="K2053" t="b">
        <v>1</v>
      </c>
      <c r="N2053" s="30" t="s">
        <v>563</v>
      </c>
      <c r="O2053" s="2">
        <f>INDEX(Маршруты,MATCH(N2053,$B$3:$B$498,0),1)</f>
        <v>88</v>
      </c>
      <c r="P2053" s="27">
        <v>12</v>
      </c>
      <c r="Q2053" s="2">
        <f>INDEX(Остановки,MATCH(R2053,ИД_Остановки!$B$3:$B$467,0),1)</f>
        <v>306</v>
      </c>
      <c r="R2053" s="45" t="s">
        <v>174</v>
      </c>
      <c r="S2053" s="20">
        <v>0.4</v>
      </c>
    </row>
    <row r="2054" spans="8:19" x14ac:dyDescent="0.25">
      <c r="H2054">
        <v>13</v>
      </c>
      <c r="I2054">
        <v>636</v>
      </c>
      <c r="J2054">
        <v>115</v>
      </c>
      <c r="K2054" t="b">
        <v>1</v>
      </c>
      <c r="N2054" s="25" t="s">
        <v>563</v>
      </c>
      <c r="O2054" s="2">
        <f>INDEX(Маршруты,MATCH(N2054,$B$3:$B$498,0),1)</f>
        <v>88</v>
      </c>
      <c r="P2054" s="27">
        <v>13</v>
      </c>
      <c r="Q2054" s="2">
        <f>INDEX(Остановки,MATCH(R2054,ИД_Остановки!$B$3:$B$467,0),1)</f>
        <v>305</v>
      </c>
      <c r="R2054" s="45" t="s">
        <v>173</v>
      </c>
      <c r="S2054" s="20">
        <v>0.56000000000000005</v>
      </c>
    </row>
    <row r="2055" spans="8:19" x14ac:dyDescent="0.25">
      <c r="H2055">
        <v>13</v>
      </c>
      <c r="I2055">
        <v>640</v>
      </c>
      <c r="J2055">
        <v>115</v>
      </c>
      <c r="K2055" t="b">
        <v>1</v>
      </c>
      <c r="N2055" s="30" t="s">
        <v>563</v>
      </c>
      <c r="O2055" s="2">
        <f>INDEX(Маршруты,MATCH(N2055,$B$3:$B$498,0),1)</f>
        <v>88</v>
      </c>
      <c r="P2055" s="27">
        <v>14</v>
      </c>
      <c r="Q2055" s="2">
        <f>INDEX(Остановки,MATCH(R2055,ИД_Остановки!$B$3:$B$467,0),1)</f>
        <v>304</v>
      </c>
      <c r="R2055" s="45" t="s">
        <v>172</v>
      </c>
      <c r="S2055" s="20">
        <v>0.34</v>
      </c>
    </row>
    <row r="2056" spans="8:19" x14ac:dyDescent="0.25">
      <c r="H2056">
        <v>13</v>
      </c>
      <c r="I2056">
        <v>644</v>
      </c>
      <c r="J2056">
        <v>115</v>
      </c>
      <c r="K2056" t="b">
        <v>1</v>
      </c>
      <c r="N2056" s="25" t="s">
        <v>563</v>
      </c>
      <c r="O2056" s="2">
        <f>INDEX(Маршруты,MATCH(N2056,$B$3:$B$498,0),1)</f>
        <v>88</v>
      </c>
      <c r="P2056" s="27">
        <v>15</v>
      </c>
      <c r="Q2056" s="2">
        <f>INDEX(Остановки,MATCH(R2056,ИД_Остановки!$B$3:$B$467,0),1)</f>
        <v>303</v>
      </c>
      <c r="R2056" s="45" t="s">
        <v>171</v>
      </c>
      <c r="S2056" s="20">
        <v>0.59</v>
      </c>
    </row>
    <row r="2057" spans="8:19" x14ac:dyDescent="0.25">
      <c r="H2057">
        <v>13</v>
      </c>
      <c r="I2057">
        <v>648</v>
      </c>
      <c r="J2057">
        <v>115</v>
      </c>
      <c r="K2057" t="b">
        <v>1</v>
      </c>
      <c r="N2057" s="26" t="s">
        <v>563</v>
      </c>
      <c r="O2057" s="2">
        <f>INDEX(Маршруты,MATCH(N2057,$B$3:$B$498,0),1)</f>
        <v>88</v>
      </c>
      <c r="P2057" s="27">
        <v>16</v>
      </c>
      <c r="Q2057" s="2">
        <f>INDEX(Остановки,MATCH(R2057,ИД_Остановки!$B$3:$B$467,0),1)</f>
        <v>302</v>
      </c>
      <c r="R2057" s="45" t="s">
        <v>170</v>
      </c>
      <c r="S2057" s="20">
        <v>0.63</v>
      </c>
    </row>
    <row r="2058" spans="8:19" x14ac:dyDescent="0.25">
      <c r="H2058">
        <v>13</v>
      </c>
      <c r="I2058">
        <v>652</v>
      </c>
      <c r="J2058">
        <v>115</v>
      </c>
      <c r="K2058" t="b">
        <v>1</v>
      </c>
      <c r="N2058" s="25" t="s">
        <v>563</v>
      </c>
      <c r="O2058" s="2">
        <f>INDEX(Маршруты,MATCH(N2058,$B$3:$B$498,0),1)</f>
        <v>88</v>
      </c>
      <c r="P2058" s="27">
        <v>17</v>
      </c>
      <c r="Q2058" s="2">
        <f>INDEX(Остановки,MATCH(R2058,ИД_Остановки!$B$3:$B$467,0),1)</f>
        <v>301</v>
      </c>
      <c r="R2058" s="24" t="s">
        <v>393</v>
      </c>
      <c r="S2058" s="20">
        <v>1.23</v>
      </c>
    </row>
    <row r="2059" spans="8:19" x14ac:dyDescent="0.25">
      <c r="H2059">
        <v>13</v>
      </c>
      <c r="I2059">
        <v>656</v>
      </c>
      <c r="J2059">
        <v>115</v>
      </c>
      <c r="K2059" t="b">
        <v>1</v>
      </c>
      <c r="N2059" s="30" t="s">
        <v>563</v>
      </c>
      <c r="O2059" s="2">
        <f>INDEX(Маршруты,MATCH(N2059,$B$3:$B$498,0),1)</f>
        <v>88</v>
      </c>
      <c r="P2059" s="28">
        <v>18</v>
      </c>
      <c r="Q2059" s="2">
        <f>INDEX(Остановки,MATCH(R2059,ИД_Остановки!$B$3:$B$467,0),1)</f>
        <v>300</v>
      </c>
      <c r="R2059" s="24" t="s">
        <v>169</v>
      </c>
      <c r="S2059" s="20">
        <v>0.69</v>
      </c>
    </row>
    <row r="2060" spans="8:19" x14ac:dyDescent="0.25">
      <c r="H2060">
        <v>13</v>
      </c>
      <c r="I2060">
        <v>660</v>
      </c>
      <c r="J2060">
        <v>115</v>
      </c>
      <c r="K2060" t="b">
        <v>1</v>
      </c>
      <c r="N2060" s="25" t="s">
        <v>563</v>
      </c>
      <c r="O2060" s="2">
        <f>INDEX(Маршруты,MATCH(N2060,$B$3:$B$498,0),1)</f>
        <v>88</v>
      </c>
      <c r="P2060" s="28">
        <v>19</v>
      </c>
      <c r="Q2060" s="2">
        <f>INDEX(Остановки,MATCH(R2060,ИД_Остановки!$B$3:$B$467,0),1)</f>
        <v>142</v>
      </c>
      <c r="R2060" s="24" t="s">
        <v>314</v>
      </c>
      <c r="S2060" s="20">
        <v>0.37</v>
      </c>
    </row>
    <row r="2061" spans="8:19" x14ac:dyDescent="0.25">
      <c r="H2061">
        <v>13</v>
      </c>
      <c r="I2061">
        <v>664</v>
      </c>
      <c r="J2061">
        <v>115</v>
      </c>
      <c r="K2061" t="b">
        <v>1</v>
      </c>
      <c r="N2061" s="30" t="s">
        <v>564</v>
      </c>
      <c r="O2061" s="2">
        <f>INDEX(Маршруты,MATCH(N2061,$B$3:$B$498,0),1)</f>
        <v>89</v>
      </c>
      <c r="P2061" s="27">
        <v>1</v>
      </c>
      <c r="Q2061" s="2">
        <f>INDEX(Остановки,MATCH(R2061,ИД_Остановки!$B$3:$B$467,0),1)</f>
        <v>315</v>
      </c>
      <c r="R2061" s="45" t="s">
        <v>395</v>
      </c>
      <c r="S2061" s="20"/>
    </row>
    <row r="2062" spans="8:19" x14ac:dyDescent="0.25">
      <c r="H2062">
        <v>13</v>
      </c>
      <c r="I2062">
        <v>668</v>
      </c>
      <c r="J2062">
        <v>115</v>
      </c>
      <c r="K2062" t="b">
        <v>1</v>
      </c>
      <c r="N2062" s="30" t="s">
        <v>564</v>
      </c>
      <c r="O2062" s="2">
        <f>INDEX(Маршруты,MATCH(N2062,$B$3:$B$498,0),1)</f>
        <v>89</v>
      </c>
      <c r="P2062" s="27">
        <v>2</v>
      </c>
      <c r="Q2062" s="2">
        <f>INDEX(Остановки,MATCH(R2062,ИД_Остановки!$B$3:$B$467,0),1)</f>
        <v>230</v>
      </c>
      <c r="R2062" s="45" t="s">
        <v>359</v>
      </c>
      <c r="S2062" s="20">
        <v>0.62</v>
      </c>
    </row>
    <row r="2063" spans="8:19" x14ac:dyDescent="0.25">
      <c r="H2063">
        <v>13</v>
      </c>
      <c r="I2063">
        <v>672</v>
      </c>
      <c r="J2063">
        <v>115</v>
      </c>
      <c r="K2063" t="b">
        <v>1</v>
      </c>
      <c r="N2063" s="25" t="s">
        <v>564</v>
      </c>
      <c r="O2063" s="2">
        <f>INDEX(Маршруты,MATCH(N2063,$B$3:$B$498,0),1)</f>
        <v>89</v>
      </c>
      <c r="P2063" s="28">
        <v>3</v>
      </c>
      <c r="Q2063" s="2">
        <f>INDEX(Остановки,MATCH(R2063,ИД_Остановки!$B$3:$B$467,0),1)</f>
        <v>96</v>
      </c>
      <c r="R2063" s="24" t="s">
        <v>285</v>
      </c>
      <c r="S2063" s="20">
        <v>0.61</v>
      </c>
    </row>
    <row r="2064" spans="8:19" x14ac:dyDescent="0.25">
      <c r="H2064">
        <v>13</v>
      </c>
      <c r="I2064">
        <v>676</v>
      </c>
      <c r="J2064">
        <v>115</v>
      </c>
      <c r="K2064" t="b">
        <v>1</v>
      </c>
      <c r="N2064" s="30" t="s">
        <v>564</v>
      </c>
      <c r="O2064" s="2">
        <f>INDEX(Маршруты,MATCH(N2064,$B$3:$B$498,0),1)</f>
        <v>89</v>
      </c>
      <c r="P2064" s="27">
        <v>4</v>
      </c>
      <c r="Q2064" s="2">
        <f>INDEX(Остановки,MATCH(R2064,ИД_Остановки!$B$3:$B$467,0),1)</f>
        <v>122</v>
      </c>
      <c r="R2064" s="45" t="s">
        <v>77</v>
      </c>
      <c r="S2064" s="20">
        <v>0.52</v>
      </c>
    </row>
    <row r="2065" spans="8:19" x14ac:dyDescent="0.25">
      <c r="H2065">
        <v>13</v>
      </c>
      <c r="I2065">
        <v>680</v>
      </c>
      <c r="J2065">
        <v>115</v>
      </c>
      <c r="K2065" t="b">
        <v>1</v>
      </c>
      <c r="N2065" s="30" t="s">
        <v>564</v>
      </c>
      <c r="O2065" s="2">
        <f>INDEX(Маршруты,MATCH(N2065,$B$3:$B$498,0),1)</f>
        <v>89</v>
      </c>
      <c r="P2065" s="27">
        <v>5</v>
      </c>
      <c r="Q2065" s="2">
        <f>INDEX(Остановки,MATCH(R2065,ИД_Остановки!$B$3:$B$467,0),1)</f>
        <v>121</v>
      </c>
      <c r="R2065" s="45" t="s">
        <v>76</v>
      </c>
      <c r="S2065" s="20">
        <v>0.32</v>
      </c>
    </row>
    <row r="2066" spans="8:19" x14ac:dyDescent="0.25">
      <c r="H2066">
        <v>13</v>
      </c>
      <c r="I2066">
        <v>684</v>
      </c>
      <c r="J2066">
        <v>115</v>
      </c>
      <c r="K2066" t="b">
        <v>1</v>
      </c>
      <c r="N2066" s="25" t="s">
        <v>564</v>
      </c>
      <c r="O2066" s="2">
        <f>INDEX(Маршруты,MATCH(N2066,$B$3:$B$498,0),1)</f>
        <v>89</v>
      </c>
      <c r="P2066" s="28">
        <v>6</v>
      </c>
      <c r="Q2066" s="2">
        <f>INDEX(Остановки,MATCH(R2066,ИД_Остановки!$B$3:$B$467,0),1)</f>
        <v>120</v>
      </c>
      <c r="R2066" s="24" t="s">
        <v>300</v>
      </c>
      <c r="S2066" s="20">
        <v>0.31</v>
      </c>
    </row>
    <row r="2067" spans="8:19" x14ac:dyDescent="0.25">
      <c r="H2067">
        <v>13</v>
      </c>
      <c r="I2067">
        <v>688</v>
      </c>
      <c r="J2067">
        <v>115</v>
      </c>
      <c r="K2067" t="b">
        <v>1</v>
      </c>
      <c r="N2067" s="30" t="s">
        <v>564</v>
      </c>
      <c r="O2067" s="2">
        <f>INDEX(Маршруты,MATCH(N2067,$B$3:$B$498,0),1)</f>
        <v>89</v>
      </c>
      <c r="P2067" s="27">
        <v>7</v>
      </c>
      <c r="Q2067" s="2">
        <f>INDEX(Остановки,MATCH(R2067,ИД_Остановки!$B$3:$B$467,0),1)</f>
        <v>119</v>
      </c>
      <c r="R2067" s="45" t="s">
        <v>165</v>
      </c>
      <c r="S2067" s="20">
        <v>1.1200000000000001</v>
      </c>
    </row>
    <row r="2068" spans="8:19" x14ac:dyDescent="0.25">
      <c r="H2068">
        <v>13</v>
      </c>
      <c r="I2068">
        <v>692</v>
      </c>
      <c r="J2068">
        <v>115</v>
      </c>
      <c r="K2068" t="b">
        <v>1</v>
      </c>
      <c r="N2068" s="26" t="s">
        <v>564</v>
      </c>
      <c r="O2068" s="2">
        <f>INDEX(Маршруты,MATCH(N2068,$B$3:$B$498,0),1)</f>
        <v>89</v>
      </c>
      <c r="P2068" s="27">
        <v>8</v>
      </c>
      <c r="Q2068" s="2">
        <f>INDEX(Остановки,MATCH(R2068,ИД_Остановки!$B$3:$B$467,0),1)</f>
        <v>117</v>
      </c>
      <c r="R2068" s="45" t="s">
        <v>298</v>
      </c>
      <c r="S2068" s="20">
        <v>0.79</v>
      </c>
    </row>
    <row r="2069" spans="8:19" x14ac:dyDescent="0.25">
      <c r="H2069">
        <v>13</v>
      </c>
      <c r="I2069">
        <v>696</v>
      </c>
      <c r="J2069">
        <v>115</v>
      </c>
      <c r="K2069" t="b">
        <v>1</v>
      </c>
      <c r="N2069" s="30" t="s">
        <v>564</v>
      </c>
      <c r="O2069" s="2">
        <f>INDEX(Маршруты,MATCH(N2069,$B$3:$B$498,0),1)</f>
        <v>89</v>
      </c>
      <c r="P2069" s="27">
        <v>9</v>
      </c>
      <c r="Q2069" s="2">
        <f>INDEX(Остановки,MATCH(R2069,ИД_Остановки!$B$3:$B$467,0),1)</f>
        <v>335</v>
      </c>
      <c r="R2069" s="45" t="s">
        <v>620</v>
      </c>
      <c r="S2069" s="20">
        <v>0.41</v>
      </c>
    </row>
    <row r="2070" spans="8:19" x14ac:dyDescent="0.25">
      <c r="H2070">
        <v>13</v>
      </c>
      <c r="I2070">
        <v>700</v>
      </c>
      <c r="J2070">
        <v>115</v>
      </c>
      <c r="K2070" t="b">
        <v>1</v>
      </c>
      <c r="N2070" s="30" t="s">
        <v>564</v>
      </c>
      <c r="O2070" s="2">
        <f>INDEX(Маршруты,MATCH(N2070,$B$3:$B$498,0),1)</f>
        <v>89</v>
      </c>
      <c r="P2070" s="27">
        <v>10</v>
      </c>
      <c r="Q2070" s="2">
        <f>INDEX(Остановки,MATCH(R2070,ИД_Остановки!$B$3:$B$467,0),1)</f>
        <v>316</v>
      </c>
      <c r="R2070" s="24" t="s">
        <v>182</v>
      </c>
      <c r="S2070" s="20">
        <v>1.77</v>
      </c>
    </row>
    <row r="2071" spans="8:19" x14ac:dyDescent="0.25">
      <c r="H2071">
        <v>13</v>
      </c>
      <c r="I2071">
        <v>704</v>
      </c>
      <c r="J2071">
        <v>115</v>
      </c>
      <c r="K2071" t="b">
        <v>1</v>
      </c>
      <c r="N2071" s="30" t="s">
        <v>564</v>
      </c>
      <c r="O2071" s="2">
        <f>INDEX(Маршруты,MATCH(N2071,$B$3:$B$498,0),1)</f>
        <v>89</v>
      </c>
      <c r="P2071" s="27">
        <v>11</v>
      </c>
      <c r="Q2071" s="2">
        <f>INDEX(Остановки,MATCH(R2071,ИД_Остановки!$B$3:$B$467,0),1)</f>
        <v>421</v>
      </c>
      <c r="R2071" s="45" t="s">
        <v>477</v>
      </c>
      <c r="S2071" s="20">
        <v>0.45</v>
      </c>
    </row>
    <row r="2072" spans="8:19" x14ac:dyDescent="0.25">
      <c r="H2072">
        <v>13</v>
      </c>
      <c r="I2072">
        <v>708</v>
      </c>
      <c r="J2072">
        <v>115</v>
      </c>
      <c r="K2072" t="b">
        <v>1</v>
      </c>
      <c r="N2072" s="25" t="s">
        <v>564</v>
      </c>
      <c r="O2072" s="2">
        <f>INDEX(Маршруты,MATCH(N2072,$B$3:$B$498,0),1)</f>
        <v>89</v>
      </c>
      <c r="P2072" s="27">
        <v>12</v>
      </c>
      <c r="Q2072" s="2">
        <f>INDEX(Остановки,MATCH(R2072,ИД_Остановки!$B$3:$B$467,0),1)</f>
        <v>246</v>
      </c>
      <c r="R2072" s="45" t="s">
        <v>370</v>
      </c>
      <c r="S2072" s="20">
        <v>0.97</v>
      </c>
    </row>
    <row r="2073" spans="8:19" x14ac:dyDescent="0.25">
      <c r="H2073">
        <v>13</v>
      </c>
      <c r="I2073">
        <v>712</v>
      </c>
      <c r="J2073">
        <v>115</v>
      </c>
      <c r="K2073" t="b">
        <v>1</v>
      </c>
      <c r="N2073" s="24" t="s">
        <v>564</v>
      </c>
      <c r="O2073" s="2">
        <f>INDEX(Маршруты,MATCH(N2073,$B$3:$B$498,0),1)</f>
        <v>89</v>
      </c>
      <c r="P2073" s="27">
        <v>13</v>
      </c>
      <c r="Q2073" s="2">
        <f>INDEX(Остановки,MATCH(R2073,ИД_Остановки!$B$3:$B$467,0),1)</f>
        <v>361</v>
      </c>
      <c r="R2073" s="45" t="s">
        <v>422</v>
      </c>
      <c r="S2073" s="20">
        <v>0.46</v>
      </c>
    </row>
    <row r="2074" spans="8:19" x14ac:dyDescent="0.25">
      <c r="H2074">
        <v>13</v>
      </c>
      <c r="I2074">
        <v>716</v>
      </c>
      <c r="J2074">
        <v>115</v>
      </c>
      <c r="K2074" t="b">
        <v>1</v>
      </c>
      <c r="N2074" s="30" t="s">
        <v>564</v>
      </c>
      <c r="O2074" s="2">
        <f>INDEX(Маршруты,MATCH(N2074,$B$3:$B$498,0),1)</f>
        <v>89</v>
      </c>
      <c r="P2074" s="27">
        <v>14</v>
      </c>
      <c r="Q2074" s="2">
        <f>INDEX(Остановки,MATCH(R2074,ИД_Остановки!$B$3:$B$467,0),1)</f>
        <v>239</v>
      </c>
      <c r="R2074" s="45" t="s">
        <v>365</v>
      </c>
      <c r="S2074" s="20">
        <v>0.79</v>
      </c>
    </row>
    <row r="2075" spans="8:19" x14ac:dyDescent="0.25">
      <c r="H2075">
        <v>13</v>
      </c>
      <c r="I2075">
        <v>720</v>
      </c>
      <c r="J2075">
        <v>115</v>
      </c>
      <c r="K2075" t="b">
        <v>1</v>
      </c>
      <c r="N2075" s="30" t="s">
        <v>564</v>
      </c>
      <c r="O2075" s="2">
        <f>INDEX(Маршруты,MATCH(N2075,$B$3:$B$498,0),1)</f>
        <v>89</v>
      </c>
      <c r="P2075" s="27">
        <v>15</v>
      </c>
      <c r="Q2075" s="2">
        <f>INDEX(Остановки,MATCH(R2075,ИД_Остановки!$B$3:$B$467,0),1)</f>
        <v>420</v>
      </c>
      <c r="R2075" s="45" t="s">
        <v>476</v>
      </c>
      <c r="S2075" s="20">
        <v>0.43</v>
      </c>
    </row>
    <row r="2076" spans="8:19" x14ac:dyDescent="0.25">
      <c r="H2076">
        <v>13</v>
      </c>
      <c r="I2076">
        <v>724</v>
      </c>
      <c r="J2076">
        <v>115</v>
      </c>
      <c r="K2076" t="b">
        <v>1</v>
      </c>
      <c r="N2076" s="25" t="s">
        <v>564</v>
      </c>
      <c r="O2076" s="2">
        <f>INDEX(Маршруты,MATCH(N2076,$B$3:$B$498,0),1)</f>
        <v>89</v>
      </c>
      <c r="P2076" s="27">
        <v>16</v>
      </c>
      <c r="Q2076" s="2">
        <f>INDEX(Остановки,MATCH(R2076,ИД_Остановки!$B$3:$B$467,0),1)</f>
        <v>317</v>
      </c>
      <c r="R2076" s="45" t="s">
        <v>183</v>
      </c>
      <c r="S2076" s="20">
        <v>0.15</v>
      </c>
    </row>
    <row r="2077" spans="8:19" x14ac:dyDescent="0.25">
      <c r="H2077">
        <v>13</v>
      </c>
      <c r="I2077">
        <v>728</v>
      </c>
      <c r="J2077">
        <v>115</v>
      </c>
      <c r="K2077" t="b">
        <v>1</v>
      </c>
      <c r="N2077" s="30" t="s">
        <v>564</v>
      </c>
      <c r="O2077" s="2">
        <f>INDEX(Маршруты,MATCH(N2077,$B$3:$B$498,0),1)</f>
        <v>89</v>
      </c>
      <c r="P2077" s="27">
        <v>17</v>
      </c>
      <c r="Q2077" s="2">
        <f>INDEX(Остановки,MATCH(R2077,ИД_Остановки!$B$3:$B$467,0),1)</f>
        <v>318</v>
      </c>
      <c r="R2077" s="45" t="s">
        <v>184</v>
      </c>
      <c r="S2077" s="20">
        <v>0.93</v>
      </c>
    </row>
    <row r="2078" spans="8:19" x14ac:dyDescent="0.25">
      <c r="H2078">
        <v>13</v>
      </c>
      <c r="I2078">
        <v>732</v>
      </c>
      <c r="J2078">
        <v>115</v>
      </c>
      <c r="K2078" t="b">
        <v>1</v>
      </c>
      <c r="N2078" s="25" t="s">
        <v>564</v>
      </c>
      <c r="O2078" s="2">
        <f>INDEX(Маршруты,MATCH(N2078,$B$3:$B$498,0),1)</f>
        <v>89</v>
      </c>
      <c r="P2078" s="27">
        <v>18</v>
      </c>
      <c r="Q2078" s="2">
        <f>INDEX(Остановки,MATCH(R2078,ИД_Остановки!$B$3:$B$467,0),1)</f>
        <v>205</v>
      </c>
      <c r="R2078" s="45" t="s">
        <v>343</v>
      </c>
      <c r="S2078" s="20">
        <v>1.29</v>
      </c>
    </row>
    <row r="2079" spans="8:19" x14ac:dyDescent="0.25">
      <c r="H2079">
        <v>13</v>
      </c>
      <c r="I2079">
        <v>736</v>
      </c>
      <c r="J2079">
        <v>115</v>
      </c>
      <c r="K2079" t="b">
        <v>1</v>
      </c>
      <c r="N2079" s="26" t="s">
        <v>564</v>
      </c>
      <c r="O2079" s="2">
        <f>INDEX(Маршруты,MATCH(N2079,$B$3:$B$498,0),1)</f>
        <v>89</v>
      </c>
      <c r="P2079" s="27">
        <v>19</v>
      </c>
      <c r="Q2079" s="2">
        <f>INDEX(Остановки,MATCH(R2079,ИД_Остановки!$B$3:$B$467,0),1)</f>
        <v>321</v>
      </c>
      <c r="R2079" s="45" t="s">
        <v>186</v>
      </c>
      <c r="S2079" s="20">
        <v>0.26</v>
      </c>
    </row>
    <row r="2080" spans="8:19" x14ac:dyDescent="0.25">
      <c r="H2080">
        <v>13</v>
      </c>
      <c r="I2080">
        <v>740</v>
      </c>
      <c r="J2080">
        <v>115</v>
      </c>
      <c r="K2080" t="b">
        <v>1</v>
      </c>
      <c r="N2080" s="25" t="s">
        <v>564</v>
      </c>
      <c r="O2080" s="2">
        <f>INDEX(Маршруты,MATCH(N2080,$B$3:$B$498,0),1)</f>
        <v>89</v>
      </c>
      <c r="P2080" s="27">
        <v>20</v>
      </c>
      <c r="Q2080" s="2">
        <f>INDEX(Остановки,MATCH(R2080,ИД_Остановки!$B$3:$B$467,0),1)</f>
        <v>320</v>
      </c>
      <c r="R2080" s="24" t="s">
        <v>185</v>
      </c>
      <c r="S2080" s="20">
        <v>0.84</v>
      </c>
    </row>
    <row r="2081" spans="8:19" x14ac:dyDescent="0.25">
      <c r="H2081">
        <v>13</v>
      </c>
      <c r="I2081">
        <v>744</v>
      </c>
      <c r="J2081">
        <v>115</v>
      </c>
      <c r="K2081" t="b">
        <v>1</v>
      </c>
      <c r="N2081" s="25" t="s">
        <v>564</v>
      </c>
      <c r="O2081" s="2">
        <f>INDEX(Маршруты,MATCH(N2081,$B$3:$B$498,0),1)</f>
        <v>89</v>
      </c>
      <c r="P2081" s="27">
        <v>21</v>
      </c>
      <c r="Q2081" s="2">
        <f>INDEX(Остановки,MATCH(R2081,ИД_Остановки!$B$3:$B$467,0),1)</f>
        <v>319</v>
      </c>
      <c r="R2081" s="45" t="s">
        <v>396</v>
      </c>
      <c r="S2081" s="20">
        <v>0.35</v>
      </c>
    </row>
    <row r="2082" spans="8:19" x14ac:dyDescent="0.25">
      <c r="H2082">
        <v>13</v>
      </c>
      <c r="I2082">
        <v>748</v>
      </c>
      <c r="J2082">
        <v>115</v>
      </c>
      <c r="K2082" t="b">
        <v>1</v>
      </c>
      <c r="N2082" s="30" t="s">
        <v>565</v>
      </c>
      <c r="O2082" s="2">
        <f>INDEX(Маршруты,MATCH(N2082,$B$3:$B$498,0),1)</f>
        <v>90</v>
      </c>
      <c r="P2082" s="28">
        <v>1</v>
      </c>
      <c r="Q2082" s="2">
        <f>INDEX(Остановки,MATCH(R2082,ИД_Остановки!$B$3:$B$467,0),1)</f>
        <v>319</v>
      </c>
      <c r="R2082" s="24" t="s">
        <v>396</v>
      </c>
      <c r="S2082" s="20"/>
    </row>
    <row r="2083" spans="8:19" x14ac:dyDescent="0.25">
      <c r="H2083">
        <v>13</v>
      </c>
      <c r="I2083">
        <v>752</v>
      </c>
      <c r="J2083">
        <v>115</v>
      </c>
      <c r="K2083" t="b">
        <v>1</v>
      </c>
      <c r="N2083" s="30" t="s">
        <v>565</v>
      </c>
      <c r="O2083" s="2">
        <f>INDEX(Маршруты,MATCH(N2083,$B$3:$B$498,0),1)</f>
        <v>90</v>
      </c>
      <c r="P2083" s="27">
        <v>2</v>
      </c>
      <c r="Q2083" s="2">
        <f>INDEX(Остановки,MATCH(R2083,ИД_Остановки!$B$3:$B$467,0),1)</f>
        <v>320</v>
      </c>
      <c r="R2083" s="45" t="s">
        <v>185</v>
      </c>
      <c r="S2083" s="20">
        <v>0.35</v>
      </c>
    </row>
    <row r="2084" spans="8:19" x14ac:dyDescent="0.25">
      <c r="H2084">
        <v>13</v>
      </c>
      <c r="I2084">
        <v>756</v>
      </c>
      <c r="J2084">
        <v>115</v>
      </c>
      <c r="K2084" t="b">
        <v>1</v>
      </c>
      <c r="N2084" s="26" t="s">
        <v>565</v>
      </c>
      <c r="O2084" s="2">
        <f>INDEX(Маршруты,MATCH(N2084,$B$3:$B$498,0),1)</f>
        <v>90</v>
      </c>
      <c r="P2084" s="27">
        <v>3</v>
      </c>
      <c r="Q2084" s="2">
        <f>INDEX(Остановки,MATCH(R2084,ИД_Остановки!$B$3:$B$467,0),1)</f>
        <v>321</v>
      </c>
      <c r="R2084" s="45" t="s">
        <v>186</v>
      </c>
      <c r="S2084" s="20">
        <v>0.84</v>
      </c>
    </row>
    <row r="2085" spans="8:19" x14ac:dyDescent="0.25">
      <c r="H2085">
        <v>13</v>
      </c>
      <c r="I2085">
        <v>760</v>
      </c>
      <c r="J2085">
        <v>115</v>
      </c>
      <c r="K2085" t="b">
        <v>1</v>
      </c>
      <c r="N2085" s="30" t="s">
        <v>565</v>
      </c>
      <c r="O2085" s="2">
        <f>INDEX(Маршруты,MATCH(N2085,$B$3:$B$498,0),1)</f>
        <v>90</v>
      </c>
      <c r="P2085" s="27">
        <v>4</v>
      </c>
      <c r="Q2085" s="2">
        <f>INDEX(Остановки,MATCH(R2085,ИД_Остановки!$B$3:$B$467,0),1)</f>
        <v>205</v>
      </c>
      <c r="R2085" s="45" t="s">
        <v>343</v>
      </c>
      <c r="S2085" s="20">
        <v>0.26</v>
      </c>
    </row>
    <row r="2086" spans="8:19" x14ac:dyDescent="0.25">
      <c r="H2086">
        <v>13</v>
      </c>
      <c r="I2086">
        <v>764</v>
      </c>
      <c r="J2086">
        <v>115</v>
      </c>
      <c r="K2086" t="b">
        <v>1</v>
      </c>
      <c r="N2086" s="30" t="s">
        <v>565</v>
      </c>
      <c r="O2086" s="2">
        <f>INDEX(Маршруты,MATCH(N2086,$B$3:$B$498,0),1)</f>
        <v>90</v>
      </c>
      <c r="P2086" s="27">
        <v>5</v>
      </c>
      <c r="Q2086" s="2">
        <f>INDEX(Остановки,MATCH(R2086,ИД_Остановки!$B$3:$B$467,0),1)</f>
        <v>318</v>
      </c>
      <c r="R2086" s="45" t="s">
        <v>184</v>
      </c>
      <c r="S2086" s="20">
        <v>1.29</v>
      </c>
    </row>
    <row r="2087" spans="8:19" x14ac:dyDescent="0.25">
      <c r="H2087">
        <v>13</v>
      </c>
      <c r="I2087">
        <v>768</v>
      </c>
      <c r="J2087">
        <v>115</v>
      </c>
      <c r="K2087" t="b">
        <v>1</v>
      </c>
      <c r="N2087" s="25" t="s">
        <v>565</v>
      </c>
      <c r="O2087" s="2">
        <f>INDEX(Маршруты,MATCH(N2087,$B$3:$B$498,0),1)</f>
        <v>90</v>
      </c>
      <c r="P2087" s="27">
        <v>6</v>
      </c>
      <c r="Q2087" s="2">
        <f>INDEX(Остановки,MATCH(R2087,ИД_Остановки!$B$3:$B$467,0),1)</f>
        <v>317</v>
      </c>
      <c r="R2087" s="45" t="s">
        <v>183</v>
      </c>
      <c r="S2087" s="20">
        <v>0.93</v>
      </c>
    </row>
    <row r="2088" spans="8:19" x14ac:dyDescent="0.25">
      <c r="H2088">
        <v>13</v>
      </c>
      <c r="I2088">
        <v>772</v>
      </c>
      <c r="J2088">
        <v>115</v>
      </c>
      <c r="K2088" t="b">
        <v>1</v>
      </c>
      <c r="N2088" s="30" t="s">
        <v>565</v>
      </c>
      <c r="O2088" s="2">
        <f>INDEX(Маршруты,MATCH(N2088,$B$3:$B$498,0),1)</f>
        <v>90</v>
      </c>
      <c r="P2088" s="27">
        <v>7</v>
      </c>
      <c r="Q2088" s="2">
        <f>INDEX(Остановки,MATCH(R2088,ИД_Остановки!$B$3:$B$467,0),1)</f>
        <v>420</v>
      </c>
      <c r="R2088" s="45" t="s">
        <v>476</v>
      </c>
      <c r="S2088" s="20">
        <v>0.15</v>
      </c>
    </row>
    <row r="2089" spans="8:19" x14ac:dyDescent="0.25">
      <c r="H2089">
        <v>13</v>
      </c>
      <c r="I2089">
        <v>776</v>
      </c>
      <c r="J2089">
        <v>115</v>
      </c>
      <c r="K2089" t="b">
        <v>1</v>
      </c>
      <c r="N2089" s="30" t="s">
        <v>565</v>
      </c>
      <c r="O2089" s="2">
        <f>INDEX(Маршруты,MATCH(N2089,$B$3:$B$498,0),1)</f>
        <v>90</v>
      </c>
      <c r="P2089" s="27">
        <v>8</v>
      </c>
      <c r="Q2089" s="2">
        <f>INDEX(Остановки,MATCH(R2089,ИД_Остановки!$B$3:$B$467,0),1)</f>
        <v>239</v>
      </c>
      <c r="R2089" s="45" t="s">
        <v>365</v>
      </c>
      <c r="S2089" s="20">
        <v>0.43</v>
      </c>
    </row>
    <row r="2090" spans="8:19" x14ac:dyDescent="0.25">
      <c r="H2090">
        <v>13</v>
      </c>
      <c r="I2090">
        <v>780</v>
      </c>
      <c r="J2090">
        <v>115</v>
      </c>
      <c r="K2090" t="b">
        <v>1</v>
      </c>
      <c r="N2090" s="30" t="s">
        <v>565</v>
      </c>
      <c r="O2090" s="2">
        <f>INDEX(Маршруты,MATCH(N2090,$B$3:$B$498,0),1)</f>
        <v>90</v>
      </c>
      <c r="P2090" s="27">
        <v>9</v>
      </c>
      <c r="Q2090" s="2">
        <f>INDEX(Остановки,MATCH(R2090,ИД_Остановки!$B$3:$B$467,0),1)</f>
        <v>361</v>
      </c>
      <c r="R2090" s="45" t="s">
        <v>422</v>
      </c>
      <c r="S2090" s="20">
        <v>0.79</v>
      </c>
    </row>
    <row r="2091" spans="8:19" x14ac:dyDescent="0.25">
      <c r="H2091">
        <v>13</v>
      </c>
      <c r="I2091">
        <v>784</v>
      </c>
      <c r="J2091">
        <v>115</v>
      </c>
      <c r="K2091" t="b">
        <v>1</v>
      </c>
      <c r="N2091" s="30" t="s">
        <v>565</v>
      </c>
      <c r="O2091" s="2">
        <f>INDEX(Маршруты,MATCH(N2091,$B$3:$B$498,0),1)</f>
        <v>90</v>
      </c>
      <c r="P2091" s="27">
        <v>10</v>
      </c>
      <c r="Q2091" s="2">
        <f>INDEX(Остановки,MATCH(R2091,ИД_Остановки!$B$3:$B$467,0),1)</f>
        <v>246</v>
      </c>
      <c r="R2091" s="45" t="s">
        <v>370</v>
      </c>
      <c r="S2091" s="20">
        <v>0.46</v>
      </c>
    </row>
    <row r="2092" spans="8:19" x14ac:dyDescent="0.25">
      <c r="H2092">
        <v>13</v>
      </c>
      <c r="I2092">
        <v>788</v>
      </c>
      <c r="J2092">
        <v>115</v>
      </c>
      <c r="K2092" t="b">
        <v>1</v>
      </c>
      <c r="N2092" s="30" t="s">
        <v>565</v>
      </c>
      <c r="O2092" s="2">
        <f>INDEX(Маршруты,MATCH(N2092,$B$3:$B$498,0),1)</f>
        <v>90</v>
      </c>
      <c r="P2092" s="27">
        <v>11</v>
      </c>
      <c r="Q2092" s="2">
        <f>INDEX(Остановки,MATCH(R2092,ИД_Остановки!$B$3:$B$467,0),1)</f>
        <v>421</v>
      </c>
      <c r="R2092" s="45" t="s">
        <v>477</v>
      </c>
      <c r="S2092" s="20">
        <v>0.97</v>
      </c>
    </row>
    <row r="2093" spans="8:19" x14ac:dyDescent="0.25">
      <c r="H2093">
        <v>13</v>
      </c>
      <c r="I2093">
        <v>792</v>
      </c>
      <c r="J2093">
        <v>115</v>
      </c>
      <c r="K2093" t="b">
        <v>1</v>
      </c>
      <c r="N2093" s="30" t="s">
        <v>565</v>
      </c>
      <c r="O2093" s="2">
        <f>INDEX(Маршруты,MATCH(N2093,$B$3:$B$498,0),1)</f>
        <v>90</v>
      </c>
      <c r="P2093" s="27">
        <v>12</v>
      </c>
      <c r="Q2093" s="2">
        <f>INDEX(Остановки,MATCH(R2093,ИД_Остановки!$B$3:$B$467,0),1)</f>
        <v>316</v>
      </c>
      <c r="R2093" s="45" t="s">
        <v>182</v>
      </c>
      <c r="S2093" s="20">
        <v>0.45</v>
      </c>
    </row>
    <row r="2094" spans="8:19" x14ac:dyDescent="0.25">
      <c r="H2094">
        <v>13</v>
      </c>
      <c r="I2094">
        <v>796</v>
      </c>
      <c r="J2094">
        <v>115</v>
      </c>
      <c r="K2094" t="b">
        <v>1</v>
      </c>
      <c r="N2094" s="30" t="s">
        <v>565</v>
      </c>
      <c r="O2094" s="2">
        <f>INDEX(Маршруты,MATCH(N2094,$B$3:$B$498,0),1)</f>
        <v>90</v>
      </c>
      <c r="P2094" s="27">
        <v>13</v>
      </c>
      <c r="Q2094" s="2">
        <f>INDEX(Остановки,MATCH(R2094,ИД_Остановки!$B$3:$B$467,0),1)</f>
        <v>335</v>
      </c>
      <c r="R2094" s="45" t="s">
        <v>620</v>
      </c>
      <c r="S2094" s="20">
        <v>1.77</v>
      </c>
    </row>
    <row r="2095" spans="8:19" x14ac:dyDescent="0.25">
      <c r="H2095">
        <v>13</v>
      </c>
      <c r="I2095">
        <v>800</v>
      </c>
      <c r="J2095">
        <v>115</v>
      </c>
      <c r="K2095" t="b">
        <v>1</v>
      </c>
      <c r="N2095" s="30" t="s">
        <v>565</v>
      </c>
      <c r="O2095" s="2">
        <f>INDEX(Маршруты,MATCH(N2095,$B$3:$B$498,0),1)</f>
        <v>90</v>
      </c>
      <c r="P2095" s="27">
        <v>14</v>
      </c>
      <c r="Q2095" s="2">
        <f>INDEX(Остановки,MATCH(R2095,ИД_Остановки!$B$3:$B$467,0),1)</f>
        <v>117</v>
      </c>
      <c r="R2095" s="45" t="s">
        <v>298</v>
      </c>
      <c r="S2095" s="20">
        <v>0.41</v>
      </c>
    </row>
    <row r="2096" spans="8:19" x14ac:dyDescent="0.25">
      <c r="H2096">
        <v>13</v>
      </c>
      <c r="I2096">
        <v>804</v>
      </c>
      <c r="J2096">
        <v>115</v>
      </c>
      <c r="K2096" t="b">
        <v>1</v>
      </c>
      <c r="N2096" s="30" t="s">
        <v>565</v>
      </c>
      <c r="O2096" s="2">
        <f>INDEX(Маршруты,MATCH(N2096,$B$3:$B$498,0),1)</f>
        <v>90</v>
      </c>
      <c r="P2096" s="28">
        <v>15</v>
      </c>
      <c r="Q2096" s="2">
        <f>INDEX(Остановки,MATCH(R2096,ИД_Остановки!$B$3:$B$467,0),1)</f>
        <v>119</v>
      </c>
      <c r="R2096" s="24" t="s">
        <v>165</v>
      </c>
      <c r="S2096" s="20">
        <v>0.79</v>
      </c>
    </row>
    <row r="2097" spans="8:19" x14ac:dyDescent="0.25">
      <c r="H2097">
        <v>13</v>
      </c>
      <c r="I2097">
        <v>808</v>
      </c>
      <c r="J2097">
        <v>115</v>
      </c>
      <c r="K2097" t="b">
        <v>1</v>
      </c>
      <c r="N2097" s="30" t="s">
        <v>565</v>
      </c>
      <c r="O2097" s="2">
        <f>INDEX(Маршруты,MATCH(N2097,$B$3:$B$498,0),1)</f>
        <v>90</v>
      </c>
      <c r="P2097" s="27">
        <v>16</v>
      </c>
      <c r="Q2097" s="2">
        <f>INDEX(Остановки,MATCH(R2097,ИД_Остановки!$B$3:$B$467,0),1)</f>
        <v>120</v>
      </c>
      <c r="R2097" s="45" t="s">
        <v>300</v>
      </c>
      <c r="S2097" s="20">
        <v>1.1200000000000001</v>
      </c>
    </row>
    <row r="2098" spans="8:19" x14ac:dyDescent="0.25">
      <c r="H2098">
        <v>13</v>
      </c>
      <c r="I2098">
        <v>812</v>
      </c>
      <c r="J2098">
        <v>115</v>
      </c>
      <c r="K2098" t="b">
        <v>1</v>
      </c>
      <c r="N2098" s="30" t="s">
        <v>565</v>
      </c>
      <c r="O2098" s="2">
        <f>INDEX(Маршруты,MATCH(N2098,$B$3:$B$498,0),1)</f>
        <v>90</v>
      </c>
      <c r="P2098" s="27">
        <v>17</v>
      </c>
      <c r="Q2098" s="2">
        <f>INDEX(Остановки,MATCH(R2098,ИД_Остановки!$B$3:$B$467,0),1)</f>
        <v>121</v>
      </c>
      <c r="R2098" s="45" t="s">
        <v>76</v>
      </c>
      <c r="S2098" s="20">
        <v>0.31</v>
      </c>
    </row>
    <row r="2099" spans="8:19" x14ac:dyDescent="0.25">
      <c r="H2099">
        <v>13</v>
      </c>
      <c r="I2099">
        <v>816</v>
      </c>
      <c r="J2099">
        <v>115</v>
      </c>
      <c r="K2099" t="b">
        <v>1</v>
      </c>
      <c r="N2099" s="30" t="s">
        <v>565</v>
      </c>
      <c r="O2099" s="2">
        <f>INDEX(Маршруты,MATCH(N2099,$B$3:$B$498,0),1)</f>
        <v>90</v>
      </c>
      <c r="P2099" s="27">
        <v>18</v>
      </c>
      <c r="Q2099" s="2">
        <f>INDEX(Остановки,MATCH(R2099,ИД_Остановки!$B$3:$B$467,0),1)</f>
        <v>122</v>
      </c>
      <c r="R2099" s="45" t="s">
        <v>77</v>
      </c>
      <c r="S2099" s="20">
        <v>0.32</v>
      </c>
    </row>
    <row r="2100" spans="8:19" x14ac:dyDescent="0.25">
      <c r="H2100">
        <v>13</v>
      </c>
      <c r="I2100">
        <v>820</v>
      </c>
      <c r="J2100">
        <v>115</v>
      </c>
      <c r="K2100" t="b">
        <v>1</v>
      </c>
      <c r="N2100" s="30" t="s">
        <v>565</v>
      </c>
      <c r="O2100" s="2">
        <f>INDEX(Маршруты,MATCH(N2100,$B$3:$B$498,0),1)</f>
        <v>90</v>
      </c>
      <c r="P2100" s="27">
        <v>19</v>
      </c>
      <c r="Q2100" s="2">
        <f>INDEX(Остановки,MATCH(R2100,ИД_Остановки!$B$3:$B$467,0),1)</f>
        <v>96</v>
      </c>
      <c r="R2100" s="45" t="s">
        <v>285</v>
      </c>
      <c r="S2100" s="20">
        <v>0.52</v>
      </c>
    </row>
    <row r="2101" spans="8:19" x14ac:dyDescent="0.25">
      <c r="H2101">
        <v>13</v>
      </c>
      <c r="I2101">
        <v>824</v>
      </c>
      <c r="J2101">
        <v>115</v>
      </c>
      <c r="K2101" t="b">
        <v>1</v>
      </c>
      <c r="N2101" s="30" t="s">
        <v>565</v>
      </c>
      <c r="O2101" s="2">
        <f>INDEX(Маршруты,MATCH(N2101,$B$3:$B$498,0),1)</f>
        <v>90</v>
      </c>
      <c r="P2101" s="27">
        <v>20</v>
      </c>
      <c r="Q2101" s="2">
        <f>INDEX(Остановки,MATCH(R2101,ИД_Остановки!$B$3:$B$467,0),1)</f>
        <v>230</v>
      </c>
      <c r="R2101" s="45" t="s">
        <v>359</v>
      </c>
      <c r="S2101" s="20">
        <v>0.61</v>
      </c>
    </row>
    <row r="2102" spans="8:19" x14ac:dyDescent="0.25">
      <c r="H2102">
        <v>13</v>
      </c>
      <c r="I2102">
        <v>828</v>
      </c>
      <c r="J2102">
        <v>115</v>
      </c>
      <c r="K2102" t="b">
        <v>1</v>
      </c>
      <c r="N2102" s="30" t="s">
        <v>565</v>
      </c>
      <c r="O2102" s="2">
        <f>INDEX(Маршруты,MATCH(N2102,$B$3:$B$498,0),1)</f>
        <v>90</v>
      </c>
      <c r="P2102" s="27">
        <v>21</v>
      </c>
      <c r="Q2102" s="2">
        <f>INDEX(Остановки,MATCH(R2102,ИД_Остановки!$B$3:$B$467,0),1)</f>
        <v>315</v>
      </c>
      <c r="R2102" s="45" t="s">
        <v>395</v>
      </c>
      <c r="S2102" s="20">
        <v>0.62</v>
      </c>
    </row>
    <row r="2103" spans="8:19" x14ac:dyDescent="0.25">
      <c r="H2103">
        <v>13</v>
      </c>
      <c r="I2103">
        <v>832</v>
      </c>
      <c r="J2103">
        <v>115</v>
      </c>
      <c r="K2103" t="b">
        <v>1</v>
      </c>
      <c r="N2103" s="30" t="s">
        <v>217</v>
      </c>
      <c r="O2103" s="2">
        <f>INDEX(Маршруты,MATCH(N2103,$B$3:$B$498,0),1)</f>
        <v>91</v>
      </c>
      <c r="P2103" s="27">
        <v>1</v>
      </c>
      <c r="Q2103" s="2">
        <f>INDEX(Остановки,MATCH(R2103,ИД_Остановки!$B$3:$B$467,0),1)</f>
        <v>97</v>
      </c>
      <c r="R2103" s="45" t="s">
        <v>69</v>
      </c>
      <c r="S2103" s="20">
        <v>0</v>
      </c>
    </row>
    <row r="2104" spans="8:19" x14ac:dyDescent="0.25">
      <c r="H2104">
        <v>13</v>
      </c>
      <c r="I2104">
        <v>836</v>
      </c>
      <c r="J2104">
        <v>115</v>
      </c>
      <c r="K2104" t="b">
        <v>1</v>
      </c>
      <c r="N2104" s="30" t="s">
        <v>217</v>
      </c>
      <c r="O2104" s="2">
        <f>INDEX(Маршруты,MATCH(N2104,$B$3:$B$498,0),1)</f>
        <v>91</v>
      </c>
      <c r="P2104" s="27">
        <v>2</v>
      </c>
      <c r="Q2104" s="2">
        <f>INDEX(Остановки,MATCH(R2104,ИД_Остановки!$B$3:$B$467,0),1)</f>
        <v>220</v>
      </c>
      <c r="R2104" s="45" t="s">
        <v>352</v>
      </c>
      <c r="S2104" s="20">
        <v>0.47</v>
      </c>
    </row>
    <row r="2105" spans="8:19" x14ac:dyDescent="0.25">
      <c r="H2105">
        <v>13</v>
      </c>
      <c r="I2105">
        <v>840</v>
      </c>
      <c r="J2105">
        <v>115</v>
      </c>
      <c r="K2105" t="b">
        <v>1</v>
      </c>
      <c r="N2105" s="30" t="s">
        <v>217</v>
      </c>
      <c r="O2105" s="2">
        <f>INDEX(Маршруты,MATCH(N2105,$B$3:$B$498,0),1)</f>
        <v>91</v>
      </c>
      <c r="P2105" s="27">
        <v>3</v>
      </c>
      <c r="Q2105" s="2">
        <f>INDEX(Остановки,MATCH(R2105,ИД_Остановки!$B$3:$B$467,0),1)</f>
        <v>119</v>
      </c>
      <c r="R2105" s="45" t="s">
        <v>165</v>
      </c>
      <c r="S2105" s="20">
        <v>0.52</v>
      </c>
    </row>
    <row r="2106" spans="8:19" x14ac:dyDescent="0.25">
      <c r="H2106">
        <v>13</v>
      </c>
      <c r="I2106">
        <v>844</v>
      </c>
      <c r="J2106">
        <v>115</v>
      </c>
      <c r="K2106" t="b">
        <v>1</v>
      </c>
      <c r="N2106" s="25" t="s">
        <v>217</v>
      </c>
      <c r="O2106" s="2">
        <f>INDEX(Маршруты,MATCH(N2106,$B$3:$B$498,0),1)</f>
        <v>91</v>
      </c>
      <c r="P2106" s="28">
        <v>4</v>
      </c>
      <c r="Q2106" s="2">
        <f>INDEX(Остановки,MATCH(R2106,ИД_Остановки!$B$3:$B$467,0),1)</f>
        <v>117</v>
      </c>
      <c r="R2106" s="24" t="s">
        <v>298</v>
      </c>
      <c r="S2106" s="20">
        <v>0.79</v>
      </c>
    </row>
    <row r="2107" spans="8:19" x14ac:dyDescent="0.25">
      <c r="H2107">
        <v>13</v>
      </c>
      <c r="I2107">
        <v>848</v>
      </c>
      <c r="J2107">
        <v>115</v>
      </c>
      <c r="K2107" t="b">
        <v>1</v>
      </c>
      <c r="N2107" s="25" t="s">
        <v>217</v>
      </c>
      <c r="O2107" s="2">
        <f>INDEX(Маршруты,MATCH(N2107,$B$3:$B$498,0),1)</f>
        <v>91</v>
      </c>
      <c r="P2107" s="27">
        <v>5</v>
      </c>
      <c r="Q2107" s="2">
        <f>INDEX(Остановки,MATCH(R2107,ИД_Остановки!$B$3:$B$467,0),1)</f>
        <v>335</v>
      </c>
      <c r="R2107" s="45" t="s">
        <v>620</v>
      </c>
      <c r="S2107" s="20">
        <v>0.41</v>
      </c>
    </row>
    <row r="2108" spans="8:19" x14ac:dyDescent="0.25">
      <c r="H2108">
        <v>13</v>
      </c>
      <c r="I2108">
        <v>852</v>
      </c>
      <c r="J2108">
        <v>115</v>
      </c>
      <c r="K2108" t="b">
        <v>1</v>
      </c>
      <c r="N2108" s="30" t="s">
        <v>217</v>
      </c>
      <c r="O2108" s="2">
        <f>INDEX(Маршруты,MATCH(N2108,$B$3:$B$498,0),1)</f>
        <v>91</v>
      </c>
      <c r="P2108" s="27">
        <v>6</v>
      </c>
      <c r="Q2108" s="2">
        <f>INDEX(Остановки,MATCH(R2108,ИД_Остановки!$B$3:$B$467,0),1)</f>
        <v>104</v>
      </c>
      <c r="R2108" s="45" t="s">
        <v>289</v>
      </c>
      <c r="S2108" s="20">
        <v>0.57999999999999996</v>
      </c>
    </row>
    <row r="2109" spans="8:19" x14ac:dyDescent="0.25">
      <c r="H2109">
        <v>13</v>
      </c>
      <c r="I2109">
        <v>856</v>
      </c>
      <c r="J2109">
        <v>115</v>
      </c>
      <c r="K2109" t="b">
        <v>1</v>
      </c>
      <c r="N2109" s="25" t="s">
        <v>217</v>
      </c>
      <c r="O2109" s="2">
        <f>INDEX(Маршруты,MATCH(N2109,$B$3:$B$498,0),1)</f>
        <v>91</v>
      </c>
      <c r="P2109" s="27">
        <v>7</v>
      </c>
      <c r="Q2109" s="2">
        <f>INDEX(Остановки,MATCH(R2109,ИД_Остановки!$B$3:$B$467,0),1)</f>
        <v>81</v>
      </c>
      <c r="R2109" s="24" t="s">
        <v>279</v>
      </c>
      <c r="S2109" s="20">
        <v>0.34</v>
      </c>
    </row>
    <row r="2110" spans="8:19" x14ac:dyDescent="0.25">
      <c r="H2110">
        <v>13</v>
      </c>
      <c r="I2110">
        <v>860</v>
      </c>
      <c r="J2110">
        <v>115</v>
      </c>
      <c r="K2110" t="b">
        <v>1</v>
      </c>
      <c r="N2110" s="30" t="s">
        <v>217</v>
      </c>
      <c r="O2110" s="2">
        <f>INDEX(Маршруты,MATCH(N2110,$B$3:$B$498,0),1)</f>
        <v>91</v>
      </c>
      <c r="P2110" s="27">
        <v>8</v>
      </c>
      <c r="Q2110" s="2">
        <f>INDEX(Остановки,MATCH(R2110,ИД_Остановки!$B$3:$B$467,0),1)</f>
        <v>413</v>
      </c>
      <c r="R2110" s="45" t="s">
        <v>469</v>
      </c>
      <c r="S2110" s="20">
        <v>0.6</v>
      </c>
    </row>
    <row r="2111" spans="8:19" x14ac:dyDescent="0.25">
      <c r="H2111">
        <v>13</v>
      </c>
      <c r="I2111">
        <v>864</v>
      </c>
      <c r="J2111">
        <v>115</v>
      </c>
      <c r="K2111" t="b">
        <v>1</v>
      </c>
      <c r="N2111" s="30" t="s">
        <v>217</v>
      </c>
      <c r="O2111" s="2">
        <f>INDEX(Маршруты,MATCH(N2111,$B$3:$B$498,0),1)</f>
        <v>91</v>
      </c>
      <c r="P2111" s="27">
        <v>9</v>
      </c>
      <c r="Q2111" s="2">
        <f>INDEX(Остановки,MATCH(R2111,ИД_Остановки!$B$3:$B$467,0),1)</f>
        <v>412</v>
      </c>
      <c r="R2111" s="45" t="s">
        <v>468</v>
      </c>
      <c r="S2111" s="20">
        <v>0.57999999999999996</v>
      </c>
    </row>
    <row r="2112" spans="8:19" x14ac:dyDescent="0.25">
      <c r="H2112">
        <v>13</v>
      </c>
      <c r="I2112">
        <v>868</v>
      </c>
      <c r="J2112">
        <v>115</v>
      </c>
      <c r="K2112" t="b">
        <v>1</v>
      </c>
      <c r="N2112" s="30" t="s">
        <v>217</v>
      </c>
      <c r="O2112" s="2">
        <f>INDEX(Маршруты,MATCH(N2112,$B$3:$B$498,0),1)</f>
        <v>91</v>
      </c>
      <c r="P2112" s="27">
        <v>10</v>
      </c>
      <c r="Q2112" s="2">
        <f>INDEX(Остановки,MATCH(R2112,ИД_Остановки!$B$3:$B$467,0),1)</f>
        <v>191</v>
      </c>
      <c r="R2112" s="45" t="s">
        <v>334</v>
      </c>
      <c r="S2112" s="20">
        <v>0.88</v>
      </c>
    </row>
    <row r="2113" spans="8:19" x14ac:dyDescent="0.25">
      <c r="H2113">
        <v>13</v>
      </c>
      <c r="I2113">
        <v>872</v>
      </c>
      <c r="J2113">
        <v>115</v>
      </c>
      <c r="K2113" t="b">
        <v>1</v>
      </c>
      <c r="N2113" s="25" t="s">
        <v>217</v>
      </c>
      <c r="O2113" s="2">
        <f>INDEX(Маршруты,MATCH(N2113,$B$3:$B$498,0),1)</f>
        <v>91</v>
      </c>
      <c r="P2113" s="27">
        <v>11</v>
      </c>
      <c r="Q2113" s="2">
        <f>INDEX(Остановки,MATCH(R2113,ИД_Остановки!$B$3:$B$467,0),1)</f>
        <v>377</v>
      </c>
      <c r="R2113" s="45" t="s">
        <v>435</v>
      </c>
      <c r="S2113" s="20">
        <v>0.91</v>
      </c>
    </row>
    <row r="2114" spans="8:19" x14ac:dyDescent="0.25">
      <c r="H2114">
        <v>13</v>
      </c>
      <c r="I2114">
        <v>876</v>
      </c>
      <c r="J2114">
        <v>115</v>
      </c>
      <c r="K2114" t="b">
        <v>1</v>
      </c>
      <c r="N2114" s="25" t="s">
        <v>217</v>
      </c>
      <c r="O2114" s="2">
        <f>INDEX(Маршруты,MATCH(N2114,$B$3:$B$498,0),1)</f>
        <v>91</v>
      </c>
      <c r="P2114" s="27">
        <v>12</v>
      </c>
      <c r="Q2114" s="2">
        <f>INDEX(Остановки,MATCH(R2114,ИД_Остановки!$B$3:$B$467,0),1)</f>
        <v>234</v>
      </c>
      <c r="R2114" s="45" t="s">
        <v>362</v>
      </c>
      <c r="S2114" s="20">
        <v>0.33</v>
      </c>
    </row>
    <row r="2115" spans="8:19" x14ac:dyDescent="0.25">
      <c r="H2115">
        <v>13</v>
      </c>
      <c r="I2115">
        <v>880</v>
      </c>
      <c r="J2115">
        <v>115</v>
      </c>
      <c r="K2115" t="b">
        <v>1</v>
      </c>
      <c r="N2115" s="30" t="s">
        <v>566</v>
      </c>
      <c r="O2115" s="2">
        <f>INDEX(Маршруты,MATCH(N2115,$B$3:$B$498,0),1)</f>
        <v>92</v>
      </c>
      <c r="P2115" s="27">
        <v>1</v>
      </c>
      <c r="Q2115" s="2">
        <f>INDEX(Остановки,MATCH(R2115,ИД_Остановки!$B$3:$B$467,0),1)</f>
        <v>234</v>
      </c>
      <c r="R2115" s="45" t="s">
        <v>362</v>
      </c>
      <c r="S2115" s="20"/>
    </row>
    <row r="2116" spans="8:19" x14ac:dyDescent="0.25">
      <c r="H2116">
        <v>13</v>
      </c>
      <c r="I2116">
        <v>884</v>
      </c>
      <c r="J2116">
        <v>115</v>
      </c>
      <c r="K2116" t="b">
        <v>1</v>
      </c>
      <c r="N2116" s="30" t="s">
        <v>566</v>
      </c>
      <c r="O2116" s="2">
        <f>INDEX(Маршруты,MATCH(N2116,$B$3:$B$498,0),1)</f>
        <v>92</v>
      </c>
      <c r="P2116" s="27">
        <v>2</v>
      </c>
      <c r="Q2116" s="2">
        <f>INDEX(Остановки,MATCH(R2116,ИД_Остановки!$B$3:$B$467,0),1)</f>
        <v>377</v>
      </c>
      <c r="R2116" s="45" t="s">
        <v>435</v>
      </c>
      <c r="S2116" s="20">
        <v>0.33</v>
      </c>
    </row>
    <row r="2117" spans="8:19" x14ac:dyDescent="0.25">
      <c r="H2117">
        <v>13</v>
      </c>
      <c r="I2117">
        <v>888</v>
      </c>
      <c r="J2117">
        <v>115</v>
      </c>
      <c r="K2117" t="b">
        <v>1</v>
      </c>
      <c r="N2117" s="30" t="s">
        <v>566</v>
      </c>
      <c r="O2117" s="2">
        <f>INDEX(Маршруты,MATCH(N2117,$B$3:$B$498,0),1)</f>
        <v>92</v>
      </c>
      <c r="P2117" s="27">
        <v>3</v>
      </c>
      <c r="Q2117" s="2">
        <f>INDEX(Остановки,MATCH(R2117,ИД_Остановки!$B$3:$B$467,0),1)</f>
        <v>191</v>
      </c>
      <c r="R2117" s="45" t="s">
        <v>334</v>
      </c>
      <c r="S2117" s="20">
        <v>0.91</v>
      </c>
    </row>
    <row r="2118" spans="8:19" x14ac:dyDescent="0.25">
      <c r="H2118">
        <v>13</v>
      </c>
      <c r="I2118">
        <v>892</v>
      </c>
      <c r="J2118">
        <v>115</v>
      </c>
      <c r="K2118" t="b">
        <v>1</v>
      </c>
      <c r="N2118" s="30" t="s">
        <v>566</v>
      </c>
      <c r="O2118" s="2">
        <f>INDEX(Маршруты,MATCH(N2118,$B$3:$B$498,0),1)</f>
        <v>92</v>
      </c>
      <c r="P2118" s="27">
        <v>4</v>
      </c>
      <c r="Q2118" s="2">
        <f>INDEX(Остановки,MATCH(R2118,ИД_Остановки!$B$3:$B$467,0),1)</f>
        <v>412</v>
      </c>
      <c r="R2118" s="45" t="s">
        <v>468</v>
      </c>
      <c r="S2118" s="20">
        <v>0.88</v>
      </c>
    </row>
    <row r="2119" spans="8:19" x14ac:dyDescent="0.25">
      <c r="H2119">
        <v>13</v>
      </c>
      <c r="I2119">
        <v>896</v>
      </c>
      <c r="J2119">
        <v>115</v>
      </c>
      <c r="K2119" t="b">
        <v>1</v>
      </c>
      <c r="N2119" s="25" t="s">
        <v>566</v>
      </c>
      <c r="O2119" s="2">
        <f>INDEX(Маршруты,MATCH(N2119,$B$3:$B$498,0),1)</f>
        <v>92</v>
      </c>
      <c r="P2119" s="27">
        <v>5</v>
      </c>
      <c r="Q2119" s="2">
        <f>INDEX(Остановки,MATCH(R2119,ИД_Остановки!$B$3:$B$467,0),1)</f>
        <v>413</v>
      </c>
      <c r="R2119" s="45" t="s">
        <v>469</v>
      </c>
      <c r="S2119" s="20">
        <v>0.57999999999999996</v>
      </c>
    </row>
    <row r="2120" spans="8:19" x14ac:dyDescent="0.25">
      <c r="H2120">
        <v>13</v>
      </c>
      <c r="I2120">
        <v>900</v>
      </c>
      <c r="J2120">
        <v>115</v>
      </c>
      <c r="K2120" t="b">
        <v>1</v>
      </c>
      <c r="N2120" s="25" t="s">
        <v>566</v>
      </c>
      <c r="O2120" s="2">
        <f>INDEX(Маршруты,MATCH(N2120,$B$3:$B$498,0),1)</f>
        <v>92</v>
      </c>
      <c r="P2120" s="27">
        <v>6</v>
      </c>
      <c r="Q2120" s="2">
        <f>INDEX(Остановки,MATCH(R2120,ИД_Остановки!$B$3:$B$467,0),1)</f>
        <v>81</v>
      </c>
      <c r="R2120" s="45" t="s">
        <v>279</v>
      </c>
      <c r="S2120" s="20">
        <v>0.6</v>
      </c>
    </row>
    <row r="2121" spans="8:19" x14ac:dyDescent="0.25">
      <c r="H2121">
        <v>13</v>
      </c>
      <c r="I2121">
        <v>904</v>
      </c>
      <c r="J2121">
        <v>115</v>
      </c>
      <c r="K2121" t="b">
        <v>1</v>
      </c>
      <c r="N2121" s="26" t="s">
        <v>566</v>
      </c>
      <c r="O2121" s="2">
        <f>INDEX(Маршруты,MATCH(N2121,$B$3:$B$498,0),1)</f>
        <v>92</v>
      </c>
      <c r="P2121" s="27">
        <v>7</v>
      </c>
      <c r="Q2121" s="2">
        <f>INDEX(Остановки,MATCH(R2121,ИД_Остановки!$B$3:$B$467,0),1)</f>
        <v>104</v>
      </c>
      <c r="R2121" s="45" t="s">
        <v>289</v>
      </c>
      <c r="S2121" s="20">
        <v>0.34</v>
      </c>
    </row>
    <row r="2122" spans="8:19" x14ac:dyDescent="0.25">
      <c r="H2122">
        <v>13</v>
      </c>
      <c r="I2122">
        <v>908</v>
      </c>
      <c r="J2122">
        <v>115</v>
      </c>
      <c r="K2122" t="b">
        <v>1</v>
      </c>
      <c r="N2122" s="30" t="s">
        <v>566</v>
      </c>
      <c r="O2122" s="2">
        <f>INDEX(Маршруты,MATCH(N2122,$B$3:$B$498,0),1)</f>
        <v>92</v>
      </c>
      <c r="P2122" s="27">
        <v>8</v>
      </c>
      <c r="Q2122" s="2">
        <f>INDEX(Остановки,MATCH(R2122,ИД_Остановки!$B$3:$B$467,0),1)</f>
        <v>335</v>
      </c>
      <c r="R2122" s="45" t="s">
        <v>620</v>
      </c>
      <c r="S2122" s="20">
        <v>0.57999999999999996</v>
      </c>
    </row>
    <row r="2123" spans="8:19" x14ac:dyDescent="0.25">
      <c r="H2123">
        <v>13</v>
      </c>
      <c r="I2123">
        <v>912</v>
      </c>
      <c r="J2123">
        <v>115</v>
      </c>
      <c r="K2123" t="b">
        <v>1</v>
      </c>
      <c r="N2123" s="26" t="s">
        <v>566</v>
      </c>
      <c r="O2123" s="2">
        <f>INDEX(Маршруты,MATCH(N2123,$B$3:$B$498,0),1)</f>
        <v>92</v>
      </c>
      <c r="P2123" s="27">
        <v>9</v>
      </c>
      <c r="Q2123" s="2">
        <f>INDEX(Остановки,MATCH(R2123,ИД_Остановки!$B$3:$B$467,0),1)</f>
        <v>117</v>
      </c>
      <c r="R2123" s="45" t="s">
        <v>298</v>
      </c>
      <c r="S2123" s="20">
        <v>0.41</v>
      </c>
    </row>
    <row r="2124" spans="8:19" x14ac:dyDescent="0.25">
      <c r="H2124">
        <v>13</v>
      </c>
      <c r="I2124">
        <v>916</v>
      </c>
      <c r="J2124">
        <v>115</v>
      </c>
      <c r="K2124" t="b">
        <v>1</v>
      </c>
      <c r="N2124" s="25" t="s">
        <v>566</v>
      </c>
      <c r="O2124" s="2">
        <f>INDEX(Маршруты,MATCH(N2124,$B$3:$B$498,0),1)</f>
        <v>92</v>
      </c>
      <c r="P2124" s="27">
        <v>10</v>
      </c>
      <c r="Q2124" s="2">
        <f>INDEX(Остановки,MATCH(R2124,ИД_Остановки!$B$3:$B$467,0),1)</f>
        <v>119</v>
      </c>
      <c r="R2124" s="45" t="s">
        <v>165</v>
      </c>
      <c r="S2124" s="20">
        <v>0.79</v>
      </c>
    </row>
    <row r="2125" spans="8:19" x14ac:dyDescent="0.25">
      <c r="H2125">
        <v>13</v>
      </c>
      <c r="I2125">
        <v>920</v>
      </c>
      <c r="J2125">
        <v>115</v>
      </c>
      <c r="K2125" t="b">
        <v>1</v>
      </c>
      <c r="N2125" s="25" t="s">
        <v>566</v>
      </c>
      <c r="O2125" s="2">
        <f>INDEX(Маршруты,MATCH(N2125,$B$3:$B$498,0),1)</f>
        <v>92</v>
      </c>
      <c r="P2125" s="27">
        <v>11</v>
      </c>
      <c r="Q2125" s="2">
        <f>INDEX(Остановки,MATCH(R2125,ИД_Остановки!$B$3:$B$467,0),1)</f>
        <v>220</v>
      </c>
      <c r="R2125" s="45" t="s">
        <v>352</v>
      </c>
      <c r="S2125" s="20">
        <v>0.52</v>
      </c>
    </row>
    <row r="2126" spans="8:19" x14ac:dyDescent="0.25">
      <c r="H2126">
        <v>13</v>
      </c>
      <c r="I2126">
        <v>924</v>
      </c>
      <c r="J2126">
        <v>115</v>
      </c>
      <c r="K2126" t="b">
        <v>1</v>
      </c>
      <c r="N2126" s="30" t="s">
        <v>566</v>
      </c>
      <c r="O2126" s="2">
        <f>INDEX(Маршруты,MATCH(N2126,$B$3:$B$498,0),1)</f>
        <v>92</v>
      </c>
      <c r="P2126" s="27">
        <v>12</v>
      </c>
      <c r="Q2126" s="2">
        <f>INDEX(Остановки,MATCH(R2126,ИД_Остановки!$B$3:$B$467,0),1)</f>
        <v>97</v>
      </c>
      <c r="R2126" s="45" t="s">
        <v>69</v>
      </c>
      <c r="S2126" s="20">
        <v>0.47</v>
      </c>
    </row>
    <row r="2127" spans="8:19" x14ac:dyDescent="0.25">
      <c r="H2127">
        <v>13</v>
      </c>
      <c r="I2127">
        <v>928</v>
      </c>
      <c r="J2127">
        <v>115</v>
      </c>
      <c r="K2127" t="b">
        <v>1</v>
      </c>
      <c r="N2127" s="30" t="s">
        <v>567</v>
      </c>
      <c r="O2127" s="2">
        <f>INDEX(Маршруты,MATCH(N2127,$B$3:$B$498,0),1)</f>
        <v>93</v>
      </c>
      <c r="P2127" s="27">
        <v>1</v>
      </c>
      <c r="Q2127" s="2">
        <f>INDEX(Остановки,MATCH(R2127,ИД_Остановки!$B$3:$B$467,0),1)</f>
        <v>135</v>
      </c>
      <c r="R2127" s="45" t="s">
        <v>83</v>
      </c>
      <c r="S2127" s="20"/>
    </row>
    <row r="2128" spans="8:19" x14ac:dyDescent="0.25">
      <c r="H2128">
        <v>13</v>
      </c>
      <c r="I2128">
        <v>932</v>
      </c>
      <c r="J2128">
        <v>115</v>
      </c>
      <c r="K2128" t="b">
        <v>1</v>
      </c>
      <c r="N2128" s="30" t="s">
        <v>567</v>
      </c>
      <c r="O2128" s="2">
        <f>INDEX(Маршруты,MATCH(N2128,$B$3:$B$498,0),1)</f>
        <v>93</v>
      </c>
      <c r="P2128" s="27">
        <v>2</v>
      </c>
      <c r="Q2128" s="2">
        <f>INDEX(Остановки,MATCH(R2128,ИД_Остановки!$B$3:$B$467,0),1)</f>
        <v>146</v>
      </c>
      <c r="R2128" s="45" t="s">
        <v>315</v>
      </c>
      <c r="S2128" s="20">
        <v>0.72</v>
      </c>
    </row>
    <row r="2129" spans="8:19" x14ac:dyDescent="0.25">
      <c r="H2129">
        <v>13</v>
      </c>
      <c r="I2129">
        <v>936</v>
      </c>
      <c r="J2129">
        <v>115</v>
      </c>
      <c r="K2129" t="b">
        <v>1</v>
      </c>
      <c r="N2129" s="30" t="s">
        <v>567</v>
      </c>
      <c r="O2129" s="2">
        <f>INDEX(Маршруты,MATCH(N2129,$B$3:$B$498,0),1)</f>
        <v>93</v>
      </c>
      <c r="P2129" s="27">
        <v>3</v>
      </c>
      <c r="Q2129" s="2">
        <f>INDEX(Остановки,MATCH(R2129,ИД_Остановки!$B$3:$B$467,0),1)</f>
        <v>82</v>
      </c>
      <c r="R2129" s="45" t="s">
        <v>59</v>
      </c>
      <c r="S2129" s="20">
        <v>0.47</v>
      </c>
    </row>
    <row r="2130" spans="8:19" x14ac:dyDescent="0.25">
      <c r="H2130">
        <v>13</v>
      </c>
      <c r="I2130">
        <v>940</v>
      </c>
      <c r="J2130">
        <v>115</v>
      </c>
      <c r="K2130" t="b">
        <v>1</v>
      </c>
      <c r="N2130" s="25" t="s">
        <v>567</v>
      </c>
      <c r="O2130" s="2">
        <f>INDEX(Маршруты,MATCH(N2130,$B$3:$B$498,0),1)</f>
        <v>93</v>
      </c>
      <c r="P2130" s="27">
        <v>4</v>
      </c>
      <c r="Q2130" s="2">
        <f>INDEX(Остановки,MATCH(R2130,ИД_Остановки!$B$3:$B$467,0),1)</f>
        <v>93</v>
      </c>
      <c r="R2130" s="45" t="s">
        <v>65</v>
      </c>
      <c r="S2130" s="20">
        <v>0.52</v>
      </c>
    </row>
    <row r="2131" spans="8:19" x14ac:dyDescent="0.25">
      <c r="H2131">
        <v>13</v>
      </c>
      <c r="I2131">
        <v>944</v>
      </c>
      <c r="J2131">
        <v>115</v>
      </c>
      <c r="K2131" t="b">
        <v>1</v>
      </c>
      <c r="N2131" s="25" t="s">
        <v>567</v>
      </c>
      <c r="O2131" s="2">
        <f>INDEX(Маршруты,MATCH(N2131,$B$3:$B$498,0),1)</f>
        <v>93</v>
      </c>
      <c r="P2131" s="27">
        <v>5</v>
      </c>
      <c r="Q2131" s="2">
        <f>INDEX(Остановки,MATCH(R2131,ИД_Остановки!$B$3:$B$467,0),1)</f>
        <v>33</v>
      </c>
      <c r="R2131" s="45" t="s">
        <v>29</v>
      </c>
      <c r="S2131" s="20">
        <v>0.52</v>
      </c>
    </row>
    <row r="2132" spans="8:19" x14ac:dyDescent="0.25">
      <c r="H2132">
        <v>13</v>
      </c>
      <c r="I2132">
        <v>948</v>
      </c>
      <c r="J2132">
        <v>115</v>
      </c>
      <c r="K2132" t="b">
        <v>1</v>
      </c>
      <c r="N2132" s="25" t="s">
        <v>567</v>
      </c>
      <c r="O2132" s="2">
        <f>INDEX(Маршруты,MATCH(N2132,$B$3:$B$498,0),1)</f>
        <v>93</v>
      </c>
      <c r="P2132" s="27">
        <v>6</v>
      </c>
      <c r="Q2132" s="2">
        <f>INDEX(Остановки,MATCH(R2132,ИД_Остановки!$B$3:$B$467,0),1)</f>
        <v>204</v>
      </c>
      <c r="R2132" s="45" t="s">
        <v>342</v>
      </c>
      <c r="S2132" s="20">
        <v>0.3</v>
      </c>
    </row>
    <row r="2133" spans="8:19" x14ac:dyDescent="0.25">
      <c r="H2133">
        <v>13</v>
      </c>
      <c r="I2133">
        <v>952</v>
      </c>
      <c r="J2133">
        <v>115</v>
      </c>
      <c r="K2133" t="b">
        <v>1</v>
      </c>
      <c r="N2133" s="26" t="s">
        <v>567</v>
      </c>
      <c r="O2133" s="2">
        <f>INDEX(Маршруты,MATCH(N2133,$B$3:$B$498,0),1)</f>
        <v>93</v>
      </c>
      <c r="P2133" s="27">
        <v>7</v>
      </c>
      <c r="Q2133" s="2">
        <f>INDEX(Остановки,MATCH(R2133,ИД_Остановки!$B$3:$B$467,0),1)</f>
        <v>256</v>
      </c>
      <c r="R2133" s="45" t="s">
        <v>376</v>
      </c>
      <c r="S2133" s="20">
        <v>0.68</v>
      </c>
    </row>
    <row r="2134" spans="8:19" x14ac:dyDescent="0.25">
      <c r="H2134">
        <v>13</v>
      </c>
      <c r="I2134">
        <v>956</v>
      </c>
      <c r="J2134">
        <v>115</v>
      </c>
      <c r="K2134" t="b">
        <v>1</v>
      </c>
      <c r="N2134" s="30" t="s">
        <v>567</v>
      </c>
      <c r="O2134" s="2">
        <f>INDEX(Маршруты,MATCH(N2134,$B$3:$B$498,0),1)</f>
        <v>93</v>
      </c>
      <c r="P2134" s="27">
        <v>8</v>
      </c>
      <c r="Q2134" s="2">
        <f>INDEX(Остановки,MATCH(R2134,ИД_Остановки!$B$3:$B$467,0),1)</f>
        <v>206</v>
      </c>
      <c r="R2134" s="45" t="s">
        <v>344</v>
      </c>
      <c r="S2134" s="20">
        <v>0.49</v>
      </c>
    </row>
    <row r="2135" spans="8:19" x14ac:dyDescent="0.25">
      <c r="H2135">
        <v>14</v>
      </c>
      <c r="I2135">
        <v>0</v>
      </c>
      <c r="J2135">
        <v>115</v>
      </c>
      <c r="K2135" t="b">
        <v>1</v>
      </c>
      <c r="N2135" s="25" t="s">
        <v>567</v>
      </c>
      <c r="O2135" s="2">
        <f>INDEX(Маршруты,MATCH(N2135,$B$3:$B$498,0),1)</f>
        <v>93</v>
      </c>
      <c r="P2135" s="27">
        <v>9</v>
      </c>
      <c r="Q2135" s="2">
        <f>INDEX(Остановки,MATCH(R2135,ИД_Остановки!$B$3:$B$467,0),1)</f>
        <v>241</v>
      </c>
      <c r="R2135" s="45" t="s">
        <v>132</v>
      </c>
      <c r="S2135" s="20">
        <v>0.45</v>
      </c>
    </row>
    <row r="2136" spans="8:19" x14ac:dyDescent="0.25">
      <c r="H2136">
        <v>14</v>
      </c>
      <c r="I2136">
        <v>4</v>
      </c>
      <c r="J2136">
        <v>115</v>
      </c>
      <c r="K2136" t="b">
        <v>1</v>
      </c>
      <c r="N2136" s="25" t="s">
        <v>567</v>
      </c>
      <c r="O2136" s="2">
        <f>INDEX(Маршруты,MATCH(N2136,$B$3:$B$498,0),1)</f>
        <v>93</v>
      </c>
      <c r="P2136" s="27">
        <v>10</v>
      </c>
      <c r="Q2136" s="2">
        <f>INDEX(Остановки,MATCH(R2136,ИД_Остановки!$B$3:$B$467,0),1)</f>
        <v>207</v>
      </c>
      <c r="R2136" s="45" t="s">
        <v>345</v>
      </c>
      <c r="S2136" s="20">
        <v>0.74</v>
      </c>
    </row>
    <row r="2137" spans="8:19" x14ac:dyDescent="0.25">
      <c r="H2137">
        <v>14</v>
      </c>
      <c r="I2137">
        <v>8</v>
      </c>
      <c r="J2137">
        <v>115</v>
      </c>
      <c r="K2137" t="b">
        <v>1</v>
      </c>
      <c r="N2137" s="25" t="s">
        <v>567</v>
      </c>
      <c r="O2137" s="2">
        <f>INDEX(Маршруты,MATCH(N2137,$B$3:$B$498,0),1)</f>
        <v>93</v>
      </c>
      <c r="P2137" s="27">
        <v>11</v>
      </c>
      <c r="Q2137" s="2">
        <f>INDEX(Остановки,MATCH(R2137,ИД_Остановки!$B$3:$B$467,0),1)</f>
        <v>208</v>
      </c>
      <c r="R2137" s="45" t="s">
        <v>121</v>
      </c>
      <c r="S2137" s="20">
        <v>0.56999999999999995</v>
      </c>
    </row>
    <row r="2138" spans="8:19" x14ac:dyDescent="0.25">
      <c r="H2138">
        <v>14</v>
      </c>
      <c r="I2138">
        <v>12</v>
      </c>
      <c r="J2138">
        <v>115</v>
      </c>
      <c r="K2138" t="b">
        <v>1</v>
      </c>
      <c r="N2138" s="30" t="s">
        <v>567</v>
      </c>
      <c r="O2138" s="2">
        <f>INDEX(Маршруты,MATCH(N2138,$B$3:$B$498,0),1)</f>
        <v>93</v>
      </c>
      <c r="P2138" s="27">
        <v>12</v>
      </c>
      <c r="Q2138" s="2">
        <f>INDEX(Остановки,MATCH(R2138,ИД_Остановки!$B$3:$B$467,0),1)</f>
        <v>3</v>
      </c>
      <c r="R2138" s="45" t="s">
        <v>243</v>
      </c>
      <c r="S2138" s="20">
        <v>0.9</v>
      </c>
    </row>
    <row r="2139" spans="8:19" x14ac:dyDescent="0.25">
      <c r="H2139">
        <v>14</v>
      </c>
      <c r="I2139">
        <v>16</v>
      </c>
      <c r="J2139">
        <v>115</v>
      </c>
      <c r="K2139" t="b">
        <v>1</v>
      </c>
      <c r="N2139" s="30" t="s">
        <v>567</v>
      </c>
      <c r="O2139" s="2">
        <f>INDEX(Маршруты,MATCH(N2139,$B$3:$B$498,0),1)</f>
        <v>93</v>
      </c>
      <c r="P2139" s="27">
        <v>13</v>
      </c>
      <c r="Q2139" s="2">
        <f>INDEX(Остановки,MATCH(R2139,ИД_Остановки!$B$3:$B$467,0),1)</f>
        <v>228</v>
      </c>
      <c r="R2139" s="45" t="s">
        <v>127</v>
      </c>
      <c r="S2139" s="20">
        <v>1.18</v>
      </c>
    </row>
    <row r="2140" spans="8:19" x14ac:dyDescent="0.25">
      <c r="H2140">
        <v>14</v>
      </c>
      <c r="I2140">
        <v>20</v>
      </c>
      <c r="J2140">
        <v>115</v>
      </c>
      <c r="K2140" t="b">
        <v>1</v>
      </c>
      <c r="N2140" s="30" t="s">
        <v>567</v>
      </c>
      <c r="O2140" s="2">
        <f>INDEX(Маршруты,MATCH(N2140,$B$3:$B$498,0),1)</f>
        <v>93</v>
      </c>
      <c r="P2140" s="27">
        <v>14</v>
      </c>
      <c r="Q2140" s="2">
        <f>INDEX(Остановки,MATCH(R2140,ИД_Остановки!$B$3:$B$467,0),1)</f>
        <v>238</v>
      </c>
      <c r="R2140" s="45" t="s">
        <v>131</v>
      </c>
      <c r="S2140" s="20">
        <v>0.94</v>
      </c>
    </row>
    <row r="2141" spans="8:19" x14ac:dyDescent="0.25">
      <c r="H2141">
        <v>14</v>
      </c>
      <c r="I2141">
        <v>24</v>
      </c>
      <c r="J2141">
        <v>115</v>
      </c>
      <c r="K2141" t="b">
        <v>1</v>
      </c>
      <c r="N2141" s="32" t="s">
        <v>567</v>
      </c>
      <c r="O2141" s="2">
        <f>INDEX(Маршруты,MATCH(N2141,$B$3:$B$498,0),1)</f>
        <v>93</v>
      </c>
      <c r="P2141" s="27">
        <v>15</v>
      </c>
      <c r="Q2141" s="2">
        <f>INDEX(Остановки,MATCH(R2141,ИД_Остановки!$B$3:$B$467,0),1)</f>
        <v>322</v>
      </c>
      <c r="R2141" s="45" t="s">
        <v>397</v>
      </c>
      <c r="S2141" s="20">
        <v>0.72</v>
      </c>
    </row>
    <row r="2142" spans="8:19" x14ac:dyDescent="0.25">
      <c r="H2142">
        <v>14</v>
      </c>
      <c r="I2142">
        <v>28</v>
      </c>
      <c r="J2142">
        <v>115</v>
      </c>
      <c r="K2142" t="b">
        <v>1</v>
      </c>
      <c r="N2142" s="25" t="s">
        <v>567</v>
      </c>
      <c r="O2142" s="2">
        <f>INDEX(Маршруты,MATCH(N2142,$B$3:$B$498,0),1)</f>
        <v>93</v>
      </c>
      <c r="P2142" s="28">
        <v>16</v>
      </c>
      <c r="Q2142" s="2">
        <f>INDEX(Остановки,MATCH(R2142,ИД_Остановки!$B$3:$B$467,0),1)</f>
        <v>197</v>
      </c>
      <c r="R2142" s="24" t="s">
        <v>338</v>
      </c>
      <c r="S2142" s="20">
        <v>1.1499999999999999</v>
      </c>
    </row>
    <row r="2143" spans="8:19" x14ac:dyDescent="0.25">
      <c r="H2143">
        <v>14</v>
      </c>
      <c r="I2143">
        <v>32</v>
      </c>
      <c r="J2143">
        <v>115</v>
      </c>
      <c r="K2143" t="b">
        <v>1</v>
      </c>
      <c r="N2143" s="25" t="s">
        <v>567</v>
      </c>
      <c r="O2143" s="2">
        <f>INDEX(Маршруты,MATCH(N2143,$B$3:$B$498,0),1)</f>
        <v>93</v>
      </c>
      <c r="P2143" s="27">
        <v>17</v>
      </c>
      <c r="Q2143" s="2">
        <f>INDEX(Остановки,MATCH(R2143,ИД_Остановки!$B$3:$B$467,0),1)</f>
        <v>323</v>
      </c>
      <c r="R2143" s="45" t="s">
        <v>187</v>
      </c>
      <c r="S2143" s="20">
        <v>0.51</v>
      </c>
    </row>
    <row r="2144" spans="8:19" x14ac:dyDescent="0.25">
      <c r="H2144">
        <v>14</v>
      </c>
      <c r="I2144">
        <v>36</v>
      </c>
      <c r="J2144">
        <v>115</v>
      </c>
      <c r="K2144" t="b">
        <v>1</v>
      </c>
      <c r="N2144" s="26" t="s">
        <v>567</v>
      </c>
      <c r="O2144" s="2">
        <f>INDEX(Маршруты,MATCH(N2144,$B$3:$B$498,0),1)</f>
        <v>93</v>
      </c>
      <c r="P2144" s="27">
        <v>18</v>
      </c>
      <c r="Q2144" s="2">
        <f>INDEX(Остановки,MATCH(R2144,ИД_Остановки!$B$3:$B$467,0),1)</f>
        <v>324</v>
      </c>
      <c r="R2144" s="45" t="s">
        <v>398</v>
      </c>
      <c r="S2144" s="20">
        <v>0.56999999999999995</v>
      </c>
    </row>
    <row r="2145" spans="8:19" x14ac:dyDescent="0.25">
      <c r="H2145">
        <v>14</v>
      </c>
      <c r="I2145">
        <v>40</v>
      </c>
      <c r="J2145">
        <v>115</v>
      </c>
      <c r="K2145" t="b">
        <v>1</v>
      </c>
      <c r="N2145" s="26" t="s">
        <v>567</v>
      </c>
      <c r="O2145" s="2">
        <f>INDEX(Маршруты,MATCH(N2145,$B$3:$B$498,0),1)</f>
        <v>93</v>
      </c>
      <c r="P2145" s="27">
        <v>19</v>
      </c>
      <c r="Q2145" s="2">
        <f>INDEX(Остановки,MATCH(R2145,ИД_Остановки!$B$3:$B$467,0),1)</f>
        <v>198</v>
      </c>
      <c r="R2145" s="45" t="s">
        <v>339</v>
      </c>
      <c r="S2145" s="20">
        <v>0.63</v>
      </c>
    </row>
    <row r="2146" spans="8:19" x14ac:dyDescent="0.25">
      <c r="H2146">
        <v>14</v>
      </c>
      <c r="I2146">
        <v>44</v>
      </c>
      <c r="J2146">
        <v>115</v>
      </c>
      <c r="K2146" t="b">
        <v>1</v>
      </c>
      <c r="N2146" s="26" t="s">
        <v>567</v>
      </c>
      <c r="O2146" s="2">
        <f>INDEX(Маршруты,MATCH(N2146,$B$3:$B$498,0),1)</f>
        <v>93</v>
      </c>
      <c r="P2146" s="27">
        <v>20</v>
      </c>
      <c r="Q2146" s="2">
        <f>INDEX(Остановки,MATCH(R2146,ИД_Остановки!$B$3:$B$467,0),1)</f>
        <v>325</v>
      </c>
      <c r="R2146" s="45" t="s">
        <v>626</v>
      </c>
      <c r="S2146" s="20">
        <v>0.64</v>
      </c>
    </row>
    <row r="2147" spans="8:19" x14ac:dyDescent="0.25">
      <c r="H2147">
        <v>14</v>
      </c>
      <c r="I2147">
        <v>48</v>
      </c>
      <c r="J2147">
        <v>115</v>
      </c>
      <c r="K2147" t="b">
        <v>1</v>
      </c>
      <c r="N2147" s="26" t="s">
        <v>567</v>
      </c>
      <c r="O2147" s="2">
        <f>INDEX(Маршруты,MATCH(N2147,$B$3:$B$498,0),1)</f>
        <v>93</v>
      </c>
      <c r="P2147" s="27">
        <v>21</v>
      </c>
      <c r="Q2147" s="2">
        <f>INDEX(Остановки,MATCH(R2147,ИД_Остановки!$B$3:$B$467,0),1)</f>
        <v>326</v>
      </c>
      <c r="R2147" s="45" t="s">
        <v>621</v>
      </c>
      <c r="S2147" s="20">
        <v>0.39</v>
      </c>
    </row>
    <row r="2148" spans="8:19" x14ac:dyDescent="0.25">
      <c r="H2148">
        <v>14</v>
      </c>
      <c r="I2148">
        <v>52</v>
      </c>
      <c r="J2148">
        <v>115</v>
      </c>
      <c r="K2148" t="b">
        <v>1</v>
      </c>
      <c r="N2148" s="25" t="s">
        <v>567</v>
      </c>
      <c r="O2148" s="2">
        <f>INDEX(Маршруты,MATCH(N2148,$B$3:$B$498,0),1)</f>
        <v>93</v>
      </c>
      <c r="P2148" s="27">
        <v>22</v>
      </c>
      <c r="Q2148" s="2">
        <f>INDEX(Остановки,MATCH(R2148,ИД_Остановки!$B$3:$B$467,0),1)</f>
        <v>344</v>
      </c>
      <c r="R2148" s="45" t="s">
        <v>411</v>
      </c>
      <c r="S2148" s="20">
        <v>0.24</v>
      </c>
    </row>
    <row r="2149" spans="8:19" x14ac:dyDescent="0.25">
      <c r="H2149">
        <v>14</v>
      </c>
      <c r="I2149">
        <v>56</v>
      </c>
      <c r="J2149">
        <v>115</v>
      </c>
      <c r="K2149" t="b">
        <v>1</v>
      </c>
      <c r="N2149" s="30" t="s">
        <v>568</v>
      </c>
      <c r="O2149" s="2">
        <f>INDEX(Маршруты,MATCH(N2149,$B$3:$B$498,0),1)</f>
        <v>94</v>
      </c>
      <c r="P2149" s="27">
        <v>1</v>
      </c>
      <c r="Q2149" s="2">
        <f>INDEX(Остановки,MATCH(R2149,ИД_Остановки!$B$3:$B$467,0),1)</f>
        <v>344</v>
      </c>
      <c r="R2149" s="45" t="s">
        <v>411</v>
      </c>
      <c r="S2149" s="20"/>
    </row>
    <row r="2150" spans="8:19" x14ac:dyDescent="0.25">
      <c r="H2150">
        <v>14</v>
      </c>
      <c r="I2150">
        <v>60</v>
      </c>
      <c r="J2150">
        <v>115</v>
      </c>
      <c r="K2150" t="b">
        <v>1</v>
      </c>
      <c r="N2150" s="30" t="s">
        <v>568</v>
      </c>
      <c r="O2150" s="2">
        <f>INDEX(Маршруты,MATCH(N2150,$B$3:$B$498,0),1)</f>
        <v>94</v>
      </c>
      <c r="P2150" s="27">
        <v>2</v>
      </c>
      <c r="Q2150" s="2">
        <f>INDEX(Остановки,MATCH(R2150,ИД_Остановки!$B$3:$B$467,0),1)</f>
        <v>326</v>
      </c>
      <c r="R2150" s="45" t="s">
        <v>621</v>
      </c>
      <c r="S2150" s="20">
        <v>0.24</v>
      </c>
    </row>
    <row r="2151" spans="8:19" x14ac:dyDescent="0.25">
      <c r="H2151">
        <v>14</v>
      </c>
      <c r="I2151">
        <v>64</v>
      </c>
      <c r="J2151">
        <v>115</v>
      </c>
      <c r="K2151" t="b">
        <v>1</v>
      </c>
      <c r="N2151" s="25" t="s">
        <v>568</v>
      </c>
      <c r="O2151" s="2">
        <f>INDEX(Маршруты,MATCH(N2151,$B$3:$B$498,0),1)</f>
        <v>94</v>
      </c>
      <c r="P2151" s="27">
        <v>3</v>
      </c>
      <c r="Q2151" s="2">
        <f>INDEX(Остановки,MATCH(R2151,ИД_Остановки!$B$3:$B$467,0),1)</f>
        <v>325</v>
      </c>
      <c r="R2151" s="45" t="s">
        <v>626</v>
      </c>
      <c r="S2151" s="20">
        <v>0.39</v>
      </c>
    </row>
    <row r="2152" spans="8:19" x14ac:dyDescent="0.25">
      <c r="H2152">
        <v>14</v>
      </c>
      <c r="I2152">
        <v>68</v>
      </c>
      <c r="J2152">
        <v>115</v>
      </c>
      <c r="K2152" t="b">
        <v>1</v>
      </c>
      <c r="N2152" s="24" t="s">
        <v>568</v>
      </c>
      <c r="O2152" s="2">
        <f>INDEX(Маршруты,MATCH(N2152,$B$3:$B$498,0),1)</f>
        <v>94</v>
      </c>
      <c r="P2152" s="27">
        <v>4</v>
      </c>
      <c r="Q2152" s="2">
        <f>INDEX(Остановки,MATCH(R2152,ИД_Остановки!$B$3:$B$467,0),1)</f>
        <v>198</v>
      </c>
      <c r="R2152" s="45" t="s">
        <v>339</v>
      </c>
      <c r="S2152" s="20">
        <v>0.64</v>
      </c>
    </row>
    <row r="2153" spans="8:19" x14ac:dyDescent="0.25">
      <c r="H2153">
        <v>14</v>
      </c>
      <c r="I2153">
        <v>72</v>
      </c>
      <c r="J2153">
        <v>115</v>
      </c>
      <c r="K2153" t="b">
        <v>1</v>
      </c>
      <c r="N2153" s="25" t="s">
        <v>568</v>
      </c>
      <c r="O2153" s="2">
        <f>INDEX(Маршруты,MATCH(N2153,$B$3:$B$498,0),1)</f>
        <v>94</v>
      </c>
      <c r="P2153" s="27">
        <v>5</v>
      </c>
      <c r="Q2153" s="2">
        <f>INDEX(Остановки,MATCH(R2153,ИД_Остановки!$B$3:$B$467,0),1)</f>
        <v>324</v>
      </c>
      <c r="R2153" s="45" t="s">
        <v>398</v>
      </c>
      <c r="S2153" s="20">
        <v>0.63</v>
      </c>
    </row>
    <row r="2154" spans="8:19" x14ac:dyDescent="0.25">
      <c r="H2154">
        <v>14</v>
      </c>
      <c r="I2154">
        <v>76</v>
      </c>
      <c r="J2154">
        <v>115</v>
      </c>
      <c r="K2154" t="b">
        <v>1</v>
      </c>
      <c r="N2154" s="25" t="s">
        <v>568</v>
      </c>
      <c r="O2154" s="2">
        <f>INDEX(Маршруты,MATCH(N2154,$B$3:$B$498,0),1)</f>
        <v>94</v>
      </c>
      <c r="P2154" s="27">
        <v>6</v>
      </c>
      <c r="Q2154" s="2">
        <f>INDEX(Остановки,MATCH(R2154,ИД_Остановки!$B$3:$B$467,0),1)</f>
        <v>323</v>
      </c>
      <c r="R2154" s="45" t="s">
        <v>187</v>
      </c>
      <c r="S2154" s="20">
        <v>0.56999999999999995</v>
      </c>
    </row>
    <row r="2155" spans="8:19" x14ac:dyDescent="0.25">
      <c r="H2155">
        <v>14</v>
      </c>
      <c r="I2155">
        <v>80</v>
      </c>
      <c r="J2155">
        <v>115</v>
      </c>
      <c r="K2155" t="b">
        <v>1</v>
      </c>
      <c r="N2155" s="26" t="s">
        <v>568</v>
      </c>
      <c r="O2155" s="2">
        <f>INDEX(Маршруты,MATCH(N2155,$B$3:$B$498,0),1)</f>
        <v>94</v>
      </c>
      <c r="P2155" s="27">
        <v>7</v>
      </c>
      <c r="Q2155" s="2">
        <f>INDEX(Остановки,MATCH(R2155,ИД_Остановки!$B$3:$B$467,0),1)</f>
        <v>197</v>
      </c>
      <c r="R2155" s="45" t="s">
        <v>338</v>
      </c>
      <c r="S2155" s="20">
        <v>0.51</v>
      </c>
    </row>
    <row r="2156" spans="8:19" x14ac:dyDescent="0.25">
      <c r="H2156">
        <v>14</v>
      </c>
      <c r="I2156">
        <v>84</v>
      </c>
      <c r="J2156">
        <v>115</v>
      </c>
      <c r="K2156" t="b">
        <v>1</v>
      </c>
      <c r="N2156" s="30" t="s">
        <v>568</v>
      </c>
      <c r="O2156" s="2">
        <f>INDEX(Маршруты,MATCH(N2156,$B$3:$B$498,0),1)</f>
        <v>94</v>
      </c>
      <c r="P2156" s="27">
        <v>8</v>
      </c>
      <c r="Q2156" s="2">
        <f>INDEX(Остановки,MATCH(R2156,ИД_Остановки!$B$3:$B$467,0),1)</f>
        <v>322</v>
      </c>
      <c r="R2156" s="45" t="s">
        <v>397</v>
      </c>
      <c r="S2156" s="20">
        <v>1.1499999999999999</v>
      </c>
    </row>
    <row r="2157" spans="8:19" x14ac:dyDescent="0.25">
      <c r="H2157">
        <v>14</v>
      </c>
      <c r="I2157">
        <v>88</v>
      </c>
      <c r="J2157">
        <v>115</v>
      </c>
      <c r="K2157" t="b">
        <v>1</v>
      </c>
      <c r="N2157" s="30" t="s">
        <v>568</v>
      </c>
      <c r="O2157" s="2">
        <f>INDEX(Маршруты,MATCH(N2157,$B$3:$B$498,0),1)</f>
        <v>94</v>
      </c>
      <c r="P2157" s="27">
        <v>9</v>
      </c>
      <c r="Q2157" s="2">
        <f>INDEX(Остановки,MATCH(R2157,ИД_Остановки!$B$3:$B$467,0),1)</f>
        <v>238</v>
      </c>
      <c r="R2157" s="45" t="s">
        <v>131</v>
      </c>
      <c r="S2157" s="20">
        <v>0.72</v>
      </c>
    </row>
    <row r="2158" spans="8:19" x14ac:dyDescent="0.25">
      <c r="H2158">
        <v>14</v>
      </c>
      <c r="I2158">
        <v>92</v>
      </c>
      <c r="J2158">
        <v>115</v>
      </c>
      <c r="K2158" t="b">
        <v>1</v>
      </c>
      <c r="N2158" s="30" t="s">
        <v>568</v>
      </c>
      <c r="O2158" s="2">
        <f>INDEX(Маршруты,MATCH(N2158,$B$3:$B$498,0),1)</f>
        <v>94</v>
      </c>
      <c r="P2158" s="27">
        <v>10</v>
      </c>
      <c r="Q2158" s="2">
        <f>INDEX(Остановки,MATCH(R2158,ИД_Остановки!$B$3:$B$467,0),1)</f>
        <v>228</v>
      </c>
      <c r="R2158" s="45" t="s">
        <v>127</v>
      </c>
      <c r="S2158" s="20">
        <v>0.94</v>
      </c>
    </row>
    <row r="2159" spans="8:19" x14ac:dyDescent="0.25">
      <c r="H2159">
        <v>14</v>
      </c>
      <c r="I2159">
        <v>96</v>
      </c>
      <c r="J2159">
        <v>115</v>
      </c>
      <c r="K2159" t="b">
        <v>1</v>
      </c>
      <c r="N2159" s="26" t="s">
        <v>568</v>
      </c>
      <c r="O2159" s="2">
        <f>INDEX(Маршруты,MATCH(N2159,$B$3:$B$498,0),1)</f>
        <v>94</v>
      </c>
      <c r="P2159" s="27">
        <v>11</v>
      </c>
      <c r="Q2159" s="2">
        <f>INDEX(Остановки,MATCH(R2159,ИД_Остановки!$B$3:$B$467,0),1)</f>
        <v>3</v>
      </c>
      <c r="R2159" s="45" t="s">
        <v>243</v>
      </c>
      <c r="S2159" s="20">
        <v>1.18</v>
      </c>
    </row>
    <row r="2160" spans="8:19" x14ac:dyDescent="0.25">
      <c r="H2160">
        <v>14</v>
      </c>
      <c r="I2160">
        <v>100</v>
      </c>
      <c r="J2160">
        <v>115</v>
      </c>
      <c r="K2160" t="b">
        <v>1</v>
      </c>
      <c r="N2160" s="30" t="s">
        <v>568</v>
      </c>
      <c r="O2160" s="2">
        <f>INDEX(Маршруты,MATCH(N2160,$B$3:$B$498,0),1)</f>
        <v>94</v>
      </c>
      <c r="P2160" s="27">
        <v>12</v>
      </c>
      <c r="Q2160" s="2">
        <f>INDEX(Остановки,MATCH(R2160,ИД_Остановки!$B$3:$B$467,0),1)</f>
        <v>208</v>
      </c>
      <c r="R2160" s="45" t="s">
        <v>121</v>
      </c>
      <c r="S2160" s="20">
        <v>0.9</v>
      </c>
    </row>
    <row r="2161" spans="8:19" x14ac:dyDescent="0.25">
      <c r="H2161">
        <v>14</v>
      </c>
      <c r="I2161">
        <v>104</v>
      </c>
      <c r="J2161">
        <v>115</v>
      </c>
      <c r="K2161" t="b">
        <v>1</v>
      </c>
      <c r="N2161" s="30" t="s">
        <v>568</v>
      </c>
      <c r="O2161" s="2">
        <f>INDEX(Маршруты,MATCH(N2161,$B$3:$B$498,0),1)</f>
        <v>94</v>
      </c>
      <c r="P2161" s="27">
        <v>13</v>
      </c>
      <c r="Q2161" s="2">
        <f>INDEX(Остановки,MATCH(R2161,ИД_Остановки!$B$3:$B$467,0),1)</f>
        <v>207</v>
      </c>
      <c r="R2161" s="45" t="s">
        <v>345</v>
      </c>
      <c r="S2161" s="20">
        <v>0.56999999999999995</v>
      </c>
    </row>
    <row r="2162" spans="8:19" x14ac:dyDescent="0.25">
      <c r="H2162">
        <v>14</v>
      </c>
      <c r="I2162">
        <v>108</v>
      </c>
      <c r="J2162">
        <v>115</v>
      </c>
      <c r="K2162" t="b">
        <v>1</v>
      </c>
      <c r="N2162" s="25" t="s">
        <v>568</v>
      </c>
      <c r="O2162" s="2">
        <f>INDEX(Маршруты,MATCH(N2162,$B$3:$B$498,0),1)</f>
        <v>94</v>
      </c>
      <c r="P2162" s="27">
        <v>14</v>
      </c>
      <c r="Q2162" s="2">
        <f>INDEX(Остановки,MATCH(R2162,ИД_Остановки!$B$3:$B$467,0),1)</f>
        <v>241</v>
      </c>
      <c r="R2162" s="45" t="s">
        <v>132</v>
      </c>
      <c r="S2162" s="20">
        <v>0.74</v>
      </c>
    </row>
    <row r="2163" spans="8:19" x14ac:dyDescent="0.25">
      <c r="H2163">
        <v>14</v>
      </c>
      <c r="I2163">
        <v>112</v>
      </c>
      <c r="J2163">
        <v>115</v>
      </c>
      <c r="K2163" t="b">
        <v>1</v>
      </c>
      <c r="N2163" s="30" t="s">
        <v>568</v>
      </c>
      <c r="O2163" s="2">
        <f>INDEX(Маршруты,MATCH(N2163,$B$3:$B$498,0),1)</f>
        <v>94</v>
      </c>
      <c r="P2163" s="27">
        <v>15</v>
      </c>
      <c r="Q2163" s="2">
        <f>INDEX(Остановки,MATCH(R2163,ИД_Остановки!$B$3:$B$467,0),1)</f>
        <v>206</v>
      </c>
      <c r="R2163" s="45" t="s">
        <v>344</v>
      </c>
      <c r="S2163" s="20">
        <v>0.45</v>
      </c>
    </row>
    <row r="2164" spans="8:19" x14ac:dyDescent="0.25">
      <c r="H2164">
        <v>14</v>
      </c>
      <c r="I2164">
        <v>116</v>
      </c>
      <c r="J2164">
        <v>115</v>
      </c>
      <c r="K2164" t="b">
        <v>1</v>
      </c>
      <c r="N2164" s="25" t="s">
        <v>568</v>
      </c>
      <c r="O2164" s="2">
        <f>INDEX(Маршруты,MATCH(N2164,$B$3:$B$498,0),1)</f>
        <v>94</v>
      </c>
      <c r="P2164" s="27">
        <v>16</v>
      </c>
      <c r="Q2164" s="2">
        <f>INDEX(Остановки,MATCH(R2164,ИД_Остановки!$B$3:$B$467,0),1)</f>
        <v>256</v>
      </c>
      <c r="R2164" s="45" t="s">
        <v>376</v>
      </c>
      <c r="S2164" s="20">
        <v>0.49</v>
      </c>
    </row>
    <row r="2165" spans="8:19" x14ac:dyDescent="0.25">
      <c r="H2165">
        <v>14</v>
      </c>
      <c r="I2165">
        <v>120</v>
      </c>
      <c r="J2165">
        <v>115</v>
      </c>
      <c r="K2165" t="b">
        <v>1</v>
      </c>
      <c r="N2165" s="25" t="s">
        <v>568</v>
      </c>
      <c r="O2165" s="2">
        <f>INDEX(Маршруты,MATCH(N2165,$B$3:$B$498,0),1)</f>
        <v>94</v>
      </c>
      <c r="P2165" s="27">
        <v>17</v>
      </c>
      <c r="Q2165" s="2">
        <f>INDEX(Остановки,MATCH(R2165,ИД_Остановки!$B$3:$B$467,0),1)</f>
        <v>204</v>
      </c>
      <c r="R2165" s="45" t="s">
        <v>342</v>
      </c>
      <c r="S2165" s="20">
        <v>0.68</v>
      </c>
    </row>
    <row r="2166" spans="8:19" x14ac:dyDescent="0.25">
      <c r="H2166">
        <v>14</v>
      </c>
      <c r="I2166">
        <v>124</v>
      </c>
      <c r="J2166">
        <v>115</v>
      </c>
      <c r="K2166" t="b">
        <v>1</v>
      </c>
      <c r="N2166" s="30" t="s">
        <v>568</v>
      </c>
      <c r="O2166" s="2">
        <f>INDEX(Маршруты,MATCH(N2166,$B$3:$B$498,0),1)</f>
        <v>94</v>
      </c>
      <c r="P2166" s="28">
        <v>18</v>
      </c>
      <c r="Q2166" s="2">
        <f>INDEX(Остановки,MATCH(R2166,ИД_Остановки!$B$3:$B$467,0),1)</f>
        <v>33</v>
      </c>
      <c r="R2166" s="24" t="s">
        <v>29</v>
      </c>
      <c r="S2166" s="20">
        <v>0.3</v>
      </c>
    </row>
    <row r="2167" spans="8:19" x14ac:dyDescent="0.25">
      <c r="H2167">
        <v>14</v>
      </c>
      <c r="I2167">
        <v>128</v>
      </c>
      <c r="J2167">
        <v>115</v>
      </c>
      <c r="K2167" t="b">
        <v>1</v>
      </c>
      <c r="N2167" s="25" t="s">
        <v>568</v>
      </c>
      <c r="O2167" s="2">
        <f>INDEX(Маршруты,MATCH(N2167,$B$3:$B$498,0),1)</f>
        <v>94</v>
      </c>
      <c r="P2167" s="27">
        <v>19</v>
      </c>
      <c r="Q2167" s="2">
        <f>INDEX(Остановки,MATCH(R2167,ИД_Остановки!$B$3:$B$467,0),1)</f>
        <v>93</v>
      </c>
      <c r="R2167" s="45" t="s">
        <v>65</v>
      </c>
      <c r="S2167" s="20">
        <v>0.52</v>
      </c>
    </row>
    <row r="2168" spans="8:19" x14ac:dyDescent="0.25">
      <c r="H2168">
        <v>14</v>
      </c>
      <c r="I2168">
        <v>132</v>
      </c>
      <c r="J2168">
        <v>115</v>
      </c>
      <c r="K2168" t="b">
        <v>1</v>
      </c>
      <c r="N2168" s="30" t="s">
        <v>568</v>
      </c>
      <c r="O2168" s="2">
        <f>INDEX(Маршруты,MATCH(N2168,$B$3:$B$498,0),1)</f>
        <v>94</v>
      </c>
      <c r="P2168" s="27">
        <v>20</v>
      </c>
      <c r="Q2168" s="2">
        <f>INDEX(Остановки,MATCH(R2168,ИД_Остановки!$B$3:$B$467,0),1)</f>
        <v>82</v>
      </c>
      <c r="R2168" s="45" t="s">
        <v>59</v>
      </c>
      <c r="S2168" s="20">
        <v>0.52</v>
      </c>
    </row>
    <row r="2169" spans="8:19" x14ac:dyDescent="0.25">
      <c r="H2169">
        <v>14</v>
      </c>
      <c r="I2169">
        <v>136</v>
      </c>
      <c r="J2169">
        <v>115</v>
      </c>
      <c r="K2169" t="b">
        <v>1</v>
      </c>
      <c r="N2169" s="25" t="s">
        <v>568</v>
      </c>
      <c r="O2169" s="2">
        <f>INDEX(Маршруты,MATCH(N2169,$B$3:$B$498,0),1)</f>
        <v>94</v>
      </c>
      <c r="P2169" s="27">
        <v>21</v>
      </c>
      <c r="Q2169" s="2">
        <f>INDEX(Остановки,MATCH(R2169,ИД_Остановки!$B$3:$B$467,0),1)</f>
        <v>146</v>
      </c>
      <c r="R2169" s="45" t="s">
        <v>315</v>
      </c>
      <c r="S2169" s="20">
        <v>0.47</v>
      </c>
    </row>
    <row r="2170" spans="8:19" x14ac:dyDescent="0.25">
      <c r="H2170">
        <v>14</v>
      </c>
      <c r="I2170">
        <v>140</v>
      </c>
      <c r="J2170">
        <v>115</v>
      </c>
      <c r="K2170" t="b">
        <v>1</v>
      </c>
      <c r="N2170" s="14" t="s">
        <v>568</v>
      </c>
      <c r="O2170" s="2">
        <f>INDEX(Маршруты,MATCH(N2170,$B$3:$B$498,0),1)</f>
        <v>94</v>
      </c>
      <c r="P2170" s="27">
        <v>22</v>
      </c>
      <c r="Q2170" s="2">
        <f>INDEX(Остановки,MATCH(R2170,ИД_Остановки!$B$3:$B$467,0),1)</f>
        <v>135</v>
      </c>
      <c r="R2170" s="45" t="s">
        <v>83</v>
      </c>
      <c r="S2170" s="20">
        <v>0.72</v>
      </c>
    </row>
    <row r="2171" spans="8:19" x14ac:dyDescent="0.25">
      <c r="H2171">
        <v>14</v>
      </c>
      <c r="I2171">
        <v>144</v>
      </c>
      <c r="J2171">
        <v>115</v>
      </c>
      <c r="K2171" t="b">
        <v>1</v>
      </c>
      <c r="N2171" s="30" t="s">
        <v>569</v>
      </c>
      <c r="O2171" s="2">
        <f>INDEX(Маршруты,MATCH(N2171,$B$3:$B$498,0),1)</f>
        <v>95</v>
      </c>
      <c r="P2171" s="27">
        <v>1</v>
      </c>
      <c r="Q2171" s="2">
        <f>INDEX(Остановки,MATCH(R2171,ИД_Остановки!$B$3:$B$467,0),1)</f>
        <v>334</v>
      </c>
      <c r="R2171" s="45" t="s">
        <v>405</v>
      </c>
      <c r="S2171" s="20"/>
    </row>
    <row r="2172" spans="8:19" x14ac:dyDescent="0.25">
      <c r="H2172">
        <v>14</v>
      </c>
      <c r="I2172">
        <v>148</v>
      </c>
      <c r="J2172">
        <v>115</v>
      </c>
      <c r="K2172" t="b">
        <v>1</v>
      </c>
      <c r="N2172" s="30" t="s">
        <v>569</v>
      </c>
      <c r="O2172" s="2">
        <f>INDEX(Маршруты,MATCH(N2172,$B$3:$B$498,0),1)</f>
        <v>95</v>
      </c>
      <c r="P2172" s="27">
        <v>2</v>
      </c>
      <c r="Q2172" s="2">
        <f>INDEX(Остановки,MATCH(R2172,ИД_Остановки!$B$3:$B$467,0),1)</f>
        <v>328</v>
      </c>
      <c r="R2172" s="45" t="s">
        <v>402</v>
      </c>
      <c r="S2172" s="20">
        <v>0.67</v>
      </c>
    </row>
    <row r="2173" spans="8:19" x14ac:dyDescent="0.25">
      <c r="H2173">
        <v>14</v>
      </c>
      <c r="I2173">
        <v>152</v>
      </c>
      <c r="J2173">
        <v>115</v>
      </c>
      <c r="K2173" t="b">
        <v>1</v>
      </c>
      <c r="N2173" s="25" t="s">
        <v>569</v>
      </c>
      <c r="O2173" s="2">
        <f>INDEX(Маршруты,MATCH(N2173,$B$3:$B$498,0),1)</f>
        <v>95</v>
      </c>
      <c r="P2173" s="27">
        <v>3</v>
      </c>
      <c r="Q2173" s="2">
        <f>INDEX(Остановки,MATCH(R2173,ИД_Остановки!$B$3:$B$467,0),1)</f>
        <v>329</v>
      </c>
      <c r="R2173" s="45" t="s">
        <v>188</v>
      </c>
      <c r="S2173" s="20">
        <v>0.98</v>
      </c>
    </row>
    <row r="2174" spans="8:19" x14ac:dyDescent="0.25">
      <c r="H2174">
        <v>14</v>
      </c>
      <c r="I2174">
        <v>156</v>
      </c>
      <c r="J2174">
        <v>115</v>
      </c>
      <c r="K2174" t="b">
        <v>1</v>
      </c>
      <c r="N2174" s="30" t="s">
        <v>569</v>
      </c>
      <c r="O2174" s="2">
        <f>INDEX(Маршруты,MATCH(N2174,$B$3:$B$498,0),1)</f>
        <v>95</v>
      </c>
      <c r="P2174" s="27">
        <v>4</v>
      </c>
      <c r="Q2174" s="2">
        <f>INDEX(Остановки,MATCH(R2174,ИД_Остановки!$B$3:$B$467,0),1)</f>
        <v>179</v>
      </c>
      <c r="R2174" s="45" t="s">
        <v>328</v>
      </c>
      <c r="S2174" s="20">
        <v>0.53</v>
      </c>
    </row>
    <row r="2175" spans="8:19" x14ac:dyDescent="0.25">
      <c r="H2175">
        <v>14</v>
      </c>
      <c r="I2175">
        <v>160</v>
      </c>
      <c r="J2175">
        <v>115</v>
      </c>
      <c r="K2175" t="b">
        <v>1</v>
      </c>
      <c r="N2175" s="30" t="s">
        <v>569</v>
      </c>
      <c r="O2175" s="2">
        <f>INDEX(Маршруты,MATCH(N2175,$B$3:$B$498,0),1)</f>
        <v>95</v>
      </c>
      <c r="P2175" s="27">
        <v>5</v>
      </c>
      <c r="Q2175" s="2">
        <f>INDEX(Остановки,MATCH(R2175,ИД_Остановки!$B$3:$B$467,0),1)</f>
        <v>272</v>
      </c>
      <c r="R2175" s="45" t="s">
        <v>145</v>
      </c>
      <c r="S2175" s="20">
        <v>1.2</v>
      </c>
    </row>
    <row r="2176" spans="8:19" x14ac:dyDescent="0.25">
      <c r="H2176">
        <v>14</v>
      </c>
      <c r="I2176">
        <v>164</v>
      </c>
      <c r="J2176">
        <v>115</v>
      </c>
      <c r="K2176" t="b">
        <v>1</v>
      </c>
      <c r="N2176" s="30" t="s">
        <v>569</v>
      </c>
      <c r="O2176" s="2">
        <f>INDEX(Маршруты,MATCH(N2176,$B$3:$B$498,0),1)</f>
        <v>95</v>
      </c>
      <c r="P2176" s="27">
        <v>6</v>
      </c>
      <c r="Q2176" s="2">
        <f>INDEX(Остановки,MATCH(R2176,ИД_Остановки!$B$3:$B$467,0),1)</f>
        <v>273</v>
      </c>
      <c r="R2176" s="45" t="s">
        <v>146</v>
      </c>
      <c r="S2176" s="20">
        <v>0.79</v>
      </c>
    </row>
    <row r="2177" spans="8:19" x14ac:dyDescent="0.25">
      <c r="H2177">
        <v>14</v>
      </c>
      <c r="I2177">
        <v>168</v>
      </c>
      <c r="J2177">
        <v>115</v>
      </c>
      <c r="K2177" t="b">
        <v>1</v>
      </c>
      <c r="N2177" s="25" t="s">
        <v>569</v>
      </c>
      <c r="O2177" s="2">
        <f>INDEX(Маршруты,MATCH(N2177,$B$3:$B$498,0),1)</f>
        <v>95</v>
      </c>
      <c r="P2177" s="27">
        <v>7</v>
      </c>
      <c r="Q2177" s="2">
        <f>INDEX(Остановки,MATCH(R2177,ИД_Остановки!$B$3:$B$467,0),1)</f>
        <v>274</v>
      </c>
      <c r="R2177" s="24" t="s">
        <v>147</v>
      </c>
      <c r="S2177" s="20">
        <v>0.68</v>
      </c>
    </row>
    <row r="2178" spans="8:19" x14ac:dyDescent="0.25">
      <c r="H2178">
        <v>14</v>
      </c>
      <c r="I2178">
        <v>172</v>
      </c>
      <c r="J2178">
        <v>115</v>
      </c>
      <c r="K2178" t="b">
        <v>1</v>
      </c>
      <c r="N2178" s="30" t="s">
        <v>569</v>
      </c>
      <c r="O2178" s="2">
        <f>INDEX(Маршруты,MATCH(N2178,$B$3:$B$498,0),1)</f>
        <v>95</v>
      </c>
      <c r="P2178" s="27">
        <v>8</v>
      </c>
      <c r="Q2178" s="2">
        <f>INDEX(Остановки,MATCH(R2178,ИД_Остановки!$B$3:$B$467,0),1)</f>
        <v>59</v>
      </c>
      <c r="R2178" s="45" t="s">
        <v>48</v>
      </c>
      <c r="S2178" s="20">
        <v>0.85</v>
      </c>
    </row>
    <row r="2179" spans="8:19" x14ac:dyDescent="0.25">
      <c r="H2179">
        <v>14</v>
      </c>
      <c r="I2179">
        <v>176</v>
      </c>
      <c r="J2179">
        <v>115</v>
      </c>
      <c r="K2179" t="b">
        <v>1</v>
      </c>
      <c r="N2179" s="30" t="s">
        <v>569</v>
      </c>
      <c r="O2179" s="2">
        <f>INDEX(Маршруты,MATCH(N2179,$B$3:$B$498,0),1)</f>
        <v>95</v>
      </c>
      <c r="P2179" s="27">
        <v>9</v>
      </c>
      <c r="Q2179" s="2">
        <f>INDEX(Остановки,MATCH(R2179,ИД_Остановки!$B$3:$B$467,0),1)</f>
        <v>116</v>
      </c>
      <c r="R2179" s="45" t="s">
        <v>75</v>
      </c>
      <c r="S2179" s="20">
        <v>0.3</v>
      </c>
    </row>
    <row r="2180" spans="8:19" x14ac:dyDescent="0.25">
      <c r="H2180">
        <v>14</v>
      </c>
      <c r="I2180">
        <v>180</v>
      </c>
      <c r="J2180">
        <v>115</v>
      </c>
      <c r="K2180" t="b">
        <v>1</v>
      </c>
      <c r="N2180" s="26" t="s">
        <v>569</v>
      </c>
      <c r="O2180" s="2">
        <f>INDEX(Маршруты,MATCH(N2180,$B$3:$B$498,0),1)</f>
        <v>95</v>
      </c>
      <c r="P2180" s="27">
        <v>10</v>
      </c>
      <c r="Q2180" s="2">
        <f>INDEX(Остановки,MATCH(R2180,ИД_Остановки!$B$3:$B$467,0),1)</f>
        <v>58</v>
      </c>
      <c r="R2180" s="45" t="s">
        <v>265</v>
      </c>
      <c r="S2180" s="20">
        <v>0.17</v>
      </c>
    </row>
    <row r="2181" spans="8:19" x14ac:dyDescent="0.25">
      <c r="H2181">
        <v>14</v>
      </c>
      <c r="I2181">
        <v>184</v>
      </c>
      <c r="J2181">
        <v>115</v>
      </c>
      <c r="K2181" t="b">
        <v>1</v>
      </c>
      <c r="N2181" s="25" t="s">
        <v>569</v>
      </c>
      <c r="O2181" s="2">
        <f>INDEX(Маршруты,MATCH(N2181,$B$3:$B$498,0),1)</f>
        <v>95</v>
      </c>
      <c r="P2181" s="27">
        <v>11</v>
      </c>
      <c r="Q2181" s="2">
        <f>INDEX(Остановки,MATCH(R2181,ИД_Остановки!$B$3:$B$467,0),1)</f>
        <v>57</v>
      </c>
      <c r="R2181" s="45" t="s">
        <v>47</v>
      </c>
      <c r="S2181" s="20">
        <v>0.6</v>
      </c>
    </row>
    <row r="2182" spans="8:19" x14ac:dyDescent="0.25">
      <c r="H2182">
        <v>14</v>
      </c>
      <c r="I2182">
        <v>188</v>
      </c>
      <c r="J2182">
        <v>115</v>
      </c>
      <c r="K2182" t="b">
        <v>1</v>
      </c>
      <c r="N2182" s="30" t="s">
        <v>569</v>
      </c>
      <c r="O2182" s="2">
        <f>INDEX(Маршруты,MATCH(N2182,$B$3:$B$498,0),1)</f>
        <v>95</v>
      </c>
      <c r="P2182" s="27">
        <v>12</v>
      </c>
      <c r="Q2182" s="2">
        <f>INDEX(Остановки,MATCH(R2182,ИД_Остановки!$B$3:$B$467,0),1)</f>
        <v>56</v>
      </c>
      <c r="R2182" s="45" t="s">
        <v>264</v>
      </c>
      <c r="S2182" s="20">
        <v>0.48</v>
      </c>
    </row>
    <row r="2183" spans="8:19" x14ac:dyDescent="0.25">
      <c r="H2183">
        <v>14</v>
      </c>
      <c r="I2183">
        <v>192</v>
      </c>
      <c r="J2183">
        <v>115</v>
      </c>
      <c r="K2183" t="b">
        <v>1</v>
      </c>
      <c r="N2183" s="25" t="s">
        <v>569</v>
      </c>
      <c r="O2183" s="2">
        <f>INDEX(Маршруты,MATCH(N2183,$B$3:$B$498,0),1)</f>
        <v>95</v>
      </c>
      <c r="P2183" s="27">
        <v>13</v>
      </c>
      <c r="Q2183" s="2">
        <f>INDEX(Остановки,MATCH(R2183,ИД_Остановки!$B$3:$B$467,0),1)</f>
        <v>55</v>
      </c>
      <c r="R2183" s="45" t="s">
        <v>263</v>
      </c>
      <c r="S2183" s="20">
        <v>0.86</v>
      </c>
    </row>
    <row r="2184" spans="8:19" x14ac:dyDescent="0.25">
      <c r="H2184">
        <v>14</v>
      </c>
      <c r="I2184">
        <v>196</v>
      </c>
      <c r="J2184">
        <v>115</v>
      </c>
      <c r="K2184" t="b">
        <v>1</v>
      </c>
      <c r="N2184" s="25" t="s">
        <v>569</v>
      </c>
      <c r="O2184" s="2">
        <f>INDEX(Маршруты,MATCH(N2184,$B$3:$B$498,0),1)</f>
        <v>95</v>
      </c>
      <c r="P2184" s="27">
        <v>14</v>
      </c>
      <c r="Q2184" s="2">
        <f>INDEX(Остановки,MATCH(R2184,ИД_Остановки!$B$3:$B$467,0),1)</f>
        <v>54</v>
      </c>
      <c r="R2184" s="45" t="s">
        <v>45</v>
      </c>
      <c r="S2184" s="20">
        <v>0.37</v>
      </c>
    </row>
    <row r="2185" spans="8:19" x14ac:dyDescent="0.25">
      <c r="H2185">
        <v>14</v>
      </c>
      <c r="I2185">
        <v>200</v>
      </c>
      <c r="J2185">
        <v>115</v>
      </c>
      <c r="K2185" t="b">
        <v>1</v>
      </c>
      <c r="N2185" s="25" t="s">
        <v>569</v>
      </c>
      <c r="O2185" s="2">
        <f>INDEX(Маршруты,MATCH(N2185,$B$3:$B$498,0),1)</f>
        <v>95</v>
      </c>
      <c r="P2185" s="27">
        <v>15</v>
      </c>
      <c r="Q2185" s="2">
        <f>INDEX(Остановки,MATCH(R2185,ИД_Остановки!$B$3:$B$467,0),1)</f>
        <v>53</v>
      </c>
      <c r="R2185" s="45" t="s">
        <v>44</v>
      </c>
      <c r="S2185" s="20">
        <v>1.22</v>
      </c>
    </row>
    <row r="2186" spans="8:19" x14ac:dyDescent="0.25">
      <c r="H2186">
        <v>14</v>
      </c>
      <c r="I2186">
        <v>204</v>
      </c>
      <c r="J2186">
        <v>115</v>
      </c>
      <c r="K2186" t="b">
        <v>1</v>
      </c>
      <c r="N2186" s="26" t="s">
        <v>569</v>
      </c>
      <c r="O2186" s="2">
        <f>INDEX(Маршруты,MATCH(N2186,$B$3:$B$498,0),1)</f>
        <v>95</v>
      </c>
      <c r="P2186" s="27">
        <v>16</v>
      </c>
      <c r="Q2186" s="2">
        <f>INDEX(Остановки,MATCH(R2186,ИД_Остановки!$B$3:$B$467,0),1)</f>
        <v>330</v>
      </c>
      <c r="R2186" s="45" t="s">
        <v>403</v>
      </c>
      <c r="S2186" s="20">
        <v>0.64</v>
      </c>
    </row>
    <row r="2187" spans="8:19" x14ac:dyDescent="0.25">
      <c r="H2187">
        <v>14</v>
      </c>
      <c r="I2187">
        <v>208</v>
      </c>
      <c r="J2187">
        <v>115</v>
      </c>
      <c r="K2187" t="b">
        <v>1</v>
      </c>
      <c r="N2187" s="25" t="s">
        <v>569</v>
      </c>
      <c r="O2187" s="2">
        <f>INDEX(Маршруты,MATCH(N2187,$B$3:$B$498,0),1)</f>
        <v>95</v>
      </c>
      <c r="P2187" s="27">
        <v>17</v>
      </c>
      <c r="Q2187" s="2">
        <f>INDEX(Остановки,MATCH(R2187,ИД_Остановки!$B$3:$B$467,0),1)</f>
        <v>331</v>
      </c>
      <c r="R2187" s="45" t="s">
        <v>189</v>
      </c>
      <c r="S2187" s="20">
        <v>0.52</v>
      </c>
    </row>
    <row r="2188" spans="8:19" x14ac:dyDescent="0.25">
      <c r="H2188">
        <v>14</v>
      </c>
      <c r="I2188">
        <v>212</v>
      </c>
      <c r="J2188">
        <v>115</v>
      </c>
      <c r="K2188" t="b">
        <v>1</v>
      </c>
      <c r="N2188" s="30" t="s">
        <v>569</v>
      </c>
      <c r="O2188" s="2">
        <f>INDEX(Маршруты,MATCH(N2188,$B$3:$B$498,0),1)</f>
        <v>95</v>
      </c>
      <c r="P2188" s="27">
        <v>18</v>
      </c>
      <c r="Q2188" s="2">
        <f>INDEX(Остановки,MATCH(R2188,ИД_Остановки!$B$3:$B$467,0),1)</f>
        <v>166</v>
      </c>
      <c r="R2188" s="45" t="s">
        <v>324</v>
      </c>
      <c r="S2188" s="20">
        <v>0.45</v>
      </c>
    </row>
    <row r="2189" spans="8:19" x14ac:dyDescent="0.25">
      <c r="H2189">
        <v>14</v>
      </c>
      <c r="I2189">
        <v>216</v>
      </c>
      <c r="J2189">
        <v>115</v>
      </c>
      <c r="K2189" t="b">
        <v>1</v>
      </c>
      <c r="N2189" s="30" t="s">
        <v>569</v>
      </c>
      <c r="O2189" s="2">
        <f>INDEX(Маршруты,MATCH(N2189,$B$3:$B$498,0),1)</f>
        <v>95</v>
      </c>
      <c r="P2189" s="27">
        <v>19</v>
      </c>
      <c r="Q2189" s="2">
        <f>INDEX(Остановки,MATCH(R2189,ИД_Остановки!$B$3:$B$467,0),1)</f>
        <v>332</v>
      </c>
      <c r="R2189" s="45" t="s">
        <v>404</v>
      </c>
      <c r="S2189" s="20">
        <v>0.24</v>
      </c>
    </row>
    <row r="2190" spans="8:19" x14ac:dyDescent="0.25">
      <c r="H2190">
        <v>14</v>
      </c>
      <c r="I2190">
        <v>220</v>
      </c>
      <c r="J2190">
        <v>115</v>
      </c>
      <c r="K2190" t="b">
        <v>1</v>
      </c>
      <c r="N2190" s="30" t="s">
        <v>570</v>
      </c>
      <c r="O2190" s="2">
        <f>INDEX(Маршруты,MATCH(N2190,$B$3:$B$498,0),1)</f>
        <v>96</v>
      </c>
      <c r="P2190" s="28">
        <v>1</v>
      </c>
      <c r="Q2190" s="2">
        <f>INDEX(Остановки,MATCH(R2190,ИД_Остановки!$B$3:$B$467,0),1)</f>
        <v>332</v>
      </c>
      <c r="R2190" s="24" t="s">
        <v>404</v>
      </c>
      <c r="S2190" s="20"/>
    </row>
    <row r="2191" spans="8:19" x14ac:dyDescent="0.25">
      <c r="H2191">
        <v>14</v>
      </c>
      <c r="I2191">
        <v>224</v>
      </c>
      <c r="J2191">
        <v>115</v>
      </c>
      <c r="K2191" t="b">
        <v>1</v>
      </c>
      <c r="N2191" s="30" t="s">
        <v>570</v>
      </c>
      <c r="O2191" s="2">
        <f>INDEX(Маршруты,MATCH(N2191,$B$3:$B$498,0),1)</f>
        <v>96</v>
      </c>
      <c r="P2191" s="28">
        <v>2</v>
      </c>
      <c r="Q2191" s="2">
        <f>INDEX(Остановки,MATCH(R2191,ИД_Остановки!$B$3:$B$467,0),1)</f>
        <v>166</v>
      </c>
      <c r="R2191" s="24" t="s">
        <v>324</v>
      </c>
      <c r="S2191" s="21">
        <v>0.24</v>
      </c>
    </row>
    <row r="2192" spans="8:19" x14ac:dyDescent="0.25">
      <c r="H2192">
        <v>14</v>
      </c>
      <c r="I2192">
        <v>228</v>
      </c>
      <c r="J2192">
        <v>115</v>
      </c>
      <c r="K2192" t="b">
        <v>1</v>
      </c>
      <c r="N2192" s="30" t="s">
        <v>570</v>
      </c>
      <c r="O2192" s="2">
        <f>INDEX(Маршруты,MATCH(N2192,$B$3:$B$498,0),1)</f>
        <v>96</v>
      </c>
      <c r="P2192" s="27">
        <v>3</v>
      </c>
      <c r="Q2192" s="2">
        <f>INDEX(Остановки,MATCH(R2192,ИД_Остановки!$B$3:$B$467,0),1)</f>
        <v>331</v>
      </c>
      <c r="R2192" s="45" t="s">
        <v>189</v>
      </c>
      <c r="S2192" s="20">
        <v>0.45</v>
      </c>
    </row>
    <row r="2193" spans="8:19" x14ac:dyDescent="0.25">
      <c r="H2193">
        <v>14</v>
      </c>
      <c r="I2193">
        <v>232</v>
      </c>
      <c r="J2193">
        <v>115</v>
      </c>
      <c r="K2193" t="b">
        <v>1</v>
      </c>
      <c r="N2193" s="25" t="s">
        <v>570</v>
      </c>
      <c r="O2193" s="2">
        <f>INDEX(Маршруты,MATCH(N2193,$B$3:$B$498,0),1)</f>
        <v>96</v>
      </c>
      <c r="P2193" s="28">
        <v>4</v>
      </c>
      <c r="Q2193" s="2">
        <f>INDEX(Остановки,MATCH(R2193,ИД_Остановки!$B$3:$B$467,0),1)</f>
        <v>330</v>
      </c>
      <c r="R2193" s="24" t="s">
        <v>403</v>
      </c>
      <c r="S2193" s="20">
        <v>0.52</v>
      </c>
    </row>
    <row r="2194" spans="8:19" x14ac:dyDescent="0.25">
      <c r="H2194">
        <v>14</v>
      </c>
      <c r="I2194">
        <v>236</v>
      </c>
      <c r="J2194">
        <v>115</v>
      </c>
      <c r="K2194" t="b">
        <v>1</v>
      </c>
      <c r="N2194" s="26" t="s">
        <v>570</v>
      </c>
      <c r="O2194" s="2">
        <f>INDEX(Маршруты,MATCH(N2194,$B$3:$B$498,0),1)</f>
        <v>96</v>
      </c>
      <c r="P2194" s="27">
        <v>5</v>
      </c>
      <c r="Q2194" s="2">
        <f>INDEX(Остановки,MATCH(R2194,ИД_Остановки!$B$3:$B$467,0),1)</f>
        <v>53</v>
      </c>
      <c r="R2194" s="45" t="s">
        <v>44</v>
      </c>
      <c r="S2194" s="20">
        <v>0.64</v>
      </c>
    </row>
    <row r="2195" spans="8:19" x14ac:dyDescent="0.25">
      <c r="H2195">
        <v>14</v>
      </c>
      <c r="I2195">
        <v>240</v>
      </c>
      <c r="J2195">
        <v>115</v>
      </c>
      <c r="K2195" t="b">
        <v>1</v>
      </c>
      <c r="N2195" s="30" t="s">
        <v>570</v>
      </c>
      <c r="O2195" s="2">
        <f>INDEX(Маршруты,MATCH(N2195,$B$3:$B$498,0),1)</f>
        <v>96</v>
      </c>
      <c r="P2195" s="28">
        <v>6</v>
      </c>
      <c r="Q2195" s="2">
        <f>INDEX(Остановки,MATCH(R2195,ИД_Остановки!$B$3:$B$467,0),1)</f>
        <v>54</v>
      </c>
      <c r="R2195" s="24" t="s">
        <v>45</v>
      </c>
      <c r="S2195" s="20">
        <v>1.22</v>
      </c>
    </row>
    <row r="2196" spans="8:19" x14ac:dyDescent="0.25">
      <c r="H2196">
        <v>14</v>
      </c>
      <c r="I2196">
        <v>244</v>
      </c>
      <c r="J2196">
        <v>115</v>
      </c>
      <c r="K2196" t="b">
        <v>1</v>
      </c>
      <c r="N2196" s="26" t="s">
        <v>570</v>
      </c>
      <c r="O2196" s="2">
        <f>INDEX(Маршруты,MATCH(N2196,$B$3:$B$498,0),1)</f>
        <v>96</v>
      </c>
      <c r="P2196" s="27">
        <v>7</v>
      </c>
      <c r="Q2196" s="2">
        <f>INDEX(Остановки,MATCH(R2196,ИД_Остановки!$B$3:$B$467,0),1)</f>
        <v>55</v>
      </c>
      <c r="R2196" s="45" t="s">
        <v>263</v>
      </c>
      <c r="S2196" s="20">
        <v>0.37</v>
      </c>
    </row>
    <row r="2197" spans="8:19" x14ac:dyDescent="0.25">
      <c r="H2197">
        <v>14</v>
      </c>
      <c r="I2197">
        <v>248</v>
      </c>
      <c r="J2197">
        <v>115</v>
      </c>
      <c r="K2197" t="b">
        <v>1</v>
      </c>
      <c r="N2197" s="30" t="s">
        <v>570</v>
      </c>
      <c r="O2197" s="2">
        <f>INDEX(Маршруты,MATCH(N2197,$B$3:$B$498,0),1)</f>
        <v>96</v>
      </c>
      <c r="P2197" s="27">
        <v>8</v>
      </c>
      <c r="Q2197" s="2">
        <f>INDEX(Остановки,MATCH(R2197,ИД_Остановки!$B$3:$B$467,0),1)</f>
        <v>56</v>
      </c>
      <c r="R2197" s="45" t="s">
        <v>264</v>
      </c>
      <c r="S2197" s="20">
        <v>0.86</v>
      </c>
    </row>
    <row r="2198" spans="8:19" x14ac:dyDescent="0.25">
      <c r="H2198">
        <v>14</v>
      </c>
      <c r="I2198">
        <v>252</v>
      </c>
      <c r="J2198">
        <v>115</v>
      </c>
      <c r="K2198" t="b">
        <v>1</v>
      </c>
      <c r="N2198" s="25" t="s">
        <v>570</v>
      </c>
      <c r="O2198" s="2">
        <f>INDEX(Маршруты,MATCH(N2198,$B$3:$B$498,0),1)</f>
        <v>96</v>
      </c>
      <c r="P2198" s="27">
        <v>9</v>
      </c>
      <c r="Q2198" s="2">
        <f>INDEX(Остановки,MATCH(R2198,ИД_Остановки!$B$3:$B$467,0),1)</f>
        <v>57</v>
      </c>
      <c r="R2198" s="45" t="s">
        <v>47</v>
      </c>
      <c r="S2198" s="20">
        <v>0.48</v>
      </c>
    </row>
    <row r="2199" spans="8:19" x14ac:dyDescent="0.25">
      <c r="H2199">
        <v>14</v>
      </c>
      <c r="I2199">
        <v>256</v>
      </c>
      <c r="J2199">
        <v>115</v>
      </c>
      <c r="K2199" t="b">
        <v>1</v>
      </c>
      <c r="N2199" s="26" t="s">
        <v>570</v>
      </c>
      <c r="O2199" s="2">
        <f>INDEX(Маршруты,MATCH(N2199,$B$3:$B$498,0),1)</f>
        <v>96</v>
      </c>
      <c r="P2199" s="27">
        <v>10</v>
      </c>
      <c r="Q2199" s="2">
        <f>INDEX(Остановки,MATCH(R2199,ИД_Остановки!$B$3:$B$467,0),1)</f>
        <v>58</v>
      </c>
      <c r="R2199" s="45" t="s">
        <v>265</v>
      </c>
      <c r="S2199" s="20">
        <v>0.6</v>
      </c>
    </row>
    <row r="2200" spans="8:19" x14ac:dyDescent="0.25">
      <c r="H2200">
        <v>14</v>
      </c>
      <c r="I2200">
        <v>260</v>
      </c>
      <c r="J2200">
        <v>115</v>
      </c>
      <c r="K2200" t="b">
        <v>1</v>
      </c>
      <c r="N2200" s="25" t="s">
        <v>570</v>
      </c>
      <c r="O2200" s="2">
        <f>INDEX(Маршруты,MATCH(N2200,$B$3:$B$498,0),1)</f>
        <v>96</v>
      </c>
      <c r="P2200" s="27">
        <v>11</v>
      </c>
      <c r="Q2200" s="2">
        <f>INDEX(Остановки,MATCH(R2200,ИД_Остановки!$B$3:$B$467,0),1)</f>
        <v>116</v>
      </c>
      <c r="R2200" s="45" t="s">
        <v>75</v>
      </c>
      <c r="S2200" s="20">
        <v>0.17</v>
      </c>
    </row>
    <row r="2201" spans="8:19" x14ac:dyDescent="0.25">
      <c r="H2201">
        <v>14</v>
      </c>
      <c r="I2201">
        <v>264</v>
      </c>
      <c r="J2201">
        <v>115</v>
      </c>
      <c r="K2201" t="b">
        <v>1</v>
      </c>
      <c r="N2201" s="30" t="s">
        <v>570</v>
      </c>
      <c r="O2201" s="2">
        <f>INDEX(Маршруты,MATCH(N2201,$B$3:$B$498,0),1)</f>
        <v>96</v>
      </c>
      <c r="P2201" s="27">
        <v>12</v>
      </c>
      <c r="Q2201" s="2">
        <f>INDEX(Остановки,MATCH(R2201,ИД_Остановки!$B$3:$B$467,0),1)</f>
        <v>59</v>
      </c>
      <c r="R2201" s="45" t="s">
        <v>48</v>
      </c>
      <c r="S2201" s="20">
        <v>0.3</v>
      </c>
    </row>
    <row r="2202" spans="8:19" x14ac:dyDescent="0.25">
      <c r="H2202">
        <v>14</v>
      </c>
      <c r="I2202">
        <v>268</v>
      </c>
      <c r="J2202">
        <v>115</v>
      </c>
      <c r="K2202" t="b">
        <v>1</v>
      </c>
      <c r="N2202" s="30" t="s">
        <v>570</v>
      </c>
      <c r="O2202" s="2">
        <f>INDEX(Маршруты,MATCH(N2202,$B$3:$B$498,0),1)</f>
        <v>96</v>
      </c>
      <c r="P2202" s="27">
        <v>13</v>
      </c>
      <c r="Q2202" s="2">
        <f>INDEX(Остановки,MATCH(R2202,ИД_Остановки!$B$3:$B$467,0),1)</f>
        <v>274</v>
      </c>
      <c r="R2202" s="45" t="s">
        <v>147</v>
      </c>
      <c r="S2202" s="20">
        <v>0.85</v>
      </c>
    </row>
    <row r="2203" spans="8:19" x14ac:dyDescent="0.25">
      <c r="H2203">
        <v>14</v>
      </c>
      <c r="I2203">
        <v>272</v>
      </c>
      <c r="J2203">
        <v>115</v>
      </c>
      <c r="K2203" t="b">
        <v>1</v>
      </c>
      <c r="N2203" s="30" t="s">
        <v>570</v>
      </c>
      <c r="O2203" s="2">
        <f>INDEX(Маршруты,MATCH(N2203,$B$3:$B$498,0),1)</f>
        <v>96</v>
      </c>
      <c r="P2203" s="27">
        <v>14</v>
      </c>
      <c r="Q2203" s="2">
        <f>INDEX(Остановки,MATCH(R2203,ИД_Остановки!$B$3:$B$467,0),1)</f>
        <v>273</v>
      </c>
      <c r="R2203" s="45" t="s">
        <v>146</v>
      </c>
      <c r="S2203" s="20">
        <v>0.68</v>
      </c>
    </row>
    <row r="2204" spans="8:19" x14ac:dyDescent="0.25">
      <c r="H2204">
        <v>14</v>
      </c>
      <c r="I2204">
        <v>276</v>
      </c>
      <c r="J2204">
        <v>115</v>
      </c>
      <c r="K2204" t="b">
        <v>1</v>
      </c>
      <c r="N2204" s="25" t="s">
        <v>570</v>
      </c>
      <c r="O2204" s="2">
        <f>INDEX(Маршруты,MATCH(N2204,$B$3:$B$498,0),1)</f>
        <v>96</v>
      </c>
      <c r="P2204" s="27">
        <v>15</v>
      </c>
      <c r="Q2204" s="2">
        <f>INDEX(Остановки,MATCH(R2204,ИД_Остановки!$B$3:$B$467,0),1)</f>
        <v>272</v>
      </c>
      <c r="R2204" s="45" t="s">
        <v>145</v>
      </c>
      <c r="S2204" s="20">
        <v>0.79</v>
      </c>
    </row>
    <row r="2205" spans="8:19" x14ac:dyDescent="0.25">
      <c r="H2205">
        <v>14</v>
      </c>
      <c r="I2205">
        <v>280</v>
      </c>
      <c r="J2205">
        <v>115</v>
      </c>
      <c r="K2205" t="b">
        <v>1</v>
      </c>
      <c r="N2205" s="25" t="s">
        <v>570</v>
      </c>
      <c r="O2205" s="2">
        <f>INDEX(Маршруты,MATCH(N2205,$B$3:$B$498,0),1)</f>
        <v>96</v>
      </c>
      <c r="P2205" s="27">
        <v>16</v>
      </c>
      <c r="Q2205" s="2">
        <f>INDEX(Остановки,MATCH(R2205,ИД_Остановки!$B$3:$B$467,0),1)</f>
        <v>179</v>
      </c>
      <c r="R2205" s="45" t="s">
        <v>328</v>
      </c>
      <c r="S2205" s="20">
        <v>1.2</v>
      </c>
    </row>
    <row r="2206" spans="8:19" x14ac:dyDescent="0.25">
      <c r="H2206">
        <v>14</v>
      </c>
      <c r="I2206">
        <v>284</v>
      </c>
      <c r="J2206">
        <v>115</v>
      </c>
      <c r="K2206" t="b">
        <v>1</v>
      </c>
      <c r="N2206" s="25" t="s">
        <v>570</v>
      </c>
      <c r="O2206" s="2">
        <f>INDEX(Маршруты,MATCH(N2206,$B$3:$B$498,0),1)</f>
        <v>96</v>
      </c>
      <c r="P2206" s="27">
        <v>17</v>
      </c>
      <c r="Q2206" s="2">
        <f>INDEX(Остановки,MATCH(R2206,ИД_Остановки!$B$3:$B$467,0),1)</f>
        <v>329</v>
      </c>
      <c r="R2206" s="45" t="s">
        <v>188</v>
      </c>
      <c r="S2206" s="20">
        <v>0.53</v>
      </c>
    </row>
    <row r="2207" spans="8:19" x14ac:dyDescent="0.25">
      <c r="H2207">
        <v>14</v>
      </c>
      <c r="I2207">
        <v>288</v>
      </c>
      <c r="J2207">
        <v>115</v>
      </c>
      <c r="K2207" t="b">
        <v>1</v>
      </c>
      <c r="N2207" s="32" t="s">
        <v>570</v>
      </c>
      <c r="O2207" s="2">
        <f>INDEX(Маршруты,MATCH(N2207,$B$3:$B$498,0),1)</f>
        <v>96</v>
      </c>
      <c r="P2207" s="27">
        <v>18</v>
      </c>
      <c r="Q2207" s="2">
        <f>INDEX(Остановки,MATCH(R2207,ИД_Остановки!$B$3:$B$467,0),1)</f>
        <v>328</v>
      </c>
      <c r="R2207" s="45" t="s">
        <v>402</v>
      </c>
      <c r="S2207" s="20">
        <v>0.98</v>
      </c>
    </row>
    <row r="2208" spans="8:19" x14ac:dyDescent="0.25">
      <c r="H2208">
        <v>14</v>
      </c>
      <c r="I2208">
        <v>292</v>
      </c>
      <c r="J2208">
        <v>115</v>
      </c>
      <c r="K2208" t="b">
        <v>1</v>
      </c>
      <c r="N2208" s="30" t="s">
        <v>570</v>
      </c>
      <c r="O2208" s="2">
        <f>INDEX(Маршруты,MATCH(N2208,$B$3:$B$498,0),1)</f>
        <v>96</v>
      </c>
      <c r="P2208" s="27">
        <v>19</v>
      </c>
      <c r="Q2208" s="2">
        <f>INDEX(Остановки,MATCH(R2208,ИД_Остановки!$B$3:$B$467,0),1)</f>
        <v>334</v>
      </c>
      <c r="R2208" s="45" t="s">
        <v>405</v>
      </c>
      <c r="S2208" s="20">
        <v>0.67</v>
      </c>
    </row>
    <row r="2209" spans="8:19" x14ac:dyDescent="0.25">
      <c r="H2209">
        <v>14</v>
      </c>
      <c r="I2209">
        <v>296</v>
      </c>
      <c r="J2209">
        <v>115</v>
      </c>
      <c r="K2209" t="b">
        <v>1</v>
      </c>
      <c r="N2209" s="30" t="s">
        <v>218</v>
      </c>
      <c r="O2209" s="2">
        <f>INDEX(Маршруты,MATCH(N2209,$B$3:$B$498,0),1)</f>
        <v>97</v>
      </c>
      <c r="P2209" s="27">
        <v>1</v>
      </c>
      <c r="Q2209" s="2">
        <f>INDEX(Остановки,MATCH(R2209,ИД_Остановки!$B$3:$B$467,0),1)</f>
        <v>97</v>
      </c>
      <c r="R2209" s="45" t="s">
        <v>69</v>
      </c>
      <c r="S2209" s="20"/>
    </row>
    <row r="2210" spans="8:19" x14ac:dyDescent="0.25">
      <c r="H2210">
        <v>14</v>
      </c>
      <c r="I2210">
        <v>300</v>
      </c>
      <c r="J2210">
        <v>115</v>
      </c>
      <c r="K2210" t="b">
        <v>1</v>
      </c>
      <c r="N2210" s="30" t="s">
        <v>218</v>
      </c>
      <c r="O2210" s="2">
        <f>INDEX(Маршруты,MATCH(N2210,$B$3:$B$498,0),1)</f>
        <v>97</v>
      </c>
      <c r="P2210" s="27">
        <v>2</v>
      </c>
      <c r="Q2210" s="2">
        <f>INDEX(Остановки,MATCH(R2210,ИД_Остановки!$B$3:$B$467,0),1)</f>
        <v>220</v>
      </c>
      <c r="R2210" s="45" t="s">
        <v>352</v>
      </c>
      <c r="S2210" s="20">
        <v>0.47</v>
      </c>
    </row>
    <row r="2211" spans="8:19" x14ac:dyDescent="0.25">
      <c r="H2211">
        <v>14</v>
      </c>
      <c r="I2211">
        <v>304</v>
      </c>
      <c r="J2211">
        <v>115</v>
      </c>
      <c r="K2211" t="b">
        <v>1</v>
      </c>
      <c r="N2211" s="30" t="s">
        <v>218</v>
      </c>
      <c r="O2211" s="2">
        <f>INDEX(Маршруты,MATCH(N2211,$B$3:$B$498,0),1)</f>
        <v>97</v>
      </c>
      <c r="P2211" s="27">
        <v>3</v>
      </c>
      <c r="Q2211" s="2">
        <f>INDEX(Остановки,MATCH(R2211,ИД_Остановки!$B$3:$B$467,0),1)</f>
        <v>119</v>
      </c>
      <c r="R2211" s="45" t="s">
        <v>165</v>
      </c>
      <c r="S2211" s="20">
        <v>0.52</v>
      </c>
    </row>
    <row r="2212" spans="8:19" x14ac:dyDescent="0.25">
      <c r="H2212">
        <v>14</v>
      </c>
      <c r="I2212">
        <v>308</v>
      </c>
      <c r="J2212">
        <v>115</v>
      </c>
      <c r="K2212" t="b">
        <v>1</v>
      </c>
      <c r="N2212" s="30" t="s">
        <v>218</v>
      </c>
      <c r="O2212" s="2">
        <f>INDEX(Маршруты,MATCH(N2212,$B$3:$B$498,0),1)</f>
        <v>97</v>
      </c>
      <c r="P2212" s="27">
        <v>4</v>
      </c>
      <c r="Q2212" s="2">
        <f>INDEX(Остановки,MATCH(R2212,ИД_Остановки!$B$3:$B$467,0),1)</f>
        <v>117</v>
      </c>
      <c r="R2212" s="45" t="s">
        <v>298</v>
      </c>
      <c r="S2212" s="20">
        <v>0.79</v>
      </c>
    </row>
    <row r="2213" spans="8:19" x14ac:dyDescent="0.25">
      <c r="H2213">
        <v>14</v>
      </c>
      <c r="I2213">
        <v>312</v>
      </c>
      <c r="J2213">
        <v>115</v>
      </c>
      <c r="K2213" t="b">
        <v>1</v>
      </c>
      <c r="N2213" s="25" t="s">
        <v>218</v>
      </c>
      <c r="O2213" s="2">
        <f>INDEX(Маршруты,MATCH(N2213,$B$3:$B$498,0),1)</f>
        <v>97</v>
      </c>
      <c r="P2213" s="27">
        <v>5</v>
      </c>
      <c r="Q2213" s="2">
        <f>INDEX(Остановки,MATCH(R2213,ИД_Остановки!$B$3:$B$467,0),1)</f>
        <v>335</v>
      </c>
      <c r="R2213" s="45" t="s">
        <v>191</v>
      </c>
      <c r="S2213" s="20">
        <v>0.41</v>
      </c>
    </row>
    <row r="2214" spans="8:19" x14ac:dyDescent="0.25">
      <c r="H2214">
        <v>14</v>
      </c>
      <c r="I2214">
        <v>316</v>
      </c>
      <c r="J2214">
        <v>115</v>
      </c>
      <c r="K2214" t="b">
        <v>1</v>
      </c>
      <c r="N2214" s="26" t="s">
        <v>218</v>
      </c>
      <c r="O2214" s="2">
        <f>INDEX(Маршруты,MATCH(N2214,$B$3:$B$498,0),1)</f>
        <v>97</v>
      </c>
      <c r="P2214" s="27">
        <v>6</v>
      </c>
      <c r="Q2214" s="2">
        <f>INDEX(Остановки,MATCH(R2214,ИД_Остановки!$B$3:$B$467,0),1)</f>
        <v>115</v>
      </c>
      <c r="R2214" s="45" t="s">
        <v>74</v>
      </c>
      <c r="S2214" s="20">
        <v>0.67</v>
      </c>
    </row>
    <row r="2215" spans="8:19" x14ac:dyDescent="0.25">
      <c r="H2215">
        <v>14</v>
      </c>
      <c r="I2215">
        <v>320</v>
      </c>
      <c r="J2215">
        <v>115</v>
      </c>
      <c r="K2215" t="b">
        <v>1</v>
      </c>
      <c r="N2215" s="30" t="s">
        <v>218</v>
      </c>
      <c r="O2215" s="2">
        <f>INDEX(Маршруты,MATCH(N2215,$B$3:$B$498,0),1)</f>
        <v>97</v>
      </c>
      <c r="P2215" s="27">
        <v>7</v>
      </c>
      <c r="Q2215" s="2">
        <f>INDEX(Остановки,MATCH(R2215,ИД_Остановки!$B$3:$B$467,0),1)</f>
        <v>114</v>
      </c>
      <c r="R2215" s="45" t="s">
        <v>297</v>
      </c>
      <c r="S2215" s="20">
        <v>0.37</v>
      </c>
    </row>
    <row r="2216" spans="8:19" x14ac:dyDescent="0.25">
      <c r="H2216">
        <v>14</v>
      </c>
      <c r="I2216">
        <v>324</v>
      </c>
      <c r="J2216">
        <v>115</v>
      </c>
      <c r="K2216" t="b">
        <v>1</v>
      </c>
      <c r="N2216" s="25" t="s">
        <v>218</v>
      </c>
      <c r="O2216" s="2">
        <f>INDEX(Маршруты,MATCH(N2216,$B$3:$B$498,0),1)</f>
        <v>97</v>
      </c>
      <c r="P2216" s="27">
        <v>8</v>
      </c>
      <c r="Q2216" s="2">
        <f>INDEX(Остановки,MATCH(R2216,ИД_Остановки!$B$3:$B$467,0),1)</f>
        <v>126</v>
      </c>
      <c r="R2216" s="45" t="s">
        <v>303</v>
      </c>
      <c r="S2216" s="20">
        <v>0.53</v>
      </c>
    </row>
    <row r="2217" spans="8:19" x14ac:dyDescent="0.25">
      <c r="H2217">
        <v>14</v>
      </c>
      <c r="I2217">
        <v>328</v>
      </c>
      <c r="J2217">
        <v>115</v>
      </c>
      <c r="K2217" t="b">
        <v>1</v>
      </c>
      <c r="N2217" s="25" t="s">
        <v>218</v>
      </c>
      <c r="O2217" s="2">
        <f>INDEX(Маршруты,MATCH(N2217,$B$3:$B$498,0),1)</f>
        <v>97</v>
      </c>
      <c r="P2217" s="28">
        <v>9</v>
      </c>
      <c r="Q2217" s="2">
        <f>INDEX(Остановки,MATCH(R2217,ИД_Остановки!$B$3:$B$467,0),1)</f>
        <v>112</v>
      </c>
      <c r="R2217" s="24" t="s">
        <v>295</v>
      </c>
      <c r="S2217" s="20">
        <v>0.49</v>
      </c>
    </row>
    <row r="2218" spans="8:19" x14ac:dyDescent="0.25">
      <c r="H2218">
        <v>14</v>
      </c>
      <c r="I2218">
        <v>332</v>
      </c>
      <c r="J2218">
        <v>115</v>
      </c>
      <c r="K2218" t="b">
        <v>1</v>
      </c>
      <c r="N2218" s="30" t="s">
        <v>218</v>
      </c>
      <c r="O2218" s="2">
        <f>INDEX(Маршруты,MATCH(N2218,$B$3:$B$498,0),1)</f>
        <v>97</v>
      </c>
      <c r="P2218" s="27">
        <v>10</v>
      </c>
      <c r="Q2218" s="2">
        <f>INDEX(Остановки,MATCH(R2218,ИД_Остановки!$B$3:$B$467,0),1)</f>
        <v>111</v>
      </c>
      <c r="R2218" s="45" t="s">
        <v>73</v>
      </c>
      <c r="S2218" s="20">
        <v>0.38</v>
      </c>
    </row>
    <row r="2219" spans="8:19" x14ac:dyDescent="0.25">
      <c r="H2219">
        <v>14</v>
      </c>
      <c r="I2219">
        <v>336</v>
      </c>
      <c r="J2219">
        <v>115</v>
      </c>
      <c r="K2219" t="b">
        <v>1</v>
      </c>
      <c r="N2219" s="30" t="s">
        <v>218</v>
      </c>
      <c r="O2219" s="2">
        <f>INDEX(Маршруты,MATCH(N2219,$B$3:$B$498,0),1)</f>
        <v>97</v>
      </c>
      <c r="P2219" s="27">
        <v>11</v>
      </c>
      <c r="Q2219" s="2">
        <f>INDEX(Остановки,MATCH(R2219,ИД_Остановки!$B$3:$B$467,0),1)</f>
        <v>110</v>
      </c>
      <c r="R2219" s="45" t="s">
        <v>294</v>
      </c>
      <c r="S2219" s="20">
        <v>0.54</v>
      </c>
    </row>
    <row r="2220" spans="8:19" x14ac:dyDescent="0.25">
      <c r="H2220">
        <v>14</v>
      </c>
      <c r="I2220">
        <v>340</v>
      </c>
      <c r="J2220">
        <v>115</v>
      </c>
      <c r="K2220" t="b">
        <v>1</v>
      </c>
      <c r="N2220" s="30" t="s">
        <v>218</v>
      </c>
      <c r="O2220" s="2">
        <f>INDEX(Маршруты,MATCH(N2220,$B$3:$B$498,0),1)</f>
        <v>97</v>
      </c>
      <c r="P2220" s="27">
        <v>12</v>
      </c>
      <c r="Q2220" s="2">
        <f>INDEX(Остановки,MATCH(R2220,ИД_Остановки!$B$3:$B$467,0),1)</f>
        <v>72</v>
      </c>
      <c r="R2220" s="45" t="s">
        <v>272</v>
      </c>
      <c r="S2220" s="20">
        <v>0.31</v>
      </c>
    </row>
    <row r="2221" spans="8:19" x14ac:dyDescent="0.25">
      <c r="H2221">
        <v>14</v>
      </c>
      <c r="I2221">
        <v>344</v>
      </c>
      <c r="J2221">
        <v>115</v>
      </c>
      <c r="K2221" t="b">
        <v>1</v>
      </c>
      <c r="N2221" s="25" t="s">
        <v>218</v>
      </c>
      <c r="O2221" s="2">
        <f>INDEX(Маршруты,MATCH(N2221,$B$3:$B$498,0),1)</f>
        <v>97</v>
      </c>
      <c r="P2221" s="27">
        <v>13</v>
      </c>
      <c r="Q2221" s="2">
        <f>INDEX(Остановки,MATCH(R2221,ИД_Остановки!$B$3:$B$467,0),1)</f>
        <v>109</v>
      </c>
      <c r="R2221" s="45" t="s">
        <v>293</v>
      </c>
      <c r="S2221" s="20">
        <v>0.41</v>
      </c>
    </row>
    <row r="2222" spans="8:19" x14ac:dyDescent="0.25">
      <c r="H2222">
        <v>14</v>
      </c>
      <c r="I2222">
        <v>348</v>
      </c>
      <c r="J2222">
        <v>115</v>
      </c>
      <c r="K2222" t="b">
        <v>1</v>
      </c>
      <c r="N2222" s="25" t="s">
        <v>218</v>
      </c>
      <c r="O2222" s="2">
        <f>INDEX(Маршруты,MATCH(N2222,$B$3:$B$498,0),1)</f>
        <v>97</v>
      </c>
      <c r="P2222" s="27">
        <v>14</v>
      </c>
      <c r="Q2222" s="2">
        <f>INDEX(Остановки,MATCH(R2222,ИД_Остановки!$B$3:$B$467,0),1)</f>
        <v>129</v>
      </c>
      <c r="R2222" s="24" t="s">
        <v>81</v>
      </c>
      <c r="S2222" s="20">
        <v>0.44</v>
      </c>
    </row>
    <row r="2223" spans="8:19" x14ac:dyDescent="0.25">
      <c r="H2223">
        <v>14</v>
      </c>
      <c r="I2223">
        <v>352</v>
      </c>
      <c r="J2223">
        <v>115</v>
      </c>
      <c r="K2223" t="b">
        <v>1</v>
      </c>
      <c r="N2223" s="26" t="s">
        <v>218</v>
      </c>
      <c r="O2223" s="2">
        <f>INDEX(Маршруты,MATCH(N2223,$B$3:$B$498,0),1)</f>
        <v>97</v>
      </c>
      <c r="P2223" s="27">
        <v>15</v>
      </c>
      <c r="Q2223" s="2">
        <f>INDEX(Остановки,MATCH(R2223,ИД_Остановки!$B$3:$B$467,0),1)</f>
        <v>78</v>
      </c>
      <c r="R2223" s="45" t="s">
        <v>277</v>
      </c>
      <c r="S2223" s="20">
        <v>0.47</v>
      </c>
    </row>
    <row r="2224" spans="8:19" x14ac:dyDescent="0.25">
      <c r="H2224">
        <v>14</v>
      </c>
      <c r="I2224">
        <v>356</v>
      </c>
      <c r="J2224">
        <v>115</v>
      </c>
      <c r="K2224" t="b">
        <v>1</v>
      </c>
      <c r="N2224" s="30" t="s">
        <v>218</v>
      </c>
      <c r="O2224" s="2">
        <f>INDEX(Маршруты,MATCH(N2224,$B$3:$B$498,0),1)</f>
        <v>97</v>
      </c>
      <c r="P2224" s="27">
        <v>16</v>
      </c>
      <c r="Q2224" s="2">
        <f>INDEX(Остановки,MATCH(R2224,ИД_Остановки!$B$3:$B$467,0),1)</f>
        <v>77</v>
      </c>
      <c r="R2224" s="45" t="s">
        <v>276</v>
      </c>
      <c r="S2224" s="20">
        <v>0.39</v>
      </c>
    </row>
    <row r="2225" spans="8:19" x14ac:dyDescent="0.25">
      <c r="H2225">
        <v>14</v>
      </c>
      <c r="I2225">
        <v>360</v>
      </c>
      <c r="J2225">
        <v>115</v>
      </c>
      <c r="K2225" t="b">
        <v>1</v>
      </c>
      <c r="N2225" s="25" t="s">
        <v>218</v>
      </c>
      <c r="O2225" s="2">
        <f>INDEX(Маршруты,MATCH(N2225,$B$3:$B$498,0),1)</f>
        <v>97</v>
      </c>
      <c r="P2225" s="27">
        <v>17</v>
      </c>
      <c r="Q2225" s="2">
        <f>INDEX(Остановки,MATCH(R2225,ИД_Остановки!$B$3:$B$467,0),1)</f>
        <v>178</v>
      </c>
      <c r="R2225" s="45" t="s">
        <v>93</v>
      </c>
      <c r="S2225" s="20">
        <v>0.59</v>
      </c>
    </row>
    <row r="2226" spans="8:19" x14ac:dyDescent="0.25">
      <c r="H2226">
        <v>14</v>
      </c>
      <c r="I2226">
        <v>364</v>
      </c>
      <c r="J2226">
        <v>115</v>
      </c>
      <c r="K2226" t="b">
        <v>1</v>
      </c>
      <c r="N2226" s="25" t="s">
        <v>218</v>
      </c>
      <c r="O2226" s="2">
        <f>INDEX(Маршруты,MATCH(N2226,$B$3:$B$498,0),1)</f>
        <v>97</v>
      </c>
      <c r="P2226" s="27">
        <v>18</v>
      </c>
      <c r="Q2226" s="2">
        <f>INDEX(Остановки,MATCH(R2226,ИД_Остановки!$B$3:$B$467,0),1)</f>
        <v>444</v>
      </c>
      <c r="R2226" s="45" t="s">
        <v>650</v>
      </c>
      <c r="S2226" s="20">
        <v>0.34</v>
      </c>
    </row>
    <row r="2227" spans="8:19" x14ac:dyDescent="0.25">
      <c r="H2227">
        <v>14</v>
      </c>
      <c r="I2227">
        <v>368</v>
      </c>
      <c r="J2227">
        <v>115</v>
      </c>
      <c r="K2227" t="b">
        <v>1</v>
      </c>
      <c r="N2227" s="30" t="s">
        <v>218</v>
      </c>
      <c r="O2227" s="2">
        <f>INDEX(Маршруты,MATCH(N2227,$B$3:$B$498,0),1)</f>
        <v>97</v>
      </c>
      <c r="P2227" s="27">
        <v>19</v>
      </c>
      <c r="Q2227" s="2">
        <f>INDEX(Остановки,MATCH(R2227,ИД_Остановки!$B$3:$B$467,0),1)</f>
        <v>177</v>
      </c>
      <c r="R2227" s="45" t="s">
        <v>92</v>
      </c>
      <c r="S2227" s="20">
        <v>0.37</v>
      </c>
    </row>
    <row r="2228" spans="8:19" x14ac:dyDescent="0.25">
      <c r="H2228">
        <v>14</v>
      </c>
      <c r="I2228">
        <v>372</v>
      </c>
      <c r="J2228">
        <v>115</v>
      </c>
      <c r="K2228" t="b">
        <v>1</v>
      </c>
      <c r="N2228" s="24" t="s">
        <v>218</v>
      </c>
      <c r="O2228" s="2">
        <f>INDEX(Маршруты,MATCH(N2228,$B$3:$B$498,0),1)</f>
        <v>97</v>
      </c>
      <c r="P2228" s="27">
        <v>20</v>
      </c>
      <c r="Q2228" s="2">
        <f>INDEX(Остановки,MATCH(R2228,ИД_Остановки!$B$3:$B$467,0),1)</f>
        <v>336</v>
      </c>
      <c r="R2228" s="45" t="s">
        <v>406</v>
      </c>
      <c r="S2228" s="20">
        <v>0.69</v>
      </c>
    </row>
    <row r="2229" spans="8:19" x14ac:dyDescent="0.25">
      <c r="H2229">
        <v>14</v>
      </c>
      <c r="I2229">
        <v>376</v>
      </c>
      <c r="J2229">
        <v>115</v>
      </c>
      <c r="K2229" t="b">
        <v>1</v>
      </c>
      <c r="N2229" s="30" t="s">
        <v>218</v>
      </c>
      <c r="O2229" s="2">
        <f>INDEX(Маршруты,MATCH(N2229,$B$3:$B$498,0),1)</f>
        <v>97</v>
      </c>
      <c r="P2229" s="27">
        <v>21</v>
      </c>
      <c r="Q2229" s="2">
        <f>INDEX(Остановки,MATCH(R2229,ИД_Остановки!$B$3:$B$467,0),1)</f>
        <v>151</v>
      </c>
      <c r="R2229" s="24" t="s">
        <v>91</v>
      </c>
      <c r="S2229" s="20">
        <v>0.33</v>
      </c>
    </row>
    <row r="2230" spans="8:19" x14ac:dyDescent="0.25">
      <c r="H2230">
        <v>14</v>
      </c>
      <c r="I2230">
        <v>380</v>
      </c>
      <c r="J2230">
        <v>115</v>
      </c>
      <c r="K2230" t="b">
        <v>1</v>
      </c>
      <c r="N2230" s="30" t="s">
        <v>218</v>
      </c>
      <c r="O2230" s="2">
        <f>INDEX(Маршруты,MATCH(N2230,$B$3:$B$498,0),1)</f>
        <v>97</v>
      </c>
      <c r="P2230" s="27">
        <v>22</v>
      </c>
      <c r="Q2230" s="2">
        <f>INDEX(Остановки,MATCH(R2230,ИД_Остановки!$B$3:$B$467,0),1)</f>
        <v>88</v>
      </c>
      <c r="R2230" s="45" t="s">
        <v>63</v>
      </c>
      <c r="S2230" s="20">
        <v>1.1000000000000001</v>
      </c>
    </row>
    <row r="2231" spans="8:19" x14ac:dyDescent="0.25">
      <c r="H2231">
        <v>14</v>
      </c>
      <c r="I2231">
        <v>384</v>
      </c>
      <c r="J2231">
        <v>115</v>
      </c>
      <c r="K2231" t="b">
        <v>1</v>
      </c>
      <c r="N2231" s="26" t="s">
        <v>218</v>
      </c>
      <c r="O2231" s="2">
        <f>INDEX(Маршруты,MATCH(N2231,$B$3:$B$498,0),1)</f>
        <v>97</v>
      </c>
      <c r="P2231" s="27">
        <v>23</v>
      </c>
      <c r="Q2231" s="2">
        <f>INDEX(Остановки,MATCH(R2231,ИД_Остановки!$B$3:$B$467,0),1)</f>
        <v>161</v>
      </c>
      <c r="R2231" s="45" t="s">
        <v>90</v>
      </c>
      <c r="S2231" s="20">
        <v>1.95</v>
      </c>
    </row>
    <row r="2232" spans="8:19" x14ac:dyDescent="0.25">
      <c r="H2232">
        <v>14</v>
      </c>
      <c r="I2232">
        <v>388</v>
      </c>
      <c r="J2232">
        <v>115</v>
      </c>
      <c r="K2232" t="b">
        <v>1</v>
      </c>
      <c r="N2232" s="26" t="s">
        <v>218</v>
      </c>
      <c r="O2232" s="2">
        <f>INDEX(Маршруты,MATCH(N2232,$B$3:$B$498,0),1)</f>
        <v>97</v>
      </c>
      <c r="P2232" s="27">
        <v>24</v>
      </c>
      <c r="Q2232" s="2">
        <f>INDEX(Остановки,MATCH(R2232,ИД_Остановки!$B$3:$B$467,0),1)</f>
        <v>105</v>
      </c>
      <c r="R2232" s="45" t="s">
        <v>290</v>
      </c>
      <c r="S2232" s="20">
        <v>1.18</v>
      </c>
    </row>
    <row r="2233" spans="8:19" x14ac:dyDescent="0.25">
      <c r="H2233">
        <v>14</v>
      </c>
      <c r="I2233">
        <v>392</v>
      </c>
      <c r="J2233">
        <v>115</v>
      </c>
      <c r="K2233" t="b">
        <v>1</v>
      </c>
      <c r="N2233" s="30" t="s">
        <v>218</v>
      </c>
      <c r="O2233" s="2">
        <f>INDEX(Маршруты,MATCH(N2233,$B$3:$B$498,0),1)</f>
        <v>97</v>
      </c>
      <c r="P2233" s="27">
        <v>25</v>
      </c>
      <c r="Q2233" s="2">
        <f>INDEX(Остановки,MATCH(R2233,ИД_Остановки!$B$3:$B$467,0),1)</f>
        <v>84</v>
      </c>
      <c r="R2233" s="45" t="s">
        <v>281</v>
      </c>
      <c r="S2233" s="20">
        <v>0.54</v>
      </c>
    </row>
    <row r="2234" spans="8:19" x14ac:dyDescent="0.25">
      <c r="H2234">
        <v>14</v>
      </c>
      <c r="I2234">
        <v>396</v>
      </c>
      <c r="J2234">
        <v>115</v>
      </c>
      <c r="K2234" t="b">
        <v>1</v>
      </c>
      <c r="N2234" s="30" t="s">
        <v>218</v>
      </c>
      <c r="O2234" s="2">
        <f>INDEX(Маршруты,MATCH(N2234,$B$3:$B$498,0),1)</f>
        <v>97</v>
      </c>
      <c r="P2234" s="27">
        <v>26</v>
      </c>
      <c r="Q2234" s="2">
        <f>INDEX(Остановки,MATCH(R2234,ИД_Остановки!$B$3:$B$467,0),1)</f>
        <v>380</v>
      </c>
      <c r="R2234" s="45" t="s">
        <v>438</v>
      </c>
      <c r="S2234" s="20">
        <v>0.39</v>
      </c>
    </row>
    <row r="2235" spans="8:19" x14ac:dyDescent="0.25">
      <c r="H2235">
        <v>14</v>
      </c>
      <c r="I2235">
        <v>400</v>
      </c>
      <c r="J2235">
        <v>115</v>
      </c>
      <c r="K2235" t="b">
        <v>1</v>
      </c>
      <c r="N2235" s="30" t="s">
        <v>218</v>
      </c>
      <c r="O2235" s="2">
        <f>INDEX(Маршруты,MATCH(N2235,$B$3:$B$498,0),1)</f>
        <v>97</v>
      </c>
      <c r="P2235" s="27">
        <v>27</v>
      </c>
      <c r="Q2235" s="2">
        <f>INDEX(Остановки,MATCH(R2235,ИД_Остановки!$B$3:$B$467,0),1)</f>
        <v>103</v>
      </c>
      <c r="R2235" s="45" t="s">
        <v>288</v>
      </c>
      <c r="S2235" s="20">
        <v>0.5</v>
      </c>
    </row>
    <row r="2236" spans="8:19" x14ac:dyDescent="0.25">
      <c r="H2236">
        <v>14</v>
      </c>
      <c r="I2236">
        <v>404</v>
      </c>
      <c r="J2236">
        <v>115</v>
      </c>
      <c r="K2236" t="b">
        <v>1</v>
      </c>
      <c r="N2236" s="30" t="s">
        <v>218</v>
      </c>
      <c r="O2236" s="2">
        <f>INDEX(Маршруты,MATCH(N2236,$B$3:$B$498,0),1)</f>
        <v>97</v>
      </c>
      <c r="P2236" s="27">
        <v>28</v>
      </c>
      <c r="Q2236" s="2">
        <f>INDEX(Остановки,MATCH(R2236,ИД_Остановки!$B$3:$B$467,0),1)</f>
        <v>83</v>
      </c>
      <c r="R2236" s="45" t="s">
        <v>280</v>
      </c>
      <c r="S2236" s="20">
        <v>0.3</v>
      </c>
    </row>
    <row r="2237" spans="8:19" x14ac:dyDescent="0.25">
      <c r="H2237">
        <v>14</v>
      </c>
      <c r="I2237">
        <v>408</v>
      </c>
      <c r="J2237">
        <v>115</v>
      </c>
      <c r="K2237" t="b">
        <v>1</v>
      </c>
      <c r="N2237" s="30" t="s">
        <v>218</v>
      </c>
      <c r="O2237" s="2">
        <f>INDEX(Маршруты,MATCH(N2237,$B$3:$B$498,0),1)</f>
        <v>97</v>
      </c>
      <c r="P2237" s="27">
        <v>29</v>
      </c>
      <c r="Q2237" s="2">
        <f>INDEX(Остановки,MATCH(R2237,ИД_Остановки!$B$3:$B$467,0),1)</f>
        <v>146</v>
      </c>
      <c r="R2237" s="45" t="s">
        <v>315</v>
      </c>
      <c r="S2237" s="20">
        <v>0.44</v>
      </c>
    </row>
    <row r="2238" spans="8:19" x14ac:dyDescent="0.25">
      <c r="H2238">
        <v>14</v>
      </c>
      <c r="I2238">
        <v>412</v>
      </c>
      <c r="J2238">
        <v>115</v>
      </c>
      <c r="K2238" t="b">
        <v>1</v>
      </c>
      <c r="N2238" s="30" t="s">
        <v>571</v>
      </c>
      <c r="O2238" s="2">
        <f>INDEX(Маршруты,MATCH(N2238,$B$3:$B$498,0),1)</f>
        <v>98</v>
      </c>
      <c r="P2238" s="27">
        <v>1</v>
      </c>
      <c r="Q2238" s="2">
        <f>INDEX(Остановки,MATCH(R2238,ИД_Остановки!$B$3:$B$467,0),1)</f>
        <v>146</v>
      </c>
      <c r="R2238" s="45" t="s">
        <v>315</v>
      </c>
      <c r="S2238" s="20"/>
    </row>
    <row r="2239" spans="8:19" x14ac:dyDescent="0.25">
      <c r="H2239">
        <v>14</v>
      </c>
      <c r="I2239">
        <v>416</v>
      </c>
      <c r="J2239">
        <v>115</v>
      </c>
      <c r="K2239" t="b">
        <v>1</v>
      </c>
      <c r="N2239" s="30" t="s">
        <v>571</v>
      </c>
      <c r="O2239" s="2">
        <f>INDEX(Маршруты,MATCH(N2239,$B$3:$B$498,0),1)</f>
        <v>98</v>
      </c>
      <c r="P2239" s="27">
        <v>2</v>
      </c>
      <c r="Q2239" s="2">
        <f>INDEX(Остановки,MATCH(R2239,ИД_Остановки!$B$3:$B$467,0),1)</f>
        <v>83</v>
      </c>
      <c r="R2239" s="45" t="s">
        <v>280</v>
      </c>
      <c r="S2239" s="20">
        <v>0.44</v>
      </c>
    </row>
    <row r="2240" spans="8:19" x14ac:dyDescent="0.25">
      <c r="H2240">
        <v>14</v>
      </c>
      <c r="I2240">
        <v>420</v>
      </c>
      <c r="J2240">
        <v>115</v>
      </c>
      <c r="K2240" t="b">
        <v>1</v>
      </c>
      <c r="N2240" s="30" t="s">
        <v>571</v>
      </c>
      <c r="O2240" s="2">
        <f>INDEX(Маршруты,MATCH(N2240,$B$3:$B$498,0),1)</f>
        <v>98</v>
      </c>
      <c r="P2240" s="27">
        <v>3</v>
      </c>
      <c r="Q2240" s="2">
        <f>INDEX(Остановки,MATCH(R2240,ИД_Остановки!$B$3:$B$467,0),1)</f>
        <v>103</v>
      </c>
      <c r="R2240" s="45" t="s">
        <v>288</v>
      </c>
      <c r="S2240" s="20">
        <v>0.3</v>
      </c>
    </row>
    <row r="2241" spans="8:19" x14ac:dyDescent="0.25">
      <c r="H2241">
        <v>14</v>
      </c>
      <c r="I2241">
        <v>424</v>
      </c>
      <c r="J2241">
        <v>115</v>
      </c>
      <c r="K2241" t="b">
        <v>1</v>
      </c>
      <c r="N2241" s="30" t="s">
        <v>571</v>
      </c>
      <c r="O2241" s="2">
        <f>INDEX(Маршруты,MATCH(N2241,$B$3:$B$498,0),1)</f>
        <v>98</v>
      </c>
      <c r="P2241" s="27">
        <v>4</v>
      </c>
      <c r="Q2241" s="2">
        <f>INDEX(Остановки,MATCH(R2241,ИД_Остановки!$B$3:$B$467,0),1)</f>
        <v>380</v>
      </c>
      <c r="R2241" s="45" t="s">
        <v>438</v>
      </c>
      <c r="S2241" s="20">
        <v>0.5</v>
      </c>
    </row>
    <row r="2242" spans="8:19" x14ac:dyDescent="0.25">
      <c r="H2242">
        <v>14</v>
      </c>
      <c r="I2242">
        <v>428</v>
      </c>
      <c r="J2242">
        <v>115</v>
      </c>
      <c r="K2242" t="b">
        <v>1</v>
      </c>
      <c r="N2242" s="25" t="s">
        <v>571</v>
      </c>
      <c r="O2242" s="2">
        <f>INDEX(Маршруты,MATCH(N2242,$B$3:$B$498,0),1)</f>
        <v>98</v>
      </c>
      <c r="P2242" s="27">
        <v>5</v>
      </c>
      <c r="Q2242" s="2">
        <f>INDEX(Остановки,MATCH(R2242,ИД_Остановки!$B$3:$B$467,0),1)</f>
        <v>84</v>
      </c>
      <c r="R2242" s="45" t="s">
        <v>281</v>
      </c>
      <c r="S2242" s="20">
        <v>0.39</v>
      </c>
    </row>
    <row r="2243" spans="8:19" x14ac:dyDescent="0.25">
      <c r="H2243">
        <v>14</v>
      </c>
      <c r="I2243">
        <v>432</v>
      </c>
      <c r="J2243">
        <v>115</v>
      </c>
      <c r="K2243" t="b">
        <v>1</v>
      </c>
      <c r="N2243" s="25" t="s">
        <v>571</v>
      </c>
      <c r="O2243" s="2">
        <f>INDEX(Маршруты,MATCH(N2243,$B$3:$B$498,0),1)</f>
        <v>98</v>
      </c>
      <c r="P2243" s="27">
        <v>6</v>
      </c>
      <c r="Q2243" s="2">
        <f>INDEX(Остановки,MATCH(R2243,ИД_Остановки!$B$3:$B$467,0),1)</f>
        <v>105</v>
      </c>
      <c r="R2243" s="24" t="s">
        <v>290</v>
      </c>
      <c r="S2243" s="20">
        <v>0.54</v>
      </c>
    </row>
    <row r="2244" spans="8:19" x14ac:dyDescent="0.25">
      <c r="H2244">
        <v>14</v>
      </c>
      <c r="I2244">
        <v>436</v>
      </c>
      <c r="J2244">
        <v>115</v>
      </c>
      <c r="K2244" t="b">
        <v>1</v>
      </c>
      <c r="N2244" s="30" t="s">
        <v>571</v>
      </c>
      <c r="O2244" s="2">
        <f>INDEX(Маршруты,MATCH(N2244,$B$3:$B$498,0),1)</f>
        <v>98</v>
      </c>
      <c r="P2244" s="27">
        <v>7</v>
      </c>
      <c r="Q2244" s="2">
        <f>INDEX(Остановки,MATCH(R2244,ИД_Остановки!$B$3:$B$467,0),1)</f>
        <v>161</v>
      </c>
      <c r="R2244" s="45" t="s">
        <v>90</v>
      </c>
      <c r="S2244" s="20">
        <v>1.18</v>
      </c>
    </row>
    <row r="2245" spans="8:19" x14ac:dyDescent="0.25">
      <c r="H2245">
        <v>14</v>
      </c>
      <c r="I2245">
        <v>440</v>
      </c>
      <c r="J2245">
        <v>115</v>
      </c>
      <c r="K2245" t="b">
        <v>1</v>
      </c>
      <c r="N2245" s="30" t="s">
        <v>571</v>
      </c>
      <c r="O2245" s="2">
        <f>INDEX(Маршруты,MATCH(N2245,$B$3:$B$498,0),1)</f>
        <v>98</v>
      </c>
      <c r="P2245" s="27">
        <v>8</v>
      </c>
      <c r="Q2245" s="2">
        <f>INDEX(Остановки,MATCH(R2245,ИД_Остановки!$B$3:$B$467,0),1)</f>
        <v>88</v>
      </c>
      <c r="R2245" s="45" t="s">
        <v>63</v>
      </c>
      <c r="S2245" s="20">
        <v>1.95</v>
      </c>
    </row>
    <row r="2246" spans="8:19" x14ac:dyDescent="0.25">
      <c r="H2246">
        <v>14</v>
      </c>
      <c r="I2246">
        <v>444</v>
      </c>
      <c r="J2246">
        <v>115</v>
      </c>
      <c r="K2246" t="b">
        <v>1</v>
      </c>
      <c r="N2246" s="25" t="s">
        <v>571</v>
      </c>
      <c r="O2246" s="2">
        <f>INDEX(Маршруты,MATCH(N2246,$B$3:$B$498,0),1)</f>
        <v>98</v>
      </c>
      <c r="P2246" s="28">
        <v>9</v>
      </c>
      <c r="Q2246" s="2">
        <f>INDEX(Остановки,MATCH(R2246,ИД_Остановки!$B$3:$B$467,0),1)</f>
        <v>151</v>
      </c>
      <c r="R2246" s="24" t="s">
        <v>91</v>
      </c>
      <c r="S2246" s="20">
        <v>1.1000000000000001</v>
      </c>
    </row>
    <row r="2247" spans="8:19" x14ac:dyDescent="0.25">
      <c r="H2247">
        <v>14</v>
      </c>
      <c r="I2247">
        <v>448</v>
      </c>
      <c r="J2247">
        <v>115</v>
      </c>
      <c r="K2247" t="b">
        <v>1</v>
      </c>
      <c r="N2247" s="26" t="s">
        <v>571</v>
      </c>
      <c r="O2247" s="2">
        <f>INDEX(Маршруты,MATCH(N2247,$B$3:$B$498,0),1)</f>
        <v>98</v>
      </c>
      <c r="P2247" s="27">
        <v>10</v>
      </c>
      <c r="Q2247" s="2">
        <f>INDEX(Остановки,MATCH(R2247,ИД_Остановки!$B$3:$B$467,0),1)</f>
        <v>336</v>
      </c>
      <c r="R2247" s="45" t="s">
        <v>406</v>
      </c>
      <c r="S2247" s="20">
        <v>0.33</v>
      </c>
    </row>
    <row r="2248" spans="8:19" x14ac:dyDescent="0.25">
      <c r="H2248">
        <v>14</v>
      </c>
      <c r="I2248">
        <v>452</v>
      </c>
      <c r="J2248">
        <v>115</v>
      </c>
      <c r="K2248" t="b">
        <v>1</v>
      </c>
      <c r="N2248" s="30" t="s">
        <v>571</v>
      </c>
      <c r="O2248" s="2">
        <f>INDEX(Маршруты,MATCH(N2248,$B$3:$B$498,0),1)</f>
        <v>98</v>
      </c>
      <c r="P2248" s="27">
        <v>11</v>
      </c>
      <c r="Q2248" s="2">
        <f>INDEX(Остановки,MATCH(R2248,ИД_Остановки!$B$3:$B$467,0),1)</f>
        <v>177</v>
      </c>
      <c r="R2248" s="45" t="s">
        <v>92</v>
      </c>
      <c r="S2248" s="20">
        <v>0.69</v>
      </c>
    </row>
    <row r="2249" spans="8:19" x14ac:dyDescent="0.25">
      <c r="H2249">
        <v>14</v>
      </c>
      <c r="I2249">
        <v>456</v>
      </c>
      <c r="J2249">
        <v>115</v>
      </c>
      <c r="K2249" t="b">
        <v>1</v>
      </c>
      <c r="N2249" s="30" t="s">
        <v>571</v>
      </c>
      <c r="O2249" s="2">
        <f>INDEX(Маршруты,MATCH(N2249,$B$3:$B$498,0),1)</f>
        <v>98</v>
      </c>
      <c r="P2249" s="27">
        <v>12</v>
      </c>
      <c r="Q2249" s="2">
        <f>INDEX(Остановки,MATCH(R2249,ИД_Остановки!$B$3:$B$467,0),1)</f>
        <v>444</v>
      </c>
      <c r="R2249" s="45" t="s">
        <v>650</v>
      </c>
      <c r="S2249" s="20">
        <v>0.37</v>
      </c>
    </row>
    <row r="2250" spans="8:19" x14ac:dyDescent="0.25">
      <c r="H2250">
        <v>14</v>
      </c>
      <c r="I2250">
        <v>460</v>
      </c>
      <c r="J2250">
        <v>115</v>
      </c>
      <c r="K2250" t="b">
        <v>1</v>
      </c>
      <c r="N2250" s="25" t="s">
        <v>571</v>
      </c>
      <c r="O2250" s="2">
        <f>INDEX(Маршруты,MATCH(N2250,$B$3:$B$498,0),1)</f>
        <v>98</v>
      </c>
      <c r="P2250" s="27">
        <v>13</v>
      </c>
      <c r="Q2250" s="2">
        <f>INDEX(Остановки,MATCH(R2250,ИД_Остановки!$B$3:$B$467,0),1)</f>
        <v>178</v>
      </c>
      <c r="R2250" s="45" t="s">
        <v>93</v>
      </c>
      <c r="S2250" s="20">
        <v>0.34</v>
      </c>
    </row>
    <row r="2251" spans="8:19" x14ac:dyDescent="0.25">
      <c r="H2251">
        <v>14</v>
      </c>
      <c r="I2251">
        <v>464</v>
      </c>
      <c r="J2251">
        <v>115</v>
      </c>
      <c r="K2251" t="b">
        <v>1</v>
      </c>
      <c r="N2251" s="30" t="s">
        <v>571</v>
      </c>
      <c r="O2251" s="2">
        <f>INDEX(Маршруты,MATCH(N2251,$B$3:$B$498,0),1)</f>
        <v>98</v>
      </c>
      <c r="P2251" s="27">
        <v>14</v>
      </c>
      <c r="Q2251" s="2">
        <f>INDEX(Остановки,MATCH(R2251,ИД_Остановки!$B$3:$B$467,0),1)</f>
        <v>77</v>
      </c>
      <c r="R2251" s="45" t="s">
        <v>276</v>
      </c>
      <c r="S2251" s="20">
        <v>0.59</v>
      </c>
    </row>
    <row r="2252" spans="8:19" x14ac:dyDescent="0.25">
      <c r="H2252">
        <v>14</v>
      </c>
      <c r="I2252">
        <v>468</v>
      </c>
      <c r="J2252">
        <v>115</v>
      </c>
      <c r="K2252" t="b">
        <v>1</v>
      </c>
      <c r="N2252" s="25" t="s">
        <v>571</v>
      </c>
      <c r="O2252" s="2">
        <f>INDEX(Маршруты,MATCH(N2252,$B$3:$B$498,0),1)</f>
        <v>98</v>
      </c>
      <c r="P2252" s="27">
        <v>15</v>
      </c>
      <c r="Q2252" s="2">
        <f>INDEX(Остановки,MATCH(R2252,ИД_Остановки!$B$3:$B$467,0),1)</f>
        <v>78</v>
      </c>
      <c r="R2252" s="45" t="s">
        <v>277</v>
      </c>
      <c r="S2252" s="20">
        <v>0.39</v>
      </c>
    </row>
    <row r="2253" spans="8:19" x14ac:dyDescent="0.25">
      <c r="H2253">
        <v>14</v>
      </c>
      <c r="I2253">
        <v>472</v>
      </c>
      <c r="J2253">
        <v>115</v>
      </c>
      <c r="K2253" t="b">
        <v>1</v>
      </c>
      <c r="N2253" s="30" t="s">
        <v>571</v>
      </c>
      <c r="O2253" s="2">
        <f>INDEX(Маршруты,MATCH(N2253,$B$3:$B$498,0),1)</f>
        <v>98</v>
      </c>
      <c r="P2253" s="27">
        <v>16</v>
      </c>
      <c r="Q2253" s="2">
        <f>INDEX(Остановки,MATCH(R2253,ИД_Остановки!$B$3:$B$467,0),1)</f>
        <v>129</v>
      </c>
      <c r="R2253" s="45" t="s">
        <v>81</v>
      </c>
      <c r="S2253" s="20">
        <v>0.47</v>
      </c>
    </row>
    <row r="2254" spans="8:19" x14ac:dyDescent="0.25">
      <c r="H2254">
        <v>14</v>
      </c>
      <c r="I2254">
        <v>476</v>
      </c>
      <c r="J2254">
        <v>115</v>
      </c>
      <c r="K2254" t="b">
        <v>1</v>
      </c>
      <c r="N2254" s="30" t="s">
        <v>571</v>
      </c>
      <c r="O2254" s="2">
        <f>INDEX(Маршруты,MATCH(N2254,$B$3:$B$498,0),1)</f>
        <v>98</v>
      </c>
      <c r="P2254" s="27">
        <v>17</v>
      </c>
      <c r="Q2254" s="2">
        <f>INDEX(Остановки,MATCH(R2254,ИД_Остановки!$B$3:$B$467,0),1)</f>
        <v>109</v>
      </c>
      <c r="R2254" s="45" t="s">
        <v>293</v>
      </c>
      <c r="S2254" s="20">
        <v>0.44</v>
      </c>
    </row>
    <row r="2255" spans="8:19" x14ac:dyDescent="0.25">
      <c r="H2255">
        <v>14</v>
      </c>
      <c r="I2255">
        <v>480</v>
      </c>
      <c r="J2255">
        <v>115</v>
      </c>
      <c r="K2255" t="b">
        <v>1</v>
      </c>
      <c r="N2255" s="30" t="s">
        <v>571</v>
      </c>
      <c r="O2255" s="2">
        <f>INDEX(Маршруты,MATCH(N2255,$B$3:$B$498,0),1)</f>
        <v>98</v>
      </c>
      <c r="P2255" s="28">
        <v>18</v>
      </c>
      <c r="Q2255" s="2">
        <f>INDEX(Остановки,MATCH(R2255,ИД_Остановки!$B$3:$B$467,0),1)</f>
        <v>72</v>
      </c>
      <c r="R2255" s="24" t="s">
        <v>272</v>
      </c>
      <c r="S2255" s="20">
        <v>0.41</v>
      </c>
    </row>
    <row r="2256" spans="8:19" x14ac:dyDescent="0.25">
      <c r="H2256">
        <v>14</v>
      </c>
      <c r="I2256">
        <v>484</v>
      </c>
      <c r="J2256">
        <v>115</v>
      </c>
      <c r="K2256" t="b">
        <v>1</v>
      </c>
      <c r="N2256" s="30" t="s">
        <v>571</v>
      </c>
      <c r="O2256" s="2">
        <f>INDEX(Маршруты,MATCH(N2256,$B$3:$B$498,0),1)</f>
        <v>98</v>
      </c>
      <c r="P2256" s="27">
        <v>19</v>
      </c>
      <c r="Q2256" s="2">
        <f>INDEX(Остановки,MATCH(R2256,ИД_Остановки!$B$3:$B$467,0),1)</f>
        <v>110</v>
      </c>
      <c r="R2256" s="45" t="s">
        <v>294</v>
      </c>
      <c r="S2256" s="20">
        <v>0.31</v>
      </c>
    </row>
    <row r="2257" spans="8:19" x14ac:dyDescent="0.25">
      <c r="H2257">
        <v>14</v>
      </c>
      <c r="I2257">
        <v>488</v>
      </c>
      <c r="J2257">
        <v>115</v>
      </c>
      <c r="K2257" t="b">
        <v>1</v>
      </c>
      <c r="N2257" s="25" t="s">
        <v>571</v>
      </c>
      <c r="O2257" s="2">
        <f>INDEX(Маршруты,MATCH(N2257,$B$3:$B$498,0),1)</f>
        <v>98</v>
      </c>
      <c r="P2257" s="27">
        <v>20</v>
      </c>
      <c r="Q2257" s="2">
        <f>INDEX(Остановки,MATCH(R2257,ИД_Остановки!$B$3:$B$467,0),1)</f>
        <v>111</v>
      </c>
      <c r="R2257" s="24" t="s">
        <v>73</v>
      </c>
      <c r="S2257" s="20">
        <v>0.54</v>
      </c>
    </row>
    <row r="2258" spans="8:19" x14ac:dyDescent="0.25">
      <c r="H2258">
        <v>14</v>
      </c>
      <c r="I2258">
        <v>492</v>
      </c>
      <c r="J2258">
        <v>115</v>
      </c>
      <c r="K2258" t="b">
        <v>1</v>
      </c>
      <c r="N2258" s="25" t="s">
        <v>571</v>
      </c>
      <c r="O2258" s="2">
        <f>INDEX(Маршруты,MATCH(N2258,$B$3:$B$498,0),1)</f>
        <v>98</v>
      </c>
      <c r="P2258" s="27">
        <v>21</v>
      </c>
      <c r="Q2258" s="2">
        <f>INDEX(Остановки,MATCH(R2258,ИД_Остановки!$B$3:$B$467,0),1)</f>
        <v>112</v>
      </c>
      <c r="R2258" s="45" t="s">
        <v>295</v>
      </c>
      <c r="S2258" s="20">
        <v>0.38</v>
      </c>
    </row>
    <row r="2259" spans="8:19" x14ac:dyDescent="0.25">
      <c r="H2259">
        <v>14</v>
      </c>
      <c r="I2259">
        <v>496</v>
      </c>
      <c r="J2259">
        <v>115</v>
      </c>
      <c r="K2259" t="b">
        <v>1</v>
      </c>
      <c r="N2259" s="30" t="s">
        <v>571</v>
      </c>
      <c r="O2259" s="2">
        <f>INDEX(Маршруты,MATCH(N2259,$B$3:$B$498,0),1)</f>
        <v>98</v>
      </c>
      <c r="P2259" s="27">
        <v>22</v>
      </c>
      <c r="Q2259" s="2">
        <f>INDEX(Остановки,MATCH(R2259,ИД_Остановки!$B$3:$B$467,0),1)</f>
        <v>126</v>
      </c>
      <c r="R2259" s="45" t="s">
        <v>303</v>
      </c>
      <c r="S2259" s="20">
        <v>0.49</v>
      </c>
    </row>
    <row r="2260" spans="8:19" x14ac:dyDescent="0.25">
      <c r="H2260">
        <v>14</v>
      </c>
      <c r="I2260">
        <v>500</v>
      </c>
      <c r="J2260">
        <v>115</v>
      </c>
      <c r="K2260" t="b">
        <v>1</v>
      </c>
      <c r="N2260" s="25" t="s">
        <v>571</v>
      </c>
      <c r="O2260" s="2">
        <f>INDEX(Маршруты,MATCH(N2260,$B$3:$B$498,0),1)</f>
        <v>98</v>
      </c>
      <c r="P2260" s="27">
        <v>23</v>
      </c>
      <c r="Q2260" s="2">
        <f>INDEX(Остановки,MATCH(R2260,ИД_Остановки!$B$3:$B$467,0),1)</f>
        <v>114</v>
      </c>
      <c r="R2260" s="45" t="s">
        <v>297</v>
      </c>
      <c r="S2260" s="20">
        <v>0.53</v>
      </c>
    </row>
    <row r="2261" spans="8:19" x14ac:dyDescent="0.25">
      <c r="H2261">
        <v>14</v>
      </c>
      <c r="I2261">
        <v>504</v>
      </c>
      <c r="J2261">
        <v>115</v>
      </c>
      <c r="K2261" t="b">
        <v>1</v>
      </c>
      <c r="N2261" s="25" t="s">
        <v>571</v>
      </c>
      <c r="O2261" s="2">
        <f>INDEX(Маршруты,MATCH(N2261,$B$3:$B$498,0),1)</f>
        <v>98</v>
      </c>
      <c r="P2261" s="27">
        <v>24</v>
      </c>
      <c r="Q2261" s="2">
        <f>INDEX(Остановки,MATCH(R2261,ИД_Остановки!$B$3:$B$467,0),1)</f>
        <v>115</v>
      </c>
      <c r="R2261" s="45" t="s">
        <v>74</v>
      </c>
      <c r="S2261" s="20">
        <v>0.37</v>
      </c>
    </row>
    <row r="2262" spans="8:19" x14ac:dyDescent="0.25">
      <c r="H2262">
        <v>14</v>
      </c>
      <c r="I2262">
        <v>508</v>
      </c>
      <c r="J2262">
        <v>115</v>
      </c>
      <c r="K2262" t="b">
        <v>1</v>
      </c>
      <c r="N2262" s="30" t="s">
        <v>571</v>
      </c>
      <c r="O2262" s="2">
        <f>INDEX(Маршруты,MATCH(N2262,$B$3:$B$498,0),1)</f>
        <v>98</v>
      </c>
      <c r="P2262" s="28">
        <v>25</v>
      </c>
      <c r="Q2262" s="2">
        <f>INDEX(Остановки,MATCH(R2262,ИД_Остановки!$B$3:$B$467,0),1)</f>
        <v>335</v>
      </c>
      <c r="R2262" s="24" t="s">
        <v>191</v>
      </c>
      <c r="S2262" s="21">
        <v>0.67</v>
      </c>
    </row>
    <row r="2263" spans="8:19" x14ac:dyDescent="0.25">
      <c r="H2263">
        <v>14</v>
      </c>
      <c r="I2263">
        <v>512</v>
      </c>
      <c r="J2263">
        <v>115</v>
      </c>
      <c r="K2263" t="b">
        <v>1</v>
      </c>
      <c r="N2263" s="25" t="s">
        <v>571</v>
      </c>
      <c r="O2263" s="2">
        <f>INDEX(Маршруты,MATCH(N2263,$B$3:$B$498,0),1)</f>
        <v>98</v>
      </c>
      <c r="P2263" s="27">
        <v>26</v>
      </c>
      <c r="Q2263" s="2">
        <f>INDEX(Остановки,MATCH(R2263,ИД_Остановки!$B$3:$B$467,0),1)</f>
        <v>117</v>
      </c>
      <c r="R2263" s="45" t="s">
        <v>298</v>
      </c>
      <c r="S2263" s="20">
        <v>0.41</v>
      </c>
    </row>
    <row r="2264" spans="8:19" x14ac:dyDescent="0.25">
      <c r="H2264">
        <v>14</v>
      </c>
      <c r="I2264">
        <v>516</v>
      </c>
      <c r="J2264">
        <v>115</v>
      </c>
      <c r="K2264" t="b">
        <v>1</v>
      </c>
      <c r="N2264" s="25" t="s">
        <v>571</v>
      </c>
      <c r="O2264" s="2">
        <f>INDEX(Маршруты,MATCH(N2264,$B$3:$B$498,0),1)</f>
        <v>98</v>
      </c>
      <c r="P2264" s="27">
        <v>27</v>
      </c>
      <c r="Q2264" s="2">
        <f>INDEX(Остановки,MATCH(R2264,ИД_Остановки!$B$3:$B$467,0),1)</f>
        <v>119</v>
      </c>
      <c r="R2264" s="45" t="s">
        <v>165</v>
      </c>
      <c r="S2264" s="20">
        <v>0.79</v>
      </c>
    </row>
    <row r="2265" spans="8:19" x14ac:dyDescent="0.25">
      <c r="H2265">
        <v>14</v>
      </c>
      <c r="I2265">
        <v>520</v>
      </c>
      <c r="J2265">
        <v>115</v>
      </c>
      <c r="K2265" t="b">
        <v>1</v>
      </c>
      <c r="N2265" s="25" t="s">
        <v>571</v>
      </c>
      <c r="O2265" s="2">
        <f>INDEX(Маршруты,MATCH(N2265,$B$3:$B$498,0),1)</f>
        <v>98</v>
      </c>
      <c r="P2265" s="28">
        <v>28</v>
      </c>
      <c r="Q2265" s="2">
        <f>INDEX(Остановки,MATCH(R2265,ИД_Остановки!$B$3:$B$467,0),1)</f>
        <v>220</v>
      </c>
      <c r="R2265" s="24" t="s">
        <v>352</v>
      </c>
      <c r="S2265" s="20">
        <v>0.52</v>
      </c>
    </row>
    <row r="2266" spans="8:19" x14ac:dyDescent="0.25">
      <c r="H2266">
        <v>14</v>
      </c>
      <c r="I2266">
        <v>524</v>
      </c>
      <c r="J2266">
        <v>115</v>
      </c>
      <c r="K2266" t="b">
        <v>1</v>
      </c>
      <c r="N2266" s="25" t="s">
        <v>571</v>
      </c>
      <c r="O2266" s="2">
        <f>INDEX(Маршруты,MATCH(N2266,$B$3:$B$498,0),1)</f>
        <v>98</v>
      </c>
      <c r="P2266" s="28">
        <v>29</v>
      </c>
      <c r="Q2266" s="2">
        <f>INDEX(Остановки,MATCH(R2266,ИД_Остановки!$B$3:$B$467,0),1)</f>
        <v>97</v>
      </c>
      <c r="R2266" s="24" t="s">
        <v>69</v>
      </c>
      <c r="S2266" s="20">
        <v>0.47</v>
      </c>
    </row>
    <row r="2267" spans="8:19" x14ac:dyDescent="0.25">
      <c r="H2267">
        <v>14</v>
      </c>
      <c r="I2267">
        <v>528</v>
      </c>
      <c r="J2267">
        <v>115</v>
      </c>
      <c r="K2267" t="b">
        <v>1</v>
      </c>
      <c r="N2267" s="32" t="s">
        <v>219</v>
      </c>
      <c r="O2267" s="2">
        <f>INDEX(Маршруты,MATCH(N2267,$B$3:$B$498,0),1)</f>
        <v>99</v>
      </c>
      <c r="P2267" s="27">
        <v>1</v>
      </c>
      <c r="Q2267" s="2">
        <f>INDEX(Остановки,MATCH(R2267,ИД_Остановки!$B$3:$B$467,0),1)</f>
        <v>158</v>
      </c>
      <c r="R2267" s="45" t="s">
        <v>322</v>
      </c>
      <c r="S2267" s="20"/>
    </row>
    <row r="2268" spans="8:19" x14ac:dyDescent="0.25">
      <c r="H2268">
        <v>14</v>
      </c>
      <c r="I2268">
        <v>532</v>
      </c>
      <c r="J2268">
        <v>115</v>
      </c>
      <c r="K2268" t="b">
        <v>1</v>
      </c>
      <c r="N2268" s="30" t="s">
        <v>219</v>
      </c>
      <c r="O2268" s="2">
        <f>INDEX(Маршруты,MATCH(N2268,$B$3:$B$498,0),1)</f>
        <v>99</v>
      </c>
      <c r="P2268" s="27">
        <v>2</v>
      </c>
      <c r="Q2268" s="2">
        <f>INDEX(Остановки,MATCH(R2268,ИД_Остановки!$B$3:$B$467,0),1)</f>
        <v>228</v>
      </c>
      <c r="R2268" s="24" t="s">
        <v>127</v>
      </c>
      <c r="S2268" s="20">
        <v>1.89</v>
      </c>
    </row>
    <row r="2269" spans="8:19" x14ac:dyDescent="0.25">
      <c r="H2269">
        <v>14</v>
      </c>
      <c r="I2269">
        <v>536</v>
      </c>
      <c r="J2269">
        <v>115</v>
      </c>
      <c r="K2269" t="b">
        <v>1</v>
      </c>
      <c r="N2269" s="25" t="s">
        <v>219</v>
      </c>
      <c r="O2269" s="2">
        <f>INDEX(Маршруты,MATCH(N2269,$B$3:$B$498,0),1)</f>
        <v>99</v>
      </c>
      <c r="P2269" s="27">
        <v>3</v>
      </c>
      <c r="Q2269" s="2">
        <f>INDEX(Остановки,MATCH(R2269,ИД_Остановки!$B$3:$B$467,0),1)</f>
        <v>238</v>
      </c>
      <c r="R2269" s="45" t="s">
        <v>131</v>
      </c>
      <c r="S2269" s="20">
        <v>0.94</v>
      </c>
    </row>
    <row r="2270" spans="8:19" x14ac:dyDescent="0.25">
      <c r="H2270">
        <v>14</v>
      </c>
      <c r="I2270">
        <v>540</v>
      </c>
      <c r="J2270">
        <v>115</v>
      </c>
      <c r="K2270" t="b">
        <v>1</v>
      </c>
      <c r="N2270" s="25" t="s">
        <v>219</v>
      </c>
      <c r="O2270" s="2">
        <f>INDEX(Маршруты,MATCH(N2270,$B$3:$B$498,0),1)</f>
        <v>99</v>
      </c>
      <c r="P2270" s="27">
        <v>4</v>
      </c>
      <c r="Q2270" s="2">
        <f>INDEX(Остановки,MATCH(R2270,ИД_Остановки!$B$3:$B$467,0),1)</f>
        <v>257</v>
      </c>
      <c r="R2270" s="45" t="s">
        <v>377</v>
      </c>
      <c r="S2270" s="20">
        <v>0.56000000000000005</v>
      </c>
    </row>
    <row r="2271" spans="8:19" x14ac:dyDescent="0.25">
      <c r="H2271">
        <v>14</v>
      </c>
      <c r="I2271">
        <v>544</v>
      </c>
      <c r="J2271">
        <v>115</v>
      </c>
      <c r="K2271" t="b">
        <v>1</v>
      </c>
      <c r="N2271" s="30" t="s">
        <v>219</v>
      </c>
      <c r="O2271" s="2">
        <f>INDEX(Маршруты,MATCH(N2271,$B$3:$B$498,0),1)</f>
        <v>99</v>
      </c>
      <c r="P2271" s="27">
        <v>5</v>
      </c>
      <c r="Q2271" s="2">
        <f>INDEX(Остановки,MATCH(R2271,ИД_Остановки!$B$3:$B$467,0),1)</f>
        <v>255</v>
      </c>
      <c r="R2271" s="45" t="s">
        <v>137</v>
      </c>
      <c r="S2271" s="20">
        <v>0.61</v>
      </c>
    </row>
    <row r="2272" spans="8:19" x14ac:dyDescent="0.25">
      <c r="H2272">
        <v>14</v>
      </c>
      <c r="I2272">
        <v>548</v>
      </c>
      <c r="J2272">
        <v>115</v>
      </c>
      <c r="K2272" t="b">
        <v>1</v>
      </c>
      <c r="N2272" s="25" t="s">
        <v>219</v>
      </c>
      <c r="O2272" s="2">
        <f>INDEX(Маршруты,MATCH(N2272,$B$3:$B$498,0),1)</f>
        <v>99</v>
      </c>
      <c r="P2272" s="27">
        <v>6</v>
      </c>
      <c r="Q2272" s="2">
        <f>INDEX(Остановки,MATCH(R2272,ИД_Остановки!$B$3:$B$467,0),1)</f>
        <v>200</v>
      </c>
      <c r="R2272" s="45" t="s">
        <v>119</v>
      </c>
      <c r="S2272" s="20">
        <v>0.67</v>
      </c>
    </row>
    <row r="2273" spans="8:19" x14ac:dyDescent="0.25">
      <c r="H2273">
        <v>14</v>
      </c>
      <c r="I2273">
        <v>552</v>
      </c>
      <c r="J2273">
        <v>115</v>
      </c>
      <c r="K2273" t="b">
        <v>1</v>
      </c>
      <c r="N2273" s="25" t="s">
        <v>219</v>
      </c>
      <c r="O2273" s="2">
        <f>INDEX(Маршруты,MATCH(N2273,$B$3:$B$498,0),1)</f>
        <v>99</v>
      </c>
      <c r="P2273" s="27">
        <v>7</v>
      </c>
      <c r="Q2273" s="2">
        <f>INDEX(Остановки,MATCH(R2273,ИД_Остановки!$B$3:$B$467,0),1)</f>
        <v>199</v>
      </c>
      <c r="R2273" s="45" t="s">
        <v>118</v>
      </c>
      <c r="S2273" s="20">
        <v>0.75</v>
      </c>
    </row>
    <row r="2274" spans="8:19" x14ac:dyDescent="0.25">
      <c r="H2274">
        <v>14</v>
      </c>
      <c r="I2274">
        <v>556</v>
      </c>
      <c r="J2274">
        <v>115</v>
      </c>
      <c r="K2274" t="b">
        <v>1</v>
      </c>
      <c r="N2274" s="30" t="s">
        <v>219</v>
      </c>
      <c r="O2274" s="2">
        <f>INDEX(Маршруты,MATCH(N2274,$B$3:$B$498,0),1)</f>
        <v>99</v>
      </c>
      <c r="P2274" s="27">
        <v>8</v>
      </c>
      <c r="Q2274" s="2">
        <f>INDEX(Остановки,MATCH(R2274,ИД_Остановки!$B$3:$B$467,0),1)</f>
        <v>22</v>
      </c>
      <c r="R2274" s="45" t="s">
        <v>22</v>
      </c>
      <c r="S2274" s="20">
        <v>0.42</v>
      </c>
    </row>
    <row r="2275" spans="8:19" x14ac:dyDescent="0.25">
      <c r="H2275">
        <v>14</v>
      </c>
      <c r="I2275">
        <v>560</v>
      </c>
      <c r="J2275">
        <v>115</v>
      </c>
      <c r="K2275" t="b">
        <v>1</v>
      </c>
      <c r="N2275" s="30" t="s">
        <v>219</v>
      </c>
      <c r="O2275" s="2">
        <f>INDEX(Маршруты,MATCH(N2275,$B$3:$B$498,0),1)</f>
        <v>99</v>
      </c>
      <c r="P2275" s="27">
        <v>9</v>
      </c>
      <c r="Q2275" s="2">
        <f>INDEX(Остановки,MATCH(R2275,ИД_Остановки!$B$3:$B$467,0),1)</f>
        <v>337</v>
      </c>
      <c r="R2275" s="45" t="s">
        <v>407</v>
      </c>
      <c r="S2275" s="20">
        <v>0.39</v>
      </c>
    </row>
    <row r="2276" spans="8:19" x14ac:dyDescent="0.25">
      <c r="H2276">
        <v>14</v>
      </c>
      <c r="I2276">
        <v>564</v>
      </c>
      <c r="J2276">
        <v>115</v>
      </c>
      <c r="K2276" t="b">
        <v>1</v>
      </c>
      <c r="N2276" s="30" t="s">
        <v>219</v>
      </c>
      <c r="O2276" s="2">
        <f>INDEX(Маршруты,MATCH(N2276,$B$3:$B$498,0),1)</f>
        <v>99</v>
      </c>
      <c r="P2276" s="28">
        <v>10</v>
      </c>
      <c r="Q2276" s="2">
        <f>INDEX(Остановки,MATCH(R2276,ИД_Остановки!$B$3:$B$467,0),1)</f>
        <v>354</v>
      </c>
      <c r="R2276" s="24" t="s">
        <v>417</v>
      </c>
      <c r="S2276" s="21">
        <v>1.58</v>
      </c>
    </row>
    <row r="2277" spans="8:19" x14ac:dyDescent="0.25">
      <c r="H2277">
        <v>14</v>
      </c>
      <c r="I2277">
        <v>568</v>
      </c>
      <c r="J2277">
        <v>115</v>
      </c>
      <c r="K2277" t="b">
        <v>1</v>
      </c>
      <c r="N2277" s="25" t="s">
        <v>219</v>
      </c>
      <c r="O2277" s="2">
        <f>INDEX(Маршруты,MATCH(N2277,$B$3:$B$498,0),1)</f>
        <v>99</v>
      </c>
      <c r="P2277" s="27">
        <v>11</v>
      </c>
      <c r="Q2277" s="2">
        <f>INDEX(Остановки,MATCH(R2277,ИД_Остановки!$B$3:$B$467,0),1)</f>
        <v>333</v>
      </c>
      <c r="R2277" s="45" t="s">
        <v>190</v>
      </c>
      <c r="S2277" s="20">
        <v>0.43</v>
      </c>
    </row>
    <row r="2278" spans="8:19" x14ac:dyDescent="0.25">
      <c r="H2278">
        <v>14</v>
      </c>
      <c r="I2278">
        <v>572</v>
      </c>
      <c r="J2278">
        <v>115</v>
      </c>
      <c r="K2278" t="b">
        <v>1</v>
      </c>
      <c r="N2278" s="30" t="s">
        <v>572</v>
      </c>
      <c r="O2278" s="2">
        <f>INDEX(Маршруты,MATCH(N2278,$B$3:$B$498,0),1)</f>
        <v>100</v>
      </c>
      <c r="P2278" s="27">
        <v>1</v>
      </c>
      <c r="Q2278" s="2">
        <f>INDEX(Остановки,MATCH(R2278,ИД_Остановки!$B$3:$B$467,0),1)</f>
        <v>333</v>
      </c>
      <c r="R2278" s="45" t="s">
        <v>190</v>
      </c>
      <c r="S2278" s="20"/>
    </row>
    <row r="2279" spans="8:19" x14ac:dyDescent="0.25">
      <c r="H2279">
        <v>14</v>
      </c>
      <c r="I2279">
        <v>576</v>
      </c>
      <c r="J2279">
        <v>115</v>
      </c>
      <c r="K2279" t="b">
        <v>1</v>
      </c>
      <c r="N2279" s="30" t="s">
        <v>572</v>
      </c>
      <c r="O2279" s="2">
        <f>INDEX(Маршруты,MATCH(N2279,$B$3:$B$498,0),1)</f>
        <v>100</v>
      </c>
      <c r="P2279" s="27">
        <v>2</v>
      </c>
      <c r="Q2279" s="2">
        <f>INDEX(Остановки,MATCH(R2279,ИД_Остановки!$B$3:$B$467,0),1)</f>
        <v>354</v>
      </c>
      <c r="R2279" s="45" t="s">
        <v>417</v>
      </c>
      <c r="S2279" s="20">
        <v>0.43</v>
      </c>
    </row>
    <row r="2280" spans="8:19" x14ac:dyDescent="0.25">
      <c r="H2280">
        <v>14</v>
      </c>
      <c r="I2280">
        <v>580</v>
      </c>
      <c r="J2280">
        <v>115</v>
      </c>
      <c r="K2280" t="b">
        <v>1</v>
      </c>
      <c r="N2280" s="25" t="s">
        <v>572</v>
      </c>
      <c r="O2280" s="2">
        <f>INDEX(Маршруты,MATCH(N2280,$B$3:$B$498,0),1)</f>
        <v>100</v>
      </c>
      <c r="P2280" s="27">
        <v>3</v>
      </c>
      <c r="Q2280" s="2">
        <f>INDEX(Остановки,MATCH(R2280,ИД_Остановки!$B$3:$B$467,0),1)</f>
        <v>337</v>
      </c>
      <c r="R2280" s="45" t="s">
        <v>407</v>
      </c>
      <c r="S2280" s="20">
        <v>1.58</v>
      </c>
    </row>
    <row r="2281" spans="8:19" x14ac:dyDescent="0.25">
      <c r="H2281">
        <v>14</v>
      </c>
      <c r="I2281">
        <v>584</v>
      </c>
      <c r="J2281">
        <v>115</v>
      </c>
      <c r="K2281" t="b">
        <v>1</v>
      </c>
      <c r="N2281" s="26" t="s">
        <v>572</v>
      </c>
      <c r="O2281" s="2">
        <f>INDEX(Маршруты,MATCH(N2281,$B$3:$B$498,0),1)</f>
        <v>100</v>
      </c>
      <c r="P2281" s="27">
        <v>4</v>
      </c>
      <c r="Q2281" s="2">
        <f>INDEX(Остановки,MATCH(R2281,ИД_Остановки!$B$3:$B$467,0),1)</f>
        <v>22</v>
      </c>
      <c r="R2281" s="45" t="s">
        <v>22</v>
      </c>
      <c r="S2281" s="20">
        <v>0.39</v>
      </c>
    </row>
    <row r="2282" spans="8:19" x14ac:dyDescent="0.25">
      <c r="H2282">
        <v>14</v>
      </c>
      <c r="I2282">
        <v>588</v>
      </c>
      <c r="J2282">
        <v>115</v>
      </c>
      <c r="K2282" t="b">
        <v>1</v>
      </c>
      <c r="N2282" s="25" t="s">
        <v>572</v>
      </c>
      <c r="O2282" s="2">
        <f>INDEX(Маршруты,MATCH(N2282,$B$3:$B$498,0),1)</f>
        <v>100</v>
      </c>
      <c r="P2282" s="27">
        <v>5</v>
      </c>
      <c r="Q2282" s="2">
        <f>INDEX(Остановки,MATCH(R2282,ИД_Остановки!$B$3:$B$467,0),1)</f>
        <v>199</v>
      </c>
      <c r="R2282" s="45" t="s">
        <v>118</v>
      </c>
      <c r="S2282" s="20">
        <v>0.42</v>
      </c>
    </row>
    <row r="2283" spans="8:19" x14ac:dyDescent="0.25">
      <c r="H2283">
        <v>14</v>
      </c>
      <c r="I2283">
        <v>592</v>
      </c>
      <c r="J2283">
        <v>115</v>
      </c>
      <c r="K2283" t="b">
        <v>1</v>
      </c>
      <c r="N2283" s="30" t="s">
        <v>572</v>
      </c>
      <c r="O2283" s="2">
        <f>INDEX(Маршруты,MATCH(N2283,$B$3:$B$498,0),1)</f>
        <v>100</v>
      </c>
      <c r="P2283" s="27">
        <v>6</v>
      </c>
      <c r="Q2283" s="2">
        <f>INDEX(Остановки,MATCH(R2283,ИД_Остановки!$B$3:$B$467,0),1)</f>
        <v>200</v>
      </c>
      <c r="R2283" s="45" t="s">
        <v>119</v>
      </c>
      <c r="S2283" s="20">
        <v>0.75</v>
      </c>
    </row>
    <row r="2284" spans="8:19" x14ac:dyDescent="0.25">
      <c r="H2284">
        <v>14</v>
      </c>
      <c r="I2284">
        <v>596</v>
      </c>
      <c r="J2284">
        <v>115</v>
      </c>
      <c r="K2284" t="b">
        <v>1</v>
      </c>
      <c r="N2284" s="26" t="s">
        <v>572</v>
      </c>
      <c r="O2284" s="2">
        <f>INDEX(Маршруты,MATCH(N2284,$B$3:$B$498,0),1)</f>
        <v>100</v>
      </c>
      <c r="P2284" s="27">
        <v>7</v>
      </c>
      <c r="Q2284" s="2">
        <f>INDEX(Остановки,MATCH(R2284,ИД_Остановки!$B$3:$B$467,0),1)</f>
        <v>255</v>
      </c>
      <c r="R2284" s="45" t="s">
        <v>137</v>
      </c>
      <c r="S2284" s="20">
        <v>0.67</v>
      </c>
    </row>
    <row r="2285" spans="8:19" x14ac:dyDescent="0.25">
      <c r="H2285">
        <v>14</v>
      </c>
      <c r="I2285">
        <v>600</v>
      </c>
      <c r="J2285">
        <v>115</v>
      </c>
      <c r="K2285" t="b">
        <v>1</v>
      </c>
      <c r="N2285" s="25" t="s">
        <v>572</v>
      </c>
      <c r="O2285" s="2">
        <f>INDEX(Маршруты,MATCH(N2285,$B$3:$B$498,0),1)</f>
        <v>100</v>
      </c>
      <c r="P2285" s="27">
        <v>8</v>
      </c>
      <c r="Q2285" s="2">
        <f>INDEX(Остановки,MATCH(R2285,ИД_Остановки!$B$3:$B$467,0),1)</f>
        <v>257</v>
      </c>
      <c r="R2285" s="45" t="s">
        <v>377</v>
      </c>
      <c r="S2285" s="20">
        <v>0.61</v>
      </c>
    </row>
    <row r="2286" spans="8:19" x14ac:dyDescent="0.25">
      <c r="H2286">
        <v>14</v>
      </c>
      <c r="I2286">
        <v>604</v>
      </c>
      <c r="J2286">
        <v>115</v>
      </c>
      <c r="K2286" t="b">
        <v>1</v>
      </c>
      <c r="N2286" s="25" t="s">
        <v>572</v>
      </c>
      <c r="O2286" s="2">
        <f>INDEX(Маршруты,MATCH(N2286,$B$3:$B$498,0),1)</f>
        <v>100</v>
      </c>
      <c r="P2286" s="27">
        <v>9</v>
      </c>
      <c r="Q2286" s="2">
        <f>INDEX(Остановки,MATCH(R2286,ИД_Остановки!$B$3:$B$467,0),1)</f>
        <v>238</v>
      </c>
      <c r="R2286" s="45" t="s">
        <v>131</v>
      </c>
      <c r="S2286" s="20">
        <v>0.56000000000000005</v>
      </c>
    </row>
    <row r="2287" spans="8:19" x14ac:dyDescent="0.25">
      <c r="H2287">
        <v>14</v>
      </c>
      <c r="I2287">
        <v>608</v>
      </c>
      <c r="J2287">
        <v>115</v>
      </c>
      <c r="K2287" t="b">
        <v>1</v>
      </c>
      <c r="N2287" s="26" t="s">
        <v>572</v>
      </c>
      <c r="O2287" s="2">
        <f>INDEX(Маршруты,MATCH(N2287,$B$3:$B$498,0),1)</f>
        <v>100</v>
      </c>
      <c r="P2287" s="27">
        <v>10</v>
      </c>
      <c r="Q2287" s="2">
        <f>INDEX(Остановки,MATCH(R2287,ИД_Остановки!$B$3:$B$467,0),1)</f>
        <v>228</v>
      </c>
      <c r="R2287" s="45" t="s">
        <v>127</v>
      </c>
      <c r="S2287" s="20">
        <v>0.94</v>
      </c>
    </row>
    <row r="2288" spans="8:19" x14ac:dyDescent="0.25">
      <c r="H2288">
        <v>14</v>
      </c>
      <c r="I2288">
        <v>612</v>
      </c>
      <c r="J2288">
        <v>115</v>
      </c>
      <c r="K2288" t="b">
        <v>1</v>
      </c>
      <c r="N2288" s="25" t="s">
        <v>572</v>
      </c>
      <c r="O2288" s="2">
        <f>INDEX(Маршруты,MATCH(N2288,$B$3:$B$498,0),1)</f>
        <v>100</v>
      </c>
      <c r="P2288" s="27">
        <v>11</v>
      </c>
      <c r="Q2288" s="2">
        <f>INDEX(Остановки,MATCH(R2288,ИД_Остановки!$B$3:$B$467,0),1)</f>
        <v>158</v>
      </c>
      <c r="R2288" s="45" t="s">
        <v>322</v>
      </c>
      <c r="S2288" s="20">
        <v>1.89</v>
      </c>
    </row>
    <row r="2289" spans="8:19" x14ac:dyDescent="0.25">
      <c r="H2289">
        <v>14</v>
      </c>
      <c r="I2289">
        <v>616</v>
      </c>
      <c r="J2289">
        <v>115</v>
      </c>
      <c r="K2289" t="b">
        <v>1</v>
      </c>
      <c r="N2289" s="30" t="s">
        <v>643</v>
      </c>
      <c r="O2289" s="2">
        <f>INDEX(Маршруты,MATCH(N2289,$B$3:$B$498,0),1)</f>
        <v>101</v>
      </c>
      <c r="P2289" s="28">
        <v>1</v>
      </c>
      <c r="Q2289" s="2">
        <f>INDEX(Остановки,MATCH(R2289,ИД_Остановки!$B$3:$B$467,0),1)</f>
        <v>123</v>
      </c>
      <c r="R2289" s="24" t="s">
        <v>301</v>
      </c>
      <c r="S2289" s="21"/>
    </row>
    <row r="2290" spans="8:19" x14ac:dyDescent="0.25">
      <c r="H2290">
        <v>14</v>
      </c>
      <c r="I2290">
        <v>620</v>
      </c>
      <c r="J2290">
        <v>115</v>
      </c>
      <c r="K2290" t="b">
        <v>1</v>
      </c>
      <c r="N2290" s="26" t="s">
        <v>643</v>
      </c>
      <c r="O2290" s="2">
        <f>INDEX(Маршруты,MATCH(N2290,$B$3:$B$498,0),1)</f>
        <v>101</v>
      </c>
      <c r="P2290" s="27">
        <v>2</v>
      </c>
      <c r="Q2290" s="2">
        <f>INDEX(Остановки,MATCH(R2290,ИД_Остановки!$B$3:$B$467,0),1)</f>
        <v>96</v>
      </c>
      <c r="R2290" s="45" t="s">
        <v>285</v>
      </c>
      <c r="S2290" s="20">
        <v>0.6</v>
      </c>
    </row>
    <row r="2291" spans="8:19" x14ac:dyDescent="0.25">
      <c r="H2291">
        <v>14</v>
      </c>
      <c r="I2291">
        <v>624</v>
      </c>
      <c r="J2291">
        <v>115</v>
      </c>
      <c r="K2291" t="b">
        <v>1</v>
      </c>
      <c r="N2291" s="30" t="s">
        <v>643</v>
      </c>
      <c r="O2291" s="2">
        <f>INDEX(Маршруты,MATCH(N2291,$B$3:$B$498,0),1)</f>
        <v>101</v>
      </c>
      <c r="P2291" s="27">
        <v>3</v>
      </c>
      <c r="Q2291" s="2">
        <f>INDEX(Остановки,MATCH(R2291,ИД_Остановки!$B$3:$B$467,0),1)</f>
        <v>122</v>
      </c>
      <c r="R2291" s="24" t="s">
        <v>77</v>
      </c>
      <c r="S2291" s="20">
        <v>0.52</v>
      </c>
    </row>
    <row r="2292" spans="8:19" x14ac:dyDescent="0.25">
      <c r="H2292">
        <v>14</v>
      </c>
      <c r="I2292">
        <v>628</v>
      </c>
      <c r="J2292">
        <v>115</v>
      </c>
      <c r="K2292" t="b">
        <v>1</v>
      </c>
      <c r="N2292" s="25" t="s">
        <v>643</v>
      </c>
      <c r="O2292" s="2">
        <f>INDEX(Маршруты,MATCH(N2292,$B$3:$B$498,0),1)</f>
        <v>101</v>
      </c>
      <c r="P2292" s="27">
        <v>4</v>
      </c>
      <c r="Q2292" s="2">
        <f>INDEX(Остановки,MATCH(R2292,ИД_Остановки!$B$3:$B$467,0),1)</f>
        <v>121</v>
      </c>
      <c r="R2292" s="45" t="s">
        <v>625</v>
      </c>
      <c r="S2292" s="20">
        <v>0.32</v>
      </c>
    </row>
    <row r="2293" spans="8:19" x14ac:dyDescent="0.25">
      <c r="H2293">
        <v>14</v>
      </c>
      <c r="I2293">
        <v>632</v>
      </c>
      <c r="J2293">
        <v>115</v>
      </c>
      <c r="K2293" t="b">
        <v>1</v>
      </c>
      <c r="N2293" s="25" t="s">
        <v>643</v>
      </c>
      <c r="O2293" s="2">
        <f>INDEX(Маршруты,MATCH(N2293,$B$3:$B$498,0),1)</f>
        <v>101</v>
      </c>
      <c r="P2293" s="28">
        <v>5</v>
      </c>
      <c r="Q2293" s="2">
        <f>INDEX(Остановки,MATCH(R2293,ИД_Остановки!$B$3:$B$467,0),1)</f>
        <v>120</v>
      </c>
      <c r="R2293" s="24" t="s">
        <v>300</v>
      </c>
      <c r="S2293" s="21">
        <v>0.31</v>
      </c>
    </row>
    <row r="2294" spans="8:19" x14ac:dyDescent="0.25">
      <c r="H2294">
        <v>14</v>
      </c>
      <c r="I2294">
        <v>636</v>
      </c>
      <c r="J2294">
        <v>115</v>
      </c>
      <c r="K2294" t="b">
        <v>1</v>
      </c>
      <c r="N2294" s="25" t="s">
        <v>643</v>
      </c>
      <c r="O2294" s="2">
        <f>INDEX(Маршруты,MATCH(N2294,$B$3:$B$498,0),1)</f>
        <v>101</v>
      </c>
      <c r="P2294" s="27">
        <v>6</v>
      </c>
      <c r="Q2294" s="2">
        <f>INDEX(Остановки,MATCH(R2294,ИД_Остановки!$B$3:$B$467,0),1)</f>
        <v>119</v>
      </c>
      <c r="R2294" s="45" t="s">
        <v>165</v>
      </c>
      <c r="S2294" s="20">
        <v>1.1200000000000001</v>
      </c>
    </row>
    <row r="2295" spans="8:19" x14ac:dyDescent="0.25">
      <c r="H2295">
        <v>14</v>
      </c>
      <c r="I2295">
        <v>640</v>
      </c>
      <c r="J2295">
        <v>115</v>
      </c>
      <c r="K2295" t="b">
        <v>1</v>
      </c>
      <c r="N2295" s="25" t="s">
        <v>643</v>
      </c>
      <c r="O2295" s="2">
        <f>INDEX(Маршруты,MATCH(N2295,$B$3:$B$498,0),1)</f>
        <v>101</v>
      </c>
      <c r="P2295" s="27">
        <v>7</v>
      </c>
      <c r="Q2295" s="2">
        <f>INDEX(Остановки,MATCH(R2295,ИД_Остановки!$B$3:$B$467,0),1)</f>
        <v>117</v>
      </c>
      <c r="R2295" s="45" t="s">
        <v>298</v>
      </c>
      <c r="S2295" s="20">
        <v>0.79</v>
      </c>
    </row>
    <row r="2296" spans="8:19" x14ac:dyDescent="0.25">
      <c r="H2296">
        <v>14</v>
      </c>
      <c r="I2296">
        <v>644</v>
      </c>
      <c r="J2296">
        <v>115</v>
      </c>
      <c r="K2296" t="b">
        <v>1</v>
      </c>
      <c r="N2296" s="30" t="s">
        <v>643</v>
      </c>
      <c r="O2296" s="2">
        <f>INDEX(Маршруты,MATCH(N2296,$B$3:$B$498,0),1)</f>
        <v>101</v>
      </c>
      <c r="P2296" s="27">
        <v>8</v>
      </c>
      <c r="Q2296" s="2">
        <f>INDEX(Остановки,MATCH(R2296,ИД_Остановки!$B$3:$B$467,0),1)</f>
        <v>335</v>
      </c>
      <c r="R2296" s="45" t="s">
        <v>620</v>
      </c>
      <c r="S2296" s="20">
        <v>0.41</v>
      </c>
    </row>
    <row r="2297" spans="8:19" x14ac:dyDescent="0.25">
      <c r="H2297">
        <v>14</v>
      </c>
      <c r="I2297">
        <v>648</v>
      </c>
      <c r="J2297">
        <v>115</v>
      </c>
      <c r="K2297" t="b">
        <v>1</v>
      </c>
      <c r="N2297" s="25" t="s">
        <v>643</v>
      </c>
      <c r="O2297" s="2">
        <f>INDEX(Маршруты,MATCH(N2297,$B$3:$B$498,0),1)</f>
        <v>101</v>
      </c>
      <c r="P2297" s="28">
        <v>9</v>
      </c>
      <c r="Q2297" s="2">
        <f>INDEX(Остановки,MATCH(R2297,ИД_Остановки!$B$3:$B$467,0),1)</f>
        <v>115</v>
      </c>
      <c r="R2297" s="24" t="s">
        <v>74</v>
      </c>
      <c r="S2297" s="21">
        <v>0.67</v>
      </c>
    </row>
    <row r="2298" spans="8:19" x14ac:dyDescent="0.25">
      <c r="H2298">
        <v>14</v>
      </c>
      <c r="I2298">
        <v>652</v>
      </c>
      <c r="J2298">
        <v>115</v>
      </c>
      <c r="K2298" t="b">
        <v>1</v>
      </c>
      <c r="N2298" s="25" t="s">
        <v>643</v>
      </c>
      <c r="O2298" s="2">
        <f>INDEX(Маршруты,MATCH(N2298,$B$3:$B$498,0),1)</f>
        <v>101</v>
      </c>
      <c r="P2298" s="27">
        <v>10</v>
      </c>
      <c r="Q2298" s="2">
        <f>INDEX(Остановки,MATCH(R2298,ИД_Остановки!$B$3:$B$467,0),1)</f>
        <v>114</v>
      </c>
      <c r="R2298" s="45" t="s">
        <v>297</v>
      </c>
      <c r="S2298" s="20">
        <v>0.37</v>
      </c>
    </row>
    <row r="2299" spans="8:19" x14ac:dyDescent="0.25">
      <c r="H2299">
        <v>14</v>
      </c>
      <c r="I2299">
        <v>656</v>
      </c>
      <c r="J2299">
        <v>115</v>
      </c>
      <c r="K2299" t="b">
        <v>1</v>
      </c>
      <c r="N2299" s="25" t="s">
        <v>643</v>
      </c>
      <c r="O2299" s="2">
        <f>INDEX(Маршруты,MATCH(N2299,$B$3:$B$498,0),1)</f>
        <v>101</v>
      </c>
      <c r="P2299" s="27">
        <v>11</v>
      </c>
      <c r="Q2299" s="2">
        <f>INDEX(Остановки,MATCH(R2299,ИД_Остановки!$B$3:$B$467,0),1)</f>
        <v>113</v>
      </c>
      <c r="R2299" s="45" t="s">
        <v>296</v>
      </c>
      <c r="S2299" s="20">
        <v>0.51</v>
      </c>
    </row>
    <row r="2300" spans="8:19" x14ac:dyDescent="0.25">
      <c r="H2300">
        <v>14</v>
      </c>
      <c r="I2300">
        <v>660</v>
      </c>
      <c r="J2300">
        <v>115</v>
      </c>
      <c r="K2300" t="b">
        <v>1</v>
      </c>
      <c r="N2300" s="25" t="s">
        <v>643</v>
      </c>
      <c r="O2300" s="2">
        <f>INDEX(Маршруты,MATCH(N2300,$B$3:$B$498,0),1)</f>
        <v>101</v>
      </c>
      <c r="P2300" s="27">
        <v>12</v>
      </c>
      <c r="Q2300" s="2">
        <f>INDEX(Остановки,MATCH(R2300,ИД_Остановки!$B$3:$B$467,0),1)</f>
        <v>112</v>
      </c>
      <c r="R2300" s="45" t="s">
        <v>295</v>
      </c>
      <c r="S2300" s="20">
        <v>0.51</v>
      </c>
    </row>
    <row r="2301" spans="8:19" x14ac:dyDescent="0.25">
      <c r="H2301">
        <v>14</v>
      </c>
      <c r="I2301">
        <v>664</v>
      </c>
      <c r="J2301">
        <v>115</v>
      </c>
      <c r="K2301" t="b">
        <v>1</v>
      </c>
      <c r="N2301" s="24" t="s">
        <v>643</v>
      </c>
      <c r="O2301" s="2">
        <f>INDEX(Маршруты,MATCH(N2301,$B$3:$B$498,0),1)</f>
        <v>101</v>
      </c>
      <c r="P2301" s="28">
        <v>13</v>
      </c>
      <c r="Q2301" s="2">
        <f>INDEX(Остановки,MATCH(R2301,ИД_Остановки!$B$3:$B$467,0),1)</f>
        <v>111</v>
      </c>
      <c r="R2301" s="24" t="s">
        <v>73</v>
      </c>
      <c r="S2301" s="20">
        <v>0.38</v>
      </c>
    </row>
    <row r="2302" spans="8:19" x14ac:dyDescent="0.25">
      <c r="H2302">
        <v>14</v>
      </c>
      <c r="I2302">
        <v>668</v>
      </c>
      <c r="J2302">
        <v>115</v>
      </c>
      <c r="K2302" t="b">
        <v>1</v>
      </c>
      <c r="N2302" s="25" t="s">
        <v>643</v>
      </c>
      <c r="O2302" s="2">
        <f>INDEX(Маршруты,MATCH(N2302,$B$3:$B$498,0),1)</f>
        <v>101</v>
      </c>
      <c r="P2302" s="27">
        <v>14</v>
      </c>
      <c r="Q2302" s="2">
        <f>INDEX(Остановки,MATCH(R2302,ИД_Остановки!$B$3:$B$467,0),1)</f>
        <v>110</v>
      </c>
      <c r="R2302" s="45" t="s">
        <v>294</v>
      </c>
      <c r="S2302" s="20">
        <v>0.54</v>
      </c>
    </row>
    <row r="2303" spans="8:19" x14ac:dyDescent="0.25">
      <c r="H2303">
        <v>14</v>
      </c>
      <c r="I2303">
        <v>672</v>
      </c>
      <c r="J2303">
        <v>115</v>
      </c>
      <c r="K2303" t="b">
        <v>1</v>
      </c>
      <c r="N2303" s="30" t="s">
        <v>643</v>
      </c>
      <c r="O2303" s="2">
        <f>INDEX(Маршруты,MATCH(N2303,$B$3:$B$498,0),1)</f>
        <v>101</v>
      </c>
      <c r="P2303" s="27">
        <v>15</v>
      </c>
      <c r="Q2303" s="2">
        <f>INDEX(Остановки,MATCH(R2303,ИД_Остановки!$B$3:$B$467,0),1)</f>
        <v>72</v>
      </c>
      <c r="R2303" s="45" t="s">
        <v>272</v>
      </c>
      <c r="S2303" s="20">
        <v>0.31</v>
      </c>
    </row>
    <row r="2304" spans="8:19" x14ac:dyDescent="0.25">
      <c r="H2304">
        <v>14</v>
      </c>
      <c r="I2304">
        <v>676</v>
      </c>
      <c r="J2304">
        <v>115</v>
      </c>
      <c r="K2304" t="b">
        <v>1</v>
      </c>
      <c r="N2304" s="25" t="s">
        <v>643</v>
      </c>
      <c r="O2304" s="2">
        <f>INDEX(Маршруты,MATCH(N2304,$B$3:$B$498,0),1)</f>
        <v>101</v>
      </c>
      <c r="P2304" s="27">
        <v>16</v>
      </c>
      <c r="Q2304" s="2">
        <f>INDEX(Остановки,MATCH(R2304,ИД_Остановки!$B$3:$B$467,0),1)</f>
        <v>109</v>
      </c>
      <c r="R2304" s="45" t="s">
        <v>293</v>
      </c>
      <c r="S2304" s="20">
        <v>0.41</v>
      </c>
    </row>
    <row r="2305" spans="8:19" x14ac:dyDescent="0.25">
      <c r="H2305">
        <v>14</v>
      </c>
      <c r="I2305">
        <v>680</v>
      </c>
      <c r="J2305">
        <v>115</v>
      </c>
      <c r="K2305" t="b">
        <v>1</v>
      </c>
      <c r="N2305" s="30" t="s">
        <v>643</v>
      </c>
      <c r="O2305" s="2">
        <f>INDEX(Маршруты,MATCH(N2305,$B$3:$B$498,0),1)</f>
        <v>101</v>
      </c>
      <c r="P2305" s="27">
        <v>17</v>
      </c>
      <c r="Q2305" s="2">
        <f>INDEX(Остановки,MATCH(R2305,ИД_Остановки!$B$3:$B$467,0),1)</f>
        <v>129</v>
      </c>
      <c r="R2305" s="45" t="s">
        <v>81</v>
      </c>
      <c r="S2305" s="20">
        <v>0.44</v>
      </c>
    </row>
    <row r="2306" spans="8:19" x14ac:dyDescent="0.25">
      <c r="H2306">
        <v>14</v>
      </c>
      <c r="I2306">
        <v>684</v>
      </c>
      <c r="J2306">
        <v>115</v>
      </c>
      <c r="K2306" t="b">
        <v>1</v>
      </c>
      <c r="N2306" s="25" t="s">
        <v>643</v>
      </c>
      <c r="O2306" s="2">
        <f>INDEX(Маршруты,MATCH(N2306,$B$3:$B$498,0),1)</f>
        <v>101</v>
      </c>
      <c r="P2306" s="28">
        <v>18</v>
      </c>
      <c r="Q2306" s="2">
        <f>INDEX(Остановки,MATCH(R2306,ИД_Остановки!$B$3:$B$467,0),1)</f>
        <v>78</v>
      </c>
      <c r="R2306" s="24" t="s">
        <v>277</v>
      </c>
      <c r="S2306" s="20">
        <v>0.47</v>
      </c>
    </row>
    <row r="2307" spans="8:19" x14ac:dyDescent="0.25">
      <c r="H2307">
        <v>14</v>
      </c>
      <c r="I2307">
        <v>688</v>
      </c>
      <c r="J2307">
        <v>115</v>
      </c>
      <c r="K2307" t="b">
        <v>1</v>
      </c>
      <c r="N2307" s="30" t="s">
        <v>643</v>
      </c>
      <c r="O2307" s="2">
        <f>INDEX(Маршруты,MATCH(N2307,$B$3:$B$498,0),1)</f>
        <v>101</v>
      </c>
      <c r="P2307" s="27">
        <v>19</v>
      </c>
      <c r="Q2307" s="2">
        <f>INDEX(Остановки,MATCH(R2307,ИД_Остановки!$B$3:$B$467,0),1)</f>
        <v>77</v>
      </c>
      <c r="R2307" s="45" t="s">
        <v>276</v>
      </c>
      <c r="S2307" s="20">
        <v>0.39</v>
      </c>
    </row>
    <row r="2308" spans="8:19" x14ac:dyDescent="0.25">
      <c r="H2308">
        <v>14</v>
      </c>
      <c r="I2308">
        <v>692</v>
      </c>
      <c r="J2308">
        <v>115</v>
      </c>
      <c r="K2308" t="b">
        <v>1</v>
      </c>
      <c r="N2308" s="30" t="s">
        <v>643</v>
      </c>
      <c r="O2308" s="2">
        <f>INDEX(Маршруты,MATCH(N2308,$B$3:$B$498,0),1)</f>
        <v>101</v>
      </c>
      <c r="P2308" s="27">
        <v>20</v>
      </c>
      <c r="Q2308" s="2">
        <f>INDEX(Остановки,MATCH(R2308,ИД_Остановки!$B$3:$B$467,0),1)</f>
        <v>178</v>
      </c>
      <c r="R2308" s="45" t="s">
        <v>93</v>
      </c>
      <c r="S2308" s="20">
        <v>0.59</v>
      </c>
    </row>
    <row r="2309" spans="8:19" x14ac:dyDescent="0.25">
      <c r="H2309">
        <v>14</v>
      </c>
      <c r="I2309">
        <v>696</v>
      </c>
      <c r="J2309">
        <v>115</v>
      </c>
      <c r="K2309" t="b">
        <v>1</v>
      </c>
      <c r="N2309" s="25" t="s">
        <v>643</v>
      </c>
      <c r="O2309" s="2">
        <f>INDEX(Маршруты,MATCH(N2309,$B$3:$B$498,0),1)</f>
        <v>101</v>
      </c>
      <c r="P2309" s="27">
        <v>21</v>
      </c>
      <c r="Q2309" s="2">
        <f>INDEX(Остановки,MATCH(R2309,ИД_Остановки!$B$3:$B$467,0),1)</f>
        <v>444</v>
      </c>
      <c r="R2309" s="45" t="s">
        <v>650</v>
      </c>
      <c r="S2309" s="20">
        <v>0.34</v>
      </c>
    </row>
    <row r="2310" spans="8:19" x14ac:dyDescent="0.25">
      <c r="H2310">
        <v>14</v>
      </c>
      <c r="I2310">
        <v>700</v>
      </c>
      <c r="J2310">
        <v>115</v>
      </c>
      <c r="K2310" t="b">
        <v>1</v>
      </c>
      <c r="N2310" s="25" t="s">
        <v>643</v>
      </c>
      <c r="O2310" s="2">
        <f>INDEX(Маршруты,MATCH(N2310,$B$3:$B$498,0),1)</f>
        <v>101</v>
      </c>
      <c r="P2310" s="27">
        <v>22</v>
      </c>
      <c r="Q2310" s="2">
        <f>INDEX(Остановки,MATCH(R2310,ИД_Остановки!$B$3:$B$467,0),1)</f>
        <v>177</v>
      </c>
      <c r="R2310" s="45" t="s">
        <v>92</v>
      </c>
      <c r="S2310" s="20">
        <v>0.37</v>
      </c>
    </row>
    <row r="2311" spans="8:19" x14ac:dyDescent="0.25">
      <c r="H2311">
        <v>14</v>
      </c>
      <c r="I2311">
        <v>704</v>
      </c>
      <c r="J2311">
        <v>115</v>
      </c>
      <c r="K2311" t="b">
        <v>1</v>
      </c>
      <c r="N2311" s="25" t="s">
        <v>643</v>
      </c>
      <c r="O2311" s="2">
        <f>INDEX(Маршруты,MATCH(N2311,$B$3:$B$498,0),1)</f>
        <v>101</v>
      </c>
      <c r="P2311" s="27">
        <v>23</v>
      </c>
      <c r="Q2311" s="2">
        <f>INDEX(Остановки,MATCH(R2311,ИД_Остановки!$B$3:$B$467,0),1)</f>
        <v>336</v>
      </c>
      <c r="R2311" s="45" t="s">
        <v>406</v>
      </c>
      <c r="S2311" s="20">
        <v>0.69</v>
      </c>
    </row>
    <row r="2312" spans="8:19" x14ac:dyDescent="0.25">
      <c r="H2312">
        <v>14</v>
      </c>
      <c r="I2312">
        <v>708</v>
      </c>
      <c r="J2312">
        <v>115</v>
      </c>
      <c r="K2312" t="b">
        <v>1</v>
      </c>
      <c r="N2312" s="25" t="s">
        <v>643</v>
      </c>
      <c r="O2312" s="2">
        <f>INDEX(Маршруты,MATCH(N2312,$B$3:$B$498,0),1)</f>
        <v>101</v>
      </c>
      <c r="P2312" s="27">
        <v>24</v>
      </c>
      <c r="Q2312" s="2">
        <f>INDEX(Остановки,MATCH(R2312,ИД_Остановки!$B$3:$B$467,0),1)</f>
        <v>151</v>
      </c>
      <c r="R2312" s="45" t="s">
        <v>91</v>
      </c>
      <c r="S2312" s="20">
        <v>0.33</v>
      </c>
    </row>
    <row r="2313" spans="8:19" x14ac:dyDescent="0.25">
      <c r="H2313">
        <v>14</v>
      </c>
      <c r="I2313">
        <v>712</v>
      </c>
      <c r="J2313">
        <v>115</v>
      </c>
      <c r="K2313" t="b">
        <v>1</v>
      </c>
      <c r="N2313" s="25" t="s">
        <v>643</v>
      </c>
      <c r="O2313" s="2">
        <f>INDEX(Маршруты,MATCH(N2313,$B$3:$B$498,0),1)</f>
        <v>101</v>
      </c>
      <c r="P2313" s="27">
        <v>25</v>
      </c>
      <c r="Q2313" s="2">
        <f>INDEX(Остановки,MATCH(R2313,ИД_Остановки!$B$3:$B$467,0),1)</f>
        <v>397</v>
      </c>
      <c r="R2313" s="45" t="s">
        <v>454</v>
      </c>
      <c r="S2313" s="20">
        <v>1.1000000000000001</v>
      </c>
    </row>
    <row r="2314" spans="8:19" x14ac:dyDescent="0.25">
      <c r="H2314">
        <v>14</v>
      </c>
      <c r="I2314">
        <v>716</v>
      </c>
      <c r="J2314">
        <v>115</v>
      </c>
      <c r="K2314" t="b">
        <v>1</v>
      </c>
      <c r="N2314" s="30" t="s">
        <v>643</v>
      </c>
      <c r="O2314" s="2">
        <f>INDEX(Маршруты,MATCH(N2314,$B$3:$B$498,0),1)</f>
        <v>101</v>
      </c>
      <c r="P2314" s="27">
        <v>26</v>
      </c>
      <c r="Q2314" s="2">
        <f>INDEX(Остановки,MATCH(R2314,ИД_Остановки!$B$3:$B$467,0),1)</f>
        <v>161</v>
      </c>
      <c r="R2314" s="45" t="s">
        <v>90</v>
      </c>
      <c r="S2314" s="20">
        <v>2.11</v>
      </c>
    </row>
    <row r="2315" spans="8:19" x14ac:dyDescent="0.25">
      <c r="H2315">
        <v>14</v>
      </c>
      <c r="I2315">
        <v>720</v>
      </c>
      <c r="J2315">
        <v>115</v>
      </c>
      <c r="K2315" t="b">
        <v>1</v>
      </c>
      <c r="N2315" s="30" t="s">
        <v>643</v>
      </c>
      <c r="O2315" s="2">
        <f>INDEX(Маршруты,MATCH(N2315,$B$3:$B$498,0),1)</f>
        <v>101</v>
      </c>
      <c r="P2315" s="27">
        <v>27</v>
      </c>
      <c r="Q2315" s="2">
        <f>INDEX(Остановки,MATCH(R2315,ИД_Остановки!$B$3:$B$467,0),1)</f>
        <v>149</v>
      </c>
      <c r="R2315" s="45" t="s">
        <v>89</v>
      </c>
      <c r="S2315" s="20">
        <v>0.45</v>
      </c>
    </row>
    <row r="2316" spans="8:19" x14ac:dyDescent="0.25">
      <c r="H2316">
        <v>14</v>
      </c>
      <c r="I2316">
        <v>724</v>
      </c>
      <c r="J2316">
        <v>115</v>
      </c>
      <c r="K2316" t="b">
        <v>1</v>
      </c>
      <c r="N2316" s="26" t="s">
        <v>643</v>
      </c>
      <c r="O2316" s="2">
        <f>INDEX(Маршруты,MATCH(N2316,$B$3:$B$498,0),1)</f>
        <v>101</v>
      </c>
      <c r="P2316" s="27">
        <v>28</v>
      </c>
      <c r="Q2316" s="2">
        <f>INDEX(Остановки,MATCH(R2316,ИД_Остановки!$B$3:$B$467,0),1)</f>
        <v>148</v>
      </c>
      <c r="R2316" s="45" t="s">
        <v>88</v>
      </c>
      <c r="S2316" s="20">
        <v>0.44</v>
      </c>
    </row>
    <row r="2317" spans="8:19" x14ac:dyDescent="0.25">
      <c r="H2317">
        <v>14</v>
      </c>
      <c r="I2317">
        <v>728</v>
      </c>
      <c r="J2317">
        <v>115</v>
      </c>
      <c r="K2317" t="b">
        <v>1</v>
      </c>
      <c r="N2317" s="25" t="s">
        <v>643</v>
      </c>
      <c r="O2317" s="2">
        <f>INDEX(Маршруты,MATCH(N2317,$B$3:$B$498,0),1)</f>
        <v>101</v>
      </c>
      <c r="P2317" s="27">
        <v>29</v>
      </c>
      <c r="Q2317" s="2">
        <f>INDEX(Остановки,MATCH(R2317,ИД_Остановки!$B$3:$B$467,0),1)</f>
        <v>51</v>
      </c>
      <c r="R2317" s="45" t="s">
        <v>261</v>
      </c>
      <c r="S2317" s="20">
        <v>0.26</v>
      </c>
    </row>
    <row r="2318" spans="8:19" x14ac:dyDescent="0.25">
      <c r="H2318">
        <v>14</v>
      </c>
      <c r="I2318">
        <v>732</v>
      </c>
      <c r="J2318">
        <v>115</v>
      </c>
      <c r="K2318" t="b">
        <v>1</v>
      </c>
      <c r="N2318" s="25" t="s">
        <v>643</v>
      </c>
      <c r="O2318" s="2">
        <f>INDEX(Маршруты,MATCH(N2318,$B$3:$B$498,0),1)</f>
        <v>101</v>
      </c>
      <c r="P2318" s="27">
        <v>30</v>
      </c>
      <c r="Q2318" s="2">
        <f>INDEX(Остановки,MATCH(R2318,ИД_Остановки!$B$3:$B$467,0),1)</f>
        <v>428</v>
      </c>
      <c r="R2318" s="45" t="s">
        <v>484</v>
      </c>
      <c r="S2318" s="20">
        <v>0.51</v>
      </c>
    </row>
    <row r="2319" spans="8:19" x14ac:dyDescent="0.25">
      <c r="H2319">
        <v>14</v>
      </c>
      <c r="I2319">
        <v>736</v>
      </c>
      <c r="J2319">
        <v>115</v>
      </c>
      <c r="K2319" t="b">
        <v>1</v>
      </c>
      <c r="N2319" s="30" t="s">
        <v>643</v>
      </c>
      <c r="O2319" s="2">
        <f>INDEX(Маршруты,MATCH(N2319,$B$3:$B$498,0),1)</f>
        <v>101</v>
      </c>
      <c r="P2319" s="27">
        <v>31</v>
      </c>
      <c r="Q2319" s="2">
        <f>INDEX(Остановки,MATCH(R2319,ИД_Остановки!$B$3:$B$467,0),1)</f>
        <v>21</v>
      </c>
      <c r="R2319" s="45" t="s">
        <v>21</v>
      </c>
      <c r="S2319" s="20">
        <v>0.89</v>
      </c>
    </row>
    <row r="2320" spans="8:19" x14ac:dyDescent="0.25">
      <c r="H2320">
        <v>14</v>
      </c>
      <c r="I2320">
        <v>740</v>
      </c>
      <c r="J2320">
        <v>115</v>
      </c>
      <c r="K2320" t="b">
        <v>1</v>
      </c>
      <c r="N2320" s="26" t="s">
        <v>643</v>
      </c>
      <c r="O2320" s="2">
        <f>INDEX(Маршруты,MATCH(N2320,$B$3:$B$498,0),1)</f>
        <v>101</v>
      </c>
      <c r="P2320" s="27">
        <v>32</v>
      </c>
      <c r="Q2320" s="2">
        <f>INDEX(Остановки,MATCH(R2320,ИД_Остановки!$B$3:$B$467,0),1)</f>
        <v>241</v>
      </c>
      <c r="R2320" s="45" t="s">
        <v>132</v>
      </c>
      <c r="S2320" s="20">
        <v>1.56</v>
      </c>
    </row>
    <row r="2321" spans="8:19" x14ac:dyDescent="0.25">
      <c r="H2321">
        <v>14</v>
      </c>
      <c r="I2321">
        <v>744</v>
      </c>
      <c r="J2321">
        <v>115</v>
      </c>
      <c r="K2321" t="b">
        <v>1</v>
      </c>
      <c r="N2321" s="30" t="s">
        <v>643</v>
      </c>
      <c r="O2321" s="2">
        <f>INDEX(Маршруты,MATCH(N2321,$B$3:$B$498,0),1)</f>
        <v>101</v>
      </c>
      <c r="P2321" s="28">
        <v>33</v>
      </c>
      <c r="Q2321" s="2">
        <f>INDEX(Остановки,MATCH(R2321,ИД_Остановки!$B$3:$B$467,0),1)</f>
        <v>207</v>
      </c>
      <c r="R2321" s="24" t="s">
        <v>345</v>
      </c>
      <c r="S2321" s="20">
        <v>0.74</v>
      </c>
    </row>
    <row r="2322" spans="8:19" x14ac:dyDescent="0.25">
      <c r="H2322">
        <v>14</v>
      </c>
      <c r="I2322">
        <v>748</v>
      </c>
      <c r="J2322">
        <v>115</v>
      </c>
      <c r="K2322" t="b">
        <v>1</v>
      </c>
      <c r="N2322" s="30" t="s">
        <v>643</v>
      </c>
      <c r="O2322" s="2">
        <f>INDEX(Маршруты,MATCH(N2322,$B$3:$B$498,0),1)</f>
        <v>101</v>
      </c>
      <c r="P2322" s="27">
        <v>34</v>
      </c>
      <c r="Q2322" s="2">
        <f>INDEX(Остановки,MATCH(R2322,ИД_Остановки!$B$3:$B$467,0),1)</f>
        <v>208</v>
      </c>
      <c r="R2322" s="45" t="s">
        <v>121</v>
      </c>
      <c r="S2322" s="20">
        <v>0.56999999999999995</v>
      </c>
    </row>
    <row r="2323" spans="8:19" x14ac:dyDescent="0.25">
      <c r="H2323">
        <v>14</v>
      </c>
      <c r="I2323">
        <v>752</v>
      </c>
      <c r="J2323">
        <v>115</v>
      </c>
      <c r="K2323" t="b">
        <v>1</v>
      </c>
      <c r="N2323" s="30" t="s">
        <v>643</v>
      </c>
      <c r="O2323" s="2">
        <f>INDEX(Маршруты,MATCH(N2323,$B$3:$B$498,0),1)</f>
        <v>101</v>
      </c>
      <c r="P2323" s="27">
        <v>35</v>
      </c>
      <c r="Q2323" s="2">
        <f>INDEX(Остановки,MATCH(R2323,ИД_Остановки!$B$3:$B$467,0),1)</f>
        <v>3</v>
      </c>
      <c r="R2323" s="45" t="s">
        <v>243</v>
      </c>
      <c r="S2323" s="20">
        <v>0.9</v>
      </c>
    </row>
    <row r="2324" spans="8:19" x14ac:dyDescent="0.25">
      <c r="H2324">
        <v>14</v>
      </c>
      <c r="I2324">
        <v>756</v>
      </c>
      <c r="J2324">
        <v>115</v>
      </c>
      <c r="K2324" t="b">
        <v>1</v>
      </c>
      <c r="N2324" s="30" t="s">
        <v>643</v>
      </c>
      <c r="O2324" s="2">
        <f>INDEX(Маршруты,MATCH(N2324,$B$3:$B$498,0),1)</f>
        <v>101</v>
      </c>
      <c r="P2324" s="27">
        <v>36</v>
      </c>
      <c r="Q2324" s="2">
        <f>INDEX(Остановки,MATCH(R2324,ИД_Остановки!$B$3:$B$467,0),1)</f>
        <v>228</v>
      </c>
      <c r="R2324" s="45" t="s">
        <v>127</v>
      </c>
      <c r="S2324" s="20">
        <v>1.18</v>
      </c>
    </row>
    <row r="2325" spans="8:19" x14ac:dyDescent="0.25">
      <c r="H2325">
        <v>14</v>
      </c>
      <c r="I2325">
        <v>760</v>
      </c>
      <c r="J2325">
        <v>115</v>
      </c>
      <c r="K2325" t="b">
        <v>1</v>
      </c>
      <c r="N2325" s="30" t="s">
        <v>643</v>
      </c>
      <c r="O2325" s="2">
        <f>INDEX(Маршруты,MATCH(N2325,$B$3:$B$498,0),1)</f>
        <v>101</v>
      </c>
      <c r="P2325" s="28">
        <v>37</v>
      </c>
      <c r="Q2325" s="2">
        <f>INDEX(Остановки,MATCH(R2325,ИД_Остановки!$B$3:$B$467,0),1)</f>
        <v>238</v>
      </c>
      <c r="R2325" s="24" t="s">
        <v>131</v>
      </c>
      <c r="S2325" s="20">
        <v>0.94</v>
      </c>
    </row>
    <row r="2326" spans="8:19" x14ac:dyDescent="0.25">
      <c r="H2326">
        <v>14</v>
      </c>
      <c r="I2326">
        <v>764</v>
      </c>
      <c r="J2326">
        <v>115</v>
      </c>
      <c r="K2326" t="b">
        <v>1</v>
      </c>
      <c r="N2326" s="30" t="s">
        <v>643</v>
      </c>
      <c r="O2326" s="2">
        <f>INDEX(Маршруты,MATCH(N2326,$B$3:$B$498,0),1)</f>
        <v>101</v>
      </c>
      <c r="P2326" s="27">
        <v>38</v>
      </c>
      <c r="Q2326" s="2">
        <f>INDEX(Остановки,MATCH(R2326,ИД_Остановки!$B$3:$B$467,0),1)</f>
        <v>257</v>
      </c>
      <c r="R2326" s="45" t="s">
        <v>377</v>
      </c>
      <c r="S2326" s="20">
        <v>0.56000000000000005</v>
      </c>
    </row>
    <row r="2327" spans="8:19" x14ac:dyDescent="0.25">
      <c r="H2327">
        <v>14</v>
      </c>
      <c r="I2327">
        <v>768</v>
      </c>
      <c r="J2327">
        <v>115</v>
      </c>
      <c r="K2327" t="b">
        <v>1</v>
      </c>
      <c r="N2327" s="26" t="s">
        <v>643</v>
      </c>
      <c r="O2327" s="2">
        <f>INDEX(Маршруты,MATCH(N2327,$B$3:$B$498,0),1)</f>
        <v>101</v>
      </c>
      <c r="P2327" s="27">
        <v>39</v>
      </c>
      <c r="Q2327" s="2">
        <f>INDEX(Остановки,MATCH(R2327,ИД_Остановки!$B$3:$B$467,0),1)</f>
        <v>255</v>
      </c>
      <c r="R2327" s="45" t="s">
        <v>137</v>
      </c>
      <c r="S2327" s="20">
        <v>0.61</v>
      </c>
    </row>
    <row r="2328" spans="8:19" x14ac:dyDescent="0.25">
      <c r="H2328">
        <v>14</v>
      </c>
      <c r="I2328">
        <v>772</v>
      </c>
      <c r="J2328">
        <v>115</v>
      </c>
      <c r="K2328" t="b">
        <v>1</v>
      </c>
      <c r="N2328" s="30" t="s">
        <v>643</v>
      </c>
      <c r="O2328" s="2">
        <f>INDEX(Маршруты,MATCH(N2328,$B$3:$B$498,0),1)</f>
        <v>101</v>
      </c>
      <c r="P2328" s="27">
        <v>40</v>
      </c>
      <c r="Q2328" s="2">
        <f>INDEX(Остановки,MATCH(R2328,ИД_Остановки!$B$3:$B$467,0),1)</f>
        <v>200</v>
      </c>
      <c r="R2328" s="24" t="s">
        <v>119</v>
      </c>
      <c r="S2328" s="20">
        <v>0.67</v>
      </c>
    </row>
    <row r="2329" spans="8:19" x14ac:dyDescent="0.25">
      <c r="H2329">
        <v>14</v>
      </c>
      <c r="I2329">
        <v>776</v>
      </c>
      <c r="J2329">
        <v>115</v>
      </c>
      <c r="K2329" t="b">
        <v>1</v>
      </c>
      <c r="N2329" s="30" t="s">
        <v>643</v>
      </c>
      <c r="O2329" s="2">
        <f>INDEX(Маршруты,MATCH(N2329,$B$3:$B$498,0),1)</f>
        <v>101</v>
      </c>
      <c r="P2329" s="27">
        <v>41</v>
      </c>
      <c r="Q2329" s="2">
        <f>INDEX(Остановки,MATCH(R2329,ИД_Остановки!$B$3:$B$467,0),1)</f>
        <v>199</v>
      </c>
      <c r="R2329" s="45" t="s">
        <v>118</v>
      </c>
      <c r="S2329" s="20">
        <v>0.75</v>
      </c>
    </row>
    <row r="2330" spans="8:19" x14ac:dyDescent="0.25">
      <c r="H2330">
        <v>14</v>
      </c>
      <c r="I2330">
        <v>780</v>
      </c>
      <c r="J2330">
        <v>115</v>
      </c>
      <c r="K2330" t="b">
        <v>1</v>
      </c>
      <c r="N2330" s="25" t="s">
        <v>643</v>
      </c>
      <c r="O2330" s="2">
        <f>INDEX(Маршруты,MATCH(N2330,$B$3:$B$498,0),1)</f>
        <v>101</v>
      </c>
      <c r="P2330" s="27">
        <v>42</v>
      </c>
      <c r="Q2330" s="2">
        <f>INDEX(Остановки,MATCH(R2330,ИД_Остановки!$B$3:$B$467,0),1)</f>
        <v>22</v>
      </c>
      <c r="R2330" s="45" t="s">
        <v>22</v>
      </c>
      <c r="S2330" s="20">
        <v>0.42</v>
      </c>
    </row>
    <row r="2331" spans="8:19" x14ac:dyDescent="0.25">
      <c r="H2331">
        <v>14</v>
      </c>
      <c r="I2331">
        <v>784</v>
      </c>
      <c r="J2331">
        <v>115</v>
      </c>
      <c r="K2331" t="b">
        <v>1</v>
      </c>
      <c r="N2331" s="25" t="s">
        <v>643</v>
      </c>
      <c r="O2331" s="2">
        <f>INDEX(Маршруты,MATCH(N2331,$B$3:$B$498,0),1)</f>
        <v>101</v>
      </c>
      <c r="P2331" s="28">
        <v>43</v>
      </c>
      <c r="Q2331" s="2">
        <f>INDEX(Остановки,MATCH(R2331,ИД_Остановки!$B$3:$B$467,0),1)</f>
        <v>337</v>
      </c>
      <c r="R2331" s="24" t="s">
        <v>407</v>
      </c>
      <c r="S2331" s="20">
        <v>0.39</v>
      </c>
    </row>
    <row r="2332" spans="8:19" x14ac:dyDescent="0.25">
      <c r="H2332">
        <v>14</v>
      </c>
      <c r="I2332">
        <v>788</v>
      </c>
      <c r="J2332">
        <v>115</v>
      </c>
      <c r="K2332" t="b">
        <v>1</v>
      </c>
      <c r="N2332" s="30" t="s">
        <v>643</v>
      </c>
      <c r="O2332" s="2">
        <f>INDEX(Маршруты,MATCH(N2332,$B$3:$B$498,0),1)</f>
        <v>101</v>
      </c>
      <c r="P2332" s="27">
        <v>44</v>
      </c>
      <c r="Q2332" s="2">
        <f>INDEX(Остановки,MATCH(R2332,ИД_Остановки!$B$3:$B$467,0),1)</f>
        <v>160</v>
      </c>
      <c r="R2332" s="45" t="s">
        <v>323</v>
      </c>
      <c r="S2332" s="20">
        <v>0.6</v>
      </c>
    </row>
    <row r="2333" spans="8:19" x14ac:dyDescent="0.25">
      <c r="H2333">
        <v>14</v>
      </c>
      <c r="I2333">
        <v>792</v>
      </c>
      <c r="J2333">
        <v>115</v>
      </c>
      <c r="K2333" t="b">
        <v>1</v>
      </c>
      <c r="N2333" s="30" t="s">
        <v>643</v>
      </c>
      <c r="O2333" s="2">
        <f>INDEX(Маршруты,MATCH(N2333,$B$3:$B$498,0),1)</f>
        <v>101</v>
      </c>
      <c r="P2333" s="27">
        <v>45</v>
      </c>
      <c r="Q2333" s="2">
        <f>INDEX(Остановки,MATCH(R2333,ИД_Остановки!$B$3:$B$467,0),1)</f>
        <v>299</v>
      </c>
      <c r="R2333" s="45" t="s">
        <v>392</v>
      </c>
      <c r="S2333" s="20">
        <v>0.79</v>
      </c>
    </row>
    <row r="2334" spans="8:19" x14ac:dyDescent="0.25">
      <c r="H2334">
        <v>14</v>
      </c>
      <c r="I2334">
        <v>796</v>
      </c>
      <c r="J2334">
        <v>115</v>
      </c>
      <c r="K2334" t="b">
        <v>1</v>
      </c>
      <c r="N2334" s="30" t="s">
        <v>644</v>
      </c>
      <c r="O2334" s="2">
        <f>INDEX(Маршруты,MATCH(N2334,$B$3:$B$498,0),1)</f>
        <v>102</v>
      </c>
      <c r="P2334" s="27">
        <v>1</v>
      </c>
      <c r="Q2334" s="2">
        <f>INDEX(Остановки,MATCH(R2334,ИД_Остановки!$B$3:$B$467,0),1)</f>
        <v>299</v>
      </c>
      <c r="R2334" s="45" t="s">
        <v>392</v>
      </c>
      <c r="S2334" s="20"/>
    </row>
    <row r="2335" spans="8:19" x14ac:dyDescent="0.25">
      <c r="H2335">
        <v>14</v>
      </c>
      <c r="I2335">
        <v>800</v>
      </c>
      <c r="J2335">
        <v>115</v>
      </c>
      <c r="K2335" t="b">
        <v>1</v>
      </c>
      <c r="N2335" s="30" t="s">
        <v>644</v>
      </c>
      <c r="O2335" s="2">
        <f>INDEX(Маршруты,MATCH(N2335,$B$3:$B$498,0),1)</f>
        <v>102</v>
      </c>
      <c r="P2335" s="27">
        <v>2</v>
      </c>
      <c r="Q2335" s="2">
        <f>INDEX(Остановки,MATCH(R2335,ИД_Остановки!$B$3:$B$467,0),1)</f>
        <v>160</v>
      </c>
      <c r="R2335" s="45" t="s">
        <v>323</v>
      </c>
      <c r="S2335" s="20">
        <v>0.79</v>
      </c>
    </row>
    <row r="2336" spans="8:19" x14ac:dyDescent="0.25">
      <c r="H2336">
        <v>14</v>
      </c>
      <c r="I2336">
        <v>804</v>
      </c>
      <c r="J2336">
        <v>115</v>
      </c>
      <c r="K2336" t="b">
        <v>1</v>
      </c>
      <c r="N2336" s="25" t="s">
        <v>644</v>
      </c>
      <c r="O2336" s="2">
        <f>INDEX(Маршруты,MATCH(N2336,$B$3:$B$498,0),1)</f>
        <v>102</v>
      </c>
      <c r="P2336" s="28">
        <v>3</v>
      </c>
      <c r="Q2336" s="2">
        <f>INDEX(Остановки,MATCH(R2336,ИД_Остановки!$B$3:$B$467,0),1)</f>
        <v>337</v>
      </c>
      <c r="R2336" s="24" t="s">
        <v>407</v>
      </c>
      <c r="S2336" s="20">
        <v>0.6</v>
      </c>
    </row>
    <row r="2337" spans="8:19" x14ac:dyDescent="0.25">
      <c r="H2337">
        <v>14</v>
      </c>
      <c r="I2337">
        <v>808</v>
      </c>
      <c r="J2337">
        <v>115</v>
      </c>
      <c r="K2337" t="b">
        <v>1</v>
      </c>
      <c r="N2337" s="25" t="s">
        <v>644</v>
      </c>
      <c r="O2337" s="2">
        <f>INDEX(Маршруты,MATCH(N2337,$B$3:$B$498,0),1)</f>
        <v>102</v>
      </c>
      <c r="P2337" s="27">
        <v>4</v>
      </c>
      <c r="Q2337" s="2">
        <f>INDEX(Остановки,MATCH(R2337,ИД_Остановки!$B$3:$B$467,0),1)</f>
        <v>22</v>
      </c>
      <c r="R2337" s="45" t="s">
        <v>22</v>
      </c>
      <c r="S2337" s="20">
        <v>0.39</v>
      </c>
    </row>
    <row r="2338" spans="8:19" x14ac:dyDescent="0.25">
      <c r="H2338">
        <v>14</v>
      </c>
      <c r="I2338">
        <v>812</v>
      </c>
      <c r="J2338">
        <v>115</v>
      </c>
      <c r="K2338" t="b">
        <v>1</v>
      </c>
      <c r="N2338" s="25" t="s">
        <v>644</v>
      </c>
      <c r="O2338" s="2">
        <f>INDEX(Маршруты,MATCH(N2338,$B$3:$B$498,0),1)</f>
        <v>102</v>
      </c>
      <c r="P2338" s="28">
        <v>5</v>
      </c>
      <c r="Q2338" s="2">
        <f>INDEX(Остановки,MATCH(R2338,ИД_Остановки!$B$3:$B$467,0),1)</f>
        <v>199</v>
      </c>
      <c r="R2338" s="24" t="s">
        <v>118</v>
      </c>
      <c r="S2338" s="20">
        <v>0.42</v>
      </c>
    </row>
    <row r="2339" spans="8:19" x14ac:dyDescent="0.25">
      <c r="H2339">
        <v>14</v>
      </c>
      <c r="I2339">
        <v>816</v>
      </c>
      <c r="J2339">
        <v>115</v>
      </c>
      <c r="K2339" t="b">
        <v>1</v>
      </c>
      <c r="N2339" s="25" t="s">
        <v>644</v>
      </c>
      <c r="O2339" s="2">
        <f>INDEX(Маршруты,MATCH(N2339,$B$3:$B$498,0),1)</f>
        <v>102</v>
      </c>
      <c r="P2339" s="27">
        <v>6</v>
      </c>
      <c r="Q2339" s="2">
        <f>INDEX(Остановки,MATCH(R2339,ИД_Остановки!$B$3:$B$467,0),1)</f>
        <v>200</v>
      </c>
      <c r="R2339" s="45" t="s">
        <v>119</v>
      </c>
      <c r="S2339" s="20">
        <v>0.75</v>
      </c>
    </row>
    <row r="2340" spans="8:19" x14ac:dyDescent="0.25">
      <c r="H2340">
        <v>14</v>
      </c>
      <c r="I2340">
        <v>820</v>
      </c>
      <c r="J2340">
        <v>115</v>
      </c>
      <c r="K2340" t="b">
        <v>1</v>
      </c>
      <c r="N2340" s="30" t="s">
        <v>644</v>
      </c>
      <c r="O2340" s="2">
        <f>INDEX(Маршруты,MATCH(N2340,$B$3:$B$498,0),1)</f>
        <v>102</v>
      </c>
      <c r="P2340" s="27">
        <v>7</v>
      </c>
      <c r="Q2340" s="2">
        <f>INDEX(Остановки,MATCH(R2340,ИД_Остановки!$B$3:$B$467,0),1)</f>
        <v>255</v>
      </c>
      <c r="R2340" s="45" t="s">
        <v>137</v>
      </c>
      <c r="S2340" s="20">
        <v>0.67</v>
      </c>
    </row>
    <row r="2341" spans="8:19" x14ac:dyDescent="0.25">
      <c r="H2341">
        <v>14</v>
      </c>
      <c r="I2341">
        <v>824</v>
      </c>
      <c r="J2341">
        <v>115</v>
      </c>
      <c r="K2341" t="b">
        <v>1</v>
      </c>
      <c r="N2341" s="30" t="s">
        <v>644</v>
      </c>
      <c r="O2341" s="2">
        <f>INDEX(Маршруты,MATCH(N2341,$B$3:$B$498,0),1)</f>
        <v>102</v>
      </c>
      <c r="P2341" s="28">
        <v>8</v>
      </c>
      <c r="Q2341" s="2">
        <f>INDEX(Остановки,MATCH(R2341,ИД_Остановки!$B$3:$B$467,0),1)</f>
        <v>257</v>
      </c>
      <c r="R2341" s="24" t="s">
        <v>377</v>
      </c>
      <c r="S2341" s="20">
        <v>0.61</v>
      </c>
    </row>
    <row r="2342" spans="8:19" x14ac:dyDescent="0.25">
      <c r="H2342">
        <v>14</v>
      </c>
      <c r="I2342">
        <v>828</v>
      </c>
      <c r="J2342">
        <v>115</v>
      </c>
      <c r="K2342" t="b">
        <v>1</v>
      </c>
      <c r="N2342" s="14" t="s">
        <v>644</v>
      </c>
      <c r="O2342" s="2">
        <f>INDEX(Маршруты,MATCH(N2342,$B$3:$B$498,0),1)</f>
        <v>102</v>
      </c>
      <c r="P2342" s="27">
        <v>9</v>
      </c>
      <c r="Q2342" s="2">
        <f>INDEX(Остановки,MATCH(R2342,ИД_Остановки!$B$3:$B$467,0),1)</f>
        <v>238</v>
      </c>
      <c r="R2342" s="45" t="s">
        <v>131</v>
      </c>
      <c r="S2342" s="20">
        <v>0.56000000000000005</v>
      </c>
    </row>
    <row r="2343" spans="8:19" x14ac:dyDescent="0.25">
      <c r="H2343">
        <v>14</v>
      </c>
      <c r="I2343">
        <v>832</v>
      </c>
      <c r="J2343">
        <v>115</v>
      </c>
      <c r="K2343" t="b">
        <v>1</v>
      </c>
      <c r="N2343" s="25" t="s">
        <v>644</v>
      </c>
      <c r="O2343" s="2">
        <f>INDEX(Маршруты,MATCH(N2343,$B$3:$B$498,0),1)</f>
        <v>102</v>
      </c>
      <c r="P2343" s="27">
        <v>10</v>
      </c>
      <c r="Q2343" s="2">
        <f>INDEX(Остановки,MATCH(R2343,ИД_Остановки!$B$3:$B$467,0),1)</f>
        <v>228</v>
      </c>
      <c r="R2343" s="45" t="s">
        <v>127</v>
      </c>
      <c r="S2343" s="20">
        <v>0.94</v>
      </c>
    </row>
    <row r="2344" spans="8:19" x14ac:dyDescent="0.25">
      <c r="H2344">
        <v>14</v>
      </c>
      <c r="I2344">
        <v>836</v>
      </c>
      <c r="J2344">
        <v>115</v>
      </c>
      <c r="K2344" t="b">
        <v>1</v>
      </c>
      <c r="N2344" s="25" t="s">
        <v>644</v>
      </c>
      <c r="O2344" s="2">
        <f>INDEX(Маршруты,MATCH(N2344,$B$3:$B$498,0),1)</f>
        <v>102</v>
      </c>
      <c r="P2344" s="27">
        <v>11</v>
      </c>
      <c r="Q2344" s="2">
        <f>INDEX(Остановки,MATCH(R2344,ИД_Остановки!$B$3:$B$467,0),1)</f>
        <v>3</v>
      </c>
      <c r="R2344" s="45" t="s">
        <v>243</v>
      </c>
      <c r="S2344" s="20">
        <v>1.18</v>
      </c>
    </row>
    <row r="2345" spans="8:19" x14ac:dyDescent="0.25">
      <c r="H2345">
        <v>14</v>
      </c>
      <c r="I2345">
        <v>840</v>
      </c>
      <c r="J2345">
        <v>115</v>
      </c>
      <c r="K2345" t="b">
        <v>1</v>
      </c>
      <c r="N2345" s="26" t="s">
        <v>644</v>
      </c>
      <c r="O2345" s="2">
        <f>INDEX(Маршруты,MATCH(N2345,$B$3:$B$498,0),1)</f>
        <v>102</v>
      </c>
      <c r="P2345" s="27">
        <v>12</v>
      </c>
      <c r="Q2345" s="2">
        <f>INDEX(Остановки,MATCH(R2345,ИД_Остановки!$B$3:$B$467,0),1)</f>
        <v>208</v>
      </c>
      <c r="R2345" s="45" t="s">
        <v>121</v>
      </c>
      <c r="S2345" s="20">
        <v>0.9</v>
      </c>
    </row>
    <row r="2346" spans="8:19" x14ac:dyDescent="0.25">
      <c r="H2346">
        <v>14</v>
      </c>
      <c r="I2346">
        <v>844</v>
      </c>
      <c r="J2346">
        <v>115</v>
      </c>
      <c r="K2346" t="b">
        <v>1</v>
      </c>
      <c r="N2346" s="26" t="s">
        <v>644</v>
      </c>
      <c r="O2346" s="2">
        <f>INDEX(Маршруты,MATCH(N2346,$B$3:$B$498,0),1)</f>
        <v>102</v>
      </c>
      <c r="P2346" s="27">
        <v>13</v>
      </c>
      <c r="Q2346" s="2">
        <f>INDEX(Остановки,MATCH(R2346,ИД_Остановки!$B$3:$B$467,0),1)</f>
        <v>207</v>
      </c>
      <c r="R2346" s="45" t="s">
        <v>345</v>
      </c>
      <c r="S2346" s="20">
        <v>0.56999999999999995</v>
      </c>
    </row>
    <row r="2347" spans="8:19" x14ac:dyDescent="0.25">
      <c r="H2347">
        <v>14</v>
      </c>
      <c r="I2347">
        <v>848</v>
      </c>
      <c r="J2347">
        <v>115</v>
      </c>
      <c r="K2347" t="b">
        <v>1</v>
      </c>
      <c r="N2347" s="25" t="s">
        <v>644</v>
      </c>
      <c r="O2347" s="2">
        <f>INDEX(Маршруты,MATCH(N2347,$B$3:$B$498,0),1)</f>
        <v>102</v>
      </c>
      <c r="P2347" s="27">
        <v>14</v>
      </c>
      <c r="Q2347" s="2">
        <f>INDEX(Остановки,MATCH(R2347,ИД_Остановки!$B$3:$B$467,0),1)</f>
        <v>241</v>
      </c>
      <c r="R2347" s="45" t="s">
        <v>132</v>
      </c>
      <c r="S2347" s="20">
        <v>0.74</v>
      </c>
    </row>
    <row r="2348" spans="8:19" x14ac:dyDescent="0.25">
      <c r="H2348">
        <v>14</v>
      </c>
      <c r="I2348">
        <v>852</v>
      </c>
      <c r="J2348">
        <v>115</v>
      </c>
      <c r="K2348" t="b">
        <v>1</v>
      </c>
      <c r="N2348" s="25" t="s">
        <v>644</v>
      </c>
      <c r="O2348" s="2">
        <f>INDEX(Маршруты,MATCH(N2348,$B$3:$B$498,0),1)</f>
        <v>102</v>
      </c>
      <c r="P2348" s="27">
        <v>15</v>
      </c>
      <c r="Q2348" s="2">
        <f>INDEX(Остановки,MATCH(R2348,ИД_Остановки!$B$3:$B$467,0),1)</f>
        <v>21</v>
      </c>
      <c r="R2348" s="45" t="s">
        <v>21</v>
      </c>
      <c r="S2348" s="20">
        <v>1.56</v>
      </c>
    </row>
    <row r="2349" spans="8:19" x14ac:dyDescent="0.25">
      <c r="H2349">
        <v>14</v>
      </c>
      <c r="I2349">
        <v>856</v>
      </c>
      <c r="J2349">
        <v>115</v>
      </c>
      <c r="K2349" t="b">
        <v>1</v>
      </c>
      <c r="N2349" s="25" t="s">
        <v>644</v>
      </c>
      <c r="O2349" s="2">
        <f>INDEX(Маршруты,MATCH(N2349,$B$3:$B$498,0),1)</f>
        <v>102</v>
      </c>
      <c r="P2349" s="27">
        <v>16</v>
      </c>
      <c r="Q2349" s="2">
        <f>INDEX(Остановки,MATCH(R2349,ИД_Остановки!$B$3:$B$467,0),1)</f>
        <v>428</v>
      </c>
      <c r="R2349" s="45" t="s">
        <v>484</v>
      </c>
      <c r="S2349" s="20">
        <v>0.89</v>
      </c>
    </row>
    <row r="2350" spans="8:19" x14ac:dyDescent="0.25">
      <c r="H2350">
        <v>14</v>
      </c>
      <c r="I2350">
        <v>860</v>
      </c>
      <c r="J2350">
        <v>115</v>
      </c>
      <c r="K2350" t="b">
        <v>1</v>
      </c>
      <c r="N2350" s="30" t="s">
        <v>644</v>
      </c>
      <c r="O2350" s="2">
        <f>INDEX(Маршруты,MATCH(N2350,$B$3:$B$498,0),1)</f>
        <v>102</v>
      </c>
      <c r="P2350" s="27">
        <v>17</v>
      </c>
      <c r="Q2350" s="2">
        <f>INDEX(Остановки,MATCH(R2350,ИД_Остановки!$B$3:$B$467,0),1)</f>
        <v>51</v>
      </c>
      <c r="R2350" s="24" t="s">
        <v>261</v>
      </c>
      <c r="S2350" s="20">
        <v>0.51</v>
      </c>
    </row>
    <row r="2351" spans="8:19" x14ac:dyDescent="0.25">
      <c r="H2351">
        <v>14</v>
      </c>
      <c r="I2351">
        <v>864</v>
      </c>
      <c r="J2351">
        <v>115</v>
      </c>
      <c r="K2351" t="b">
        <v>1</v>
      </c>
      <c r="N2351" s="25" t="s">
        <v>644</v>
      </c>
      <c r="O2351" s="2">
        <f>INDEX(Маршруты,MATCH(N2351,$B$3:$B$498,0),1)</f>
        <v>102</v>
      </c>
      <c r="P2351" s="27">
        <v>18</v>
      </c>
      <c r="Q2351" s="2">
        <f>INDEX(Остановки,MATCH(R2351,ИД_Остановки!$B$3:$B$467,0),1)</f>
        <v>148</v>
      </c>
      <c r="R2351" s="45" t="s">
        <v>88</v>
      </c>
      <c r="S2351" s="20">
        <v>0.26</v>
      </c>
    </row>
    <row r="2352" spans="8:19" x14ac:dyDescent="0.25">
      <c r="H2352">
        <v>14</v>
      </c>
      <c r="I2352">
        <v>868</v>
      </c>
      <c r="J2352">
        <v>115</v>
      </c>
      <c r="K2352" t="b">
        <v>1</v>
      </c>
      <c r="N2352" s="25" t="s">
        <v>644</v>
      </c>
      <c r="O2352" s="2">
        <f>INDEX(Маршруты,MATCH(N2352,$B$3:$B$498,0),1)</f>
        <v>102</v>
      </c>
      <c r="P2352" s="27">
        <v>19</v>
      </c>
      <c r="Q2352" s="2">
        <f>INDEX(Остановки,MATCH(R2352,ИД_Остановки!$B$3:$B$467,0),1)</f>
        <v>149</v>
      </c>
      <c r="R2352" s="45" t="s">
        <v>89</v>
      </c>
      <c r="S2352" s="20">
        <v>0.44</v>
      </c>
    </row>
    <row r="2353" spans="8:19" x14ac:dyDescent="0.25">
      <c r="H2353">
        <v>14</v>
      </c>
      <c r="I2353">
        <v>872</v>
      </c>
      <c r="J2353">
        <v>115</v>
      </c>
      <c r="K2353" t="b">
        <v>1</v>
      </c>
      <c r="N2353" s="26" t="s">
        <v>644</v>
      </c>
      <c r="O2353" s="2">
        <f>INDEX(Маршруты,MATCH(N2353,$B$3:$B$498,0),1)</f>
        <v>102</v>
      </c>
      <c r="P2353" s="27">
        <v>20</v>
      </c>
      <c r="Q2353" s="2">
        <f>INDEX(Остановки,MATCH(R2353,ИД_Остановки!$B$3:$B$467,0),1)</f>
        <v>161</v>
      </c>
      <c r="R2353" s="45" t="s">
        <v>90</v>
      </c>
      <c r="S2353" s="20">
        <v>0.45</v>
      </c>
    </row>
    <row r="2354" spans="8:19" x14ac:dyDescent="0.25">
      <c r="H2354">
        <v>14</v>
      </c>
      <c r="I2354">
        <v>876</v>
      </c>
      <c r="J2354">
        <v>115</v>
      </c>
      <c r="K2354" t="b">
        <v>1</v>
      </c>
      <c r="N2354" s="30" t="s">
        <v>644</v>
      </c>
      <c r="O2354" s="2">
        <f>INDEX(Маршруты,MATCH(N2354,$B$3:$B$498,0),1)</f>
        <v>102</v>
      </c>
      <c r="P2354" s="27">
        <v>21</v>
      </c>
      <c r="Q2354" s="2">
        <f>INDEX(Остановки,MATCH(R2354,ИД_Остановки!$B$3:$B$467,0),1)</f>
        <v>397</v>
      </c>
      <c r="R2354" s="24" t="s">
        <v>454</v>
      </c>
      <c r="S2354" s="20">
        <v>2.11</v>
      </c>
    </row>
    <row r="2355" spans="8:19" x14ac:dyDescent="0.25">
      <c r="H2355">
        <v>14</v>
      </c>
      <c r="I2355">
        <v>880</v>
      </c>
      <c r="J2355">
        <v>115</v>
      </c>
      <c r="K2355" t="b">
        <v>1</v>
      </c>
      <c r="N2355" s="25" t="s">
        <v>644</v>
      </c>
      <c r="O2355" s="2">
        <f>INDEX(Маршруты,MATCH(N2355,$B$3:$B$498,0),1)</f>
        <v>102</v>
      </c>
      <c r="P2355" s="27">
        <v>22</v>
      </c>
      <c r="Q2355" s="2">
        <f>INDEX(Остановки,MATCH(R2355,ИД_Остановки!$B$3:$B$467,0),1)</f>
        <v>151</v>
      </c>
      <c r="R2355" s="45" t="s">
        <v>91</v>
      </c>
      <c r="S2355" s="20">
        <v>1.1000000000000001</v>
      </c>
    </row>
    <row r="2356" spans="8:19" x14ac:dyDescent="0.25">
      <c r="H2356">
        <v>14</v>
      </c>
      <c r="I2356">
        <v>884</v>
      </c>
      <c r="J2356">
        <v>115</v>
      </c>
      <c r="K2356" t="b">
        <v>1</v>
      </c>
      <c r="N2356" s="30" t="s">
        <v>644</v>
      </c>
      <c r="O2356" s="2">
        <f>INDEX(Маршруты,MATCH(N2356,$B$3:$B$498,0),1)</f>
        <v>102</v>
      </c>
      <c r="P2356" s="27">
        <v>23</v>
      </c>
      <c r="Q2356" s="2">
        <f>INDEX(Остановки,MATCH(R2356,ИД_Остановки!$B$3:$B$467,0),1)</f>
        <v>336</v>
      </c>
      <c r="R2356" s="45" t="s">
        <v>406</v>
      </c>
      <c r="S2356" s="20">
        <v>0.33</v>
      </c>
    </row>
    <row r="2357" spans="8:19" x14ac:dyDescent="0.25">
      <c r="H2357">
        <v>14</v>
      </c>
      <c r="I2357">
        <v>888</v>
      </c>
      <c r="J2357">
        <v>115</v>
      </c>
      <c r="K2357" t="b">
        <v>1</v>
      </c>
      <c r="N2357" s="25" t="s">
        <v>644</v>
      </c>
      <c r="O2357" s="2">
        <f>INDEX(Маршруты,MATCH(N2357,$B$3:$B$498,0),1)</f>
        <v>102</v>
      </c>
      <c r="P2357" s="27">
        <v>24</v>
      </c>
      <c r="Q2357" s="2">
        <f>INDEX(Остановки,MATCH(R2357,ИД_Остановки!$B$3:$B$467,0),1)</f>
        <v>177</v>
      </c>
      <c r="R2357" s="45" t="s">
        <v>92</v>
      </c>
      <c r="S2357" s="20">
        <v>0.69</v>
      </c>
    </row>
    <row r="2358" spans="8:19" x14ac:dyDescent="0.25">
      <c r="H2358">
        <v>14</v>
      </c>
      <c r="I2358">
        <v>892</v>
      </c>
      <c r="J2358">
        <v>115</v>
      </c>
      <c r="K2358" t="b">
        <v>1</v>
      </c>
      <c r="N2358" s="25" t="s">
        <v>644</v>
      </c>
      <c r="O2358" s="2">
        <f>INDEX(Маршруты,MATCH(N2358,$B$3:$B$498,0),1)</f>
        <v>102</v>
      </c>
      <c r="P2358" s="27">
        <v>25</v>
      </c>
      <c r="Q2358" s="2">
        <f>INDEX(Остановки,MATCH(R2358,ИД_Остановки!$B$3:$B$467,0),1)</f>
        <v>444</v>
      </c>
      <c r="R2358" s="45" t="s">
        <v>650</v>
      </c>
      <c r="S2358" s="20">
        <v>0.37</v>
      </c>
    </row>
    <row r="2359" spans="8:19" x14ac:dyDescent="0.25">
      <c r="H2359">
        <v>14</v>
      </c>
      <c r="I2359">
        <v>896</v>
      </c>
      <c r="J2359">
        <v>115</v>
      </c>
      <c r="K2359" t="b">
        <v>1</v>
      </c>
      <c r="N2359" s="25" t="s">
        <v>644</v>
      </c>
      <c r="O2359" s="2">
        <f>INDEX(Маршруты,MATCH(N2359,$B$3:$B$498,0),1)</f>
        <v>102</v>
      </c>
      <c r="P2359" s="27">
        <v>26</v>
      </c>
      <c r="Q2359" s="2">
        <f>INDEX(Остановки,MATCH(R2359,ИД_Остановки!$B$3:$B$467,0),1)</f>
        <v>178</v>
      </c>
      <c r="R2359" s="45" t="s">
        <v>93</v>
      </c>
      <c r="S2359" s="20">
        <v>0.34</v>
      </c>
    </row>
    <row r="2360" spans="8:19" x14ac:dyDescent="0.25">
      <c r="H2360">
        <v>14</v>
      </c>
      <c r="I2360">
        <v>900</v>
      </c>
      <c r="J2360">
        <v>115</v>
      </c>
      <c r="K2360" t="b">
        <v>1</v>
      </c>
      <c r="N2360" s="26" t="s">
        <v>644</v>
      </c>
      <c r="O2360" s="2">
        <f>INDEX(Маршруты,MATCH(N2360,$B$3:$B$498,0),1)</f>
        <v>102</v>
      </c>
      <c r="P2360" s="27">
        <v>27</v>
      </c>
      <c r="Q2360" s="2">
        <f>INDEX(Остановки,MATCH(R2360,ИД_Остановки!$B$3:$B$467,0),1)</f>
        <v>77</v>
      </c>
      <c r="R2360" s="45" t="s">
        <v>276</v>
      </c>
      <c r="S2360" s="20">
        <v>0.59</v>
      </c>
    </row>
    <row r="2361" spans="8:19" x14ac:dyDescent="0.25">
      <c r="H2361">
        <v>14</v>
      </c>
      <c r="I2361">
        <v>904</v>
      </c>
      <c r="J2361">
        <v>115</v>
      </c>
      <c r="K2361" t="b">
        <v>1</v>
      </c>
      <c r="N2361" s="25" t="s">
        <v>644</v>
      </c>
      <c r="O2361" s="2">
        <f>INDEX(Маршруты,MATCH(N2361,$B$3:$B$498,0),1)</f>
        <v>102</v>
      </c>
      <c r="P2361" s="27">
        <v>28</v>
      </c>
      <c r="Q2361" s="2">
        <f>INDEX(Остановки,MATCH(R2361,ИД_Остановки!$B$3:$B$467,0),1)</f>
        <v>78</v>
      </c>
      <c r="R2361" s="45" t="s">
        <v>277</v>
      </c>
      <c r="S2361" s="20">
        <v>0.39</v>
      </c>
    </row>
    <row r="2362" spans="8:19" x14ac:dyDescent="0.25">
      <c r="H2362">
        <v>14</v>
      </c>
      <c r="I2362">
        <v>908</v>
      </c>
      <c r="J2362">
        <v>115</v>
      </c>
      <c r="K2362" t="b">
        <v>1</v>
      </c>
      <c r="N2362" s="30" t="s">
        <v>644</v>
      </c>
      <c r="O2362" s="2">
        <f>INDEX(Маршруты,MATCH(N2362,$B$3:$B$498,0),1)</f>
        <v>102</v>
      </c>
      <c r="P2362" s="27">
        <v>29</v>
      </c>
      <c r="Q2362" s="2">
        <f>INDEX(Остановки,MATCH(R2362,ИД_Остановки!$B$3:$B$467,0),1)</f>
        <v>129</v>
      </c>
      <c r="R2362" s="45" t="s">
        <v>81</v>
      </c>
      <c r="S2362" s="20">
        <v>0.47</v>
      </c>
    </row>
    <row r="2363" spans="8:19" x14ac:dyDescent="0.25">
      <c r="H2363">
        <v>14</v>
      </c>
      <c r="I2363">
        <v>912</v>
      </c>
      <c r="J2363">
        <v>115</v>
      </c>
      <c r="K2363" t="b">
        <v>1</v>
      </c>
      <c r="N2363" s="26" t="s">
        <v>644</v>
      </c>
      <c r="O2363" s="2">
        <f>INDEX(Маршруты,MATCH(N2363,$B$3:$B$498,0),1)</f>
        <v>102</v>
      </c>
      <c r="P2363" s="27">
        <v>30</v>
      </c>
      <c r="Q2363" s="2">
        <f>INDEX(Остановки,MATCH(R2363,ИД_Остановки!$B$3:$B$467,0),1)</f>
        <v>109</v>
      </c>
      <c r="R2363" s="45" t="s">
        <v>293</v>
      </c>
      <c r="S2363" s="20">
        <v>0.44</v>
      </c>
    </row>
    <row r="2364" spans="8:19" x14ac:dyDescent="0.25">
      <c r="H2364">
        <v>14</v>
      </c>
      <c r="I2364">
        <v>916</v>
      </c>
      <c r="J2364">
        <v>115</v>
      </c>
      <c r="K2364" t="b">
        <v>1</v>
      </c>
      <c r="N2364" s="24" t="s">
        <v>644</v>
      </c>
      <c r="O2364" s="2">
        <f>INDEX(Маршруты,MATCH(N2364,$B$3:$B$498,0),1)</f>
        <v>102</v>
      </c>
      <c r="P2364" s="27">
        <v>31</v>
      </c>
      <c r="Q2364" s="2">
        <f>INDEX(Остановки,MATCH(R2364,ИД_Остановки!$B$3:$B$467,0),1)</f>
        <v>72</v>
      </c>
      <c r="R2364" s="45" t="s">
        <v>272</v>
      </c>
      <c r="S2364" s="20">
        <v>0.41</v>
      </c>
    </row>
    <row r="2365" spans="8:19" x14ac:dyDescent="0.25">
      <c r="H2365">
        <v>14</v>
      </c>
      <c r="I2365">
        <v>920</v>
      </c>
      <c r="J2365">
        <v>115</v>
      </c>
      <c r="K2365" t="b">
        <v>1</v>
      </c>
      <c r="N2365" s="30" t="s">
        <v>644</v>
      </c>
      <c r="O2365" s="2">
        <f>INDEX(Маршруты,MATCH(N2365,$B$3:$B$498,0),1)</f>
        <v>102</v>
      </c>
      <c r="P2365" s="27">
        <v>32</v>
      </c>
      <c r="Q2365" s="2">
        <f>INDEX(Остановки,MATCH(R2365,ИД_Остановки!$B$3:$B$467,0),1)</f>
        <v>110</v>
      </c>
      <c r="R2365" s="45" t="s">
        <v>294</v>
      </c>
      <c r="S2365" s="20">
        <v>0.31</v>
      </c>
    </row>
    <row r="2366" spans="8:19" x14ac:dyDescent="0.25">
      <c r="H2366">
        <v>14</v>
      </c>
      <c r="I2366">
        <v>924</v>
      </c>
      <c r="J2366">
        <v>115</v>
      </c>
      <c r="K2366" t="b">
        <v>1</v>
      </c>
      <c r="N2366" s="25" t="s">
        <v>644</v>
      </c>
      <c r="O2366" s="2">
        <f>INDEX(Маршруты,MATCH(N2366,$B$3:$B$498,0),1)</f>
        <v>102</v>
      </c>
      <c r="P2366" s="27">
        <v>33</v>
      </c>
      <c r="Q2366" s="2">
        <f>INDEX(Остановки,MATCH(R2366,ИД_Остановки!$B$3:$B$467,0),1)</f>
        <v>111</v>
      </c>
      <c r="R2366" s="45" t="s">
        <v>73</v>
      </c>
      <c r="S2366" s="20">
        <v>0.54</v>
      </c>
    </row>
    <row r="2367" spans="8:19" x14ac:dyDescent="0.25">
      <c r="H2367">
        <v>14</v>
      </c>
      <c r="I2367">
        <v>928</v>
      </c>
      <c r="J2367">
        <v>115</v>
      </c>
      <c r="K2367" t="b">
        <v>1</v>
      </c>
      <c r="N2367" s="25" t="s">
        <v>644</v>
      </c>
      <c r="O2367" s="2">
        <f>INDEX(Маршруты,MATCH(N2367,$B$3:$B$498,0),1)</f>
        <v>102</v>
      </c>
      <c r="P2367" s="27">
        <v>34</v>
      </c>
      <c r="Q2367" s="2">
        <f>INDEX(Остановки,MATCH(R2367,ИД_Остановки!$B$3:$B$467,0),1)</f>
        <v>112</v>
      </c>
      <c r="R2367" s="45" t="s">
        <v>295</v>
      </c>
      <c r="S2367" s="20">
        <v>0.38</v>
      </c>
    </row>
    <row r="2368" spans="8:19" x14ac:dyDescent="0.25">
      <c r="H2368">
        <v>14</v>
      </c>
      <c r="I2368">
        <v>932</v>
      </c>
      <c r="J2368">
        <v>115</v>
      </c>
      <c r="K2368" t="b">
        <v>1</v>
      </c>
      <c r="N2368" s="30" t="s">
        <v>644</v>
      </c>
      <c r="O2368" s="2">
        <f>INDEX(Маршруты,MATCH(N2368,$B$3:$B$498,0),1)</f>
        <v>102</v>
      </c>
      <c r="P2368" s="27">
        <v>35</v>
      </c>
      <c r="Q2368" s="2">
        <f>INDEX(Остановки,MATCH(R2368,ИД_Остановки!$B$3:$B$467,0),1)</f>
        <v>113</v>
      </c>
      <c r="R2368" s="45" t="s">
        <v>296</v>
      </c>
      <c r="S2368" s="20">
        <v>0.51</v>
      </c>
    </row>
    <row r="2369" spans="8:19" x14ac:dyDescent="0.25">
      <c r="H2369">
        <v>14</v>
      </c>
      <c r="I2369">
        <v>936</v>
      </c>
      <c r="J2369">
        <v>115</v>
      </c>
      <c r="K2369" t="b">
        <v>1</v>
      </c>
      <c r="N2369" s="25" t="s">
        <v>644</v>
      </c>
      <c r="O2369" s="2">
        <f>INDEX(Маршруты,MATCH(N2369,$B$3:$B$498,0),1)</f>
        <v>102</v>
      </c>
      <c r="P2369" s="27">
        <v>36</v>
      </c>
      <c r="Q2369" s="2">
        <f>INDEX(Остановки,MATCH(R2369,ИД_Остановки!$B$3:$B$467,0),1)</f>
        <v>114</v>
      </c>
      <c r="R2369" s="24" t="s">
        <v>297</v>
      </c>
      <c r="S2369" s="20">
        <v>0.51</v>
      </c>
    </row>
    <row r="2370" spans="8:19" x14ac:dyDescent="0.25">
      <c r="H2370">
        <v>14</v>
      </c>
      <c r="I2370">
        <v>940</v>
      </c>
      <c r="J2370">
        <v>115</v>
      </c>
      <c r="K2370" t="b">
        <v>1</v>
      </c>
      <c r="N2370" s="25" t="s">
        <v>644</v>
      </c>
      <c r="O2370" s="2">
        <f>INDEX(Маршруты,MATCH(N2370,$B$3:$B$498,0),1)</f>
        <v>102</v>
      </c>
      <c r="P2370" s="27">
        <v>37</v>
      </c>
      <c r="Q2370" s="2">
        <f>INDEX(Остановки,MATCH(R2370,ИД_Остановки!$B$3:$B$467,0),1)</f>
        <v>115</v>
      </c>
      <c r="R2370" s="45" t="s">
        <v>74</v>
      </c>
      <c r="S2370" s="20">
        <v>0.37</v>
      </c>
    </row>
    <row r="2371" spans="8:19" x14ac:dyDescent="0.25">
      <c r="H2371">
        <v>14</v>
      </c>
      <c r="I2371">
        <v>944</v>
      </c>
      <c r="J2371">
        <v>115</v>
      </c>
      <c r="K2371" t="b">
        <v>1</v>
      </c>
      <c r="N2371" s="25" t="s">
        <v>644</v>
      </c>
      <c r="O2371" s="2">
        <f>INDEX(Маршруты,MATCH(N2371,$B$3:$B$498,0),1)</f>
        <v>102</v>
      </c>
      <c r="P2371" s="27">
        <v>38</v>
      </c>
      <c r="Q2371" s="2">
        <f>INDEX(Остановки,MATCH(R2371,ИД_Остановки!$B$3:$B$467,0),1)</f>
        <v>335</v>
      </c>
      <c r="R2371" s="45" t="s">
        <v>620</v>
      </c>
      <c r="S2371" s="20">
        <v>0.67</v>
      </c>
    </row>
    <row r="2372" spans="8:19" x14ac:dyDescent="0.25">
      <c r="H2372">
        <v>14</v>
      </c>
      <c r="I2372">
        <v>948</v>
      </c>
      <c r="J2372">
        <v>115</v>
      </c>
      <c r="K2372" t="b">
        <v>1</v>
      </c>
      <c r="N2372" s="30" t="s">
        <v>644</v>
      </c>
      <c r="O2372" s="2">
        <f>INDEX(Маршруты,MATCH(N2372,$B$3:$B$498,0),1)</f>
        <v>102</v>
      </c>
      <c r="P2372" s="28">
        <v>39</v>
      </c>
      <c r="Q2372" s="2">
        <f>INDEX(Остановки,MATCH(R2372,ИД_Остановки!$B$3:$B$467,0),1)</f>
        <v>117</v>
      </c>
      <c r="R2372" s="24" t="s">
        <v>298</v>
      </c>
      <c r="S2372" s="20">
        <v>0.41</v>
      </c>
    </row>
    <row r="2373" spans="8:19" x14ac:dyDescent="0.25">
      <c r="H2373">
        <v>14</v>
      </c>
      <c r="I2373">
        <v>952</v>
      </c>
      <c r="J2373">
        <v>115</v>
      </c>
      <c r="K2373" t="b">
        <v>1</v>
      </c>
      <c r="N2373" s="25" t="s">
        <v>644</v>
      </c>
      <c r="O2373" s="2">
        <f>INDEX(Маршруты,MATCH(N2373,$B$3:$B$498,0),1)</f>
        <v>102</v>
      </c>
      <c r="P2373" s="27">
        <v>40</v>
      </c>
      <c r="Q2373" s="2">
        <f>INDEX(Остановки,MATCH(R2373,ИД_Остановки!$B$3:$B$467,0),1)</f>
        <v>119</v>
      </c>
      <c r="R2373" s="45" t="s">
        <v>165</v>
      </c>
      <c r="S2373" s="20">
        <v>0.79</v>
      </c>
    </row>
    <row r="2374" spans="8:19" x14ac:dyDescent="0.25">
      <c r="H2374">
        <v>14</v>
      </c>
      <c r="I2374">
        <v>956</v>
      </c>
      <c r="J2374">
        <v>115</v>
      </c>
      <c r="K2374" t="b">
        <v>1</v>
      </c>
      <c r="N2374" s="25" t="s">
        <v>644</v>
      </c>
      <c r="O2374" s="2">
        <f>INDEX(Маршруты,MATCH(N2374,$B$3:$B$498,0),1)</f>
        <v>102</v>
      </c>
      <c r="P2374" s="27">
        <v>41</v>
      </c>
      <c r="Q2374" s="2">
        <f>INDEX(Остановки,MATCH(R2374,ИД_Остановки!$B$3:$B$467,0),1)</f>
        <v>120</v>
      </c>
      <c r="R2374" s="45" t="s">
        <v>300</v>
      </c>
      <c r="S2374" s="20">
        <v>1.1200000000000001</v>
      </c>
    </row>
    <row r="2375" spans="8:19" x14ac:dyDescent="0.25">
      <c r="H2375">
        <v>15</v>
      </c>
      <c r="I2375">
        <v>0</v>
      </c>
      <c r="J2375">
        <v>110</v>
      </c>
      <c r="K2375" t="b">
        <v>1</v>
      </c>
      <c r="N2375" s="25" t="s">
        <v>644</v>
      </c>
      <c r="O2375" s="2">
        <f>INDEX(Маршруты,MATCH(N2375,$B$3:$B$498,0),1)</f>
        <v>102</v>
      </c>
      <c r="P2375" s="27">
        <v>42</v>
      </c>
      <c r="Q2375" s="2">
        <f>INDEX(Остановки,MATCH(R2375,ИД_Остановки!$B$3:$B$467,0),1)</f>
        <v>121</v>
      </c>
      <c r="R2375" s="45" t="s">
        <v>625</v>
      </c>
      <c r="S2375" s="20">
        <v>0.31</v>
      </c>
    </row>
    <row r="2376" spans="8:19" x14ac:dyDescent="0.25">
      <c r="H2376">
        <v>15</v>
      </c>
      <c r="I2376">
        <v>5</v>
      </c>
      <c r="J2376">
        <v>110</v>
      </c>
      <c r="K2376" t="b">
        <v>1</v>
      </c>
      <c r="N2376" s="25" t="s">
        <v>644</v>
      </c>
      <c r="O2376" s="2">
        <f>INDEX(Маршруты,MATCH(N2376,$B$3:$B$498,0),1)</f>
        <v>102</v>
      </c>
      <c r="P2376" s="27">
        <v>43</v>
      </c>
      <c r="Q2376" s="2">
        <f>INDEX(Остановки,MATCH(R2376,ИД_Остановки!$B$3:$B$467,0),1)</f>
        <v>122</v>
      </c>
      <c r="R2376" s="45" t="s">
        <v>77</v>
      </c>
      <c r="S2376" s="20">
        <v>0.32</v>
      </c>
    </row>
    <row r="2377" spans="8:19" x14ac:dyDescent="0.25">
      <c r="H2377">
        <v>15</v>
      </c>
      <c r="I2377">
        <v>10</v>
      </c>
      <c r="J2377">
        <v>110</v>
      </c>
      <c r="K2377" t="b">
        <v>1</v>
      </c>
      <c r="N2377" s="25" t="s">
        <v>644</v>
      </c>
      <c r="O2377" s="2">
        <f>INDEX(Маршруты,MATCH(N2377,$B$3:$B$498,0),1)</f>
        <v>102</v>
      </c>
      <c r="P2377" s="27">
        <v>44</v>
      </c>
      <c r="Q2377" s="2">
        <f>INDEX(Остановки,MATCH(R2377,ИД_Остановки!$B$3:$B$467,0),1)</f>
        <v>96</v>
      </c>
      <c r="R2377" s="45" t="s">
        <v>285</v>
      </c>
      <c r="S2377" s="20">
        <v>0.52</v>
      </c>
    </row>
    <row r="2378" spans="8:19" x14ac:dyDescent="0.25">
      <c r="H2378">
        <v>15</v>
      </c>
      <c r="I2378">
        <v>15</v>
      </c>
      <c r="J2378">
        <v>110</v>
      </c>
      <c r="K2378" t="b">
        <v>1</v>
      </c>
      <c r="N2378" s="25" t="s">
        <v>644</v>
      </c>
      <c r="O2378" s="2">
        <f>INDEX(Маршруты,MATCH(N2378,$B$3:$B$498,0),1)</f>
        <v>102</v>
      </c>
      <c r="P2378" s="27">
        <v>45</v>
      </c>
      <c r="Q2378" s="2">
        <f>INDEX(Остановки,MATCH(R2378,ИД_Остановки!$B$3:$B$467,0),1)</f>
        <v>123</v>
      </c>
      <c r="R2378" s="45" t="s">
        <v>301</v>
      </c>
      <c r="S2378" s="20">
        <v>0.6</v>
      </c>
    </row>
    <row r="2379" spans="8:19" x14ac:dyDescent="0.25">
      <c r="H2379">
        <v>15</v>
      </c>
      <c r="I2379">
        <v>20</v>
      </c>
      <c r="J2379">
        <v>110</v>
      </c>
      <c r="K2379" t="b">
        <v>1</v>
      </c>
      <c r="N2379" s="26" t="s">
        <v>573</v>
      </c>
      <c r="O2379" s="2">
        <f>INDEX(Маршруты,MATCH(N2379,$B$3:$B$498,0),1)</f>
        <v>103</v>
      </c>
      <c r="P2379" s="27">
        <v>1</v>
      </c>
      <c r="Q2379" s="2">
        <f>INDEX(Остановки,MATCH(R2379,ИД_Остановки!$B$3:$B$467,0),1)</f>
        <v>333</v>
      </c>
      <c r="R2379" s="45" t="s">
        <v>190</v>
      </c>
      <c r="S2379" s="20"/>
    </row>
    <row r="2380" spans="8:19" x14ac:dyDescent="0.25">
      <c r="H2380">
        <v>15</v>
      </c>
      <c r="I2380">
        <v>25</v>
      </c>
      <c r="J2380">
        <v>110</v>
      </c>
      <c r="K2380" t="b">
        <v>1</v>
      </c>
      <c r="N2380" s="30" t="s">
        <v>573</v>
      </c>
      <c r="O2380" s="2">
        <f>INDEX(Маршруты,MATCH(N2380,$B$3:$B$498,0),1)</f>
        <v>103</v>
      </c>
      <c r="P2380" s="27">
        <v>2</v>
      </c>
      <c r="Q2380" s="2">
        <f>INDEX(Остановки,MATCH(R2380,ИД_Остановки!$B$3:$B$467,0),1)</f>
        <v>403</v>
      </c>
      <c r="R2380" s="45" t="s">
        <v>99</v>
      </c>
      <c r="S2380" s="20">
        <v>0.42</v>
      </c>
    </row>
    <row r="2381" spans="8:19" x14ac:dyDescent="0.25">
      <c r="H2381">
        <v>15</v>
      </c>
      <c r="I2381">
        <v>30</v>
      </c>
      <c r="J2381">
        <v>110</v>
      </c>
      <c r="K2381" t="b">
        <v>1</v>
      </c>
      <c r="N2381" s="30" t="s">
        <v>573</v>
      </c>
      <c r="O2381" s="2">
        <f>INDEX(Маршруты,MATCH(N2381,$B$3:$B$498,0),1)</f>
        <v>103</v>
      </c>
      <c r="P2381" s="27">
        <v>3</v>
      </c>
      <c r="Q2381" s="2">
        <f>INDEX(Остановки,MATCH(R2381,ИД_Остановки!$B$3:$B$467,0),1)</f>
        <v>254</v>
      </c>
      <c r="R2381" s="45" t="s">
        <v>136</v>
      </c>
      <c r="S2381" s="20">
        <v>1</v>
      </c>
    </row>
    <row r="2382" spans="8:19" x14ac:dyDescent="0.25">
      <c r="H2382">
        <v>15</v>
      </c>
      <c r="I2382">
        <v>35</v>
      </c>
      <c r="J2382">
        <v>110</v>
      </c>
      <c r="K2382" t="b">
        <v>1</v>
      </c>
      <c r="N2382" s="25" t="s">
        <v>573</v>
      </c>
      <c r="O2382" s="2">
        <f>INDEX(Маршруты,MATCH(N2382,$B$3:$B$498,0),1)</f>
        <v>103</v>
      </c>
      <c r="P2382" s="27">
        <v>4</v>
      </c>
      <c r="Q2382" s="2">
        <f>INDEX(Остановки,MATCH(R2382,ИД_Остановки!$B$3:$B$467,0),1)</f>
        <v>288</v>
      </c>
      <c r="R2382" s="45" t="s">
        <v>388</v>
      </c>
      <c r="S2382" s="20">
        <v>0.79</v>
      </c>
    </row>
    <row r="2383" spans="8:19" x14ac:dyDescent="0.25">
      <c r="H2383">
        <v>15</v>
      </c>
      <c r="I2383">
        <v>40</v>
      </c>
      <c r="J2383">
        <v>110</v>
      </c>
      <c r="K2383" t="b">
        <v>1</v>
      </c>
      <c r="N2383" s="30" t="s">
        <v>573</v>
      </c>
      <c r="O2383" s="2">
        <f>INDEX(Маршруты,MATCH(N2383,$B$3:$B$498,0),1)</f>
        <v>103</v>
      </c>
      <c r="P2383" s="27">
        <v>5</v>
      </c>
      <c r="Q2383" s="2">
        <f>INDEX(Остановки,MATCH(R2383,ИД_Остановки!$B$3:$B$467,0),1)</f>
        <v>252</v>
      </c>
      <c r="R2383" s="45" t="s">
        <v>135</v>
      </c>
      <c r="S2383" s="20">
        <v>0.28999999999999998</v>
      </c>
    </row>
    <row r="2384" spans="8:19" x14ac:dyDescent="0.25">
      <c r="H2384">
        <v>15</v>
      </c>
      <c r="I2384">
        <v>45</v>
      </c>
      <c r="J2384">
        <v>110</v>
      </c>
      <c r="K2384" t="b">
        <v>1</v>
      </c>
      <c r="N2384" s="25" t="s">
        <v>573</v>
      </c>
      <c r="O2384" s="2">
        <f>INDEX(Маршруты,MATCH(N2384,$B$3:$B$498,0),1)</f>
        <v>103</v>
      </c>
      <c r="P2384" s="27">
        <v>6</v>
      </c>
      <c r="Q2384" s="2">
        <f>INDEX(Остановки,MATCH(R2384,ИД_Остановки!$B$3:$B$467,0),1)</f>
        <v>236</v>
      </c>
      <c r="R2384" s="45" t="s">
        <v>130</v>
      </c>
      <c r="S2384" s="20">
        <v>0.59</v>
      </c>
    </row>
    <row r="2385" spans="8:19" x14ac:dyDescent="0.25">
      <c r="H2385">
        <v>15</v>
      </c>
      <c r="I2385">
        <v>50</v>
      </c>
      <c r="J2385">
        <v>110</v>
      </c>
      <c r="K2385" t="b">
        <v>1</v>
      </c>
      <c r="N2385" s="30" t="s">
        <v>573</v>
      </c>
      <c r="O2385" s="2">
        <f>INDEX(Маршруты,MATCH(N2385,$B$3:$B$498,0),1)</f>
        <v>103</v>
      </c>
      <c r="P2385" s="27">
        <v>7</v>
      </c>
      <c r="Q2385" s="2">
        <f>INDEX(Остановки,MATCH(R2385,ИД_Остановки!$B$3:$B$467,0),1)</f>
        <v>245</v>
      </c>
      <c r="R2385" s="45" t="s">
        <v>369</v>
      </c>
      <c r="S2385" s="20">
        <v>0.38</v>
      </c>
    </row>
    <row r="2386" spans="8:19" x14ac:dyDescent="0.25">
      <c r="H2386">
        <v>15</v>
      </c>
      <c r="I2386">
        <v>55</v>
      </c>
      <c r="J2386">
        <v>110</v>
      </c>
      <c r="K2386" t="b">
        <v>1</v>
      </c>
      <c r="N2386" s="30" t="s">
        <v>573</v>
      </c>
      <c r="O2386" s="2">
        <f>INDEX(Маршруты,MATCH(N2386,$B$3:$B$498,0),1)</f>
        <v>103</v>
      </c>
      <c r="P2386" s="27">
        <v>8</v>
      </c>
      <c r="Q2386" s="2">
        <f>INDEX(Остановки,MATCH(R2386,ИД_Остановки!$B$3:$B$467,0),1)</f>
        <v>258</v>
      </c>
      <c r="R2386" s="45" t="s">
        <v>378</v>
      </c>
      <c r="S2386" s="20">
        <v>0.3</v>
      </c>
    </row>
    <row r="2387" spans="8:19" x14ac:dyDescent="0.25">
      <c r="H2387">
        <v>15</v>
      </c>
      <c r="I2387">
        <v>60</v>
      </c>
      <c r="J2387">
        <v>110</v>
      </c>
      <c r="K2387" t="b">
        <v>1</v>
      </c>
      <c r="N2387" s="25" t="s">
        <v>573</v>
      </c>
      <c r="O2387" s="2">
        <f>INDEX(Маршруты,MATCH(N2387,$B$3:$B$498,0),1)</f>
        <v>103</v>
      </c>
      <c r="P2387" s="27">
        <v>9</v>
      </c>
      <c r="Q2387" s="2">
        <f>INDEX(Остановки,MATCH(R2387,ИД_Остановки!$B$3:$B$467,0),1)</f>
        <v>244</v>
      </c>
      <c r="R2387" s="45" t="s">
        <v>133</v>
      </c>
      <c r="S2387" s="20">
        <v>0.215</v>
      </c>
    </row>
    <row r="2388" spans="8:19" x14ac:dyDescent="0.25">
      <c r="H2388">
        <v>15</v>
      </c>
      <c r="I2388">
        <v>65</v>
      </c>
      <c r="J2388">
        <v>110</v>
      </c>
      <c r="K2388" t="b">
        <v>1</v>
      </c>
      <c r="N2388" s="25" t="s">
        <v>573</v>
      </c>
      <c r="O2388" s="2">
        <f>INDEX(Маршруты,MATCH(N2388,$B$3:$B$498,0),1)</f>
        <v>103</v>
      </c>
      <c r="P2388" s="27">
        <v>10</v>
      </c>
      <c r="Q2388" s="2">
        <f>INDEX(Остановки,MATCH(R2388,ИД_Остановки!$B$3:$B$467,0),1)</f>
        <v>251</v>
      </c>
      <c r="R2388" s="24" t="s">
        <v>164</v>
      </c>
      <c r="S2388" s="20">
        <v>0.64</v>
      </c>
    </row>
    <row r="2389" spans="8:19" x14ac:dyDescent="0.25">
      <c r="H2389">
        <v>15</v>
      </c>
      <c r="I2389">
        <v>70</v>
      </c>
      <c r="J2389">
        <v>110</v>
      </c>
      <c r="K2389" t="b">
        <v>1</v>
      </c>
      <c r="N2389" s="14" t="s">
        <v>573</v>
      </c>
      <c r="O2389" s="2">
        <f>INDEX(Маршруты,MATCH(N2389,$B$3:$B$498,0),1)</f>
        <v>103</v>
      </c>
      <c r="P2389" s="27">
        <v>11</v>
      </c>
      <c r="Q2389" s="2">
        <f>INDEX(Остановки,MATCH(R2389,ИД_Остановки!$B$3:$B$467,0),1)</f>
        <v>243</v>
      </c>
      <c r="R2389" s="45" t="s">
        <v>368</v>
      </c>
      <c r="S2389" s="20">
        <v>0.7</v>
      </c>
    </row>
    <row r="2390" spans="8:19" x14ac:dyDescent="0.25">
      <c r="H2390">
        <v>15</v>
      </c>
      <c r="I2390">
        <v>75</v>
      </c>
      <c r="J2390">
        <v>110</v>
      </c>
      <c r="K2390" t="b">
        <v>1</v>
      </c>
      <c r="N2390" s="25" t="s">
        <v>573</v>
      </c>
      <c r="O2390" s="2">
        <f>INDEX(Маршруты,MATCH(N2390,$B$3:$B$498,0),1)</f>
        <v>103</v>
      </c>
      <c r="P2390" s="27">
        <v>12</v>
      </c>
      <c r="Q2390" s="2">
        <f>INDEX(Остановки,MATCH(R2390,ИД_Остановки!$B$3:$B$467,0),1)</f>
        <v>222</v>
      </c>
      <c r="R2390" s="45" t="s">
        <v>354</v>
      </c>
      <c r="S2390" s="20">
        <v>0.36</v>
      </c>
    </row>
    <row r="2391" spans="8:19" x14ac:dyDescent="0.25">
      <c r="H2391">
        <v>15</v>
      </c>
      <c r="I2391">
        <v>80</v>
      </c>
      <c r="J2391">
        <v>110</v>
      </c>
      <c r="K2391" t="b">
        <v>1</v>
      </c>
      <c r="N2391" s="26" t="s">
        <v>573</v>
      </c>
      <c r="O2391" s="2">
        <f>INDEX(Маршруты,MATCH(N2391,$B$3:$B$498,0),1)</f>
        <v>103</v>
      </c>
      <c r="P2391" s="27">
        <v>13</v>
      </c>
      <c r="Q2391" s="2">
        <f>INDEX(Остановки,MATCH(R2391,ИД_Остановки!$B$3:$B$467,0),1)</f>
        <v>250</v>
      </c>
      <c r="R2391" s="45" t="s">
        <v>373</v>
      </c>
      <c r="S2391" s="20">
        <v>0.64</v>
      </c>
    </row>
    <row r="2392" spans="8:19" x14ac:dyDescent="0.25">
      <c r="H2392">
        <v>15</v>
      </c>
      <c r="I2392">
        <v>85</v>
      </c>
      <c r="J2392">
        <v>110</v>
      </c>
      <c r="K2392" t="b">
        <v>1</v>
      </c>
      <c r="N2392" s="26" t="s">
        <v>573</v>
      </c>
      <c r="O2392" s="2">
        <f>INDEX(Маршруты,MATCH(N2392,$B$3:$B$498,0),1)</f>
        <v>103</v>
      </c>
      <c r="P2392" s="27">
        <v>14</v>
      </c>
      <c r="Q2392" s="2">
        <f>INDEX(Остановки,MATCH(R2392,ИД_Остановки!$B$3:$B$467,0),1)</f>
        <v>249</v>
      </c>
      <c r="R2392" s="45" t="s">
        <v>372</v>
      </c>
      <c r="S2392" s="20">
        <v>0.32</v>
      </c>
    </row>
    <row r="2393" spans="8:19" x14ac:dyDescent="0.25">
      <c r="H2393">
        <v>15</v>
      </c>
      <c r="I2393">
        <v>90</v>
      </c>
      <c r="J2393">
        <v>110</v>
      </c>
      <c r="K2393" t="b">
        <v>1</v>
      </c>
      <c r="N2393" s="25" t="s">
        <v>573</v>
      </c>
      <c r="O2393" s="2">
        <f>INDEX(Маршруты,MATCH(N2393,$B$3:$B$498,0),1)</f>
        <v>103</v>
      </c>
      <c r="P2393" s="27">
        <v>15</v>
      </c>
      <c r="Q2393" s="2">
        <f>INDEX(Остановки,MATCH(R2393,ИД_Остановки!$B$3:$B$467,0),1)</f>
        <v>248</v>
      </c>
      <c r="R2393" s="45" t="s">
        <v>617</v>
      </c>
      <c r="S2393" s="20">
        <v>0.77</v>
      </c>
    </row>
    <row r="2394" spans="8:19" x14ac:dyDescent="0.25">
      <c r="H2394">
        <v>15</v>
      </c>
      <c r="I2394">
        <v>95</v>
      </c>
      <c r="J2394">
        <v>110</v>
      </c>
      <c r="K2394" t="b">
        <v>1</v>
      </c>
      <c r="N2394" s="25" t="s">
        <v>573</v>
      </c>
      <c r="O2394" s="2">
        <f>INDEX(Маршруты,MATCH(N2394,$B$3:$B$498,0),1)</f>
        <v>103</v>
      </c>
      <c r="P2394" s="27">
        <v>16</v>
      </c>
      <c r="Q2394" s="2">
        <f>INDEX(Остановки,MATCH(R2394,ИД_Остановки!$B$3:$B$467,0),1)</f>
        <v>294</v>
      </c>
      <c r="R2394" s="45" t="s">
        <v>389</v>
      </c>
      <c r="S2394" s="20">
        <v>0.61</v>
      </c>
    </row>
    <row r="2395" spans="8:19" x14ac:dyDescent="0.25">
      <c r="H2395">
        <v>15</v>
      </c>
      <c r="I2395">
        <v>100</v>
      </c>
      <c r="J2395">
        <v>110</v>
      </c>
      <c r="K2395" t="b">
        <v>1</v>
      </c>
      <c r="N2395" s="25" t="s">
        <v>573</v>
      </c>
      <c r="O2395" s="2">
        <f>INDEX(Маршруты,MATCH(N2395,$B$3:$B$498,0),1)</f>
        <v>103</v>
      </c>
      <c r="P2395" s="27">
        <v>17</v>
      </c>
      <c r="Q2395" s="2">
        <f>INDEX(Остановки,MATCH(R2395,ИД_Остановки!$B$3:$B$467,0),1)</f>
        <v>292</v>
      </c>
      <c r="R2395" s="45" t="s">
        <v>162</v>
      </c>
      <c r="S2395" s="20">
        <v>0.43</v>
      </c>
    </row>
    <row r="2396" spans="8:19" x14ac:dyDescent="0.25">
      <c r="H2396">
        <v>15</v>
      </c>
      <c r="I2396">
        <v>105</v>
      </c>
      <c r="J2396">
        <v>110</v>
      </c>
      <c r="K2396" t="b">
        <v>1</v>
      </c>
      <c r="N2396" s="26" t="s">
        <v>573</v>
      </c>
      <c r="O2396" s="2">
        <f>INDEX(Маршруты,MATCH(N2396,$B$3:$B$498,0),1)</f>
        <v>103</v>
      </c>
      <c r="P2396" s="27">
        <v>18</v>
      </c>
      <c r="Q2396" s="2">
        <f>INDEX(Остановки,MATCH(R2396,ИД_Остановки!$B$3:$B$467,0),1)</f>
        <v>293</v>
      </c>
      <c r="R2396" s="45" t="s">
        <v>163</v>
      </c>
      <c r="S2396" s="20">
        <v>0.49</v>
      </c>
    </row>
    <row r="2397" spans="8:19" x14ac:dyDescent="0.25">
      <c r="H2397">
        <v>15</v>
      </c>
      <c r="I2397">
        <v>110</v>
      </c>
      <c r="J2397">
        <v>110</v>
      </c>
      <c r="K2397" t="b">
        <v>1</v>
      </c>
      <c r="N2397" s="14" t="s">
        <v>573</v>
      </c>
      <c r="O2397" s="2">
        <f>INDEX(Маршруты,MATCH(N2397,$B$3:$B$498,0),1)</f>
        <v>103</v>
      </c>
      <c r="P2397" s="27">
        <v>19</v>
      </c>
      <c r="Q2397" s="2">
        <f>INDEX(Остановки,MATCH(R2397,ИД_Остановки!$B$3:$B$467,0),1)</f>
        <v>221</v>
      </c>
      <c r="R2397" s="45" t="s">
        <v>353</v>
      </c>
      <c r="S2397" s="20">
        <v>0.95</v>
      </c>
    </row>
    <row r="2398" spans="8:19" x14ac:dyDescent="0.25">
      <c r="H2398">
        <v>15</v>
      </c>
      <c r="I2398">
        <v>115</v>
      </c>
      <c r="J2398">
        <v>110</v>
      </c>
      <c r="K2398" t="b">
        <v>1</v>
      </c>
      <c r="N2398" s="25" t="s">
        <v>573</v>
      </c>
      <c r="O2398" s="2">
        <f>INDEX(Маршруты,MATCH(N2398,$B$3:$B$498,0),1)</f>
        <v>103</v>
      </c>
      <c r="P2398" s="27">
        <v>20</v>
      </c>
      <c r="Q2398" s="2">
        <f>INDEX(Остановки,MATCH(R2398,ИД_Остановки!$B$3:$B$467,0),1)</f>
        <v>168</v>
      </c>
      <c r="R2398" s="45" t="s">
        <v>105</v>
      </c>
      <c r="S2398" s="20">
        <v>0.97</v>
      </c>
    </row>
    <row r="2399" spans="8:19" x14ac:dyDescent="0.25">
      <c r="H2399">
        <v>15</v>
      </c>
      <c r="I2399">
        <v>120</v>
      </c>
      <c r="J2399">
        <v>110</v>
      </c>
      <c r="K2399" t="b">
        <v>1</v>
      </c>
      <c r="N2399" s="30" t="s">
        <v>573</v>
      </c>
      <c r="O2399" s="2">
        <f>INDEX(Маршруты,MATCH(N2399,$B$3:$B$498,0),1)</f>
        <v>103</v>
      </c>
      <c r="P2399" s="27">
        <v>21</v>
      </c>
      <c r="Q2399" s="2">
        <f>INDEX(Остановки,MATCH(R2399,ИД_Остановки!$B$3:$B$467,0),1)</f>
        <v>169</v>
      </c>
      <c r="R2399" s="45" t="s">
        <v>106</v>
      </c>
      <c r="S2399" s="20">
        <v>0.63</v>
      </c>
    </row>
    <row r="2400" spans="8:19" x14ac:dyDescent="0.25">
      <c r="H2400">
        <v>15</v>
      </c>
      <c r="I2400">
        <v>125</v>
      </c>
      <c r="J2400">
        <v>110</v>
      </c>
      <c r="K2400" t="b">
        <v>1</v>
      </c>
      <c r="N2400" s="30" t="s">
        <v>573</v>
      </c>
      <c r="O2400" s="2">
        <f>INDEX(Маршруты,MATCH(N2400,$B$3:$B$498,0),1)</f>
        <v>103</v>
      </c>
      <c r="P2400" s="27">
        <v>22</v>
      </c>
      <c r="Q2400" s="2">
        <f>INDEX(Остановки,MATCH(R2400,ИД_Остановки!$B$3:$B$467,0),1)</f>
        <v>170</v>
      </c>
      <c r="R2400" s="45" t="s">
        <v>107</v>
      </c>
      <c r="S2400" s="20">
        <v>1.84</v>
      </c>
    </row>
    <row r="2401" spans="8:19" x14ac:dyDescent="0.25">
      <c r="H2401">
        <v>15</v>
      </c>
      <c r="I2401">
        <v>130</v>
      </c>
      <c r="J2401">
        <v>110</v>
      </c>
      <c r="K2401" t="b">
        <v>1</v>
      </c>
      <c r="N2401" s="25" t="s">
        <v>573</v>
      </c>
      <c r="O2401" s="2">
        <f>INDEX(Маршруты,MATCH(N2401,$B$3:$B$498,0),1)</f>
        <v>103</v>
      </c>
      <c r="P2401" s="27">
        <v>23</v>
      </c>
      <c r="Q2401" s="2">
        <f>INDEX(Остановки,MATCH(R2401,ИД_Остановки!$B$3:$B$467,0),1)</f>
        <v>171</v>
      </c>
      <c r="R2401" s="45" t="s">
        <v>108</v>
      </c>
      <c r="S2401" s="20">
        <v>0.68</v>
      </c>
    </row>
    <row r="2402" spans="8:19" x14ac:dyDescent="0.25">
      <c r="H2402">
        <v>15</v>
      </c>
      <c r="I2402">
        <v>135</v>
      </c>
      <c r="J2402">
        <v>110</v>
      </c>
      <c r="K2402" t="b">
        <v>1</v>
      </c>
      <c r="N2402" s="25" t="s">
        <v>573</v>
      </c>
      <c r="O2402" s="2">
        <f>INDEX(Маршруты,MATCH(N2402,$B$3:$B$498,0),1)</f>
        <v>103</v>
      </c>
      <c r="P2402" s="27">
        <v>24</v>
      </c>
      <c r="Q2402" s="2">
        <f>INDEX(Остановки,MATCH(R2402,ИД_Остановки!$B$3:$B$467,0),1)</f>
        <v>172</v>
      </c>
      <c r="R2402" s="45" t="s">
        <v>109</v>
      </c>
      <c r="S2402" s="20">
        <v>0.75</v>
      </c>
    </row>
    <row r="2403" spans="8:19" x14ac:dyDescent="0.25">
      <c r="H2403">
        <v>15</v>
      </c>
      <c r="I2403">
        <v>140</v>
      </c>
      <c r="J2403">
        <v>110</v>
      </c>
      <c r="K2403" t="b">
        <v>1</v>
      </c>
      <c r="N2403" s="26" t="s">
        <v>573</v>
      </c>
      <c r="O2403" s="2">
        <f>INDEX(Маршруты,MATCH(N2403,$B$3:$B$498,0),1)</f>
        <v>103</v>
      </c>
      <c r="P2403" s="27">
        <v>25</v>
      </c>
      <c r="Q2403" s="2">
        <f>INDEX(Остановки,MATCH(R2403,ИД_Остановки!$B$3:$B$467,0),1)</f>
        <v>173</v>
      </c>
      <c r="R2403" s="45" t="s">
        <v>325</v>
      </c>
      <c r="S2403" s="20">
        <v>0.79</v>
      </c>
    </row>
    <row r="2404" spans="8:19" x14ac:dyDescent="0.25">
      <c r="H2404">
        <v>15</v>
      </c>
      <c r="I2404">
        <v>145</v>
      </c>
      <c r="J2404">
        <v>110</v>
      </c>
      <c r="K2404" t="b">
        <v>1</v>
      </c>
      <c r="N2404" s="25" t="s">
        <v>573</v>
      </c>
      <c r="O2404" s="2">
        <f>INDEX(Маршруты,MATCH(N2404,$B$3:$B$498,0),1)</f>
        <v>103</v>
      </c>
      <c r="P2404" s="27">
        <v>26</v>
      </c>
      <c r="Q2404" s="2">
        <f>INDEX(Остановки,MATCH(R2404,ИД_Остановки!$B$3:$B$467,0),1)</f>
        <v>174</v>
      </c>
      <c r="R2404" s="45" t="s">
        <v>326</v>
      </c>
      <c r="S2404" s="20">
        <v>0.79</v>
      </c>
    </row>
    <row r="2405" spans="8:19" x14ac:dyDescent="0.25">
      <c r="H2405">
        <v>15</v>
      </c>
      <c r="I2405">
        <v>150</v>
      </c>
      <c r="J2405">
        <v>110</v>
      </c>
      <c r="K2405" t="b">
        <v>1</v>
      </c>
      <c r="N2405" s="30" t="s">
        <v>573</v>
      </c>
      <c r="O2405" s="2">
        <f>INDEX(Маршруты,MATCH(N2405,$B$3:$B$498,0),1)</f>
        <v>103</v>
      </c>
      <c r="P2405" s="27">
        <v>27</v>
      </c>
      <c r="Q2405" s="2">
        <f>INDEX(Остановки,MATCH(R2405,ИД_Остановки!$B$3:$B$467,0),1)</f>
        <v>175</v>
      </c>
      <c r="R2405" s="45" t="s">
        <v>327</v>
      </c>
      <c r="S2405" s="20">
        <v>0.89</v>
      </c>
    </row>
    <row r="2406" spans="8:19" x14ac:dyDescent="0.25">
      <c r="H2406">
        <v>15</v>
      </c>
      <c r="I2406">
        <v>155</v>
      </c>
      <c r="J2406">
        <v>110</v>
      </c>
      <c r="K2406" t="b">
        <v>1</v>
      </c>
      <c r="N2406" s="30" t="s">
        <v>573</v>
      </c>
      <c r="O2406" s="2">
        <f>INDEX(Маршруты,MATCH(N2406,$B$3:$B$498,0),1)</f>
        <v>103</v>
      </c>
      <c r="P2406" s="27">
        <v>28</v>
      </c>
      <c r="Q2406" s="2">
        <f>INDEX(Остановки,MATCH(R2406,ИД_Остановки!$B$3:$B$467,0),1)</f>
        <v>53</v>
      </c>
      <c r="R2406" s="45" t="s">
        <v>44</v>
      </c>
      <c r="S2406" s="20">
        <v>1.44</v>
      </c>
    </row>
    <row r="2407" spans="8:19" x14ac:dyDescent="0.25">
      <c r="H2407">
        <v>15</v>
      </c>
      <c r="I2407">
        <v>160</v>
      </c>
      <c r="J2407">
        <v>110</v>
      </c>
      <c r="K2407" t="b">
        <v>1</v>
      </c>
      <c r="N2407" s="25" t="s">
        <v>573</v>
      </c>
      <c r="O2407" s="2">
        <f>INDEX(Маршруты,MATCH(N2407,$B$3:$B$498,0),1)</f>
        <v>103</v>
      </c>
      <c r="P2407" s="27">
        <v>29</v>
      </c>
      <c r="Q2407" s="2">
        <f>INDEX(Остановки,MATCH(R2407,ИД_Остановки!$B$3:$B$467,0),1)</f>
        <v>176</v>
      </c>
      <c r="R2407" s="45" t="s">
        <v>111</v>
      </c>
      <c r="S2407" s="20">
        <v>0.64</v>
      </c>
    </row>
    <row r="2408" spans="8:19" x14ac:dyDescent="0.25">
      <c r="H2408">
        <v>15</v>
      </c>
      <c r="I2408">
        <v>165</v>
      </c>
      <c r="J2408">
        <v>110</v>
      </c>
      <c r="K2408" t="b">
        <v>1</v>
      </c>
      <c r="N2408" s="25" t="s">
        <v>573</v>
      </c>
      <c r="O2408" s="2">
        <f>INDEX(Маршруты,MATCH(N2408,$B$3:$B$498,0),1)</f>
        <v>103</v>
      </c>
      <c r="P2408" s="27">
        <v>30</v>
      </c>
      <c r="Q2408" s="2">
        <f>INDEX(Остановки,MATCH(R2408,ИД_Остановки!$B$3:$B$467,0),1)</f>
        <v>54</v>
      </c>
      <c r="R2408" s="45" t="s">
        <v>45</v>
      </c>
      <c r="S2408" s="20">
        <v>0.65</v>
      </c>
    </row>
    <row r="2409" spans="8:19" x14ac:dyDescent="0.25">
      <c r="H2409">
        <v>15</v>
      </c>
      <c r="I2409">
        <v>170</v>
      </c>
      <c r="J2409">
        <v>110</v>
      </c>
      <c r="K2409" t="b">
        <v>1</v>
      </c>
      <c r="N2409" s="26" t="s">
        <v>573</v>
      </c>
      <c r="O2409" s="2">
        <f>INDEX(Маршруты,MATCH(N2409,$B$3:$B$498,0),1)</f>
        <v>103</v>
      </c>
      <c r="P2409" s="27">
        <v>31</v>
      </c>
      <c r="Q2409" s="2">
        <f>INDEX(Остановки,MATCH(R2409,ИД_Остановки!$B$3:$B$467,0),1)</f>
        <v>55</v>
      </c>
      <c r="R2409" s="45" t="s">
        <v>263</v>
      </c>
      <c r="S2409" s="20">
        <v>0.37</v>
      </c>
    </row>
    <row r="2410" spans="8:19" x14ac:dyDescent="0.25">
      <c r="H2410">
        <v>15</v>
      </c>
      <c r="I2410">
        <v>175</v>
      </c>
      <c r="J2410">
        <v>110</v>
      </c>
      <c r="K2410" t="b">
        <v>1</v>
      </c>
      <c r="N2410" s="30" t="s">
        <v>573</v>
      </c>
      <c r="O2410" s="2">
        <f>INDEX(Маршруты,MATCH(N2410,$B$3:$B$498,0),1)</f>
        <v>103</v>
      </c>
      <c r="P2410" s="27">
        <v>32</v>
      </c>
      <c r="Q2410" s="2">
        <f>INDEX(Остановки,MATCH(R2410,ИД_Остановки!$B$3:$B$467,0),1)</f>
        <v>56</v>
      </c>
      <c r="R2410" s="45" t="s">
        <v>264</v>
      </c>
      <c r="S2410" s="20">
        <v>0.86</v>
      </c>
    </row>
    <row r="2411" spans="8:19" x14ac:dyDescent="0.25">
      <c r="H2411">
        <v>15</v>
      </c>
      <c r="I2411">
        <v>180</v>
      </c>
      <c r="J2411">
        <v>110</v>
      </c>
      <c r="K2411" t="b">
        <v>1</v>
      </c>
      <c r="N2411" s="30" t="s">
        <v>573</v>
      </c>
      <c r="O2411" s="2">
        <f>INDEX(Маршруты,MATCH(N2411,$B$3:$B$498,0),1)</f>
        <v>103</v>
      </c>
      <c r="P2411" s="28">
        <v>33</v>
      </c>
      <c r="Q2411" s="2">
        <f>INDEX(Остановки,MATCH(R2411,ИД_Остановки!$B$3:$B$467,0),1)</f>
        <v>57</v>
      </c>
      <c r="R2411" s="24" t="s">
        <v>47</v>
      </c>
      <c r="S2411" s="20">
        <v>0.48</v>
      </c>
    </row>
    <row r="2412" spans="8:19" x14ac:dyDescent="0.25">
      <c r="H2412">
        <v>15</v>
      </c>
      <c r="I2412">
        <v>185</v>
      </c>
      <c r="J2412">
        <v>110</v>
      </c>
      <c r="K2412" t="b">
        <v>1</v>
      </c>
      <c r="N2412" s="30" t="s">
        <v>574</v>
      </c>
      <c r="O2412" s="2">
        <f>INDEX(Маршруты,MATCH(N2412,$B$3:$B$498,0),1)</f>
        <v>104</v>
      </c>
      <c r="P2412" s="27">
        <v>1</v>
      </c>
      <c r="Q2412" s="2">
        <f>INDEX(Остановки,MATCH(R2412,ИД_Остановки!$B$3:$B$467,0),1)</f>
        <v>57</v>
      </c>
      <c r="R2412" s="45" t="s">
        <v>47</v>
      </c>
      <c r="S2412" s="20"/>
    </row>
    <row r="2413" spans="8:19" x14ac:dyDescent="0.25">
      <c r="H2413">
        <v>15</v>
      </c>
      <c r="I2413">
        <v>190</v>
      </c>
      <c r="J2413">
        <v>110</v>
      </c>
      <c r="K2413" t="b">
        <v>1</v>
      </c>
      <c r="N2413" s="30" t="s">
        <v>574</v>
      </c>
      <c r="O2413" s="2">
        <f>INDEX(Маршруты,MATCH(N2413,$B$3:$B$498,0),1)</f>
        <v>104</v>
      </c>
      <c r="P2413" s="27">
        <v>2</v>
      </c>
      <c r="Q2413" s="2">
        <f>INDEX(Остановки,MATCH(R2413,ИД_Остановки!$B$3:$B$467,0),1)</f>
        <v>56</v>
      </c>
      <c r="R2413" s="45" t="s">
        <v>264</v>
      </c>
      <c r="S2413" s="20">
        <v>0.48</v>
      </c>
    </row>
    <row r="2414" spans="8:19" x14ac:dyDescent="0.25">
      <c r="H2414">
        <v>15</v>
      </c>
      <c r="I2414">
        <v>195</v>
      </c>
      <c r="J2414">
        <v>110</v>
      </c>
      <c r="K2414" t="b">
        <v>1</v>
      </c>
      <c r="N2414" s="30" t="s">
        <v>574</v>
      </c>
      <c r="O2414" s="2">
        <f>INDEX(Маршруты,MATCH(N2414,$B$3:$B$498,0),1)</f>
        <v>104</v>
      </c>
      <c r="P2414" s="28">
        <v>3</v>
      </c>
      <c r="Q2414" s="2">
        <f>INDEX(Остановки,MATCH(R2414,ИД_Остановки!$B$3:$B$467,0),1)</f>
        <v>55</v>
      </c>
      <c r="R2414" s="24" t="s">
        <v>263</v>
      </c>
      <c r="S2414" s="20">
        <v>0.86</v>
      </c>
    </row>
    <row r="2415" spans="8:19" x14ac:dyDescent="0.25">
      <c r="H2415">
        <v>15</v>
      </c>
      <c r="I2415">
        <v>200</v>
      </c>
      <c r="J2415">
        <v>110</v>
      </c>
      <c r="K2415" t="b">
        <v>1</v>
      </c>
      <c r="N2415" s="30" t="s">
        <v>574</v>
      </c>
      <c r="O2415" s="2">
        <f>INDEX(Маршруты,MATCH(N2415,$B$3:$B$498,0),1)</f>
        <v>104</v>
      </c>
      <c r="P2415" s="27">
        <v>4</v>
      </c>
      <c r="Q2415" s="2">
        <f>INDEX(Остановки,MATCH(R2415,ИД_Остановки!$B$3:$B$467,0),1)</f>
        <v>54</v>
      </c>
      <c r="R2415" s="45" t="s">
        <v>45</v>
      </c>
      <c r="S2415" s="20">
        <v>0.37</v>
      </c>
    </row>
    <row r="2416" spans="8:19" x14ac:dyDescent="0.25">
      <c r="H2416">
        <v>15</v>
      </c>
      <c r="I2416">
        <v>205</v>
      </c>
      <c r="J2416">
        <v>110</v>
      </c>
      <c r="K2416" t="b">
        <v>1</v>
      </c>
      <c r="N2416" s="30" t="s">
        <v>574</v>
      </c>
      <c r="O2416" s="2">
        <f>INDEX(Маршруты,MATCH(N2416,$B$3:$B$498,0),1)</f>
        <v>104</v>
      </c>
      <c r="P2416" s="27">
        <v>5</v>
      </c>
      <c r="Q2416" s="2">
        <f>INDEX(Остановки,MATCH(R2416,ИД_Остановки!$B$3:$B$467,0),1)</f>
        <v>176</v>
      </c>
      <c r="R2416" s="45" t="s">
        <v>111</v>
      </c>
      <c r="S2416" s="20">
        <v>0.65</v>
      </c>
    </row>
    <row r="2417" spans="8:19" x14ac:dyDescent="0.25">
      <c r="H2417">
        <v>15</v>
      </c>
      <c r="I2417">
        <v>210</v>
      </c>
      <c r="J2417">
        <v>110</v>
      </c>
      <c r="K2417" t="b">
        <v>1</v>
      </c>
      <c r="N2417" s="30" t="s">
        <v>574</v>
      </c>
      <c r="O2417" s="2">
        <f>INDEX(Маршруты,MATCH(N2417,$B$3:$B$498,0),1)</f>
        <v>104</v>
      </c>
      <c r="P2417" s="27">
        <v>6</v>
      </c>
      <c r="Q2417" s="2">
        <f>INDEX(Остановки,MATCH(R2417,ИД_Остановки!$B$3:$B$467,0),1)</f>
        <v>53</v>
      </c>
      <c r="R2417" s="24" t="s">
        <v>44</v>
      </c>
      <c r="S2417" s="20">
        <v>0.64</v>
      </c>
    </row>
    <row r="2418" spans="8:19" x14ac:dyDescent="0.25">
      <c r="H2418">
        <v>15</v>
      </c>
      <c r="I2418">
        <v>215</v>
      </c>
      <c r="J2418">
        <v>110</v>
      </c>
      <c r="K2418" t="b">
        <v>1</v>
      </c>
      <c r="N2418" s="30" t="s">
        <v>574</v>
      </c>
      <c r="O2418" s="2">
        <f>INDEX(Маршруты,MATCH(N2418,$B$3:$B$498,0),1)</f>
        <v>104</v>
      </c>
      <c r="P2418" s="27">
        <v>7</v>
      </c>
      <c r="Q2418" s="2">
        <f>INDEX(Остановки,MATCH(R2418,ИД_Остановки!$B$3:$B$467,0),1)</f>
        <v>175</v>
      </c>
      <c r="R2418" s="45" t="s">
        <v>327</v>
      </c>
      <c r="S2418" s="20">
        <v>1.44</v>
      </c>
    </row>
    <row r="2419" spans="8:19" x14ac:dyDescent="0.25">
      <c r="H2419">
        <v>15</v>
      </c>
      <c r="I2419">
        <v>220</v>
      </c>
      <c r="J2419">
        <v>110</v>
      </c>
      <c r="K2419" t="b">
        <v>1</v>
      </c>
      <c r="N2419" s="25" t="s">
        <v>574</v>
      </c>
      <c r="O2419" s="2">
        <f>INDEX(Маршруты,MATCH(N2419,$B$3:$B$498,0),1)</f>
        <v>104</v>
      </c>
      <c r="P2419" s="27">
        <v>8</v>
      </c>
      <c r="Q2419" s="2">
        <f>INDEX(Остановки,MATCH(R2419,ИД_Остановки!$B$3:$B$467,0),1)</f>
        <v>174</v>
      </c>
      <c r="R2419" s="45" t="s">
        <v>326</v>
      </c>
      <c r="S2419" s="20">
        <v>0.89</v>
      </c>
    </row>
    <row r="2420" spans="8:19" x14ac:dyDescent="0.25">
      <c r="H2420">
        <v>15</v>
      </c>
      <c r="I2420">
        <v>225</v>
      </c>
      <c r="J2420">
        <v>110</v>
      </c>
      <c r="K2420" t="b">
        <v>1</v>
      </c>
      <c r="N2420" s="32" t="s">
        <v>574</v>
      </c>
      <c r="O2420" s="2">
        <f>INDEX(Маршруты,MATCH(N2420,$B$3:$B$498,0),1)</f>
        <v>104</v>
      </c>
      <c r="P2420" s="27">
        <v>9</v>
      </c>
      <c r="Q2420" s="2">
        <f>INDEX(Остановки,MATCH(R2420,ИД_Остановки!$B$3:$B$467,0),1)</f>
        <v>173</v>
      </c>
      <c r="R2420" s="45" t="s">
        <v>325</v>
      </c>
      <c r="S2420" s="20">
        <v>0.79</v>
      </c>
    </row>
    <row r="2421" spans="8:19" x14ac:dyDescent="0.25">
      <c r="H2421">
        <v>15</v>
      </c>
      <c r="I2421">
        <v>230</v>
      </c>
      <c r="J2421">
        <v>110</v>
      </c>
      <c r="K2421" t="b">
        <v>1</v>
      </c>
      <c r="N2421" s="24" t="s">
        <v>574</v>
      </c>
      <c r="O2421" s="2">
        <f>INDEX(Маршруты,MATCH(N2421,$B$3:$B$498,0),1)</f>
        <v>104</v>
      </c>
      <c r="P2421" s="27">
        <v>10</v>
      </c>
      <c r="Q2421" s="2">
        <f>INDEX(Остановки,MATCH(R2421,ИД_Остановки!$B$3:$B$467,0),1)</f>
        <v>172</v>
      </c>
      <c r="R2421" s="45" t="s">
        <v>109</v>
      </c>
      <c r="S2421" s="20">
        <v>0.79</v>
      </c>
    </row>
    <row r="2422" spans="8:19" x14ac:dyDescent="0.25">
      <c r="H2422">
        <v>15</v>
      </c>
      <c r="I2422">
        <v>235</v>
      </c>
      <c r="J2422">
        <v>110</v>
      </c>
      <c r="K2422" t="b">
        <v>1</v>
      </c>
      <c r="N2422" s="30" t="s">
        <v>574</v>
      </c>
      <c r="O2422" s="2">
        <f>INDEX(Маршруты,MATCH(N2422,$B$3:$B$498,0),1)</f>
        <v>104</v>
      </c>
      <c r="P2422" s="27">
        <v>11</v>
      </c>
      <c r="Q2422" s="2">
        <f>INDEX(Остановки,MATCH(R2422,ИД_Остановки!$B$3:$B$467,0),1)</f>
        <v>171</v>
      </c>
      <c r="R2422" s="45" t="s">
        <v>108</v>
      </c>
      <c r="S2422" s="20">
        <v>0.75</v>
      </c>
    </row>
    <row r="2423" spans="8:19" x14ac:dyDescent="0.25">
      <c r="H2423">
        <v>15</v>
      </c>
      <c r="I2423">
        <v>240</v>
      </c>
      <c r="J2423">
        <v>110</v>
      </c>
      <c r="K2423" t="b">
        <v>1</v>
      </c>
      <c r="N2423" s="30" t="s">
        <v>574</v>
      </c>
      <c r="O2423" s="2">
        <f>INDEX(Маршруты,MATCH(N2423,$B$3:$B$498,0),1)</f>
        <v>104</v>
      </c>
      <c r="P2423" s="27">
        <v>12</v>
      </c>
      <c r="Q2423" s="2">
        <f>INDEX(Остановки,MATCH(R2423,ИД_Остановки!$B$3:$B$467,0),1)</f>
        <v>170</v>
      </c>
      <c r="R2423" s="45" t="s">
        <v>107</v>
      </c>
      <c r="S2423" s="20">
        <v>0.68</v>
      </c>
    </row>
    <row r="2424" spans="8:19" x14ac:dyDescent="0.25">
      <c r="H2424">
        <v>15</v>
      </c>
      <c r="I2424">
        <v>245</v>
      </c>
      <c r="J2424">
        <v>110</v>
      </c>
      <c r="K2424" t="b">
        <v>1</v>
      </c>
      <c r="N2424" s="14" t="s">
        <v>574</v>
      </c>
      <c r="O2424" s="2">
        <f>INDEX(Маршруты,MATCH(N2424,$B$3:$B$498,0),1)</f>
        <v>104</v>
      </c>
      <c r="P2424" s="27">
        <v>13</v>
      </c>
      <c r="Q2424" s="2">
        <f>INDEX(Остановки,MATCH(R2424,ИД_Остановки!$B$3:$B$467,0),1)</f>
        <v>169</v>
      </c>
      <c r="R2424" s="45" t="s">
        <v>106</v>
      </c>
      <c r="S2424" s="20">
        <v>1.84</v>
      </c>
    </row>
    <row r="2425" spans="8:19" x14ac:dyDescent="0.25">
      <c r="H2425">
        <v>15</v>
      </c>
      <c r="I2425">
        <v>250</v>
      </c>
      <c r="J2425">
        <v>110</v>
      </c>
      <c r="K2425" t="b">
        <v>1</v>
      </c>
      <c r="N2425" s="30" t="s">
        <v>574</v>
      </c>
      <c r="O2425" s="2">
        <f>INDEX(Маршруты,MATCH(N2425,$B$3:$B$498,0),1)</f>
        <v>104</v>
      </c>
      <c r="P2425" s="27">
        <v>14</v>
      </c>
      <c r="Q2425" s="2">
        <f>INDEX(Остановки,MATCH(R2425,ИД_Остановки!$B$3:$B$467,0),1)</f>
        <v>168</v>
      </c>
      <c r="R2425" s="45" t="s">
        <v>105</v>
      </c>
      <c r="S2425" s="20">
        <v>0.63</v>
      </c>
    </row>
    <row r="2426" spans="8:19" x14ac:dyDescent="0.25">
      <c r="H2426">
        <v>15</v>
      </c>
      <c r="I2426">
        <v>255</v>
      </c>
      <c r="J2426">
        <v>110</v>
      </c>
      <c r="K2426" t="b">
        <v>1</v>
      </c>
      <c r="N2426" s="26" t="s">
        <v>574</v>
      </c>
      <c r="O2426" s="2">
        <f>INDEX(Маршруты,MATCH(N2426,$B$3:$B$498,0),1)</f>
        <v>104</v>
      </c>
      <c r="P2426" s="27">
        <v>15</v>
      </c>
      <c r="Q2426" s="2">
        <f>INDEX(Остановки,MATCH(R2426,ИД_Остановки!$B$3:$B$467,0),1)</f>
        <v>221</v>
      </c>
      <c r="R2426" s="45" t="s">
        <v>353</v>
      </c>
      <c r="S2426" s="20">
        <v>0.97</v>
      </c>
    </row>
    <row r="2427" spans="8:19" x14ac:dyDescent="0.25">
      <c r="H2427">
        <v>15</v>
      </c>
      <c r="I2427">
        <v>260</v>
      </c>
      <c r="J2427">
        <v>110</v>
      </c>
      <c r="K2427" t="b">
        <v>1</v>
      </c>
      <c r="N2427" s="25" t="s">
        <v>574</v>
      </c>
      <c r="O2427" s="2">
        <f>INDEX(Маршруты,MATCH(N2427,$B$3:$B$498,0),1)</f>
        <v>104</v>
      </c>
      <c r="P2427" s="28">
        <v>16</v>
      </c>
      <c r="Q2427" s="2">
        <f>INDEX(Остановки,MATCH(R2427,ИД_Остановки!$B$3:$B$467,0),1)</f>
        <v>293</v>
      </c>
      <c r="R2427" s="24" t="s">
        <v>163</v>
      </c>
      <c r="S2427" s="21">
        <v>0.95</v>
      </c>
    </row>
    <row r="2428" spans="8:19" x14ac:dyDescent="0.25">
      <c r="H2428">
        <v>15</v>
      </c>
      <c r="I2428">
        <v>265</v>
      </c>
      <c r="J2428">
        <v>110</v>
      </c>
      <c r="K2428" t="b">
        <v>1</v>
      </c>
      <c r="N2428" s="30" t="s">
        <v>574</v>
      </c>
      <c r="O2428" s="2">
        <f>INDEX(Маршруты,MATCH(N2428,$B$3:$B$498,0),1)</f>
        <v>104</v>
      </c>
      <c r="P2428" s="27">
        <v>17</v>
      </c>
      <c r="Q2428" s="2">
        <f>INDEX(Остановки,MATCH(R2428,ИД_Остановки!$B$3:$B$467,0),1)</f>
        <v>292</v>
      </c>
      <c r="R2428" s="45" t="s">
        <v>162</v>
      </c>
      <c r="S2428" s="20">
        <v>0.49</v>
      </c>
    </row>
    <row r="2429" spans="8:19" x14ac:dyDescent="0.25">
      <c r="H2429">
        <v>15</v>
      </c>
      <c r="I2429">
        <v>270</v>
      </c>
      <c r="J2429">
        <v>110</v>
      </c>
      <c r="K2429" t="b">
        <v>1</v>
      </c>
      <c r="N2429" s="25" t="s">
        <v>574</v>
      </c>
      <c r="O2429" s="2">
        <f>INDEX(Маршруты,MATCH(N2429,$B$3:$B$498,0),1)</f>
        <v>104</v>
      </c>
      <c r="P2429" s="27">
        <v>18</v>
      </c>
      <c r="Q2429" s="2">
        <f>INDEX(Остановки,MATCH(R2429,ИД_Остановки!$B$3:$B$467,0),1)</f>
        <v>294</v>
      </c>
      <c r="R2429" s="45" t="s">
        <v>389</v>
      </c>
      <c r="S2429" s="20">
        <v>0.43</v>
      </c>
    </row>
    <row r="2430" spans="8:19" x14ac:dyDescent="0.25">
      <c r="H2430">
        <v>15</v>
      </c>
      <c r="I2430">
        <v>275</v>
      </c>
      <c r="J2430">
        <v>110</v>
      </c>
      <c r="K2430" t="b">
        <v>1</v>
      </c>
      <c r="N2430" s="30" t="s">
        <v>574</v>
      </c>
      <c r="O2430" s="2">
        <f>INDEX(Маршруты,MATCH(N2430,$B$3:$B$498,0),1)</f>
        <v>104</v>
      </c>
      <c r="P2430" s="27">
        <v>19</v>
      </c>
      <c r="Q2430" s="2">
        <f>INDEX(Остановки,MATCH(R2430,ИД_Остановки!$B$3:$B$467,0),1)</f>
        <v>248</v>
      </c>
      <c r="R2430" s="45" t="s">
        <v>617</v>
      </c>
      <c r="S2430" s="20">
        <v>0.61</v>
      </c>
    </row>
    <row r="2431" spans="8:19" x14ac:dyDescent="0.25">
      <c r="H2431">
        <v>15</v>
      </c>
      <c r="I2431">
        <v>280</v>
      </c>
      <c r="J2431">
        <v>110</v>
      </c>
      <c r="K2431" t="b">
        <v>1</v>
      </c>
      <c r="N2431" s="25" t="s">
        <v>574</v>
      </c>
      <c r="O2431" s="2">
        <f>INDEX(Маршруты,MATCH(N2431,$B$3:$B$498,0),1)</f>
        <v>104</v>
      </c>
      <c r="P2431" s="27">
        <v>20</v>
      </c>
      <c r="Q2431" s="2">
        <f>INDEX(Остановки,MATCH(R2431,ИД_Остановки!$B$3:$B$467,0),1)</f>
        <v>249</v>
      </c>
      <c r="R2431" s="45" t="s">
        <v>372</v>
      </c>
      <c r="S2431" s="20">
        <v>0.77</v>
      </c>
    </row>
    <row r="2432" spans="8:19" x14ac:dyDescent="0.25">
      <c r="H2432">
        <v>15</v>
      </c>
      <c r="I2432">
        <v>285</v>
      </c>
      <c r="J2432">
        <v>110</v>
      </c>
      <c r="K2432" t="b">
        <v>1</v>
      </c>
      <c r="N2432" s="30" t="s">
        <v>574</v>
      </c>
      <c r="O2432" s="2">
        <f>INDEX(Маршруты,MATCH(N2432,$B$3:$B$498,0),1)</f>
        <v>104</v>
      </c>
      <c r="P2432" s="27">
        <v>21</v>
      </c>
      <c r="Q2432" s="2">
        <f>INDEX(Остановки,MATCH(R2432,ИД_Остановки!$B$3:$B$467,0),1)</f>
        <v>250</v>
      </c>
      <c r="R2432" s="45" t="s">
        <v>373</v>
      </c>
      <c r="S2432" s="20">
        <v>0.32</v>
      </c>
    </row>
    <row r="2433" spans="8:19" x14ac:dyDescent="0.25">
      <c r="H2433">
        <v>15</v>
      </c>
      <c r="I2433">
        <v>290</v>
      </c>
      <c r="J2433">
        <v>110</v>
      </c>
      <c r="K2433" t="b">
        <v>1</v>
      </c>
      <c r="N2433" s="25" t="s">
        <v>574</v>
      </c>
      <c r="O2433" s="2">
        <f>INDEX(Маршруты,MATCH(N2433,$B$3:$B$498,0),1)</f>
        <v>104</v>
      </c>
      <c r="P2433" s="28">
        <v>22</v>
      </c>
      <c r="Q2433" s="2">
        <f>INDEX(Остановки,MATCH(R2433,ИД_Остановки!$B$3:$B$467,0),1)</f>
        <v>222</v>
      </c>
      <c r="R2433" s="24" t="s">
        <v>354</v>
      </c>
      <c r="S2433" s="21">
        <v>0.64</v>
      </c>
    </row>
    <row r="2434" spans="8:19" x14ac:dyDescent="0.25">
      <c r="H2434">
        <v>15</v>
      </c>
      <c r="I2434">
        <v>295</v>
      </c>
      <c r="J2434">
        <v>110</v>
      </c>
      <c r="K2434" t="b">
        <v>1</v>
      </c>
      <c r="N2434" s="30" t="s">
        <v>574</v>
      </c>
      <c r="O2434" s="2">
        <f>INDEX(Маршруты,MATCH(N2434,$B$3:$B$498,0),1)</f>
        <v>104</v>
      </c>
      <c r="P2434" s="27">
        <v>23</v>
      </c>
      <c r="Q2434" s="2">
        <f>INDEX(Остановки,MATCH(R2434,ИД_Остановки!$B$3:$B$467,0),1)</f>
        <v>243</v>
      </c>
      <c r="R2434" s="45" t="s">
        <v>368</v>
      </c>
      <c r="S2434" s="20">
        <v>0.36</v>
      </c>
    </row>
    <row r="2435" spans="8:19" x14ac:dyDescent="0.25">
      <c r="H2435">
        <v>15</v>
      </c>
      <c r="I2435">
        <v>300</v>
      </c>
      <c r="J2435">
        <v>110</v>
      </c>
      <c r="K2435" t="b">
        <v>1</v>
      </c>
      <c r="N2435" s="30" t="s">
        <v>574</v>
      </c>
      <c r="O2435" s="2">
        <f>INDEX(Маршруты,MATCH(N2435,$B$3:$B$498,0),1)</f>
        <v>104</v>
      </c>
      <c r="P2435" s="27">
        <v>24</v>
      </c>
      <c r="Q2435" s="2">
        <f>INDEX(Остановки,MATCH(R2435,ИД_Остановки!$B$3:$B$467,0),1)</f>
        <v>251</v>
      </c>
      <c r="R2435" s="45" t="s">
        <v>164</v>
      </c>
      <c r="S2435" s="20">
        <v>0.7</v>
      </c>
    </row>
    <row r="2436" spans="8:19" x14ac:dyDescent="0.25">
      <c r="H2436">
        <v>15</v>
      </c>
      <c r="I2436">
        <v>305</v>
      </c>
      <c r="J2436">
        <v>110</v>
      </c>
      <c r="K2436" t="b">
        <v>1</v>
      </c>
      <c r="N2436" s="30" t="s">
        <v>574</v>
      </c>
      <c r="O2436" s="2">
        <f>INDEX(Маршруты,MATCH(N2436,$B$3:$B$498,0),1)</f>
        <v>104</v>
      </c>
      <c r="P2436" s="27">
        <v>25</v>
      </c>
      <c r="Q2436" s="2">
        <f>INDEX(Остановки,MATCH(R2436,ИД_Остановки!$B$3:$B$467,0),1)</f>
        <v>244</v>
      </c>
      <c r="R2436" s="45" t="s">
        <v>133</v>
      </c>
      <c r="S2436" s="20">
        <v>0.64</v>
      </c>
    </row>
    <row r="2437" spans="8:19" x14ac:dyDescent="0.25">
      <c r="H2437">
        <v>15</v>
      </c>
      <c r="I2437">
        <v>310</v>
      </c>
      <c r="J2437">
        <v>110</v>
      </c>
      <c r="K2437" t="b">
        <v>1</v>
      </c>
      <c r="N2437" s="25" t="s">
        <v>574</v>
      </c>
      <c r="O2437" s="2">
        <f>INDEX(Маршруты,MATCH(N2437,$B$3:$B$498,0),1)</f>
        <v>104</v>
      </c>
      <c r="P2437" s="27">
        <v>26</v>
      </c>
      <c r="Q2437" s="2">
        <f>INDEX(Остановки,MATCH(R2437,ИД_Остановки!$B$3:$B$467,0),1)</f>
        <v>258</v>
      </c>
      <c r="R2437" s="45" t="s">
        <v>378</v>
      </c>
      <c r="S2437" s="20">
        <v>0.215</v>
      </c>
    </row>
    <row r="2438" spans="8:19" x14ac:dyDescent="0.25">
      <c r="H2438">
        <v>15</v>
      </c>
      <c r="I2438">
        <v>315</v>
      </c>
      <c r="J2438">
        <v>110</v>
      </c>
      <c r="K2438" t="b">
        <v>1</v>
      </c>
      <c r="N2438" s="25" t="s">
        <v>574</v>
      </c>
      <c r="O2438" s="2">
        <f>INDEX(Маршруты,MATCH(N2438,$B$3:$B$498,0),1)</f>
        <v>104</v>
      </c>
      <c r="P2438" s="27">
        <v>27</v>
      </c>
      <c r="Q2438" s="2">
        <f>INDEX(Остановки,MATCH(R2438,ИД_Остановки!$B$3:$B$467,0),1)</f>
        <v>245</v>
      </c>
      <c r="R2438" s="45" t="s">
        <v>369</v>
      </c>
      <c r="S2438" s="20">
        <v>0.3</v>
      </c>
    </row>
    <row r="2439" spans="8:19" x14ac:dyDescent="0.25">
      <c r="H2439">
        <v>15</v>
      </c>
      <c r="I2439">
        <v>320</v>
      </c>
      <c r="J2439">
        <v>110</v>
      </c>
      <c r="K2439" t="b">
        <v>1</v>
      </c>
      <c r="N2439" s="25" t="s">
        <v>574</v>
      </c>
      <c r="O2439" s="2">
        <f>INDEX(Маршруты,MATCH(N2439,$B$3:$B$498,0),1)</f>
        <v>104</v>
      </c>
      <c r="P2439" s="27">
        <v>28</v>
      </c>
      <c r="Q2439" s="2">
        <f>INDEX(Остановки,MATCH(R2439,ИД_Остановки!$B$3:$B$467,0),1)</f>
        <v>236</v>
      </c>
      <c r="R2439" s="45" t="s">
        <v>130</v>
      </c>
      <c r="S2439" s="20">
        <v>0.38</v>
      </c>
    </row>
    <row r="2440" spans="8:19" x14ac:dyDescent="0.25">
      <c r="H2440">
        <v>15</v>
      </c>
      <c r="I2440">
        <v>325</v>
      </c>
      <c r="J2440">
        <v>110</v>
      </c>
      <c r="K2440" t="b">
        <v>1</v>
      </c>
      <c r="N2440" s="30" t="s">
        <v>574</v>
      </c>
      <c r="O2440" s="2">
        <f>INDEX(Маршруты,MATCH(N2440,$B$3:$B$498,0),1)</f>
        <v>104</v>
      </c>
      <c r="P2440" s="28">
        <v>29</v>
      </c>
      <c r="Q2440" s="2">
        <f>INDEX(Остановки,MATCH(R2440,ИД_Остановки!$B$3:$B$467,0),1)</f>
        <v>252</v>
      </c>
      <c r="R2440" s="24" t="s">
        <v>135</v>
      </c>
      <c r="S2440" s="20">
        <v>0.59</v>
      </c>
    </row>
    <row r="2441" spans="8:19" x14ac:dyDescent="0.25">
      <c r="H2441">
        <v>15</v>
      </c>
      <c r="I2441">
        <v>330</v>
      </c>
      <c r="J2441">
        <v>110</v>
      </c>
      <c r="K2441" t="b">
        <v>1</v>
      </c>
      <c r="N2441" s="25" t="s">
        <v>574</v>
      </c>
      <c r="O2441" s="2">
        <f>INDEX(Маршруты,MATCH(N2441,$B$3:$B$498,0),1)</f>
        <v>104</v>
      </c>
      <c r="P2441" s="27">
        <v>30</v>
      </c>
      <c r="Q2441" s="2">
        <f>INDEX(Остановки,MATCH(R2441,ИД_Остановки!$B$3:$B$467,0),1)</f>
        <v>288</v>
      </c>
      <c r="R2441" s="45" t="s">
        <v>388</v>
      </c>
      <c r="S2441" s="20">
        <v>0.28999999999999998</v>
      </c>
    </row>
    <row r="2442" spans="8:19" x14ac:dyDescent="0.25">
      <c r="H2442">
        <v>15</v>
      </c>
      <c r="I2442">
        <v>335</v>
      </c>
      <c r="J2442">
        <v>110</v>
      </c>
      <c r="K2442" t="b">
        <v>1</v>
      </c>
      <c r="N2442" s="25" t="s">
        <v>574</v>
      </c>
      <c r="O2442" s="2">
        <f>INDEX(Маршруты,MATCH(N2442,$B$3:$B$498,0),1)</f>
        <v>104</v>
      </c>
      <c r="P2442" s="28">
        <v>31</v>
      </c>
      <c r="Q2442" s="2">
        <f>INDEX(Остановки,MATCH(R2442,ИД_Остановки!$B$3:$B$467,0),1)</f>
        <v>254</v>
      </c>
      <c r="R2442" s="24" t="s">
        <v>136</v>
      </c>
      <c r="S2442" s="21">
        <v>0.79</v>
      </c>
    </row>
    <row r="2443" spans="8:19" x14ac:dyDescent="0.25">
      <c r="H2443">
        <v>15</v>
      </c>
      <c r="I2443">
        <v>340</v>
      </c>
      <c r="J2443">
        <v>110</v>
      </c>
      <c r="K2443" t="b">
        <v>1</v>
      </c>
      <c r="N2443" s="30" t="s">
        <v>574</v>
      </c>
      <c r="O2443" s="2">
        <f>INDEX(Маршруты,MATCH(N2443,$B$3:$B$498,0),1)</f>
        <v>104</v>
      </c>
      <c r="P2443" s="27">
        <v>32</v>
      </c>
      <c r="Q2443" s="2">
        <f>INDEX(Остановки,MATCH(R2443,ИД_Остановки!$B$3:$B$467,0),1)</f>
        <v>403</v>
      </c>
      <c r="R2443" s="45" t="s">
        <v>99</v>
      </c>
      <c r="S2443" s="20">
        <v>1</v>
      </c>
    </row>
    <row r="2444" spans="8:19" x14ac:dyDescent="0.25">
      <c r="H2444">
        <v>15</v>
      </c>
      <c r="I2444">
        <v>345</v>
      </c>
      <c r="J2444">
        <v>110</v>
      </c>
      <c r="K2444" t="b">
        <v>1</v>
      </c>
      <c r="N2444" s="25" t="s">
        <v>574</v>
      </c>
      <c r="O2444" s="2">
        <f>INDEX(Маршруты,MATCH(N2444,$B$3:$B$498,0),1)</f>
        <v>104</v>
      </c>
      <c r="P2444" s="27">
        <v>33</v>
      </c>
      <c r="Q2444" s="2">
        <f>INDEX(Остановки,MATCH(R2444,ИД_Остановки!$B$3:$B$467,0),1)</f>
        <v>333</v>
      </c>
      <c r="R2444" s="45" t="s">
        <v>190</v>
      </c>
      <c r="S2444" s="20">
        <v>0.42</v>
      </c>
    </row>
    <row r="2445" spans="8:19" x14ac:dyDescent="0.25">
      <c r="H2445">
        <v>15</v>
      </c>
      <c r="I2445">
        <v>350</v>
      </c>
      <c r="J2445">
        <v>110</v>
      </c>
      <c r="K2445" t="b">
        <v>1</v>
      </c>
      <c r="N2445" s="30" t="s">
        <v>575</v>
      </c>
      <c r="O2445" s="2">
        <f>INDEX(Маршруты,MATCH(N2445,$B$3:$B$498,0),1)</f>
        <v>105</v>
      </c>
      <c r="P2445" s="27">
        <v>1</v>
      </c>
      <c r="Q2445" s="2">
        <f>INDEX(Остановки,MATCH(R2445,ИД_Остановки!$B$3:$B$467,0),1)</f>
        <v>163</v>
      </c>
      <c r="R2445" s="45" t="s">
        <v>101</v>
      </c>
      <c r="S2445" s="20"/>
    </row>
    <row r="2446" spans="8:19" x14ac:dyDescent="0.25">
      <c r="H2446">
        <v>15</v>
      </c>
      <c r="I2446">
        <v>355</v>
      </c>
      <c r="J2446">
        <v>110</v>
      </c>
      <c r="K2446" t="b">
        <v>1</v>
      </c>
      <c r="N2446" s="30" t="s">
        <v>575</v>
      </c>
      <c r="O2446" s="2">
        <f>INDEX(Маршруты,MATCH(N2446,$B$3:$B$498,0),1)</f>
        <v>105</v>
      </c>
      <c r="P2446" s="27">
        <v>2</v>
      </c>
      <c r="Q2446" s="2">
        <f>INDEX(Остановки,MATCH(R2446,ИД_Остановки!$B$3:$B$467,0),1)</f>
        <v>164</v>
      </c>
      <c r="R2446" s="45" t="s">
        <v>102</v>
      </c>
      <c r="S2446" s="20">
        <v>0.99</v>
      </c>
    </row>
    <row r="2447" spans="8:19" x14ac:dyDescent="0.25">
      <c r="H2447">
        <v>15</v>
      </c>
      <c r="I2447">
        <v>360</v>
      </c>
      <c r="J2447">
        <v>110</v>
      </c>
      <c r="K2447" t="b">
        <v>1</v>
      </c>
      <c r="N2447" s="30" t="s">
        <v>575</v>
      </c>
      <c r="O2447" s="2">
        <f>INDEX(Маршруты,MATCH(N2447,$B$3:$B$498,0),1)</f>
        <v>105</v>
      </c>
      <c r="P2447" s="27">
        <v>3</v>
      </c>
      <c r="Q2447" s="2">
        <f>INDEX(Остановки,MATCH(R2447,ИД_Остановки!$B$3:$B$467,0),1)</f>
        <v>165</v>
      </c>
      <c r="R2447" s="45" t="s">
        <v>103</v>
      </c>
      <c r="S2447" s="20">
        <v>0.86</v>
      </c>
    </row>
    <row r="2448" spans="8:19" x14ac:dyDescent="0.25">
      <c r="H2448">
        <v>15</v>
      </c>
      <c r="I2448">
        <v>365</v>
      </c>
      <c r="J2448">
        <v>110</v>
      </c>
      <c r="K2448" t="b">
        <v>1</v>
      </c>
      <c r="N2448" s="30" t="s">
        <v>575</v>
      </c>
      <c r="O2448" s="2">
        <f>INDEX(Маршруты,MATCH(N2448,$B$3:$B$498,0),1)</f>
        <v>105</v>
      </c>
      <c r="P2448" s="27">
        <v>4</v>
      </c>
      <c r="Q2448" s="2">
        <f>INDEX(Остановки,MATCH(R2448,ИД_Остановки!$B$3:$B$467,0),1)</f>
        <v>402</v>
      </c>
      <c r="R2448" s="45" t="s">
        <v>459</v>
      </c>
      <c r="S2448" s="20">
        <v>0.53</v>
      </c>
    </row>
    <row r="2449" spans="8:19" x14ac:dyDescent="0.25">
      <c r="H2449">
        <v>15</v>
      </c>
      <c r="I2449">
        <v>370</v>
      </c>
      <c r="J2449">
        <v>110</v>
      </c>
      <c r="K2449" t="b">
        <v>1</v>
      </c>
      <c r="N2449" s="25" t="s">
        <v>575</v>
      </c>
      <c r="O2449" s="2">
        <f>INDEX(Маршруты,MATCH(N2449,$B$3:$B$498,0),1)</f>
        <v>105</v>
      </c>
      <c r="P2449" s="27">
        <v>5</v>
      </c>
      <c r="Q2449" s="2">
        <f>INDEX(Остановки,MATCH(R2449,ИД_Остановки!$B$3:$B$467,0),1)</f>
        <v>247</v>
      </c>
      <c r="R2449" s="24" t="s">
        <v>134</v>
      </c>
      <c r="S2449" s="20">
        <v>0.8</v>
      </c>
    </row>
    <row r="2450" spans="8:19" x14ac:dyDescent="0.25">
      <c r="H2450">
        <v>15</v>
      </c>
      <c r="I2450">
        <v>375</v>
      </c>
      <c r="J2450">
        <v>110</v>
      </c>
      <c r="K2450" t="b">
        <v>1</v>
      </c>
      <c r="N2450" s="25" t="s">
        <v>575</v>
      </c>
      <c r="O2450" s="2">
        <f>INDEX(Маршруты,MATCH(N2450,$B$3:$B$498,0),1)</f>
        <v>105</v>
      </c>
      <c r="P2450" s="27">
        <v>6</v>
      </c>
      <c r="Q2450" s="2">
        <f>INDEX(Остановки,MATCH(R2450,ИД_Остановки!$B$3:$B$467,0),1)</f>
        <v>411</v>
      </c>
      <c r="R2450" s="45" t="s">
        <v>467</v>
      </c>
      <c r="S2450" s="20">
        <v>0.6</v>
      </c>
    </row>
    <row r="2451" spans="8:19" x14ac:dyDescent="0.25">
      <c r="H2451">
        <v>15</v>
      </c>
      <c r="I2451">
        <v>380</v>
      </c>
      <c r="J2451">
        <v>110</v>
      </c>
      <c r="K2451" t="b">
        <v>1</v>
      </c>
      <c r="N2451" s="30" t="s">
        <v>575</v>
      </c>
      <c r="O2451" s="2">
        <f>INDEX(Маршруты,MATCH(N2451,$B$3:$B$498,0),1)</f>
        <v>105</v>
      </c>
      <c r="P2451" s="27">
        <v>7</v>
      </c>
      <c r="Q2451" s="2">
        <f>INDEX(Остановки,MATCH(R2451,ИД_Остановки!$B$3:$B$467,0),1)</f>
        <v>338</v>
      </c>
      <c r="R2451" s="45" t="s">
        <v>408</v>
      </c>
      <c r="S2451" s="20">
        <v>0.74</v>
      </c>
    </row>
    <row r="2452" spans="8:19" x14ac:dyDescent="0.25">
      <c r="H2452">
        <v>15</v>
      </c>
      <c r="I2452">
        <v>385</v>
      </c>
      <c r="J2452">
        <v>110</v>
      </c>
      <c r="K2452" t="b">
        <v>1</v>
      </c>
      <c r="N2452" s="30" t="s">
        <v>575</v>
      </c>
      <c r="O2452" s="2">
        <f>INDEX(Маршруты,MATCH(N2452,$B$3:$B$498,0),1)</f>
        <v>105</v>
      </c>
      <c r="P2452" s="27">
        <v>8</v>
      </c>
      <c r="Q2452" s="2">
        <f>INDEX(Остановки,MATCH(R2452,ИД_Остановки!$B$3:$B$467,0),1)</f>
        <v>426</v>
      </c>
      <c r="R2452" s="45" t="s">
        <v>482</v>
      </c>
      <c r="S2452" s="20">
        <v>0.71</v>
      </c>
    </row>
    <row r="2453" spans="8:19" x14ac:dyDescent="0.25">
      <c r="H2453">
        <v>15</v>
      </c>
      <c r="I2453">
        <v>390</v>
      </c>
      <c r="J2453">
        <v>110</v>
      </c>
      <c r="K2453" t="b">
        <v>1</v>
      </c>
      <c r="N2453" s="25" t="s">
        <v>575</v>
      </c>
      <c r="O2453" s="2">
        <f>INDEX(Маршруты,MATCH(N2453,$B$3:$B$498,0),1)</f>
        <v>105</v>
      </c>
      <c r="P2453" s="27">
        <v>9</v>
      </c>
      <c r="Q2453" s="2">
        <f>INDEX(Остановки,MATCH(R2453,ИД_Остановки!$B$3:$B$467,0),1)</f>
        <v>339</v>
      </c>
      <c r="R2453" s="45" t="s">
        <v>409</v>
      </c>
      <c r="S2453" s="20">
        <v>0.8</v>
      </c>
    </row>
    <row r="2454" spans="8:19" x14ac:dyDescent="0.25">
      <c r="H2454">
        <v>15</v>
      </c>
      <c r="I2454">
        <v>395</v>
      </c>
      <c r="J2454">
        <v>110</v>
      </c>
      <c r="K2454" t="b">
        <v>1</v>
      </c>
      <c r="N2454" s="30" t="s">
        <v>575</v>
      </c>
      <c r="O2454" s="2">
        <f>INDEX(Маршруты,MATCH(N2454,$B$3:$B$498,0),1)</f>
        <v>105</v>
      </c>
      <c r="P2454" s="27">
        <v>10</v>
      </c>
      <c r="Q2454" s="2">
        <f>INDEX(Остановки,MATCH(R2454,ИД_Остановки!$B$3:$B$467,0),1)</f>
        <v>340</v>
      </c>
      <c r="R2454" s="45" t="s">
        <v>410</v>
      </c>
      <c r="S2454" s="20">
        <v>0.64</v>
      </c>
    </row>
    <row r="2455" spans="8:19" x14ac:dyDescent="0.25">
      <c r="H2455">
        <v>15</v>
      </c>
      <c r="I2455">
        <v>400</v>
      </c>
      <c r="J2455">
        <v>110</v>
      </c>
      <c r="K2455" t="b">
        <v>1</v>
      </c>
      <c r="N2455" s="30" t="s">
        <v>575</v>
      </c>
      <c r="O2455" s="2">
        <f>INDEX(Маршруты,MATCH(N2455,$B$3:$B$498,0),1)</f>
        <v>105</v>
      </c>
      <c r="P2455" s="27">
        <v>11</v>
      </c>
      <c r="Q2455" s="2">
        <f>INDEX(Остановки,MATCH(R2455,ИД_Остановки!$B$3:$B$467,0),1)</f>
        <v>153</v>
      </c>
      <c r="R2455" s="45" t="s">
        <v>319</v>
      </c>
      <c r="S2455" s="20">
        <v>0.48</v>
      </c>
    </row>
    <row r="2456" spans="8:19" x14ac:dyDescent="0.25">
      <c r="H2456">
        <v>15</v>
      </c>
      <c r="I2456">
        <v>405</v>
      </c>
      <c r="J2456">
        <v>110</v>
      </c>
      <c r="K2456" t="b">
        <v>1</v>
      </c>
      <c r="N2456" s="30" t="s">
        <v>575</v>
      </c>
      <c r="O2456" s="2">
        <f>INDEX(Маршруты,MATCH(N2456,$B$3:$B$498,0),1)</f>
        <v>105</v>
      </c>
      <c r="P2456" s="27">
        <v>12</v>
      </c>
      <c r="Q2456" s="2">
        <f>INDEX(Остановки,MATCH(R2456,ИД_Остановки!$B$3:$B$467,0),1)</f>
        <v>341</v>
      </c>
      <c r="R2456" s="45" t="s">
        <v>192</v>
      </c>
      <c r="S2456" s="20">
        <v>0.71</v>
      </c>
    </row>
    <row r="2457" spans="8:19" x14ac:dyDescent="0.25">
      <c r="H2457">
        <v>15</v>
      </c>
      <c r="I2457">
        <v>410</v>
      </c>
      <c r="J2457">
        <v>110</v>
      </c>
      <c r="K2457" t="b">
        <v>1</v>
      </c>
      <c r="N2457" s="30" t="s">
        <v>576</v>
      </c>
      <c r="O2457" s="2">
        <f>INDEX(Маршруты,MATCH(N2457,$B$3:$B$498,0),1)</f>
        <v>106</v>
      </c>
      <c r="P2457" s="27">
        <v>1</v>
      </c>
      <c r="Q2457" s="2">
        <f>INDEX(Остановки,MATCH(R2457,ИД_Остановки!$B$3:$B$467,0),1)</f>
        <v>341</v>
      </c>
      <c r="R2457" s="45" t="s">
        <v>192</v>
      </c>
      <c r="S2457" s="20"/>
    </row>
    <row r="2458" spans="8:19" x14ac:dyDescent="0.25">
      <c r="H2458">
        <v>15</v>
      </c>
      <c r="I2458">
        <v>415</v>
      </c>
      <c r="J2458">
        <v>110</v>
      </c>
      <c r="K2458" t="b">
        <v>1</v>
      </c>
      <c r="N2458" s="30" t="s">
        <v>576</v>
      </c>
      <c r="O2458" s="2">
        <f>INDEX(Маршруты,MATCH(N2458,$B$3:$B$498,0),1)</f>
        <v>106</v>
      </c>
      <c r="P2458" s="28">
        <v>2</v>
      </c>
      <c r="Q2458" s="2">
        <f>INDEX(Остановки,MATCH(R2458,ИД_Остановки!$B$3:$B$467,0),1)</f>
        <v>153</v>
      </c>
      <c r="R2458" s="24" t="s">
        <v>319</v>
      </c>
      <c r="S2458" s="20">
        <v>0.71</v>
      </c>
    </row>
    <row r="2459" spans="8:19" x14ac:dyDescent="0.25">
      <c r="H2459">
        <v>15</v>
      </c>
      <c r="I2459">
        <v>420</v>
      </c>
      <c r="J2459">
        <v>110</v>
      </c>
      <c r="K2459" t="b">
        <v>1</v>
      </c>
      <c r="N2459" s="30" t="s">
        <v>576</v>
      </c>
      <c r="O2459" s="2">
        <f>INDEX(Маршруты,MATCH(N2459,$B$3:$B$498,0),1)</f>
        <v>106</v>
      </c>
      <c r="P2459" s="27">
        <v>3</v>
      </c>
      <c r="Q2459" s="2">
        <f>INDEX(Остановки,MATCH(R2459,ИД_Остановки!$B$3:$B$467,0),1)</f>
        <v>340</v>
      </c>
      <c r="R2459" s="45" t="s">
        <v>410</v>
      </c>
      <c r="S2459" s="20">
        <v>0.48</v>
      </c>
    </row>
    <row r="2460" spans="8:19" x14ac:dyDescent="0.25">
      <c r="H2460">
        <v>15</v>
      </c>
      <c r="I2460">
        <v>425</v>
      </c>
      <c r="J2460">
        <v>110</v>
      </c>
      <c r="K2460" t="b">
        <v>1</v>
      </c>
      <c r="N2460" s="25" t="s">
        <v>576</v>
      </c>
      <c r="O2460" s="2">
        <f>INDEX(Маршруты,MATCH(N2460,$B$3:$B$498,0),1)</f>
        <v>106</v>
      </c>
      <c r="P2460" s="27">
        <v>4</v>
      </c>
      <c r="Q2460" s="2">
        <f>INDEX(Остановки,MATCH(R2460,ИД_Остановки!$B$3:$B$467,0),1)</f>
        <v>339</v>
      </c>
      <c r="R2460" s="45" t="s">
        <v>409</v>
      </c>
      <c r="S2460" s="20">
        <v>0.64</v>
      </c>
    </row>
    <row r="2461" spans="8:19" x14ac:dyDescent="0.25">
      <c r="H2461">
        <v>15</v>
      </c>
      <c r="I2461">
        <v>430</v>
      </c>
      <c r="J2461">
        <v>110</v>
      </c>
      <c r="K2461" t="b">
        <v>1</v>
      </c>
      <c r="N2461" s="25" t="s">
        <v>576</v>
      </c>
      <c r="O2461" s="2">
        <f>INDEX(Маршруты,MATCH(N2461,$B$3:$B$498,0),1)</f>
        <v>106</v>
      </c>
      <c r="P2461" s="27">
        <v>5</v>
      </c>
      <c r="Q2461" s="2">
        <f>INDEX(Остановки,MATCH(R2461,ИД_Остановки!$B$3:$B$467,0),1)</f>
        <v>426</v>
      </c>
      <c r="R2461" s="45" t="s">
        <v>482</v>
      </c>
      <c r="S2461" s="20">
        <v>0.8</v>
      </c>
    </row>
    <row r="2462" spans="8:19" x14ac:dyDescent="0.25">
      <c r="H2462">
        <v>15</v>
      </c>
      <c r="I2462">
        <v>435</v>
      </c>
      <c r="J2462">
        <v>110</v>
      </c>
      <c r="K2462" t="b">
        <v>1</v>
      </c>
      <c r="N2462" s="25" t="s">
        <v>576</v>
      </c>
      <c r="O2462" s="2">
        <f>INDEX(Маршруты,MATCH(N2462,$B$3:$B$498,0),1)</f>
        <v>106</v>
      </c>
      <c r="P2462" s="27">
        <v>6</v>
      </c>
      <c r="Q2462" s="2">
        <f>INDEX(Остановки,MATCH(R2462,ИД_Остановки!$B$3:$B$467,0),1)</f>
        <v>338</v>
      </c>
      <c r="R2462" s="45" t="s">
        <v>408</v>
      </c>
      <c r="S2462" s="20">
        <v>0.71</v>
      </c>
    </row>
    <row r="2463" spans="8:19" x14ac:dyDescent="0.25">
      <c r="H2463">
        <v>15</v>
      </c>
      <c r="I2463">
        <v>440</v>
      </c>
      <c r="J2463">
        <v>110</v>
      </c>
      <c r="K2463" t="b">
        <v>1</v>
      </c>
      <c r="N2463" s="25" t="s">
        <v>576</v>
      </c>
      <c r="O2463" s="2">
        <f>INDEX(Маршруты,MATCH(N2463,$B$3:$B$498,0),1)</f>
        <v>106</v>
      </c>
      <c r="P2463" s="28">
        <v>7</v>
      </c>
      <c r="Q2463" s="2">
        <f>INDEX(Остановки,MATCH(R2463,ИД_Остановки!$B$3:$B$467,0),1)</f>
        <v>411</v>
      </c>
      <c r="R2463" s="24" t="s">
        <v>467</v>
      </c>
      <c r="S2463" s="20">
        <v>0.74</v>
      </c>
    </row>
    <row r="2464" spans="8:19" x14ac:dyDescent="0.25">
      <c r="H2464">
        <v>15</v>
      </c>
      <c r="I2464">
        <v>445</v>
      </c>
      <c r="J2464">
        <v>110</v>
      </c>
      <c r="K2464" t="b">
        <v>1</v>
      </c>
      <c r="N2464" s="26" t="s">
        <v>576</v>
      </c>
      <c r="O2464" s="2">
        <f>INDEX(Маршруты,MATCH(N2464,$B$3:$B$498,0),1)</f>
        <v>106</v>
      </c>
      <c r="P2464" s="27">
        <v>8</v>
      </c>
      <c r="Q2464" s="2">
        <f>INDEX(Остановки,MATCH(R2464,ИД_Остановки!$B$3:$B$467,0),1)</f>
        <v>247</v>
      </c>
      <c r="R2464" s="45" t="s">
        <v>134</v>
      </c>
      <c r="S2464" s="20">
        <v>0.6</v>
      </c>
    </row>
    <row r="2465" spans="8:19" x14ac:dyDescent="0.25">
      <c r="H2465">
        <v>15</v>
      </c>
      <c r="I2465">
        <v>450</v>
      </c>
      <c r="J2465">
        <v>110</v>
      </c>
      <c r="K2465" t="b">
        <v>1</v>
      </c>
      <c r="N2465" s="25" t="s">
        <v>576</v>
      </c>
      <c r="O2465" s="2">
        <f>INDEX(Маршруты,MATCH(N2465,$B$3:$B$498,0),1)</f>
        <v>106</v>
      </c>
      <c r="P2465" s="27">
        <v>9</v>
      </c>
      <c r="Q2465" s="2">
        <f>INDEX(Остановки,MATCH(R2465,ИД_Остановки!$B$3:$B$467,0),1)</f>
        <v>402</v>
      </c>
      <c r="R2465" s="45" t="s">
        <v>459</v>
      </c>
      <c r="S2465" s="20">
        <v>0.8</v>
      </c>
    </row>
    <row r="2466" spans="8:19" x14ac:dyDescent="0.25">
      <c r="H2466">
        <v>15</v>
      </c>
      <c r="I2466">
        <v>455</v>
      </c>
      <c r="J2466">
        <v>110</v>
      </c>
      <c r="K2466" t="b">
        <v>1</v>
      </c>
      <c r="N2466" s="30" t="s">
        <v>576</v>
      </c>
      <c r="O2466" s="2">
        <f>INDEX(Маршруты,MATCH(N2466,$B$3:$B$498,0),1)</f>
        <v>106</v>
      </c>
      <c r="P2466" s="27">
        <v>10</v>
      </c>
      <c r="Q2466" s="2">
        <f>INDEX(Остановки,MATCH(R2466,ИД_Остановки!$B$3:$B$467,0),1)</f>
        <v>165</v>
      </c>
      <c r="R2466" s="45" t="s">
        <v>103</v>
      </c>
      <c r="S2466" s="20">
        <v>0.53</v>
      </c>
    </row>
    <row r="2467" spans="8:19" x14ac:dyDescent="0.25">
      <c r="H2467">
        <v>15</v>
      </c>
      <c r="I2467">
        <v>460</v>
      </c>
      <c r="J2467">
        <v>110</v>
      </c>
      <c r="K2467" t="b">
        <v>1</v>
      </c>
      <c r="N2467" s="26" t="s">
        <v>576</v>
      </c>
      <c r="O2467" s="2">
        <f>INDEX(Маршруты,MATCH(N2467,$B$3:$B$498,0),1)</f>
        <v>106</v>
      </c>
      <c r="P2467" s="27">
        <v>11</v>
      </c>
      <c r="Q2467" s="2">
        <f>INDEX(Остановки,MATCH(R2467,ИД_Остановки!$B$3:$B$467,0),1)</f>
        <v>164</v>
      </c>
      <c r="R2467" s="45" t="s">
        <v>102</v>
      </c>
      <c r="S2467" s="20">
        <v>0.86</v>
      </c>
    </row>
    <row r="2468" spans="8:19" x14ac:dyDescent="0.25">
      <c r="H2468">
        <v>15</v>
      </c>
      <c r="I2468">
        <v>465</v>
      </c>
      <c r="J2468">
        <v>110</v>
      </c>
      <c r="K2468" t="b">
        <v>1</v>
      </c>
      <c r="N2468" s="30" t="s">
        <v>576</v>
      </c>
      <c r="O2468" s="2">
        <f>INDEX(Маршруты,MATCH(N2468,$B$3:$B$498,0),1)</f>
        <v>106</v>
      </c>
      <c r="P2468" s="27">
        <v>12</v>
      </c>
      <c r="Q2468" s="2">
        <f>INDEX(Остановки,MATCH(R2468,ИД_Остановки!$B$3:$B$467,0),1)</f>
        <v>163</v>
      </c>
      <c r="R2468" s="45" t="s">
        <v>101</v>
      </c>
      <c r="S2468" s="20">
        <v>0.99</v>
      </c>
    </row>
    <row r="2469" spans="8:19" x14ac:dyDescent="0.25">
      <c r="H2469">
        <v>15</v>
      </c>
      <c r="I2469">
        <v>470</v>
      </c>
      <c r="J2469">
        <v>110</v>
      </c>
      <c r="K2469" t="b">
        <v>1</v>
      </c>
      <c r="N2469" s="30" t="s">
        <v>577</v>
      </c>
      <c r="O2469" s="2">
        <f>INDEX(Маршруты,MATCH(N2469,$B$3:$B$498,0),1)</f>
        <v>107</v>
      </c>
      <c r="P2469" s="27">
        <v>1</v>
      </c>
      <c r="Q2469" s="2">
        <f>INDEX(Остановки,MATCH(R2469,ИД_Остановки!$B$3:$B$467,0),1)</f>
        <v>343</v>
      </c>
      <c r="R2469" s="24" t="s">
        <v>194</v>
      </c>
      <c r="S2469" s="20"/>
    </row>
    <row r="2470" spans="8:19" x14ac:dyDescent="0.25">
      <c r="H2470">
        <v>15</v>
      </c>
      <c r="I2470">
        <v>475</v>
      </c>
      <c r="J2470">
        <v>110</v>
      </c>
      <c r="K2470" t="b">
        <v>1</v>
      </c>
      <c r="N2470" s="30" t="s">
        <v>577</v>
      </c>
      <c r="O2470" s="2">
        <f>INDEX(Маршруты,MATCH(N2470,$B$3:$B$498,0),1)</f>
        <v>107</v>
      </c>
      <c r="P2470" s="27">
        <v>2</v>
      </c>
      <c r="Q2470" s="2">
        <f>INDEX(Остановки,MATCH(R2470,ИД_Остановки!$B$3:$B$467,0),1)</f>
        <v>174</v>
      </c>
      <c r="R2470" s="45" t="s">
        <v>326</v>
      </c>
      <c r="S2470" s="20">
        <v>2.56</v>
      </c>
    </row>
    <row r="2471" spans="8:19" x14ac:dyDescent="0.25">
      <c r="H2471">
        <v>15</v>
      </c>
      <c r="I2471">
        <v>480</v>
      </c>
      <c r="J2471">
        <v>110</v>
      </c>
      <c r="K2471" t="b">
        <v>1</v>
      </c>
      <c r="N2471" s="30" t="s">
        <v>577</v>
      </c>
      <c r="O2471" s="2">
        <f>INDEX(Маршруты,MATCH(N2471,$B$3:$B$498,0),1)</f>
        <v>107</v>
      </c>
      <c r="P2471" s="27">
        <v>3</v>
      </c>
      <c r="Q2471" s="2">
        <f>INDEX(Остановки,MATCH(R2471,ИД_Остановки!$B$3:$B$467,0),1)</f>
        <v>175</v>
      </c>
      <c r="R2471" s="45" t="s">
        <v>327</v>
      </c>
      <c r="S2471" s="20">
        <v>0.89</v>
      </c>
    </row>
    <row r="2472" spans="8:19" x14ac:dyDescent="0.25">
      <c r="H2472">
        <v>15</v>
      </c>
      <c r="I2472">
        <v>485</v>
      </c>
      <c r="J2472">
        <v>110</v>
      </c>
      <c r="K2472" t="b">
        <v>1</v>
      </c>
      <c r="N2472" s="24" t="s">
        <v>577</v>
      </c>
      <c r="O2472" s="2">
        <f>INDEX(Маршруты,MATCH(N2472,$B$3:$B$498,0),1)</f>
        <v>107</v>
      </c>
      <c r="P2472" s="27">
        <v>4</v>
      </c>
      <c r="Q2472" s="2">
        <f>INDEX(Остановки,MATCH(R2472,ИД_Остановки!$B$3:$B$467,0),1)</f>
        <v>53</v>
      </c>
      <c r="R2472" s="45" t="s">
        <v>44</v>
      </c>
      <c r="S2472" s="20">
        <v>1.44</v>
      </c>
    </row>
    <row r="2473" spans="8:19" x14ac:dyDescent="0.25">
      <c r="H2473">
        <v>15</v>
      </c>
      <c r="I2473">
        <v>490</v>
      </c>
      <c r="J2473">
        <v>110</v>
      </c>
      <c r="K2473" t="b">
        <v>1</v>
      </c>
      <c r="N2473" s="30" t="s">
        <v>577</v>
      </c>
      <c r="O2473" s="2">
        <f>INDEX(Маршруты,MATCH(N2473,$B$3:$B$498,0),1)</f>
        <v>107</v>
      </c>
      <c r="P2473" s="27">
        <v>5</v>
      </c>
      <c r="Q2473" s="2">
        <f>INDEX(Остановки,MATCH(R2473,ИД_Остановки!$B$3:$B$467,0),1)</f>
        <v>176</v>
      </c>
      <c r="R2473" s="45" t="s">
        <v>111</v>
      </c>
      <c r="S2473" s="20">
        <v>0.64</v>
      </c>
    </row>
    <row r="2474" spans="8:19" x14ac:dyDescent="0.25">
      <c r="H2474">
        <v>15</v>
      </c>
      <c r="I2474">
        <v>495</v>
      </c>
      <c r="J2474">
        <v>110</v>
      </c>
      <c r="K2474" t="b">
        <v>1</v>
      </c>
      <c r="N2474" s="30" t="s">
        <v>577</v>
      </c>
      <c r="O2474" s="2">
        <f>INDEX(Маршруты,MATCH(N2474,$B$3:$B$498,0),1)</f>
        <v>107</v>
      </c>
      <c r="P2474" s="27">
        <v>6</v>
      </c>
      <c r="Q2474" s="2">
        <f>INDEX(Остановки,MATCH(R2474,ИД_Остановки!$B$3:$B$467,0),1)</f>
        <v>54</v>
      </c>
      <c r="R2474" s="45" t="s">
        <v>45</v>
      </c>
      <c r="S2474" s="20">
        <v>0.65</v>
      </c>
    </row>
    <row r="2475" spans="8:19" x14ac:dyDescent="0.25">
      <c r="H2475">
        <v>15</v>
      </c>
      <c r="I2475">
        <v>500</v>
      </c>
      <c r="J2475">
        <v>110</v>
      </c>
      <c r="K2475" t="b">
        <v>1</v>
      </c>
      <c r="N2475" s="30" t="s">
        <v>577</v>
      </c>
      <c r="O2475" s="2">
        <f>INDEX(Маршруты,MATCH(N2475,$B$3:$B$498,0),1)</f>
        <v>107</v>
      </c>
      <c r="P2475" s="27">
        <v>7</v>
      </c>
      <c r="Q2475" s="2">
        <f>INDEX(Остановки,MATCH(R2475,ИД_Остановки!$B$3:$B$467,0),1)</f>
        <v>55</v>
      </c>
      <c r="R2475" s="45" t="s">
        <v>263</v>
      </c>
      <c r="S2475" s="20">
        <v>0.37</v>
      </c>
    </row>
    <row r="2476" spans="8:19" x14ac:dyDescent="0.25">
      <c r="H2476">
        <v>15</v>
      </c>
      <c r="I2476">
        <v>505</v>
      </c>
      <c r="J2476">
        <v>110</v>
      </c>
      <c r="K2476" t="b">
        <v>1</v>
      </c>
      <c r="N2476" s="25" t="s">
        <v>577</v>
      </c>
      <c r="O2476" s="2">
        <f>INDEX(Маршруты,MATCH(N2476,$B$3:$B$498,0),1)</f>
        <v>107</v>
      </c>
      <c r="P2476" s="27">
        <v>8</v>
      </c>
      <c r="Q2476" s="2">
        <f>INDEX(Остановки,MATCH(R2476,ИД_Остановки!$B$3:$B$467,0),1)</f>
        <v>56</v>
      </c>
      <c r="R2476" s="45" t="s">
        <v>264</v>
      </c>
      <c r="S2476" s="20">
        <v>0.86</v>
      </c>
    </row>
    <row r="2477" spans="8:19" x14ac:dyDescent="0.25">
      <c r="H2477">
        <v>15</v>
      </c>
      <c r="I2477">
        <v>510</v>
      </c>
      <c r="J2477">
        <v>110</v>
      </c>
      <c r="K2477" t="b">
        <v>1</v>
      </c>
      <c r="N2477" s="25" t="s">
        <v>577</v>
      </c>
      <c r="O2477" s="2">
        <f>INDEX(Маршруты,MATCH(N2477,$B$3:$B$498,0),1)</f>
        <v>107</v>
      </c>
      <c r="P2477" s="28">
        <v>9</v>
      </c>
      <c r="Q2477" s="2">
        <f>INDEX(Остановки,MATCH(R2477,ИД_Остановки!$B$3:$B$467,0),1)</f>
        <v>57</v>
      </c>
      <c r="R2477" s="24" t="s">
        <v>47</v>
      </c>
      <c r="S2477" s="20">
        <v>0.48</v>
      </c>
    </row>
    <row r="2478" spans="8:19" x14ac:dyDescent="0.25">
      <c r="H2478">
        <v>15</v>
      </c>
      <c r="I2478">
        <v>515</v>
      </c>
      <c r="J2478">
        <v>110</v>
      </c>
      <c r="K2478" t="b">
        <v>1</v>
      </c>
      <c r="N2478" s="25" t="s">
        <v>577</v>
      </c>
      <c r="O2478" s="2">
        <f>INDEX(Маршруты,MATCH(N2478,$B$3:$B$498,0),1)</f>
        <v>107</v>
      </c>
      <c r="P2478" s="27">
        <v>10</v>
      </c>
      <c r="Q2478" s="2">
        <f>INDEX(Остановки,MATCH(R2478,ИД_Остановки!$B$3:$B$467,0),1)</f>
        <v>285</v>
      </c>
      <c r="R2478" s="45" t="s">
        <v>156</v>
      </c>
      <c r="S2478" s="20">
        <v>0.65</v>
      </c>
    </row>
    <row r="2479" spans="8:19" x14ac:dyDescent="0.25">
      <c r="H2479">
        <v>15</v>
      </c>
      <c r="I2479">
        <v>520</v>
      </c>
      <c r="J2479">
        <v>110</v>
      </c>
      <c r="K2479" t="b">
        <v>1</v>
      </c>
      <c r="N2479" s="25" t="s">
        <v>577</v>
      </c>
      <c r="O2479" s="2">
        <f>INDEX(Маршруты,MATCH(N2479,$B$3:$B$498,0),1)</f>
        <v>107</v>
      </c>
      <c r="P2479" s="27">
        <v>11</v>
      </c>
      <c r="Q2479" s="2">
        <f>INDEX(Остановки,MATCH(R2479,ИД_Остановки!$B$3:$B$467,0),1)</f>
        <v>381</v>
      </c>
      <c r="R2479" s="45" t="s">
        <v>439</v>
      </c>
      <c r="S2479" s="20">
        <v>0.73</v>
      </c>
    </row>
    <row r="2480" spans="8:19" x14ac:dyDescent="0.25">
      <c r="H2480">
        <v>15</v>
      </c>
      <c r="I2480">
        <v>525</v>
      </c>
      <c r="J2480">
        <v>110</v>
      </c>
      <c r="K2480" t="b">
        <v>1</v>
      </c>
      <c r="N2480" s="25" t="s">
        <v>577</v>
      </c>
      <c r="O2480" s="2">
        <f>INDEX(Маршруты,MATCH(N2480,$B$3:$B$498,0),1)</f>
        <v>107</v>
      </c>
      <c r="P2480" s="27">
        <v>12</v>
      </c>
      <c r="Q2480" s="2">
        <f>INDEX(Остановки,MATCH(R2480,ИД_Остановки!$B$3:$B$467,0),1)</f>
        <v>186</v>
      </c>
      <c r="R2480" s="45" t="s">
        <v>332</v>
      </c>
      <c r="S2480" s="20">
        <v>0.74</v>
      </c>
    </row>
    <row r="2481" spans="8:19" x14ac:dyDescent="0.25">
      <c r="H2481">
        <v>15</v>
      </c>
      <c r="I2481">
        <v>530</v>
      </c>
      <c r="J2481">
        <v>110</v>
      </c>
      <c r="K2481" t="b">
        <v>1</v>
      </c>
      <c r="N2481" s="25" t="s">
        <v>577</v>
      </c>
      <c r="O2481" s="2">
        <f>INDEX(Маршруты,MATCH(N2481,$B$3:$B$498,0),1)</f>
        <v>107</v>
      </c>
      <c r="P2481" s="27">
        <v>13</v>
      </c>
      <c r="Q2481" s="2">
        <f>INDEX(Остановки,MATCH(R2481,ИД_Остановки!$B$3:$B$467,0),1)</f>
        <v>362</v>
      </c>
      <c r="R2481" s="45" t="s">
        <v>423</v>
      </c>
      <c r="S2481" s="20">
        <v>1.95</v>
      </c>
    </row>
    <row r="2482" spans="8:19" x14ac:dyDescent="0.25">
      <c r="H2482">
        <v>15</v>
      </c>
      <c r="I2482">
        <v>535</v>
      </c>
      <c r="J2482">
        <v>110</v>
      </c>
      <c r="K2482" t="b">
        <v>1</v>
      </c>
      <c r="N2482" s="25" t="s">
        <v>577</v>
      </c>
      <c r="O2482" s="2">
        <f>INDEX(Маршруты,MATCH(N2482,$B$3:$B$498,0),1)</f>
        <v>107</v>
      </c>
      <c r="P2482" s="27">
        <v>14</v>
      </c>
      <c r="Q2482" s="2">
        <f>INDEX(Остановки,MATCH(R2482,ИД_Остановки!$B$3:$B$467,0),1)</f>
        <v>342</v>
      </c>
      <c r="R2482" s="45" t="s">
        <v>193</v>
      </c>
      <c r="S2482" s="20">
        <v>0.8</v>
      </c>
    </row>
    <row r="2483" spans="8:19" x14ac:dyDescent="0.25">
      <c r="H2483">
        <v>15</v>
      </c>
      <c r="I2483">
        <v>540</v>
      </c>
      <c r="J2483">
        <v>110</v>
      </c>
      <c r="K2483" t="b">
        <v>1</v>
      </c>
      <c r="N2483" s="26" t="s">
        <v>578</v>
      </c>
      <c r="O2483" s="2">
        <f>INDEX(Маршруты,MATCH(N2483,$B$3:$B$498,0),1)</f>
        <v>108</v>
      </c>
      <c r="P2483" s="27">
        <v>1</v>
      </c>
      <c r="Q2483" s="2">
        <f>INDEX(Остановки,MATCH(R2483,ИД_Остановки!$B$3:$B$467,0),1)</f>
        <v>342</v>
      </c>
      <c r="R2483" s="45" t="s">
        <v>193</v>
      </c>
      <c r="S2483" s="20"/>
    </row>
    <row r="2484" spans="8:19" x14ac:dyDescent="0.25">
      <c r="H2484">
        <v>15</v>
      </c>
      <c r="I2484">
        <v>545</v>
      </c>
      <c r="J2484">
        <v>110</v>
      </c>
      <c r="K2484" t="b">
        <v>1</v>
      </c>
      <c r="N2484" s="32" t="s">
        <v>578</v>
      </c>
      <c r="O2484" s="2">
        <f>INDEX(Маршруты,MATCH(N2484,$B$3:$B$498,0),1)</f>
        <v>108</v>
      </c>
      <c r="P2484" s="27">
        <v>2</v>
      </c>
      <c r="Q2484" s="2">
        <f>INDEX(Остановки,MATCH(R2484,ИД_Остановки!$B$3:$B$467,0),1)</f>
        <v>362</v>
      </c>
      <c r="R2484" s="45" t="s">
        <v>423</v>
      </c>
      <c r="S2484" s="20">
        <v>0.8</v>
      </c>
    </row>
    <row r="2485" spans="8:19" x14ac:dyDescent="0.25">
      <c r="H2485">
        <v>15</v>
      </c>
      <c r="I2485">
        <v>550</v>
      </c>
      <c r="J2485">
        <v>110</v>
      </c>
      <c r="K2485" t="b">
        <v>1</v>
      </c>
      <c r="N2485" s="26" t="s">
        <v>578</v>
      </c>
      <c r="O2485" s="2">
        <f>INDEX(Маршруты,MATCH(N2485,$B$3:$B$498,0),1)</f>
        <v>108</v>
      </c>
      <c r="P2485" s="27">
        <v>3</v>
      </c>
      <c r="Q2485" s="2">
        <f>INDEX(Остановки,MATCH(R2485,ИД_Остановки!$B$3:$B$467,0),1)</f>
        <v>186</v>
      </c>
      <c r="R2485" s="45" t="s">
        <v>332</v>
      </c>
      <c r="S2485" s="20">
        <v>1.95</v>
      </c>
    </row>
    <row r="2486" spans="8:19" x14ac:dyDescent="0.25">
      <c r="H2486">
        <v>15</v>
      </c>
      <c r="I2486">
        <v>555</v>
      </c>
      <c r="J2486">
        <v>110</v>
      </c>
      <c r="K2486" t="b">
        <v>1</v>
      </c>
      <c r="N2486" s="30" t="s">
        <v>578</v>
      </c>
      <c r="O2486" s="2">
        <f>INDEX(Маршруты,MATCH(N2486,$B$3:$B$498,0),1)</f>
        <v>108</v>
      </c>
      <c r="P2486" s="28">
        <v>4</v>
      </c>
      <c r="Q2486" s="2">
        <f>INDEX(Остановки,MATCH(R2486,ИД_Остановки!$B$3:$B$467,0),1)</f>
        <v>381</v>
      </c>
      <c r="R2486" s="24" t="s">
        <v>439</v>
      </c>
      <c r="S2486" s="20">
        <v>0.74</v>
      </c>
    </row>
    <row r="2487" spans="8:19" x14ac:dyDescent="0.25">
      <c r="H2487">
        <v>15</v>
      </c>
      <c r="I2487">
        <v>560</v>
      </c>
      <c r="J2487">
        <v>110</v>
      </c>
      <c r="K2487" t="b">
        <v>1</v>
      </c>
      <c r="N2487" s="30" t="s">
        <v>578</v>
      </c>
      <c r="O2487" s="2">
        <f>INDEX(Маршруты,MATCH(N2487,$B$3:$B$498,0),1)</f>
        <v>108</v>
      </c>
      <c r="P2487" s="27">
        <v>5</v>
      </c>
      <c r="Q2487" s="2">
        <f>INDEX(Остановки,MATCH(R2487,ИД_Остановки!$B$3:$B$467,0),1)</f>
        <v>285</v>
      </c>
      <c r="R2487" s="45" t="s">
        <v>156</v>
      </c>
      <c r="S2487" s="20">
        <v>0.73</v>
      </c>
    </row>
    <row r="2488" spans="8:19" x14ac:dyDescent="0.25">
      <c r="H2488">
        <v>15</v>
      </c>
      <c r="I2488">
        <v>565</v>
      </c>
      <c r="J2488">
        <v>110</v>
      </c>
      <c r="K2488" t="b">
        <v>1</v>
      </c>
      <c r="N2488" s="30" t="s">
        <v>578</v>
      </c>
      <c r="O2488" s="2">
        <f>INDEX(Маршруты,MATCH(N2488,$B$3:$B$498,0),1)</f>
        <v>108</v>
      </c>
      <c r="P2488" s="27">
        <v>6</v>
      </c>
      <c r="Q2488" s="2">
        <f>INDEX(Остановки,MATCH(R2488,ИД_Остановки!$B$3:$B$467,0),1)</f>
        <v>57</v>
      </c>
      <c r="R2488" s="45" t="s">
        <v>47</v>
      </c>
      <c r="S2488" s="20">
        <v>0.65</v>
      </c>
    </row>
    <row r="2489" spans="8:19" x14ac:dyDescent="0.25">
      <c r="H2489">
        <v>15</v>
      </c>
      <c r="I2489">
        <v>570</v>
      </c>
      <c r="J2489">
        <v>110</v>
      </c>
      <c r="K2489" t="b">
        <v>1</v>
      </c>
      <c r="N2489" s="30" t="s">
        <v>578</v>
      </c>
      <c r="O2489" s="2">
        <f>INDEX(Маршруты,MATCH(N2489,$B$3:$B$498,0),1)</f>
        <v>108</v>
      </c>
      <c r="P2489" s="27">
        <v>7</v>
      </c>
      <c r="Q2489" s="2">
        <f>INDEX(Остановки,MATCH(R2489,ИД_Остановки!$B$3:$B$467,0),1)</f>
        <v>56</v>
      </c>
      <c r="R2489" s="45" t="s">
        <v>264</v>
      </c>
      <c r="S2489" s="20">
        <v>0.48</v>
      </c>
    </row>
    <row r="2490" spans="8:19" x14ac:dyDescent="0.25">
      <c r="H2490">
        <v>15</v>
      </c>
      <c r="I2490">
        <v>575</v>
      </c>
      <c r="J2490">
        <v>110</v>
      </c>
      <c r="K2490" t="b">
        <v>1</v>
      </c>
      <c r="N2490" s="30" t="s">
        <v>578</v>
      </c>
      <c r="O2490" s="2">
        <f>INDEX(Маршруты,MATCH(N2490,$B$3:$B$498,0),1)</f>
        <v>108</v>
      </c>
      <c r="P2490" s="27">
        <v>8</v>
      </c>
      <c r="Q2490" s="2">
        <f>INDEX(Остановки,MATCH(R2490,ИД_Остановки!$B$3:$B$467,0),1)</f>
        <v>55</v>
      </c>
      <c r="R2490" s="45" t="s">
        <v>263</v>
      </c>
      <c r="S2490" s="20">
        <v>0.86</v>
      </c>
    </row>
    <row r="2491" spans="8:19" x14ac:dyDescent="0.25">
      <c r="H2491">
        <v>15</v>
      </c>
      <c r="I2491">
        <v>580</v>
      </c>
      <c r="J2491">
        <v>110</v>
      </c>
      <c r="K2491" t="b">
        <v>1</v>
      </c>
      <c r="N2491" s="30" t="s">
        <v>578</v>
      </c>
      <c r="O2491" s="2">
        <f>INDEX(Маршруты,MATCH(N2491,$B$3:$B$498,0),1)</f>
        <v>108</v>
      </c>
      <c r="P2491" s="27">
        <v>9</v>
      </c>
      <c r="Q2491" s="2">
        <f>INDEX(Остановки,MATCH(R2491,ИД_Остановки!$B$3:$B$467,0),1)</f>
        <v>54</v>
      </c>
      <c r="R2491" s="45" t="s">
        <v>45</v>
      </c>
      <c r="S2491" s="20">
        <v>0.37</v>
      </c>
    </row>
    <row r="2492" spans="8:19" x14ac:dyDescent="0.25">
      <c r="H2492">
        <v>15</v>
      </c>
      <c r="I2492">
        <v>585</v>
      </c>
      <c r="J2492">
        <v>110</v>
      </c>
      <c r="K2492" t="b">
        <v>1</v>
      </c>
      <c r="N2492" s="30" t="s">
        <v>578</v>
      </c>
      <c r="O2492" s="2">
        <f>INDEX(Маршруты,MATCH(N2492,$B$3:$B$498,0),1)</f>
        <v>108</v>
      </c>
      <c r="P2492" s="27">
        <v>10</v>
      </c>
      <c r="Q2492" s="2">
        <f>INDEX(Остановки,MATCH(R2492,ИД_Остановки!$B$3:$B$467,0),1)</f>
        <v>176</v>
      </c>
      <c r="R2492" s="45" t="s">
        <v>111</v>
      </c>
      <c r="S2492" s="20">
        <v>0.65</v>
      </c>
    </row>
    <row r="2493" spans="8:19" x14ac:dyDescent="0.25">
      <c r="H2493">
        <v>15</v>
      </c>
      <c r="I2493">
        <v>590</v>
      </c>
      <c r="J2493">
        <v>110</v>
      </c>
      <c r="K2493" t="b">
        <v>1</v>
      </c>
      <c r="N2493" s="25" t="s">
        <v>578</v>
      </c>
      <c r="O2493" s="2">
        <f>INDEX(Маршруты,MATCH(N2493,$B$3:$B$498,0),1)</f>
        <v>108</v>
      </c>
      <c r="P2493" s="27">
        <v>11</v>
      </c>
      <c r="Q2493" s="2">
        <f>INDEX(Остановки,MATCH(R2493,ИД_Остановки!$B$3:$B$467,0),1)</f>
        <v>53</v>
      </c>
      <c r="R2493" s="24" t="s">
        <v>44</v>
      </c>
      <c r="S2493" s="20">
        <v>0.64</v>
      </c>
    </row>
    <row r="2494" spans="8:19" x14ac:dyDescent="0.25">
      <c r="H2494">
        <v>15</v>
      </c>
      <c r="I2494">
        <v>595</v>
      </c>
      <c r="J2494">
        <v>110</v>
      </c>
      <c r="K2494" t="b">
        <v>1</v>
      </c>
      <c r="N2494" s="26" t="s">
        <v>578</v>
      </c>
      <c r="O2494" s="2">
        <f>INDEX(Маршруты,MATCH(N2494,$B$3:$B$498,0),1)</f>
        <v>108</v>
      </c>
      <c r="P2494" s="27">
        <v>12</v>
      </c>
      <c r="Q2494" s="2">
        <f>INDEX(Остановки,MATCH(R2494,ИД_Остановки!$B$3:$B$467,0),1)</f>
        <v>175</v>
      </c>
      <c r="R2494" s="45" t="s">
        <v>327</v>
      </c>
      <c r="S2494" s="20">
        <v>1.44</v>
      </c>
    </row>
    <row r="2495" spans="8:19" x14ac:dyDescent="0.25">
      <c r="H2495">
        <v>15</v>
      </c>
      <c r="I2495">
        <v>600</v>
      </c>
      <c r="J2495">
        <v>110</v>
      </c>
      <c r="K2495" t="b">
        <v>1</v>
      </c>
      <c r="N2495" s="26" t="s">
        <v>578</v>
      </c>
      <c r="O2495" s="2">
        <f>INDEX(Маршруты,MATCH(N2495,$B$3:$B$498,0),1)</f>
        <v>108</v>
      </c>
      <c r="P2495" s="27">
        <v>13</v>
      </c>
      <c r="Q2495" s="2">
        <f>INDEX(Остановки,MATCH(R2495,ИД_Остановки!$B$3:$B$467,0),1)</f>
        <v>174</v>
      </c>
      <c r="R2495" s="45" t="s">
        <v>326</v>
      </c>
      <c r="S2495" s="20">
        <v>0.89</v>
      </c>
    </row>
    <row r="2496" spans="8:19" x14ac:dyDescent="0.25">
      <c r="H2496">
        <v>15</v>
      </c>
      <c r="I2496">
        <v>605</v>
      </c>
      <c r="J2496">
        <v>110</v>
      </c>
      <c r="K2496" t="b">
        <v>1</v>
      </c>
      <c r="N2496" s="30" t="s">
        <v>578</v>
      </c>
      <c r="O2496" s="2">
        <f>INDEX(Маршруты,MATCH(N2496,$B$3:$B$498,0),1)</f>
        <v>108</v>
      </c>
      <c r="P2496" s="27">
        <v>14</v>
      </c>
      <c r="Q2496" s="2">
        <f>INDEX(Остановки,MATCH(R2496,ИД_Остановки!$B$3:$B$467,0),1)</f>
        <v>343</v>
      </c>
      <c r="R2496" s="45" t="s">
        <v>194</v>
      </c>
      <c r="S2496" s="20">
        <v>2.56</v>
      </c>
    </row>
    <row r="2497" spans="8:19" x14ac:dyDescent="0.25">
      <c r="H2497">
        <v>15</v>
      </c>
      <c r="I2497">
        <v>610</v>
      </c>
      <c r="J2497">
        <v>110</v>
      </c>
      <c r="K2497" t="b">
        <v>1</v>
      </c>
      <c r="N2497" s="30" t="s">
        <v>579</v>
      </c>
      <c r="O2497" s="2">
        <f>INDEX(Маршруты,MATCH(N2497,$B$3:$B$498,0),1)</f>
        <v>109</v>
      </c>
      <c r="P2497" s="28">
        <v>1</v>
      </c>
      <c r="Q2497" s="2">
        <f>INDEX(Остановки,MATCH(R2497,ИД_Остановки!$B$3:$B$467,0),1)</f>
        <v>344</v>
      </c>
      <c r="R2497" s="24" t="s">
        <v>411</v>
      </c>
      <c r="S2497" s="20"/>
    </row>
    <row r="2498" spans="8:19" x14ac:dyDescent="0.25">
      <c r="H2498">
        <v>15</v>
      </c>
      <c r="I2498">
        <v>615</v>
      </c>
      <c r="J2498">
        <v>110</v>
      </c>
      <c r="K2498" t="b">
        <v>1</v>
      </c>
      <c r="N2498" s="32" t="s">
        <v>579</v>
      </c>
      <c r="O2498" s="2">
        <f>INDEX(Маршруты,MATCH(N2498,$B$3:$B$498,0),1)</f>
        <v>109</v>
      </c>
      <c r="P2498" s="27">
        <v>2</v>
      </c>
      <c r="Q2498" s="2">
        <f>INDEX(Остановки,MATCH(R2498,ИД_Остановки!$B$3:$B$467,0),1)</f>
        <v>326</v>
      </c>
      <c r="R2498" s="45" t="s">
        <v>400</v>
      </c>
      <c r="S2498" s="20">
        <v>0.24</v>
      </c>
    </row>
    <row r="2499" spans="8:19" x14ac:dyDescent="0.25">
      <c r="H2499">
        <v>15</v>
      </c>
      <c r="I2499">
        <v>620</v>
      </c>
      <c r="J2499">
        <v>110</v>
      </c>
      <c r="K2499" t="b">
        <v>1</v>
      </c>
      <c r="N2499" s="30" t="s">
        <v>579</v>
      </c>
      <c r="O2499" s="2">
        <f>INDEX(Маршруты,MATCH(N2499,$B$3:$B$498,0),1)</f>
        <v>109</v>
      </c>
      <c r="P2499" s="27">
        <v>3</v>
      </c>
      <c r="Q2499" s="2">
        <f>INDEX(Остановки,MATCH(R2499,ИД_Остановки!$B$3:$B$467,0),1)</f>
        <v>325</v>
      </c>
      <c r="R2499" s="45" t="s">
        <v>399</v>
      </c>
      <c r="S2499" s="20">
        <v>0.39</v>
      </c>
    </row>
    <row r="2500" spans="8:19" x14ac:dyDescent="0.25">
      <c r="H2500">
        <v>15</v>
      </c>
      <c r="I2500">
        <v>625</v>
      </c>
      <c r="J2500">
        <v>110</v>
      </c>
      <c r="K2500" t="b">
        <v>1</v>
      </c>
      <c r="N2500" s="30" t="s">
        <v>579</v>
      </c>
      <c r="O2500" s="2">
        <f>INDEX(Маршруты,MATCH(N2500,$B$3:$B$498,0),1)</f>
        <v>109</v>
      </c>
      <c r="P2500" s="28">
        <v>4</v>
      </c>
      <c r="Q2500" s="2">
        <f>INDEX(Остановки,MATCH(R2500,ИД_Остановки!$B$3:$B$467,0),1)</f>
        <v>359</v>
      </c>
      <c r="R2500" s="24" t="s">
        <v>421</v>
      </c>
      <c r="S2500" s="20">
        <v>0.63</v>
      </c>
    </row>
    <row r="2501" spans="8:19" x14ac:dyDescent="0.25">
      <c r="H2501">
        <v>15</v>
      </c>
      <c r="I2501">
        <v>630</v>
      </c>
      <c r="J2501">
        <v>110</v>
      </c>
      <c r="K2501" t="b">
        <v>1</v>
      </c>
      <c r="N2501" s="30" t="s">
        <v>579</v>
      </c>
      <c r="O2501" s="2">
        <f>INDEX(Маршруты,MATCH(N2501,$B$3:$B$498,0),1)</f>
        <v>109</v>
      </c>
      <c r="P2501" s="27">
        <v>5</v>
      </c>
      <c r="Q2501" s="2">
        <f>INDEX(Остановки,MATCH(R2501,ИД_Остановки!$B$3:$B$467,0),1)</f>
        <v>324</v>
      </c>
      <c r="R2501" s="45" t="s">
        <v>398</v>
      </c>
      <c r="S2501" s="20">
        <v>0.61</v>
      </c>
    </row>
    <row r="2502" spans="8:19" x14ac:dyDescent="0.25">
      <c r="H2502">
        <v>15</v>
      </c>
      <c r="I2502">
        <v>635</v>
      </c>
      <c r="J2502">
        <v>110</v>
      </c>
      <c r="K2502" t="b">
        <v>1</v>
      </c>
      <c r="N2502" s="25" t="s">
        <v>579</v>
      </c>
      <c r="O2502" s="2">
        <f>INDEX(Маршруты,MATCH(N2502,$B$3:$B$498,0),1)</f>
        <v>109</v>
      </c>
      <c r="P2502" s="27">
        <v>6</v>
      </c>
      <c r="Q2502" s="2">
        <f>INDEX(Остановки,MATCH(R2502,ИД_Остановки!$B$3:$B$467,0),1)</f>
        <v>323</v>
      </c>
      <c r="R2502" s="45" t="s">
        <v>187</v>
      </c>
      <c r="S2502" s="20">
        <v>0.56999999999999995</v>
      </c>
    </row>
    <row r="2503" spans="8:19" x14ac:dyDescent="0.25">
      <c r="H2503">
        <v>15</v>
      </c>
      <c r="I2503">
        <v>640</v>
      </c>
      <c r="J2503">
        <v>110</v>
      </c>
      <c r="K2503" t="b">
        <v>1</v>
      </c>
      <c r="N2503" s="25" t="s">
        <v>579</v>
      </c>
      <c r="O2503" s="2">
        <f>INDEX(Маршруты,MATCH(N2503,$B$3:$B$498,0),1)</f>
        <v>109</v>
      </c>
      <c r="P2503" s="27">
        <v>7</v>
      </c>
      <c r="Q2503" s="2">
        <f>INDEX(Остановки,MATCH(R2503,ИД_Остановки!$B$3:$B$467,0),1)</f>
        <v>197</v>
      </c>
      <c r="R2503" s="45" t="s">
        <v>338</v>
      </c>
      <c r="S2503" s="20">
        <v>0.51</v>
      </c>
    </row>
    <row r="2504" spans="8:19" x14ac:dyDescent="0.25">
      <c r="H2504">
        <v>15</v>
      </c>
      <c r="I2504">
        <v>645</v>
      </c>
      <c r="J2504">
        <v>110</v>
      </c>
      <c r="K2504" t="b">
        <v>1</v>
      </c>
      <c r="N2504" s="30" t="s">
        <v>579</v>
      </c>
      <c r="O2504" s="2">
        <f>INDEX(Маршруты,MATCH(N2504,$B$3:$B$498,0),1)</f>
        <v>109</v>
      </c>
      <c r="P2504" s="27">
        <v>8</v>
      </c>
      <c r="Q2504" s="2">
        <f>INDEX(Остановки,MATCH(R2504,ИД_Остановки!$B$3:$B$467,0),1)</f>
        <v>322</v>
      </c>
      <c r="R2504" s="45" t="s">
        <v>397</v>
      </c>
      <c r="S2504" s="20">
        <v>1.1499999999999999</v>
      </c>
    </row>
    <row r="2505" spans="8:19" x14ac:dyDescent="0.25">
      <c r="H2505">
        <v>15</v>
      </c>
      <c r="I2505">
        <v>650</v>
      </c>
      <c r="J2505">
        <v>110</v>
      </c>
      <c r="K2505" t="b">
        <v>1</v>
      </c>
      <c r="N2505" s="25" t="s">
        <v>579</v>
      </c>
      <c r="O2505" s="2">
        <f>INDEX(Маршруты,MATCH(N2505,$B$3:$B$498,0),1)</f>
        <v>109</v>
      </c>
      <c r="P2505" s="28">
        <v>9</v>
      </c>
      <c r="Q2505" s="2">
        <f>INDEX(Остановки,MATCH(R2505,ИД_Остановки!$B$3:$B$467,0),1)</f>
        <v>238</v>
      </c>
      <c r="R2505" s="24" t="s">
        <v>131</v>
      </c>
      <c r="S2505" s="20">
        <v>0.72</v>
      </c>
    </row>
    <row r="2506" spans="8:19" x14ac:dyDescent="0.25">
      <c r="H2506">
        <v>15</v>
      </c>
      <c r="I2506">
        <v>655</v>
      </c>
      <c r="J2506">
        <v>110</v>
      </c>
      <c r="K2506" t="b">
        <v>1</v>
      </c>
      <c r="N2506" s="25" t="s">
        <v>579</v>
      </c>
      <c r="O2506" s="2">
        <f>INDEX(Маршруты,MATCH(N2506,$B$3:$B$498,0),1)</f>
        <v>109</v>
      </c>
      <c r="P2506" s="27">
        <v>10</v>
      </c>
      <c r="Q2506" s="2">
        <f>INDEX(Остановки,MATCH(R2506,ИД_Остановки!$B$3:$B$467,0),1)</f>
        <v>27</v>
      </c>
      <c r="R2506" s="24" t="s">
        <v>25</v>
      </c>
      <c r="S2506" s="20">
        <v>1.04</v>
      </c>
    </row>
    <row r="2507" spans="8:19" x14ac:dyDescent="0.25">
      <c r="H2507">
        <v>15</v>
      </c>
      <c r="I2507">
        <v>660</v>
      </c>
      <c r="J2507">
        <v>110</v>
      </c>
      <c r="K2507" t="b">
        <v>1</v>
      </c>
      <c r="N2507" s="25" t="s">
        <v>579</v>
      </c>
      <c r="O2507" s="2">
        <f>INDEX(Маршруты,MATCH(N2507,$B$3:$B$498,0),1)</f>
        <v>109</v>
      </c>
      <c r="P2507" s="27">
        <v>11</v>
      </c>
      <c r="Q2507" s="2">
        <f>INDEX(Остановки,MATCH(R2507,ИД_Остановки!$B$3:$B$467,0),1)</f>
        <v>257</v>
      </c>
      <c r="R2507" s="45" t="s">
        <v>377</v>
      </c>
      <c r="S2507" s="20">
        <v>1.26</v>
      </c>
    </row>
    <row r="2508" spans="8:19" x14ac:dyDescent="0.25">
      <c r="H2508">
        <v>15</v>
      </c>
      <c r="I2508">
        <v>665</v>
      </c>
      <c r="J2508">
        <v>110</v>
      </c>
      <c r="K2508" t="b">
        <v>1</v>
      </c>
      <c r="N2508" s="25" t="s">
        <v>579</v>
      </c>
      <c r="O2508" s="2">
        <f>INDEX(Маршруты,MATCH(N2508,$B$3:$B$498,0),1)</f>
        <v>109</v>
      </c>
      <c r="P2508" s="27">
        <v>12</v>
      </c>
      <c r="Q2508" s="2">
        <f>INDEX(Остановки,MATCH(R2508,ИД_Остановки!$B$3:$B$467,0),1)</f>
        <v>255</v>
      </c>
      <c r="R2508" s="45" t="s">
        <v>137</v>
      </c>
      <c r="S2508" s="20">
        <v>0.61</v>
      </c>
    </row>
    <row r="2509" spans="8:19" x14ac:dyDescent="0.25">
      <c r="H2509">
        <v>15</v>
      </c>
      <c r="I2509">
        <v>670</v>
      </c>
      <c r="J2509">
        <v>110</v>
      </c>
      <c r="K2509" t="b">
        <v>1</v>
      </c>
      <c r="N2509" s="26" t="s">
        <v>579</v>
      </c>
      <c r="O2509" s="2">
        <f>INDEX(Маршруты,MATCH(N2509,$B$3:$B$498,0),1)</f>
        <v>109</v>
      </c>
      <c r="P2509" s="27">
        <v>13</v>
      </c>
      <c r="Q2509" s="2">
        <f>INDEX(Остановки,MATCH(R2509,ИД_Остановки!$B$3:$B$467,0),1)</f>
        <v>200</v>
      </c>
      <c r="R2509" s="45" t="s">
        <v>119</v>
      </c>
      <c r="S2509" s="20">
        <v>0.67</v>
      </c>
    </row>
    <row r="2510" spans="8:19" x14ac:dyDescent="0.25">
      <c r="H2510">
        <v>15</v>
      </c>
      <c r="I2510">
        <v>675</v>
      </c>
      <c r="J2510">
        <v>110</v>
      </c>
      <c r="K2510" t="b">
        <v>1</v>
      </c>
      <c r="N2510" s="25" t="s">
        <v>579</v>
      </c>
      <c r="O2510" s="2">
        <f>INDEX(Маршруты,MATCH(N2510,$B$3:$B$498,0),1)</f>
        <v>109</v>
      </c>
      <c r="P2510" s="27">
        <v>14</v>
      </c>
      <c r="Q2510" s="2">
        <f>INDEX(Остановки,MATCH(R2510,ИД_Остановки!$B$3:$B$467,0),1)</f>
        <v>199</v>
      </c>
      <c r="R2510" s="45" t="s">
        <v>118</v>
      </c>
      <c r="S2510" s="20">
        <v>0.75</v>
      </c>
    </row>
    <row r="2511" spans="8:19" x14ac:dyDescent="0.25">
      <c r="H2511">
        <v>15</v>
      </c>
      <c r="I2511">
        <v>680</v>
      </c>
      <c r="J2511">
        <v>110</v>
      </c>
      <c r="K2511" t="b">
        <v>1</v>
      </c>
      <c r="N2511" s="26" t="s">
        <v>579</v>
      </c>
      <c r="O2511" s="2">
        <f>INDEX(Маршруты,MATCH(N2511,$B$3:$B$498,0),1)</f>
        <v>109</v>
      </c>
      <c r="P2511" s="27">
        <v>15</v>
      </c>
      <c r="Q2511" s="2">
        <f>INDEX(Остановки,MATCH(R2511,ИД_Остановки!$B$3:$B$467,0),1)</f>
        <v>22</v>
      </c>
      <c r="R2511" s="45" t="s">
        <v>22</v>
      </c>
      <c r="S2511" s="20">
        <v>0.42</v>
      </c>
    </row>
    <row r="2512" spans="8:19" x14ac:dyDescent="0.25">
      <c r="H2512">
        <v>15</v>
      </c>
      <c r="I2512">
        <v>685</v>
      </c>
      <c r="J2512">
        <v>110</v>
      </c>
      <c r="K2512" t="b">
        <v>1</v>
      </c>
      <c r="N2512" s="25" t="s">
        <v>579</v>
      </c>
      <c r="O2512" s="2">
        <f>INDEX(Маршруты,MATCH(N2512,$B$3:$B$498,0),1)</f>
        <v>109</v>
      </c>
      <c r="P2512" s="28">
        <v>16</v>
      </c>
      <c r="Q2512" s="2">
        <f>INDEX(Остановки,MATCH(R2512,ИД_Остановки!$B$3:$B$467,0),1)</f>
        <v>373</v>
      </c>
      <c r="R2512" s="24" t="s">
        <v>431</v>
      </c>
      <c r="S2512" s="20">
        <v>0.42</v>
      </c>
    </row>
    <row r="2513" spans="8:19" x14ac:dyDescent="0.25">
      <c r="H2513">
        <v>15</v>
      </c>
      <c r="I2513">
        <v>690</v>
      </c>
      <c r="J2513">
        <v>110</v>
      </c>
      <c r="K2513" t="b">
        <v>1</v>
      </c>
      <c r="N2513" s="25" t="s">
        <v>579</v>
      </c>
      <c r="O2513" s="2">
        <f>INDEX(Маршруты,MATCH(N2513,$B$3:$B$498,0),1)</f>
        <v>109</v>
      </c>
      <c r="P2513" s="27">
        <v>17</v>
      </c>
      <c r="Q2513" s="2">
        <f>INDEX(Остановки,MATCH(R2513,ИД_Остановки!$B$3:$B$467,0),1)</f>
        <v>198</v>
      </c>
      <c r="R2513" s="45" t="s">
        <v>339</v>
      </c>
      <c r="S2513" s="20">
        <v>0.45</v>
      </c>
    </row>
    <row r="2514" spans="8:19" x14ac:dyDescent="0.25">
      <c r="H2514">
        <v>15</v>
      </c>
      <c r="I2514">
        <v>695</v>
      </c>
      <c r="J2514">
        <v>110</v>
      </c>
      <c r="K2514" t="b">
        <v>1</v>
      </c>
      <c r="N2514" s="25" t="s">
        <v>579</v>
      </c>
      <c r="O2514" s="2">
        <f>INDEX(Маршруты,MATCH(N2514,$B$3:$B$498,0),1)</f>
        <v>109</v>
      </c>
      <c r="P2514" s="27">
        <v>18</v>
      </c>
      <c r="Q2514" s="2">
        <f>INDEX(Остановки,MATCH(R2514,ИД_Остановки!$B$3:$B$467,0),1)</f>
        <v>374</v>
      </c>
      <c r="R2514" s="45" t="s">
        <v>432</v>
      </c>
      <c r="S2514" s="20">
        <v>0.43</v>
      </c>
    </row>
    <row r="2515" spans="8:19" x14ac:dyDescent="0.25">
      <c r="H2515">
        <v>15</v>
      </c>
      <c r="I2515">
        <v>700</v>
      </c>
      <c r="J2515">
        <v>110</v>
      </c>
      <c r="K2515" t="b">
        <v>1</v>
      </c>
      <c r="N2515" s="25" t="s">
        <v>579</v>
      </c>
      <c r="O2515" s="2">
        <f>INDEX(Маршруты,MATCH(N2515,$B$3:$B$498,0),1)</f>
        <v>109</v>
      </c>
      <c r="P2515" s="27">
        <v>19</v>
      </c>
      <c r="Q2515" s="2">
        <f>INDEX(Остановки,MATCH(R2515,ИД_Остановки!$B$3:$B$467,0),1)</f>
        <v>354</v>
      </c>
      <c r="R2515" s="45" t="s">
        <v>417</v>
      </c>
      <c r="S2515" s="20">
        <v>0.57999999999999996</v>
      </c>
    </row>
    <row r="2516" spans="8:19" x14ac:dyDescent="0.25">
      <c r="H2516">
        <v>15</v>
      </c>
      <c r="I2516">
        <v>705</v>
      </c>
      <c r="J2516">
        <v>110</v>
      </c>
      <c r="K2516" t="b">
        <v>1</v>
      </c>
      <c r="N2516" s="30" t="s">
        <v>579</v>
      </c>
      <c r="O2516" s="2">
        <f>INDEX(Маршруты,MATCH(N2516,$B$3:$B$498,0),1)</f>
        <v>109</v>
      </c>
      <c r="P2516" s="27">
        <v>20</v>
      </c>
      <c r="Q2516" s="2">
        <f>INDEX(Остановки,MATCH(R2516,ИД_Остановки!$B$3:$B$467,0),1)</f>
        <v>333</v>
      </c>
      <c r="R2516" s="45" t="s">
        <v>190</v>
      </c>
      <c r="S2516" s="20">
        <v>0.43</v>
      </c>
    </row>
    <row r="2517" spans="8:19" x14ac:dyDescent="0.25">
      <c r="H2517">
        <v>15</v>
      </c>
      <c r="I2517">
        <v>710</v>
      </c>
      <c r="J2517">
        <v>110</v>
      </c>
      <c r="K2517" t="b">
        <v>1</v>
      </c>
      <c r="N2517" s="25" t="s">
        <v>579</v>
      </c>
      <c r="O2517" s="2">
        <f>INDEX(Маршруты,MATCH(N2517,$B$3:$B$498,0),1)</f>
        <v>109</v>
      </c>
      <c r="P2517" s="27">
        <v>21</v>
      </c>
      <c r="Q2517" s="2">
        <f>INDEX(Остановки,MATCH(R2517,ИД_Остановки!$B$3:$B$467,0),1)</f>
        <v>403</v>
      </c>
      <c r="R2517" s="45" t="s">
        <v>99</v>
      </c>
      <c r="S2517" s="20">
        <v>0.42</v>
      </c>
    </row>
    <row r="2518" spans="8:19" x14ac:dyDescent="0.25">
      <c r="H2518">
        <v>15</v>
      </c>
      <c r="I2518">
        <v>715</v>
      </c>
      <c r="J2518">
        <v>110</v>
      </c>
      <c r="K2518" t="b">
        <v>1</v>
      </c>
      <c r="N2518" s="25" t="s">
        <v>579</v>
      </c>
      <c r="O2518" s="2">
        <f>INDEX(Маршруты,MATCH(N2518,$B$3:$B$498,0),1)</f>
        <v>109</v>
      </c>
      <c r="P2518" s="27">
        <v>22</v>
      </c>
      <c r="Q2518" s="2">
        <f>INDEX(Остановки,MATCH(R2518,ИД_Остановки!$B$3:$B$467,0),1)</f>
        <v>299</v>
      </c>
      <c r="R2518" s="45" t="s">
        <v>392</v>
      </c>
      <c r="S2518" s="20">
        <v>1.35</v>
      </c>
    </row>
    <row r="2519" spans="8:19" x14ac:dyDescent="0.25">
      <c r="H2519">
        <v>15</v>
      </c>
      <c r="I2519">
        <v>720</v>
      </c>
      <c r="J2519">
        <v>110</v>
      </c>
      <c r="K2519" t="b">
        <v>1</v>
      </c>
      <c r="N2519" s="26" t="s">
        <v>579</v>
      </c>
      <c r="O2519" s="2">
        <f>INDEX(Маршруты,MATCH(N2519,$B$3:$B$498,0),1)</f>
        <v>109</v>
      </c>
      <c r="P2519" s="27">
        <v>23</v>
      </c>
      <c r="Q2519" s="2">
        <f>INDEX(Остановки,MATCH(R2519,ИД_Остановки!$B$3:$B$467,0),1)</f>
        <v>254</v>
      </c>
      <c r="R2519" s="45" t="s">
        <v>136</v>
      </c>
      <c r="S2519" s="20">
        <v>0.39</v>
      </c>
    </row>
    <row r="2520" spans="8:19" x14ac:dyDescent="0.25">
      <c r="H2520">
        <v>15</v>
      </c>
      <c r="I2520">
        <v>725</v>
      </c>
      <c r="J2520">
        <v>110</v>
      </c>
      <c r="K2520" t="b">
        <v>1</v>
      </c>
      <c r="N2520" s="24" t="s">
        <v>579</v>
      </c>
      <c r="O2520" s="2">
        <f>INDEX(Маршруты,MATCH(N2520,$B$3:$B$498,0),1)</f>
        <v>109</v>
      </c>
      <c r="P2520" s="27">
        <v>24</v>
      </c>
      <c r="Q2520" s="2">
        <f>INDEX(Остановки,MATCH(R2520,ИД_Остановки!$B$3:$B$467,0),1)</f>
        <v>288</v>
      </c>
      <c r="R2520" s="45" t="s">
        <v>388</v>
      </c>
      <c r="S2520" s="20">
        <v>0.79</v>
      </c>
    </row>
    <row r="2521" spans="8:19" x14ac:dyDescent="0.25">
      <c r="H2521">
        <v>15</v>
      </c>
      <c r="I2521">
        <v>730</v>
      </c>
      <c r="J2521">
        <v>110</v>
      </c>
      <c r="K2521" t="b">
        <v>1</v>
      </c>
      <c r="N2521" s="25" t="s">
        <v>579</v>
      </c>
      <c r="O2521" s="2">
        <f>INDEX(Маршруты,MATCH(N2521,$B$3:$B$498,0),1)</f>
        <v>109</v>
      </c>
      <c r="P2521" s="28">
        <v>25</v>
      </c>
      <c r="Q2521" s="2">
        <f>INDEX(Остановки,MATCH(R2521,ИД_Остановки!$B$3:$B$467,0),1)</f>
        <v>376</v>
      </c>
      <c r="R2521" s="24" t="s">
        <v>434</v>
      </c>
      <c r="S2521" s="20">
        <v>1.2</v>
      </c>
    </row>
    <row r="2522" spans="8:19" x14ac:dyDescent="0.25">
      <c r="H2522">
        <v>15</v>
      </c>
      <c r="I2522">
        <v>735</v>
      </c>
      <c r="J2522">
        <v>110</v>
      </c>
      <c r="K2522" t="b">
        <v>1</v>
      </c>
      <c r="N2522" s="30" t="s">
        <v>579</v>
      </c>
      <c r="O2522" s="2">
        <f>INDEX(Маршруты,MATCH(N2522,$B$3:$B$498,0),1)</f>
        <v>109</v>
      </c>
      <c r="P2522" s="27">
        <v>26</v>
      </c>
      <c r="Q2522" s="2">
        <f>INDEX(Остановки,MATCH(R2522,ИД_Остановки!$B$3:$B$467,0),1)</f>
        <v>392</v>
      </c>
      <c r="R2522" s="24" t="s">
        <v>449</v>
      </c>
      <c r="S2522" s="20">
        <v>0.42</v>
      </c>
    </row>
    <row r="2523" spans="8:19" x14ac:dyDescent="0.25">
      <c r="H2523">
        <v>15</v>
      </c>
      <c r="I2523">
        <v>740</v>
      </c>
      <c r="J2523">
        <v>110</v>
      </c>
      <c r="K2523" t="b">
        <v>1</v>
      </c>
      <c r="N2523" s="25" t="s">
        <v>579</v>
      </c>
      <c r="O2523" s="2">
        <f>INDEX(Маршруты,MATCH(N2523,$B$3:$B$498,0),1)</f>
        <v>109</v>
      </c>
      <c r="P2523" s="27">
        <v>27</v>
      </c>
      <c r="Q2523" s="2">
        <f>INDEX(Остановки,MATCH(R2523,ИД_Остановки!$B$3:$B$467,0),1)</f>
        <v>375</v>
      </c>
      <c r="R2523" s="45" t="s">
        <v>433</v>
      </c>
      <c r="S2523" s="20">
        <v>0.44</v>
      </c>
    </row>
    <row r="2524" spans="8:19" x14ac:dyDescent="0.25">
      <c r="H2524">
        <v>15</v>
      </c>
      <c r="I2524">
        <v>745</v>
      </c>
      <c r="J2524">
        <v>110</v>
      </c>
      <c r="K2524" t="b">
        <v>1</v>
      </c>
      <c r="N2524" s="25" t="s">
        <v>579</v>
      </c>
      <c r="O2524" s="2">
        <f>INDEX(Маршруты,MATCH(N2524,$B$3:$B$498,0),1)</f>
        <v>109</v>
      </c>
      <c r="P2524" s="27">
        <v>28</v>
      </c>
      <c r="Q2524" s="2">
        <f>INDEX(Остановки,MATCH(R2524,ИД_Остановки!$B$3:$B$467,0),1)</f>
        <v>345</v>
      </c>
      <c r="R2524" s="45" t="s">
        <v>412</v>
      </c>
      <c r="S2524" s="20">
        <v>0.36</v>
      </c>
    </row>
    <row r="2525" spans="8:19" x14ac:dyDescent="0.25">
      <c r="H2525">
        <v>15</v>
      </c>
      <c r="I2525">
        <v>750</v>
      </c>
      <c r="J2525">
        <v>110</v>
      </c>
      <c r="K2525" t="b">
        <v>1</v>
      </c>
      <c r="N2525" s="25" t="s">
        <v>579</v>
      </c>
      <c r="O2525" s="2">
        <f>INDEX(Маршруты,MATCH(N2525,$B$3:$B$498,0),1)</f>
        <v>109</v>
      </c>
      <c r="P2525" s="27">
        <v>29</v>
      </c>
      <c r="Q2525" s="2">
        <f>INDEX(Остановки,MATCH(R2525,ИД_Остановки!$B$3:$B$467,0),1)</f>
        <v>253</v>
      </c>
      <c r="R2525" s="45" t="s">
        <v>375</v>
      </c>
      <c r="S2525" s="20">
        <v>0.51</v>
      </c>
    </row>
    <row r="2526" spans="8:19" x14ac:dyDescent="0.25">
      <c r="H2526">
        <v>15</v>
      </c>
      <c r="I2526">
        <v>755</v>
      </c>
      <c r="J2526">
        <v>110</v>
      </c>
      <c r="K2526" t="b">
        <v>1</v>
      </c>
      <c r="N2526" s="30" t="s">
        <v>579</v>
      </c>
      <c r="O2526" s="2">
        <f>INDEX(Маршруты,MATCH(N2526,$B$3:$B$498,0),1)</f>
        <v>109</v>
      </c>
      <c r="P2526" s="27">
        <v>30</v>
      </c>
      <c r="Q2526" s="2">
        <f>INDEX(Остановки,MATCH(R2526,ИД_Остановки!$B$3:$B$467,0),1)</f>
        <v>425</v>
      </c>
      <c r="R2526" s="45" t="s">
        <v>481</v>
      </c>
      <c r="S2526" s="20">
        <v>0.79</v>
      </c>
    </row>
    <row r="2527" spans="8:19" x14ac:dyDescent="0.25">
      <c r="H2527">
        <v>15</v>
      </c>
      <c r="I2527">
        <v>760</v>
      </c>
      <c r="J2527">
        <v>110</v>
      </c>
      <c r="K2527" t="b">
        <v>1</v>
      </c>
      <c r="N2527" s="32" t="s">
        <v>580</v>
      </c>
      <c r="O2527" s="2">
        <f>INDEX(Маршруты,MATCH(N2527,$B$3:$B$498,0),1)</f>
        <v>110</v>
      </c>
      <c r="P2527" s="27">
        <v>1</v>
      </c>
      <c r="Q2527" s="2">
        <f>INDEX(Остановки,MATCH(R2527,ИД_Остановки!$B$3:$B$467,0),1)</f>
        <v>425</v>
      </c>
      <c r="R2527" s="45" t="s">
        <v>481</v>
      </c>
      <c r="S2527" s="20"/>
    </row>
    <row r="2528" spans="8:19" x14ac:dyDescent="0.25">
      <c r="H2528">
        <v>15</v>
      </c>
      <c r="I2528">
        <v>765</v>
      </c>
      <c r="J2528">
        <v>110</v>
      </c>
      <c r="K2528" t="b">
        <v>1</v>
      </c>
      <c r="N2528" s="30" t="s">
        <v>580</v>
      </c>
      <c r="O2528" s="2">
        <f>INDEX(Маршруты,MATCH(N2528,$B$3:$B$498,0),1)</f>
        <v>110</v>
      </c>
      <c r="P2528" s="28">
        <v>2</v>
      </c>
      <c r="Q2528" s="2">
        <f>INDEX(Остановки,MATCH(R2528,ИД_Остановки!$B$3:$B$467,0),1)</f>
        <v>253</v>
      </c>
      <c r="R2528" s="24" t="s">
        <v>375</v>
      </c>
      <c r="S2528" s="21">
        <v>0.79</v>
      </c>
    </row>
    <row r="2529" spans="8:19" x14ac:dyDescent="0.25">
      <c r="H2529">
        <v>15</v>
      </c>
      <c r="I2529">
        <v>770</v>
      </c>
      <c r="J2529">
        <v>110</v>
      </c>
      <c r="K2529" t="b">
        <v>1</v>
      </c>
      <c r="N2529" s="30" t="s">
        <v>580</v>
      </c>
      <c r="O2529" s="2">
        <f>INDEX(Маршруты,MATCH(N2529,$B$3:$B$498,0),1)</f>
        <v>110</v>
      </c>
      <c r="P2529" s="28">
        <v>3</v>
      </c>
      <c r="Q2529" s="2">
        <f>INDEX(Остановки,MATCH(R2529,ИД_Остановки!$B$3:$B$467,0),1)</f>
        <v>345</v>
      </c>
      <c r="R2529" s="24" t="s">
        <v>412</v>
      </c>
      <c r="S2529" s="20">
        <v>0.51</v>
      </c>
    </row>
    <row r="2530" spans="8:19" x14ac:dyDescent="0.25">
      <c r="H2530">
        <v>15</v>
      </c>
      <c r="I2530">
        <v>775</v>
      </c>
      <c r="J2530">
        <v>110</v>
      </c>
      <c r="K2530" t="b">
        <v>1</v>
      </c>
      <c r="N2530" s="25" t="s">
        <v>580</v>
      </c>
      <c r="O2530" s="2">
        <f>INDEX(Маршруты,MATCH(N2530,$B$3:$B$498,0),1)</f>
        <v>110</v>
      </c>
      <c r="P2530" s="27">
        <v>4</v>
      </c>
      <c r="Q2530" s="2">
        <f>INDEX(Остановки,MATCH(R2530,ИД_Остановки!$B$3:$B$467,0),1)</f>
        <v>375</v>
      </c>
      <c r="R2530" s="45" t="s">
        <v>433</v>
      </c>
      <c r="S2530" s="20">
        <v>0.36</v>
      </c>
    </row>
    <row r="2531" spans="8:19" x14ac:dyDescent="0.25">
      <c r="H2531">
        <v>15</v>
      </c>
      <c r="I2531">
        <v>780</v>
      </c>
      <c r="J2531">
        <v>110</v>
      </c>
      <c r="K2531" t="b">
        <v>1</v>
      </c>
      <c r="N2531" s="30" t="s">
        <v>580</v>
      </c>
      <c r="O2531" s="2">
        <f>INDEX(Маршруты,MATCH(N2531,$B$3:$B$498,0),1)</f>
        <v>110</v>
      </c>
      <c r="P2531" s="27">
        <v>5</v>
      </c>
      <c r="Q2531" s="2">
        <f>INDEX(Остановки,MATCH(R2531,ИД_Остановки!$B$3:$B$467,0),1)</f>
        <v>392</v>
      </c>
      <c r="R2531" s="45" t="s">
        <v>449</v>
      </c>
      <c r="S2531" s="20">
        <v>0.44</v>
      </c>
    </row>
    <row r="2532" spans="8:19" x14ac:dyDescent="0.25">
      <c r="H2532">
        <v>15</v>
      </c>
      <c r="I2532">
        <v>785</v>
      </c>
      <c r="J2532">
        <v>110</v>
      </c>
      <c r="K2532" t="b">
        <v>1</v>
      </c>
      <c r="N2532" s="26" t="s">
        <v>580</v>
      </c>
      <c r="O2532" s="2">
        <f>INDEX(Маршруты,MATCH(N2532,$B$3:$B$498,0),1)</f>
        <v>110</v>
      </c>
      <c r="P2532" s="27">
        <v>6</v>
      </c>
      <c r="Q2532" s="2">
        <f>INDEX(Остановки,MATCH(R2532,ИД_Остановки!$B$3:$B$467,0),1)</f>
        <v>376</v>
      </c>
      <c r="R2532" s="45" t="s">
        <v>434</v>
      </c>
      <c r="S2532" s="20">
        <v>0.42</v>
      </c>
    </row>
    <row r="2533" spans="8:19" x14ac:dyDescent="0.25">
      <c r="H2533">
        <v>15</v>
      </c>
      <c r="I2533">
        <v>790</v>
      </c>
      <c r="J2533">
        <v>110</v>
      </c>
      <c r="K2533" t="b">
        <v>1</v>
      </c>
      <c r="N2533" s="25" t="s">
        <v>580</v>
      </c>
      <c r="O2533" s="2">
        <f>INDEX(Маршруты,MATCH(N2533,$B$3:$B$498,0),1)</f>
        <v>110</v>
      </c>
      <c r="P2533" s="27">
        <v>7</v>
      </c>
      <c r="Q2533" s="2">
        <f>INDEX(Остановки,MATCH(R2533,ИД_Остановки!$B$3:$B$467,0),1)</f>
        <v>288</v>
      </c>
      <c r="R2533" s="45" t="s">
        <v>388</v>
      </c>
      <c r="S2533" s="20">
        <v>1.2</v>
      </c>
    </row>
    <row r="2534" spans="8:19" x14ac:dyDescent="0.25">
      <c r="H2534">
        <v>15</v>
      </c>
      <c r="I2534">
        <v>795</v>
      </c>
      <c r="J2534">
        <v>110</v>
      </c>
      <c r="K2534" t="b">
        <v>1</v>
      </c>
      <c r="N2534" s="25" t="s">
        <v>580</v>
      </c>
      <c r="O2534" s="2">
        <f>INDEX(Маршруты,MATCH(N2534,$B$3:$B$498,0),1)</f>
        <v>110</v>
      </c>
      <c r="P2534" s="27">
        <v>8</v>
      </c>
      <c r="Q2534" s="2">
        <f>INDEX(Остановки,MATCH(R2534,ИД_Остановки!$B$3:$B$467,0),1)</f>
        <v>254</v>
      </c>
      <c r="R2534" s="45" t="s">
        <v>136</v>
      </c>
      <c r="S2534" s="20">
        <v>0.79</v>
      </c>
    </row>
    <row r="2535" spans="8:19" x14ac:dyDescent="0.25">
      <c r="H2535">
        <v>15</v>
      </c>
      <c r="I2535">
        <v>800</v>
      </c>
      <c r="J2535">
        <v>110</v>
      </c>
      <c r="K2535" t="b">
        <v>1</v>
      </c>
      <c r="N2535" s="25" t="s">
        <v>580</v>
      </c>
      <c r="O2535" s="2">
        <f>INDEX(Маршруты,MATCH(N2535,$B$3:$B$498,0),1)</f>
        <v>110</v>
      </c>
      <c r="P2535" s="27">
        <v>9</v>
      </c>
      <c r="Q2535" s="2">
        <f>INDEX(Остановки,MATCH(R2535,ИД_Остановки!$B$3:$B$467,0),1)</f>
        <v>299</v>
      </c>
      <c r="R2535" s="45" t="s">
        <v>392</v>
      </c>
      <c r="S2535" s="20">
        <v>0.39</v>
      </c>
    </row>
    <row r="2536" spans="8:19" x14ac:dyDescent="0.25">
      <c r="H2536">
        <v>15</v>
      </c>
      <c r="I2536">
        <v>805</v>
      </c>
      <c r="J2536">
        <v>110</v>
      </c>
      <c r="K2536" t="b">
        <v>1</v>
      </c>
      <c r="N2536" s="25" t="s">
        <v>580</v>
      </c>
      <c r="O2536" s="2">
        <f>INDEX(Маршруты,MATCH(N2536,$B$3:$B$498,0),1)</f>
        <v>110</v>
      </c>
      <c r="P2536" s="27">
        <v>10</v>
      </c>
      <c r="Q2536" s="2">
        <f>INDEX(Остановки,MATCH(R2536,ИД_Остановки!$B$3:$B$467,0),1)</f>
        <v>403</v>
      </c>
      <c r="R2536" s="45" t="s">
        <v>99</v>
      </c>
      <c r="S2536" s="20">
        <v>1.35</v>
      </c>
    </row>
    <row r="2537" spans="8:19" x14ac:dyDescent="0.25">
      <c r="H2537">
        <v>15</v>
      </c>
      <c r="I2537">
        <v>810</v>
      </c>
      <c r="J2537">
        <v>110</v>
      </c>
      <c r="K2537" t="b">
        <v>1</v>
      </c>
      <c r="N2537" s="30" t="s">
        <v>580</v>
      </c>
      <c r="O2537" s="2">
        <f>INDEX(Маршруты,MATCH(N2537,$B$3:$B$498,0),1)</f>
        <v>110</v>
      </c>
      <c r="P2537" s="27">
        <v>11</v>
      </c>
      <c r="Q2537" s="2">
        <f>INDEX(Остановки,MATCH(R2537,ИД_Остановки!$B$3:$B$467,0),1)</f>
        <v>333</v>
      </c>
      <c r="R2537" s="45" t="s">
        <v>190</v>
      </c>
      <c r="S2537" s="20">
        <v>0.42</v>
      </c>
    </row>
    <row r="2538" spans="8:19" x14ac:dyDescent="0.25">
      <c r="H2538">
        <v>15</v>
      </c>
      <c r="I2538">
        <v>815</v>
      </c>
      <c r="J2538">
        <v>110</v>
      </c>
      <c r="K2538" t="b">
        <v>1</v>
      </c>
      <c r="N2538" s="30" t="s">
        <v>580</v>
      </c>
      <c r="O2538" s="2">
        <f>INDEX(Маршруты,MATCH(N2538,$B$3:$B$498,0),1)</f>
        <v>110</v>
      </c>
      <c r="P2538" s="27">
        <v>12</v>
      </c>
      <c r="Q2538" s="2">
        <f>INDEX(Остановки,MATCH(R2538,ИД_Остановки!$B$3:$B$467,0),1)</f>
        <v>354</v>
      </c>
      <c r="R2538" s="45" t="s">
        <v>417</v>
      </c>
      <c r="S2538" s="20">
        <v>0.43</v>
      </c>
    </row>
    <row r="2539" spans="8:19" x14ac:dyDescent="0.25">
      <c r="H2539">
        <v>15</v>
      </c>
      <c r="I2539">
        <v>820</v>
      </c>
      <c r="J2539">
        <v>110</v>
      </c>
      <c r="K2539" t="b">
        <v>1</v>
      </c>
      <c r="N2539" s="25" t="s">
        <v>580</v>
      </c>
      <c r="O2539" s="2">
        <f>INDEX(Маршруты,MATCH(N2539,$B$3:$B$498,0),1)</f>
        <v>110</v>
      </c>
      <c r="P2539" s="27">
        <v>13</v>
      </c>
      <c r="Q2539" s="2">
        <f>INDEX(Остановки,MATCH(R2539,ИД_Остановки!$B$3:$B$467,0),1)</f>
        <v>374</v>
      </c>
      <c r="R2539" s="45" t="s">
        <v>432</v>
      </c>
      <c r="S2539" s="20">
        <v>0.57999999999999996</v>
      </c>
    </row>
    <row r="2540" spans="8:19" x14ac:dyDescent="0.25">
      <c r="H2540">
        <v>15</v>
      </c>
      <c r="I2540">
        <v>825</v>
      </c>
      <c r="J2540">
        <v>110</v>
      </c>
      <c r="K2540" t="b">
        <v>1</v>
      </c>
      <c r="N2540" s="26" t="s">
        <v>580</v>
      </c>
      <c r="O2540" s="2">
        <f>INDEX(Маршруты,MATCH(N2540,$B$3:$B$498,0),1)</f>
        <v>110</v>
      </c>
      <c r="P2540" s="27">
        <v>14</v>
      </c>
      <c r="Q2540" s="2">
        <f>INDEX(Остановки,MATCH(R2540,ИД_Остановки!$B$3:$B$467,0),1)</f>
        <v>198</v>
      </c>
      <c r="R2540" s="45" t="s">
        <v>339</v>
      </c>
      <c r="S2540" s="20">
        <v>0.43</v>
      </c>
    </row>
    <row r="2541" spans="8:19" x14ac:dyDescent="0.25">
      <c r="H2541">
        <v>15</v>
      </c>
      <c r="I2541">
        <v>830</v>
      </c>
      <c r="J2541">
        <v>110</v>
      </c>
      <c r="K2541" t="b">
        <v>1</v>
      </c>
      <c r="N2541" s="30" t="s">
        <v>580</v>
      </c>
      <c r="O2541" s="2">
        <f>INDEX(Маршруты,MATCH(N2541,$B$3:$B$498,0),1)</f>
        <v>110</v>
      </c>
      <c r="P2541" s="27">
        <v>15</v>
      </c>
      <c r="Q2541" s="2">
        <f>INDEX(Остановки,MATCH(R2541,ИД_Остановки!$B$3:$B$467,0),1)</f>
        <v>373</v>
      </c>
      <c r="R2541" s="45" t="s">
        <v>431</v>
      </c>
      <c r="S2541" s="20">
        <v>0.45</v>
      </c>
    </row>
    <row r="2542" spans="8:19" x14ac:dyDescent="0.25">
      <c r="H2542">
        <v>15</v>
      </c>
      <c r="I2542">
        <v>835</v>
      </c>
      <c r="J2542">
        <v>110</v>
      </c>
      <c r="K2542" t="b">
        <v>1</v>
      </c>
      <c r="N2542" s="25" t="s">
        <v>580</v>
      </c>
      <c r="O2542" s="2">
        <f>INDEX(Маршруты,MATCH(N2542,$B$3:$B$498,0),1)</f>
        <v>110</v>
      </c>
      <c r="P2542" s="27">
        <v>16</v>
      </c>
      <c r="Q2542" s="2">
        <f>INDEX(Остановки,MATCH(R2542,ИД_Остановки!$B$3:$B$467,0),1)</f>
        <v>22</v>
      </c>
      <c r="R2542" s="45" t="s">
        <v>22</v>
      </c>
      <c r="S2542" s="20">
        <v>0.42</v>
      </c>
    </row>
    <row r="2543" spans="8:19" x14ac:dyDescent="0.25">
      <c r="H2543">
        <v>15</v>
      </c>
      <c r="I2543">
        <v>840</v>
      </c>
      <c r="J2543">
        <v>110</v>
      </c>
      <c r="K2543" t="b">
        <v>1</v>
      </c>
      <c r="N2543" s="25" t="s">
        <v>580</v>
      </c>
      <c r="O2543" s="2">
        <f>INDEX(Маршруты,MATCH(N2543,$B$3:$B$498,0),1)</f>
        <v>110</v>
      </c>
      <c r="P2543" s="27">
        <v>17</v>
      </c>
      <c r="Q2543" s="2">
        <f>INDEX(Остановки,MATCH(R2543,ИД_Остановки!$B$3:$B$467,0),1)</f>
        <v>199</v>
      </c>
      <c r="R2543" s="45" t="s">
        <v>118</v>
      </c>
      <c r="S2543" s="20">
        <v>0.42</v>
      </c>
    </row>
    <row r="2544" spans="8:19" x14ac:dyDescent="0.25">
      <c r="H2544">
        <v>15</v>
      </c>
      <c r="I2544">
        <v>845</v>
      </c>
      <c r="J2544">
        <v>110</v>
      </c>
      <c r="K2544" t="b">
        <v>1</v>
      </c>
      <c r="N2544" s="30" t="s">
        <v>580</v>
      </c>
      <c r="O2544" s="2">
        <f>INDEX(Маршруты,MATCH(N2544,$B$3:$B$498,0),1)</f>
        <v>110</v>
      </c>
      <c r="P2544" s="27">
        <v>18</v>
      </c>
      <c r="Q2544" s="2">
        <f>INDEX(Остановки,MATCH(R2544,ИД_Остановки!$B$3:$B$467,0),1)</f>
        <v>200</v>
      </c>
      <c r="R2544" s="45" t="s">
        <v>119</v>
      </c>
      <c r="S2544" s="20">
        <v>0.75</v>
      </c>
    </row>
    <row r="2545" spans="8:19" x14ac:dyDescent="0.25">
      <c r="H2545">
        <v>15</v>
      </c>
      <c r="I2545">
        <v>850</v>
      </c>
      <c r="J2545">
        <v>110</v>
      </c>
      <c r="K2545" t="b">
        <v>1</v>
      </c>
      <c r="N2545" s="30" t="s">
        <v>580</v>
      </c>
      <c r="O2545" s="2">
        <f>INDEX(Маршруты,MATCH(N2545,$B$3:$B$498,0),1)</f>
        <v>110</v>
      </c>
      <c r="P2545" s="28">
        <v>19</v>
      </c>
      <c r="Q2545" s="2">
        <f>INDEX(Остановки,MATCH(R2545,ИД_Остановки!$B$3:$B$467,0),1)</f>
        <v>255</v>
      </c>
      <c r="R2545" s="24" t="s">
        <v>137</v>
      </c>
      <c r="S2545" s="21">
        <v>0.67</v>
      </c>
    </row>
    <row r="2546" spans="8:19" x14ac:dyDescent="0.25">
      <c r="H2546">
        <v>15</v>
      </c>
      <c r="I2546">
        <v>855</v>
      </c>
      <c r="J2546">
        <v>110</v>
      </c>
      <c r="K2546" t="b">
        <v>1</v>
      </c>
      <c r="N2546" s="30" t="s">
        <v>580</v>
      </c>
      <c r="O2546" s="2">
        <f>INDEX(Маршруты,MATCH(N2546,$B$3:$B$498,0),1)</f>
        <v>110</v>
      </c>
      <c r="P2546" s="27">
        <v>20</v>
      </c>
      <c r="Q2546" s="2">
        <f>INDEX(Остановки,MATCH(R2546,ИД_Остановки!$B$3:$B$467,0),1)</f>
        <v>257</v>
      </c>
      <c r="R2546" s="45" t="s">
        <v>377</v>
      </c>
      <c r="S2546" s="20">
        <v>0.61</v>
      </c>
    </row>
    <row r="2547" spans="8:19" x14ac:dyDescent="0.25">
      <c r="H2547">
        <v>15</v>
      </c>
      <c r="I2547">
        <v>860</v>
      </c>
      <c r="J2547">
        <v>110</v>
      </c>
      <c r="K2547" t="b">
        <v>1</v>
      </c>
      <c r="N2547" s="25" t="s">
        <v>580</v>
      </c>
      <c r="O2547" s="2">
        <f>INDEX(Маршруты,MATCH(N2547,$B$3:$B$498,0),1)</f>
        <v>110</v>
      </c>
      <c r="P2547" s="28">
        <v>21</v>
      </c>
      <c r="Q2547" s="2">
        <f>INDEX(Остановки,MATCH(R2547,ИД_Остановки!$B$3:$B$467,0),1)</f>
        <v>27</v>
      </c>
      <c r="R2547" s="24" t="s">
        <v>25</v>
      </c>
      <c r="S2547" s="20">
        <v>1.26</v>
      </c>
    </row>
    <row r="2548" spans="8:19" x14ac:dyDescent="0.25">
      <c r="H2548">
        <v>15</v>
      </c>
      <c r="I2548">
        <v>865</v>
      </c>
      <c r="J2548">
        <v>110</v>
      </c>
      <c r="K2548" t="b">
        <v>1</v>
      </c>
      <c r="N2548" s="30" t="s">
        <v>580</v>
      </c>
      <c r="O2548" s="2">
        <f>INDEX(Маршруты,MATCH(N2548,$B$3:$B$498,0),1)</f>
        <v>110</v>
      </c>
      <c r="P2548" s="27">
        <v>22</v>
      </c>
      <c r="Q2548" s="2">
        <f>INDEX(Остановки,MATCH(R2548,ИД_Остановки!$B$3:$B$467,0),1)</f>
        <v>238</v>
      </c>
      <c r="R2548" s="45" t="s">
        <v>131</v>
      </c>
      <c r="S2548" s="20">
        <v>1.04</v>
      </c>
    </row>
    <row r="2549" spans="8:19" x14ac:dyDescent="0.25">
      <c r="H2549">
        <v>15</v>
      </c>
      <c r="I2549">
        <v>870</v>
      </c>
      <c r="J2549">
        <v>110</v>
      </c>
      <c r="K2549" t="b">
        <v>1</v>
      </c>
      <c r="N2549" s="25" t="s">
        <v>580</v>
      </c>
      <c r="O2549" s="2">
        <f>INDEX(Маршруты,MATCH(N2549,$B$3:$B$498,0),1)</f>
        <v>110</v>
      </c>
      <c r="P2549" s="27">
        <v>23</v>
      </c>
      <c r="Q2549" s="2">
        <f>INDEX(Остановки,MATCH(R2549,ИД_Остановки!$B$3:$B$467,0),1)</f>
        <v>322</v>
      </c>
      <c r="R2549" s="45" t="s">
        <v>397</v>
      </c>
      <c r="S2549" s="20">
        <v>0.72</v>
      </c>
    </row>
    <row r="2550" spans="8:19" x14ac:dyDescent="0.25">
      <c r="H2550">
        <v>15</v>
      </c>
      <c r="I2550">
        <v>875</v>
      </c>
      <c r="J2550">
        <v>110</v>
      </c>
      <c r="K2550" t="b">
        <v>1</v>
      </c>
      <c r="N2550" s="30" t="s">
        <v>580</v>
      </c>
      <c r="O2550" s="2">
        <f>INDEX(Маршруты,MATCH(N2550,$B$3:$B$498,0),1)</f>
        <v>110</v>
      </c>
      <c r="P2550" s="27">
        <v>24</v>
      </c>
      <c r="Q2550" s="2">
        <f>INDEX(Остановки,MATCH(R2550,ИД_Остановки!$B$3:$B$467,0),1)</f>
        <v>197</v>
      </c>
      <c r="R2550" s="24" t="s">
        <v>338</v>
      </c>
      <c r="S2550" s="20">
        <v>1.1499999999999999</v>
      </c>
    </row>
    <row r="2551" spans="8:19" x14ac:dyDescent="0.25">
      <c r="H2551">
        <v>15</v>
      </c>
      <c r="I2551">
        <v>880</v>
      </c>
      <c r="J2551">
        <v>110</v>
      </c>
      <c r="K2551" t="b">
        <v>1</v>
      </c>
      <c r="N2551" s="30" t="s">
        <v>580</v>
      </c>
      <c r="O2551" s="2">
        <f>INDEX(Маршруты,MATCH(N2551,$B$3:$B$498,0),1)</f>
        <v>110</v>
      </c>
      <c r="P2551" s="27">
        <v>25</v>
      </c>
      <c r="Q2551" s="2">
        <f>INDEX(Остановки,MATCH(R2551,ИД_Остановки!$B$3:$B$467,0),1)</f>
        <v>323</v>
      </c>
      <c r="R2551" s="45" t="s">
        <v>187</v>
      </c>
      <c r="S2551" s="20">
        <v>0.51</v>
      </c>
    </row>
    <row r="2552" spans="8:19" x14ac:dyDescent="0.25">
      <c r="H2552">
        <v>15</v>
      </c>
      <c r="I2552">
        <v>885</v>
      </c>
      <c r="J2552">
        <v>110</v>
      </c>
      <c r="K2552" t="b">
        <v>1</v>
      </c>
      <c r="N2552" s="30" t="s">
        <v>580</v>
      </c>
      <c r="O2552" s="2">
        <f>INDEX(Маршруты,MATCH(N2552,$B$3:$B$498,0),1)</f>
        <v>110</v>
      </c>
      <c r="P2552" s="27">
        <v>26</v>
      </c>
      <c r="Q2552" s="2">
        <f>INDEX(Остановки,MATCH(R2552,ИД_Остановки!$B$3:$B$467,0),1)</f>
        <v>324</v>
      </c>
      <c r="R2552" s="45" t="s">
        <v>398</v>
      </c>
      <c r="S2552" s="20">
        <v>0.56999999999999995</v>
      </c>
    </row>
    <row r="2553" spans="8:19" x14ac:dyDescent="0.25">
      <c r="H2553">
        <v>15</v>
      </c>
      <c r="I2553">
        <v>890</v>
      </c>
      <c r="J2553">
        <v>110</v>
      </c>
      <c r="K2553" t="b">
        <v>1</v>
      </c>
      <c r="N2553" s="25" t="s">
        <v>580</v>
      </c>
      <c r="O2553" s="2">
        <f>INDEX(Маршруты,MATCH(N2553,$B$3:$B$498,0),1)</f>
        <v>110</v>
      </c>
      <c r="P2553" s="28">
        <v>27</v>
      </c>
      <c r="Q2553" s="2">
        <f>INDEX(Остановки,MATCH(R2553,ИД_Остановки!$B$3:$B$467,0),1)</f>
        <v>359</v>
      </c>
      <c r="R2553" s="24" t="s">
        <v>421</v>
      </c>
      <c r="S2553" s="21">
        <v>0.61</v>
      </c>
    </row>
    <row r="2554" spans="8:19" x14ac:dyDescent="0.25">
      <c r="H2554">
        <v>15</v>
      </c>
      <c r="I2554">
        <v>895</v>
      </c>
      <c r="J2554">
        <v>110</v>
      </c>
      <c r="K2554" t="b">
        <v>1</v>
      </c>
      <c r="N2554" s="25" t="s">
        <v>580</v>
      </c>
      <c r="O2554" s="2">
        <f>INDEX(Маршруты,MATCH(N2554,$B$3:$B$498,0),1)</f>
        <v>110</v>
      </c>
      <c r="P2554" s="28">
        <v>28</v>
      </c>
      <c r="Q2554" s="2">
        <f>INDEX(Остановки,MATCH(R2554,ИД_Остановки!$B$3:$B$467,0),1)</f>
        <v>325</v>
      </c>
      <c r="R2554" s="24" t="s">
        <v>399</v>
      </c>
      <c r="S2554" s="21">
        <v>0.63</v>
      </c>
    </row>
    <row r="2555" spans="8:19" x14ac:dyDescent="0.25">
      <c r="H2555">
        <v>15</v>
      </c>
      <c r="I2555">
        <v>900</v>
      </c>
      <c r="J2555">
        <v>110</v>
      </c>
      <c r="K2555" t="b">
        <v>1</v>
      </c>
      <c r="N2555" s="30" t="s">
        <v>580</v>
      </c>
      <c r="O2555" s="2">
        <f>INDEX(Маршруты,MATCH(N2555,$B$3:$B$498,0),1)</f>
        <v>110</v>
      </c>
      <c r="P2555" s="27">
        <v>29</v>
      </c>
      <c r="Q2555" s="2">
        <f>INDEX(Остановки,MATCH(R2555,ИД_Остановки!$B$3:$B$467,0),1)</f>
        <v>326</v>
      </c>
      <c r="R2555" s="45" t="s">
        <v>400</v>
      </c>
      <c r="S2555" s="20">
        <v>0.39</v>
      </c>
    </row>
    <row r="2556" spans="8:19" x14ac:dyDescent="0.25">
      <c r="H2556">
        <v>15</v>
      </c>
      <c r="I2556">
        <v>905</v>
      </c>
      <c r="J2556">
        <v>110</v>
      </c>
      <c r="K2556" t="b">
        <v>1</v>
      </c>
      <c r="N2556" s="25" t="s">
        <v>580</v>
      </c>
      <c r="O2556" s="2">
        <f>INDEX(Маршруты,MATCH(N2556,$B$3:$B$498,0),1)</f>
        <v>110</v>
      </c>
      <c r="P2556" s="28">
        <v>30</v>
      </c>
      <c r="Q2556" s="2">
        <f>INDEX(Остановки,MATCH(R2556,ИД_Остановки!$B$3:$B$467,0),1)</f>
        <v>344</v>
      </c>
      <c r="R2556" s="24" t="s">
        <v>411</v>
      </c>
      <c r="S2556" s="20">
        <v>0.24</v>
      </c>
    </row>
    <row r="2557" spans="8:19" x14ac:dyDescent="0.25">
      <c r="H2557">
        <v>15</v>
      </c>
      <c r="I2557">
        <v>910</v>
      </c>
      <c r="J2557">
        <v>110</v>
      </c>
      <c r="K2557" t="b">
        <v>1</v>
      </c>
      <c r="N2557" s="30" t="s">
        <v>581</v>
      </c>
      <c r="O2557" s="2">
        <f>INDEX(Маршруты,MATCH(N2557,$B$3:$B$498,0),1)</f>
        <v>111</v>
      </c>
      <c r="P2557" s="28">
        <v>1</v>
      </c>
      <c r="Q2557" s="2">
        <f>INDEX(Остановки,MATCH(R2557,ИД_Остановки!$B$3:$B$467,0),1)</f>
        <v>135</v>
      </c>
      <c r="R2557" s="24" t="s">
        <v>83</v>
      </c>
      <c r="S2557" s="20"/>
    </row>
    <row r="2558" spans="8:19" x14ac:dyDescent="0.25">
      <c r="H2558">
        <v>15</v>
      </c>
      <c r="I2558">
        <v>915</v>
      </c>
      <c r="J2558">
        <v>110</v>
      </c>
      <c r="K2558" t="b">
        <v>1</v>
      </c>
      <c r="N2558" s="30" t="s">
        <v>581</v>
      </c>
      <c r="O2558" s="2">
        <f>INDEX(Маршруты,MATCH(N2558,$B$3:$B$498,0),1)</f>
        <v>111</v>
      </c>
      <c r="P2558" s="27">
        <v>2</v>
      </c>
      <c r="Q2558" s="2">
        <f>INDEX(Остановки,MATCH(R2558,ИД_Остановки!$B$3:$B$467,0),1)</f>
        <v>146</v>
      </c>
      <c r="R2558" s="45" t="s">
        <v>315</v>
      </c>
      <c r="S2558" s="20">
        <v>0.72</v>
      </c>
    </row>
    <row r="2559" spans="8:19" x14ac:dyDescent="0.25">
      <c r="H2559">
        <v>15</v>
      </c>
      <c r="I2559">
        <v>920</v>
      </c>
      <c r="J2559">
        <v>110</v>
      </c>
      <c r="K2559" t="b">
        <v>1</v>
      </c>
      <c r="N2559" s="24" t="s">
        <v>581</v>
      </c>
      <c r="O2559" s="2">
        <f>INDEX(Маршруты,MATCH(N2559,$B$3:$B$498,0),1)</f>
        <v>111</v>
      </c>
      <c r="P2559" s="27">
        <v>3</v>
      </c>
      <c r="Q2559" s="2">
        <f>INDEX(Остановки,MATCH(R2559,ИД_Остановки!$B$3:$B$467,0),1)</f>
        <v>82</v>
      </c>
      <c r="R2559" s="45" t="s">
        <v>59</v>
      </c>
      <c r="S2559" s="20">
        <v>0.47</v>
      </c>
    </row>
    <row r="2560" spans="8:19" x14ac:dyDescent="0.25">
      <c r="H2560">
        <v>15</v>
      </c>
      <c r="I2560">
        <v>925</v>
      </c>
      <c r="J2560">
        <v>110</v>
      </c>
      <c r="K2560" t="b">
        <v>1</v>
      </c>
      <c r="N2560" s="25" t="s">
        <v>581</v>
      </c>
      <c r="O2560" s="2">
        <f>INDEX(Маршруты,MATCH(N2560,$B$3:$B$498,0),1)</f>
        <v>111</v>
      </c>
      <c r="P2560" s="27">
        <v>4</v>
      </c>
      <c r="Q2560" s="2">
        <f>INDEX(Остановки,MATCH(R2560,ИД_Остановки!$B$3:$B$467,0),1)</f>
        <v>93</v>
      </c>
      <c r="R2560" s="45" t="s">
        <v>65</v>
      </c>
      <c r="S2560" s="20">
        <v>0.52</v>
      </c>
    </row>
    <row r="2561" spans="8:19" x14ac:dyDescent="0.25">
      <c r="H2561">
        <v>15</v>
      </c>
      <c r="I2561">
        <v>930</v>
      </c>
      <c r="J2561">
        <v>110</v>
      </c>
      <c r="K2561" t="b">
        <v>1</v>
      </c>
      <c r="N2561" s="30" t="s">
        <v>581</v>
      </c>
      <c r="O2561" s="2">
        <f>INDEX(Маршруты,MATCH(N2561,$B$3:$B$498,0),1)</f>
        <v>111</v>
      </c>
      <c r="P2561" s="27">
        <v>5</v>
      </c>
      <c r="Q2561" s="2">
        <f>INDEX(Остановки,MATCH(R2561,ИД_Остановки!$B$3:$B$467,0),1)</f>
        <v>33</v>
      </c>
      <c r="R2561" s="45" t="s">
        <v>29</v>
      </c>
      <c r="S2561" s="20">
        <v>0.52</v>
      </c>
    </row>
    <row r="2562" spans="8:19" x14ac:dyDescent="0.25">
      <c r="H2562">
        <v>15</v>
      </c>
      <c r="I2562">
        <v>935</v>
      </c>
      <c r="J2562">
        <v>110</v>
      </c>
      <c r="K2562" t="b">
        <v>1</v>
      </c>
      <c r="N2562" s="25" t="s">
        <v>581</v>
      </c>
      <c r="O2562" s="2">
        <f>INDEX(Маршруты,MATCH(N2562,$B$3:$B$498,0),1)</f>
        <v>111</v>
      </c>
      <c r="P2562" s="28">
        <v>6</v>
      </c>
      <c r="Q2562" s="2">
        <f>INDEX(Остановки,MATCH(R2562,ИД_Остановки!$B$3:$B$467,0),1)</f>
        <v>204</v>
      </c>
      <c r="R2562" s="24" t="s">
        <v>342</v>
      </c>
      <c r="S2562" s="20">
        <v>0.3</v>
      </c>
    </row>
    <row r="2563" spans="8:19" x14ac:dyDescent="0.25">
      <c r="H2563">
        <v>15</v>
      </c>
      <c r="I2563">
        <v>940</v>
      </c>
      <c r="J2563">
        <v>110</v>
      </c>
      <c r="K2563" t="b">
        <v>1</v>
      </c>
      <c r="N2563" s="30" t="s">
        <v>581</v>
      </c>
      <c r="O2563" s="2">
        <f>INDEX(Маршруты,MATCH(N2563,$B$3:$B$498,0),1)</f>
        <v>111</v>
      </c>
      <c r="P2563" s="27">
        <v>7</v>
      </c>
      <c r="Q2563" s="2">
        <f>INDEX(Остановки,MATCH(R2563,ИД_Остановки!$B$3:$B$467,0),1)</f>
        <v>256</v>
      </c>
      <c r="R2563" s="45" t="s">
        <v>376</v>
      </c>
      <c r="S2563" s="20">
        <v>0.68</v>
      </c>
    </row>
    <row r="2564" spans="8:19" x14ac:dyDescent="0.25">
      <c r="H2564">
        <v>15</v>
      </c>
      <c r="I2564">
        <v>945</v>
      </c>
      <c r="J2564">
        <v>110</v>
      </c>
      <c r="K2564" t="b">
        <v>1</v>
      </c>
      <c r="N2564" s="25" t="s">
        <v>581</v>
      </c>
      <c r="O2564" s="2">
        <f>INDEX(Маршруты,MATCH(N2564,$B$3:$B$498,0),1)</f>
        <v>111</v>
      </c>
      <c r="P2564" s="27">
        <v>8</v>
      </c>
      <c r="Q2564" s="2">
        <f>INDEX(Остановки,MATCH(R2564,ИД_Остановки!$B$3:$B$467,0),1)</f>
        <v>206</v>
      </c>
      <c r="R2564" s="24" t="s">
        <v>344</v>
      </c>
      <c r="S2564" s="20">
        <v>0.49</v>
      </c>
    </row>
    <row r="2565" spans="8:19" x14ac:dyDescent="0.25">
      <c r="H2565">
        <v>15</v>
      </c>
      <c r="I2565">
        <v>950</v>
      </c>
      <c r="J2565">
        <v>110</v>
      </c>
      <c r="K2565" t="b">
        <v>1</v>
      </c>
      <c r="N2565" s="25" t="s">
        <v>581</v>
      </c>
      <c r="O2565" s="2">
        <f>INDEX(Маршруты,MATCH(N2565,$B$3:$B$498,0),1)</f>
        <v>111</v>
      </c>
      <c r="P2565" s="27">
        <v>9</v>
      </c>
      <c r="Q2565" s="2">
        <f>INDEX(Остановки,MATCH(R2565,ИД_Остановки!$B$3:$B$467,0),1)</f>
        <v>241</v>
      </c>
      <c r="R2565" s="45" t="s">
        <v>132</v>
      </c>
      <c r="S2565" s="20">
        <v>0.45</v>
      </c>
    </row>
    <row r="2566" spans="8:19" x14ac:dyDescent="0.25">
      <c r="H2566">
        <v>15</v>
      </c>
      <c r="I2566">
        <v>955</v>
      </c>
      <c r="J2566">
        <v>110</v>
      </c>
      <c r="K2566" t="b">
        <v>1</v>
      </c>
      <c r="N2566" s="26" t="s">
        <v>581</v>
      </c>
      <c r="O2566" s="2">
        <f>INDEX(Маршруты,MATCH(N2566,$B$3:$B$498,0),1)</f>
        <v>111</v>
      </c>
      <c r="P2566" s="27">
        <v>10</v>
      </c>
      <c r="Q2566" s="2">
        <f>INDEX(Остановки,MATCH(R2566,ИД_Остановки!$B$3:$B$467,0),1)</f>
        <v>207</v>
      </c>
      <c r="R2566" s="45" t="s">
        <v>345</v>
      </c>
      <c r="S2566" s="20">
        <v>0.74</v>
      </c>
    </row>
    <row r="2567" spans="8:19" x14ac:dyDescent="0.25">
      <c r="H2567">
        <v>16</v>
      </c>
      <c r="I2567">
        <v>0</v>
      </c>
      <c r="J2567">
        <v>110</v>
      </c>
      <c r="K2567" t="b">
        <v>1</v>
      </c>
      <c r="N2567" s="14" t="s">
        <v>581</v>
      </c>
      <c r="O2567" s="2">
        <f>INDEX(Маршруты,MATCH(N2567,$B$3:$B$498,0),1)</f>
        <v>111</v>
      </c>
      <c r="P2567" s="27">
        <v>11</v>
      </c>
      <c r="Q2567" s="2">
        <f>INDEX(Остановки,MATCH(R2567,ИД_Остановки!$B$3:$B$467,0),1)</f>
        <v>208</v>
      </c>
      <c r="R2567" s="45" t="s">
        <v>121</v>
      </c>
      <c r="S2567" s="20">
        <v>0.56999999999999995</v>
      </c>
    </row>
    <row r="2568" spans="8:19" x14ac:dyDescent="0.25">
      <c r="H2568">
        <v>16</v>
      </c>
      <c r="I2568">
        <v>5</v>
      </c>
      <c r="J2568">
        <v>110</v>
      </c>
      <c r="K2568" t="b">
        <v>1</v>
      </c>
      <c r="N2568" s="25" t="s">
        <v>581</v>
      </c>
      <c r="O2568" s="2">
        <f>INDEX(Маршруты,MATCH(N2568,$B$3:$B$498,0),1)</f>
        <v>111</v>
      </c>
      <c r="P2568" s="27">
        <v>12</v>
      </c>
      <c r="Q2568" s="2">
        <f>INDEX(Остановки,MATCH(R2568,ИД_Остановки!$B$3:$B$467,0),1)</f>
        <v>3</v>
      </c>
      <c r="R2568" s="45" t="s">
        <v>243</v>
      </c>
      <c r="S2568" s="20">
        <v>0.9</v>
      </c>
    </row>
    <row r="2569" spans="8:19" x14ac:dyDescent="0.25">
      <c r="H2569">
        <v>16</v>
      </c>
      <c r="I2569">
        <v>10</v>
      </c>
      <c r="J2569">
        <v>110</v>
      </c>
      <c r="K2569" t="b">
        <v>1</v>
      </c>
      <c r="N2569" s="30" t="s">
        <v>581</v>
      </c>
      <c r="O2569" s="2">
        <f>INDEX(Маршруты,MATCH(N2569,$B$3:$B$498,0),1)</f>
        <v>111</v>
      </c>
      <c r="P2569" s="28">
        <v>13</v>
      </c>
      <c r="Q2569" s="2">
        <f>INDEX(Остановки,MATCH(R2569,ИД_Остановки!$B$3:$B$467,0),1)</f>
        <v>30</v>
      </c>
      <c r="R2569" s="24" t="s">
        <v>27</v>
      </c>
      <c r="S2569" s="20">
        <v>0.56000000000000005</v>
      </c>
    </row>
    <row r="2570" spans="8:19" x14ac:dyDescent="0.25">
      <c r="H2570">
        <v>16</v>
      </c>
      <c r="I2570">
        <v>15</v>
      </c>
      <c r="J2570">
        <v>110</v>
      </c>
      <c r="K2570" t="b">
        <v>1</v>
      </c>
      <c r="N2570" s="25" t="s">
        <v>581</v>
      </c>
      <c r="O2570" s="2">
        <f>INDEX(Маршруты,MATCH(N2570,$B$3:$B$498,0),1)</f>
        <v>111</v>
      </c>
      <c r="P2570" s="27">
        <v>14</v>
      </c>
      <c r="Q2570" s="2">
        <f>INDEX(Остановки,MATCH(R2570,ИД_Остановки!$B$3:$B$467,0),1)</f>
        <v>228</v>
      </c>
      <c r="R2570" s="45" t="s">
        <v>127</v>
      </c>
      <c r="S2570" s="20">
        <v>0.56999999999999995</v>
      </c>
    </row>
    <row r="2571" spans="8:19" x14ac:dyDescent="0.25">
      <c r="H2571">
        <v>16</v>
      </c>
      <c r="I2571">
        <v>20</v>
      </c>
      <c r="J2571">
        <v>110</v>
      </c>
      <c r="K2571" t="b">
        <v>1</v>
      </c>
      <c r="N2571" s="25" t="s">
        <v>581</v>
      </c>
      <c r="O2571" s="2">
        <f>INDEX(Маршруты,MATCH(N2571,$B$3:$B$498,0),1)</f>
        <v>111</v>
      </c>
      <c r="P2571" s="27">
        <v>15</v>
      </c>
      <c r="Q2571" s="2">
        <f>INDEX(Остановки,MATCH(R2571,ИД_Остановки!$B$3:$B$467,0),1)</f>
        <v>238</v>
      </c>
      <c r="R2571" s="45" t="s">
        <v>131</v>
      </c>
      <c r="S2571" s="20">
        <v>0.94</v>
      </c>
    </row>
    <row r="2572" spans="8:19" x14ac:dyDescent="0.25">
      <c r="H2572">
        <v>16</v>
      </c>
      <c r="I2572">
        <v>25</v>
      </c>
      <c r="J2572">
        <v>110</v>
      </c>
      <c r="K2572" t="b">
        <v>1</v>
      </c>
      <c r="N2572" s="25" t="s">
        <v>581</v>
      </c>
      <c r="O2572" s="2">
        <f>INDEX(Маршруты,MATCH(N2572,$B$3:$B$498,0),1)</f>
        <v>111</v>
      </c>
      <c r="P2572" s="27">
        <v>16</v>
      </c>
      <c r="Q2572" s="2">
        <f>INDEX(Остановки,MATCH(R2572,ИД_Остановки!$B$3:$B$467,0),1)</f>
        <v>257</v>
      </c>
      <c r="R2572" s="45" t="s">
        <v>377</v>
      </c>
      <c r="S2572" s="20">
        <v>0.56000000000000005</v>
      </c>
    </row>
    <row r="2573" spans="8:19" x14ac:dyDescent="0.25">
      <c r="H2573">
        <v>16</v>
      </c>
      <c r="I2573">
        <v>30</v>
      </c>
      <c r="J2573">
        <v>110</v>
      </c>
      <c r="K2573" t="b">
        <v>1</v>
      </c>
      <c r="N2573" s="30" t="s">
        <v>581</v>
      </c>
      <c r="O2573" s="2">
        <f>INDEX(Маршруты,MATCH(N2573,$B$3:$B$498,0),1)</f>
        <v>111</v>
      </c>
      <c r="P2573" s="27">
        <v>17</v>
      </c>
      <c r="Q2573" s="2">
        <f>INDEX(Остановки,MATCH(R2573,ИД_Остановки!$B$3:$B$467,0),1)</f>
        <v>255</v>
      </c>
      <c r="R2573" s="45" t="s">
        <v>137</v>
      </c>
      <c r="S2573" s="20">
        <v>0.61</v>
      </c>
    </row>
    <row r="2574" spans="8:19" x14ac:dyDescent="0.25">
      <c r="H2574">
        <v>16</v>
      </c>
      <c r="I2574">
        <v>35</v>
      </c>
      <c r="J2574">
        <v>110</v>
      </c>
      <c r="K2574" t="b">
        <v>1</v>
      </c>
      <c r="N2574" s="26" t="s">
        <v>581</v>
      </c>
      <c r="O2574" s="2">
        <f>INDEX(Маршруты,MATCH(N2574,$B$3:$B$498,0),1)</f>
        <v>111</v>
      </c>
      <c r="P2574" s="27">
        <v>18</v>
      </c>
      <c r="Q2574" s="2">
        <f>INDEX(Остановки,MATCH(R2574,ИД_Остановки!$B$3:$B$467,0),1)</f>
        <v>200</v>
      </c>
      <c r="R2574" s="45" t="s">
        <v>119</v>
      </c>
      <c r="S2574" s="20">
        <v>0.67</v>
      </c>
    </row>
    <row r="2575" spans="8:19" x14ac:dyDescent="0.25">
      <c r="H2575">
        <v>16</v>
      </c>
      <c r="I2575">
        <v>40</v>
      </c>
      <c r="J2575">
        <v>110</v>
      </c>
      <c r="K2575" t="b">
        <v>1</v>
      </c>
      <c r="N2575" s="25" t="s">
        <v>581</v>
      </c>
      <c r="O2575" s="2">
        <f>INDEX(Маршруты,MATCH(N2575,$B$3:$B$498,0),1)</f>
        <v>111</v>
      </c>
      <c r="P2575" s="27">
        <v>19</v>
      </c>
      <c r="Q2575" s="2">
        <f>INDEX(Остановки,MATCH(R2575,ИД_Остановки!$B$3:$B$467,0),1)</f>
        <v>199</v>
      </c>
      <c r="R2575" s="45" t="s">
        <v>118</v>
      </c>
      <c r="S2575" s="20">
        <v>0.75</v>
      </c>
    </row>
    <row r="2576" spans="8:19" x14ac:dyDescent="0.25">
      <c r="H2576">
        <v>16</v>
      </c>
      <c r="I2576">
        <v>45</v>
      </c>
      <c r="J2576">
        <v>110</v>
      </c>
      <c r="K2576" t="b">
        <v>1</v>
      </c>
      <c r="N2576" s="25" t="s">
        <v>581</v>
      </c>
      <c r="O2576" s="2">
        <f>INDEX(Маршруты,MATCH(N2576,$B$3:$B$498,0),1)</f>
        <v>111</v>
      </c>
      <c r="P2576" s="28">
        <v>20</v>
      </c>
      <c r="Q2576" s="2">
        <f>INDEX(Остановки,MATCH(R2576,ИД_Остановки!$B$3:$B$467,0),1)</f>
        <v>22</v>
      </c>
      <c r="R2576" s="24" t="s">
        <v>22</v>
      </c>
      <c r="S2576" s="20">
        <v>0.42</v>
      </c>
    </row>
    <row r="2577" spans="8:19" x14ac:dyDescent="0.25">
      <c r="H2577">
        <v>16</v>
      </c>
      <c r="I2577">
        <v>50</v>
      </c>
      <c r="J2577">
        <v>110</v>
      </c>
      <c r="K2577" t="b">
        <v>1</v>
      </c>
      <c r="N2577" s="26" t="s">
        <v>581</v>
      </c>
      <c r="O2577" s="2">
        <f>INDEX(Маршруты,MATCH(N2577,$B$3:$B$498,0),1)</f>
        <v>111</v>
      </c>
      <c r="P2577" s="27">
        <v>21</v>
      </c>
      <c r="Q2577" s="2">
        <f>INDEX(Остановки,MATCH(R2577,ИД_Остановки!$B$3:$B$467,0),1)</f>
        <v>337</v>
      </c>
      <c r="R2577" s="45" t="s">
        <v>407</v>
      </c>
      <c r="S2577" s="20">
        <v>0.39</v>
      </c>
    </row>
    <row r="2578" spans="8:19" x14ac:dyDescent="0.25">
      <c r="H2578">
        <v>16</v>
      </c>
      <c r="I2578">
        <v>55</v>
      </c>
      <c r="J2578">
        <v>110</v>
      </c>
      <c r="K2578" t="b">
        <v>1</v>
      </c>
      <c r="N2578" s="25" t="s">
        <v>581</v>
      </c>
      <c r="O2578" s="2">
        <f>INDEX(Маршруты,MATCH(N2578,$B$3:$B$498,0),1)</f>
        <v>111</v>
      </c>
      <c r="P2578" s="27">
        <v>22</v>
      </c>
      <c r="Q2578" s="2">
        <f>INDEX(Остановки,MATCH(R2578,ИД_Остановки!$B$3:$B$467,0),1)</f>
        <v>160</v>
      </c>
      <c r="R2578" s="45" t="s">
        <v>323</v>
      </c>
      <c r="S2578" s="20">
        <v>0.6</v>
      </c>
    </row>
    <row r="2579" spans="8:19" x14ac:dyDescent="0.25">
      <c r="H2579">
        <v>16</v>
      </c>
      <c r="I2579">
        <v>60</v>
      </c>
      <c r="J2579">
        <v>110</v>
      </c>
      <c r="K2579" t="b">
        <v>1</v>
      </c>
      <c r="N2579" s="25" t="s">
        <v>581</v>
      </c>
      <c r="O2579" s="2">
        <f>INDEX(Маршруты,MATCH(N2579,$B$3:$B$498,0),1)</f>
        <v>111</v>
      </c>
      <c r="P2579" s="27">
        <v>23</v>
      </c>
      <c r="Q2579" s="2">
        <f>INDEX(Остановки,MATCH(R2579,ИД_Остановки!$B$3:$B$467,0),1)</f>
        <v>288</v>
      </c>
      <c r="R2579" s="45" t="s">
        <v>388</v>
      </c>
      <c r="S2579" s="20">
        <v>1.38</v>
      </c>
    </row>
    <row r="2580" spans="8:19" x14ac:dyDescent="0.25">
      <c r="H2580">
        <v>16</v>
      </c>
      <c r="I2580">
        <v>65</v>
      </c>
      <c r="J2580">
        <v>110</v>
      </c>
      <c r="K2580" t="b">
        <v>1</v>
      </c>
      <c r="N2580" s="14" t="s">
        <v>581</v>
      </c>
      <c r="O2580" s="2">
        <f>INDEX(Маршруты,MATCH(N2580,$B$3:$B$498,0),1)</f>
        <v>111</v>
      </c>
      <c r="P2580" s="27">
        <v>24</v>
      </c>
      <c r="Q2580" s="2">
        <f>INDEX(Остановки,MATCH(R2580,ИД_Остановки!$B$3:$B$467,0),1)</f>
        <v>376</v>
      </c>
      <c r="R2580" s="45" t="s">
        <v>434</v>
      </c>
      <c r="S2580" s="20">
        <v>1.2</v>
      </c>
    </row>
    <row r="2581" spans="8:19" x14ac:dyDescent="0.25">
      <c r="H2581">
        <v>16</v>
      </c>
      <c r="I2581">
        <v>70</v>
      </c>
      <c r="J2581">
        <v>110</v>
      </c>
      <c r="K2581" t="b">
        <v>1</v>
      </c>
      <c r="N2581" s="30" t="s">
        <v>581</v>
      </c>
      <c r="O2581" s="2">
        <f>INDEX(Маршруты,MATCH(N2581,$B$3:$B$498,0),1)</f>
        <v>111</v>
      </c>
      <c r="P2581" s="28">
        <v>25</v>
      </c>
      <c r="Q2581" s="2">
        <f>INDEX(Остановки,MATCH(R2581,ИД_Остановки!$B$3:$B$467,0),1)</f>
        <v>392</v>
      </c>
      <c r="R2581" s="24" t="s">
        <v>449</v>
      </c>
      <c r="S2581" s="20">
        <v>0.42</v>
      </c>
    </row>
    <row r="2582" spans="8:19" x14ac:dyDescent="0.25">
      <c r="H2582">
        <v>16</v>
      </c>
      <c r="I2582">
        <v>75</v>
      </c>
      <c r="J2582">
        <v>110</v>
      </c>
      <c r="K2582" t="b">
        <v>1</v>
      </c>
      <c r="N2582" s="25" t="s">
        <v>581</v>
      </c>
      <c r="O2582" s="2">
        <f>INDEX(Маршруты,MATCH(N2582,$B$3:$B$498,0),1)</f>
        <v>111</v>
      </c>
      <c r="P2582" s="27">
        <v>26</v>
      </c>
      <c r="Q2582" s="2">
        <f>INDEX(Остановки,MATCH(R2582,ИД_Остановки!$B$3:$B$467,0),1)</f>
        <v>375</v>
      </c>
      <c r="R2582" s="45" t="s">
        <v>433</v>
      </c>
      <c r="S2582" s="20">
        <v>0.44</v>
      </c>
    </row>
    <row r="2583" spans="8:19" x14ac:dyDescent="0.25">
      <c r="H2583">
        <v>16</v>
      </c>
      <c r="I2583">
        <v>80</v>
      </c>
      <c r="J2583">
        <v>110</v>
      </c>
      <c r="K2583" t="b">
        <v>1</v>
      </c>
      <c r="N2583" s="30" t="s">
        <v>581</v>
      </c>
      <c r="O2583" s="2">
        <f>INDEX(Маршруты,MATCH(N2583,$B$3:$B$498,0),1)</f>
        <v>111</v>
      </c>
      <c r="P2583" s="28">
        <v>27</v>
      </c>
      <c r="Q2583" s="2">
        <f>INDEX(Остановки,MATCH(R2583,ИД_Остановки!$B$3:$B$467,0),1)</f>
        <v>345</v>
      </c>
      <c r="R2583" s="24" t="s">
        <v>412</v>
      </c>
      <c r="S2583" s="20">
        <v>0.36</v>
      </c>
    </row>
    <row r="2584" spans="8:19" x14ac:dyDescent="0.25">
      <c r="H2584">
        <v>16</v>
      </c>
      <c r="I2584">
        <v>85</v>
      </c>
      <c r="J2584">
        <v>110</v>
      </c>
      <c r="K2584" t="b">
        <v>1</v>
      </c>
      <c r="N2584" s="25" t="s">
        <v>581</v>
      </c>
      <c r="O2584" s="2">
        <f>INDEX(Маршруты,MATCH(N2584,$B$3:$B$498,0),1)</f>
        <v>111</v>
      </c>
      <c r="P2584" s="27">
        <v>28</v>
      </c>
      <c r="Q2584" s="2">
        <f>INDEX(Остановки,MATCH(R2584,ИД_Остановки!$B$3:$B$467,0),1)</f>
        <v>253</v>
      </c>
      <c r="R2584" s="45" t="s">
        <v>375</v>
      </c>
      <c r="S2584" s="20">
        <v>0.51</v>
      </c>
    </row>
    <row r="2585" spans="8:19" x14ac:dyDescent="0.25">
      <c r="H2585">
        <v>16</v>
      </c>
      <c r="I2585">
        <v>90</v>
      </c>
      <c r="J2585">
        <v>110</v>
      </c>
      <c r="K2585" t="b">
        <v>1</v>
      </c>
      <c r="N2585" s="30" t="s">
        <v>627</v>
      </c>
      <c r="O2585" s="2">
        <f>INDEX(Маршруты,MATCH(N2585,$B$3:$B$498,0),1)</f>
        <v>112</v>
      </c>
      <c r="P2585" s="27">
        <v>1</v>
      </c>
      <c r="Q2585" s="2">
        <f>INDEX(Остановки,MATCH(R2585,ИД_Остановки!$B$3:$B$467,0),1)</f>
        <v>253</v>
      </c>
      <c r="R2585" s="45" t="s">
        <v>375</v>
      </c>
      <c r="S2585" s="20"/>
    </row>
    <row r="2586" spans="8:19" x14ac:dyDescent="0.25">
      <c r="H2586">
        <v>16</v>
      </c>
      <c r="I2586">
        <v>95</v>
      </c>
      <c r="J2586">
        <v>110</v>
      </c>
      <c r="K2586" t="b">
        <v>1</v>
      </c>
      <c r="N2586" s="26" t="s">
        <v>627</v>
      </c>
      <c r="O2586" s="2">
        <f>INDEX(Маршруты,MATCH(N2586,$B$3:$B$498,0),1)</f>
        <v>112</v>
      </c>
      <c r="P2586" s="27">
        <v>2</v>
      </c>
      <c r="Q2586" s="2">
        <f>INDEX(Остановки,MATCH(R2586,ИД_Остановки!$B$3:$B$467,0),1)</f>
        <v>345</v>
      </c>
      <c r="R2586" s="45" t="s">
        <v>412</v>
      </c>
      <c r="S2586" s="20">
        <v>0.51</v>
      </c>
    </row>
    <row r="2587" spans="8:19" x14ac:dyDescent="0.25">
      <c r="H2587">
        <v>16</v>
      </c>
      <c r="I2587">
        <v>100</v>
      </c>
      <c r="J2587">
        <v>110</v>
      </c>
      <c r="K2587" t="b">
        <v>1</v>
      </c>
      <c r="N2587" s="25" t="s">
        <v>627</v>
      </c>
      <c r="O2587" s="2">
        <f>INDEX(Маршруты,MATCH(N2587,$B$3:$B$498,0),1)</f>
        <v>112</v>
      </c>
      <c r="P2587" s="27">
        <v>3</v>
      </c>
      <c r="Q2587" s="2">
        <f>INDEX(Остановки,MATCH(R2587,ИД_Остановки!$B$3:$B$467,0),1)</f>
        <v>375</v>
      </c>
      <c r="R2587" s="45" t="s">
        <v>433</v>
      </c>
      <c r="S2587" s="20">
        <v>0.36</v>
      </c>
    </row>
    <row r="2588" spans="8:19" x14ac:dyDescent="0.25">
      <c r="H2588">
        <v>16</v>
      </c>
      <c r="I2588">
        <v>105</v>
      </c>
      <c r="J2588">
        <v>110</v>
      </c>
      <c r="K2588" t="b">
        <v>1</v>
      </c>
      <c r="N2588" s="30" t="s">
        <v>627</v>
      </c>
      <c r="O2588" s="2">
        <f>INDEX(Маршруты,MATCH(N2588,$B$3:$B$498,0),1)</f>
        <v>112</v>
      </c>
      <c r="P2588" s="27">
        <v>4</v>
      </c>
      <c r="Q2588" s="2">
        <f>INDEX(Остановки,MATCH(R2588,ИД_Остановки!$B$3:$B$467,0),1)</f>
        <v>392</v>
      </c>
      <c r="R2588" s="45" t="s">
        <v>449</v>
      </c>
      <c r="S2588" s="20">
        <v>0.44</v>
      </c>
    </row>
    <row r="2589" spans="8:19" x14ac:dyDescent="0.25">
      <c r="H2589">
        <v>16</v>
      </c>
      <c r="I2589">
        <v>110</v>
      </c>
      <c r="J2589">
        <v>110</v>
      </c>
      <c r="K2589" t="b">
        <v>1</v>
      </c>
      <c r="N2589" s="26" t="s">
        <v>627</v>
      </c>
      <c r="O2589" s="2">
        <f>INDEX(Маршруты,MATCH(N2589,$B$3:$B$498,0),1)</f>
        <v>112</v>
      </c>
      <c r="P2589" s="27">
        <v>5</v>
      </c>
      <c r="Q2589" s="2">
        <f>INDEX(Остановки,MATCH(R2589,ИД_Остановки!$B$3:$B$467,0),1)</f>
        <v>376</v>
      </c>
      <c r="R2589" s="45" t="s">
        <v>434</v>
      </c>
      <c r="S2589" s="20">
        <v>0.42</v>
      </c>
    </row>
    <row r="2590" spans="8:19" x14ac:dyDescent="0.25">
      <c r="H2590">
        <v>16</v>
      </c>
      <c r="I2590">
        <v>115</v>
      </c>
      <c r="J2590">
        <v>110</v>
      </c>
      <c r="K2590" t="b">
        <v>1</v>
      </c>
      <c r="N2590" s="30" t="s">
        <v>627</v>
      </c>
      <c r="O2590" s="2">
        <f>INDEX(Маршруты,MATCH(N2590,$B$3:$B$498,0),1)</f>
        <v>112</v>
      </c>
      <c r="P2590" s="27">
        <v>6</v>
      </c>
      <c r="Q2590" s="2">
        <f>INDEX(Остановки,MATCH(R2590,ИД_Остановки!$B$3:$B$467,0),1)</f>
        <v>288</v>
      </c>
      <c r="R2590" s="45" t="s">
        <v>388</v>
      </c>
      <c r="S2590" s="20">
        <v>1.2</v>
      </c>
    </row>
    <row r="2591" spans="8:19" x14ac:dyDescent="0.25">
      <c r="H2591">
        <v>16</v>
      </c>
      <c r="I2591">
        <v>120</v>
      </c>
      <c r="J2591">
        <v>110</v>
      </c>
      <c r="K2591" t="b">
        <v>1</v>
      </c>
      <c r="N2591" s="30" t="s">
        <v>627</v>
      </c>
      <c r="O2591" s="2">
        <f>INDEX(Маршруты,MATCH(N2591,$B$3:$B$498,0),1)</f>
        <v>112</v>
      </c>
      <c r="P2591" s="27">
        <v>7</v>
      </c>
      <c r="Q2591" s="2">
        <f>INDEX(Остановки,MATCH(R2591,ИД_Остановки!$B$3:$B$467,0),1)</f>
        <v>160</v>
      </c>
      <c r="R2591" s="45" t="s">
        <v>323</v>
      </c>
      <c r="S2591" s="20">
        <v>1.38</v>
      </c>
    </row>
    <row r="2592" spans="8:19" x14ac:dyDescent="0.25">
      <c r="H2592">
        <v>16</v>
      </c>
      <c r="I2592">
        <v>125</v>
      </c>
      <c r="J2592">
        <v>110</v>
      </c>
      <c r="K2592" t="b">
        <v>1</v>
      </c>
      <c r="N2592" s="30" t="s">
        <v>627</v>
      </c>
      <c r="O2592" s="2">
        <f>INDEX(Маршруты,MATCH(N2592,$B$3:$B$498,0),1)</f>
        <v>112</v>
      </c>
      <c r="P2592" s="27">
        <v>8</v>
      </c>
      <c r="Q2592" s="2">
        <f>INDEX(Остановки,MATCH(R2592,ИД_Остановки!$B$3:$B$467,0),1)</f>
        <v>337</v>
      </c>
      <c r="R2592" s="45" t="s">
        <v>407</v>
      </c>
      <c r="S2592" s="20">
        <v>0.6</v>
      </c>
    </row>
    <row r="2593" spans="8:19" x14ac:dyDescent="0.25">
      <c r="H2593">
        <v>16</v>
      </c>
      <c r="I2593">
        <v>130</v>
      </c>
      <c r="J2593">
        <v>110</v>
      </c>
      <c r="K2593" t="b">
        <v>1</v>
      </c>
      <c r="N2593" s="30" t="s">
        <v>627</v>
      </c>
      <c r="O2593" s="2">
        <f>INDEX(Маршруты,MATCH(N2593,$B$3:$B$498,0),1)</f>
        <v>112</v>
      </c>
      <c r="P2593" s="27">
        <v>9</v>
      </c>
      <c r="Q2593" s="2">
        <f>INDEX(Остановки,MATCH(R2593,ИД_Остановки!$B$3:$B$467,0),1)</f>
        <v>22</v>
      </c>
      <c r="R2593" s="45" t="s">
        <v>22</v>
      </c>
      <c r="S2593" s="20">
        <v>0.39</v>
      </c>
    </row>
    <row r="2594" spans="8:19" x14ac:dyDescent="0.25">
      <c r="H2594">
        <v>16</v>
      </c>
      <c r="I2594">
        <v>135</v>
      </c>
      <c r="J2594">
        <v>110</v>
      </c>
      <c r="K2594" t="b">
        <v>1</v>
      </c>
      <c r="N2594" s="30" t="s">
        <v>627</v>
      </c>
      <c r="O2594" s="2">
        <f>INDEX(Маршруты,MATCH(N2594,$B$3:$B$498,0),1)</f>
        <v>112</v>
      </c>
      <c r="P2594" s="27">
        <v>10</v>
      </c>
      <c r="Q2594" s="2">
        <f>INDEX(Остановки,MATCH(R2594,ИД_Остановки!$B$3:$B$467,0),1)</f>
        <v>199</v>
      </c>
      <c r="R2594" s="45" t="s">
        <v>118</v>
      </c>
      <c r="S2594" s="20">
        <v>0.42</v>
      </c>
    </row>
    <row r="2595" spans="8:19" x14ac:dyDescent="0.25">
      <c r="H2595">
        <v>16</v>
      </c>
      <c r="I2595">
        <v>140</v>
      </c>
      <c r="J2595">
        <v>110</v>
      </c>
      <c r="K2595" t="b">
        <v>1</v>
      </c>
      <c r="N2595" s="25" t="s">
        <v>627</v>
      </c>
      <c r="O2595" s="2">
        <f>INDEX(Маршруты,MATCH(N2595,$B$3:$B$498,0),1)</f>
        <v>112</v>
      </c>
      <c r="P2595" s="27">
        <v>11</v>
      </c>
      <c r="Q2595" s="2">
        <f>INDEX(Остановки,MATCH(R2595,ИД_Остановки!$B$3:$B$467,0),1)</f>
        <v>200</v>
      </c>
      <c r="R2595" s="45" t="s">
        <v>119</v>
      </c>
      <c r="S2595" s="20">
        <v>0.75</v>
      </c>
    </row>
    <row r="2596" spans="8:19" x14ac:dyDescent="0.25">
      <c r="H2596">
        <v>16</v>
      </c>
      <c r="I2596">
        <v>145</v>
      </c>
      <c r="J2596">
        <v>110</v>
      </c>
      <c r="K2596" t="b">
        <v>1</v>
      </c>
      <c r="N2596" s="25" t="s">
        <v>627</v>
      </c>
      <c r="O2596" s="2">
        <f>INDEX(Маршруты,MATCH(N2596,$B$3:$B$498,0),1)</f>
        <v>112</v>
      </c>
      <c r="P2596" s="27">
        <v>12</v>
      </c>
      <c r="Q2596" s="2">
        <f>INDEX(Остановки,MATCH(R2596,ИД_Остановки!$B$3:$B$467,0),1)</f>
        <v>255</v>
      </c>
      <c r="R2596" s="24" t="s">
        <v>137</v>
      </c>
      <c r="S2596" s="20">
        <v>0.67</v>
      </c>
    </row>
    <row r="2597" spans="8:19" x14ac:dyDescent="0.25">
      <c r="H2597">
        <v>16</v>
      </c>
      <c r="I2597">
        <v>150</v>
      </c>
      <c r="J2597">
        <v>110</v>
      </c>
      <c r="K2597" t="b">
        <v>1</v>
      </c>
      <c r="N2597" s="25" t="s">
        <v>627</v>
      </c>
      <c r="O2597" s="2">
        <f>INDEX(Маршруты,MATCH(N2597,$B$3:$B$498,0),1)</f>
        <v>112</v>
      </c>
      <c r="P2597" s="27">
        <v>13</v>
      </c>
      <c r="Q2597" s="2">
        <f>INDEX(Остановки,MATCH(R2597,ИД_Остановки!$B$3:$B$467,0),1)</f>
        <v>257</v>
      </c>
      <c r="R2597" s="45" t="s">
        <v>377</v>
      </c>
      <c r="S2597" s="20">
        <v>0.61</v>
      </c>
    </row>
    <row r="2598" spans="8:19" x14ac:dyDescent="0.25">
      <c r="H2598">
        <v>16</v>
      </c>
      <c r="I2598">
        <v>155</v>
      </c>
      <c r="J2598">
        <v>110</v>
      </c>
      <c r="K2598" t="b">
        <v>1</v>
      </c>
      <c r="N2598" s="24" t="s">
        <v>627</v>
      </c>
      <c r="O2598" s="2">
        <f>INDEX(Маршруты,MATCH(N2598,$B$3:$B$498,0),1)</f>
        <v>112</v>
      </c>
      <c r="P2598" s="27">
        <v>14</v>
      </c>
      <c r="Q2598" s="2">
        <f>INDEX(Остановки,MATCH(R2598,ИД_Остановки!$B$3:$B$467,0),1)</f>
        <v>238</v>
      </c>
      <c r="R2598" s="45" t="s">
        <v>131</v>
      </c>
      <c r="S2598" s="20">
        <v>0.56000000000000005</v>
      </c>
    </row>
    <row r="2599" spans="8:19" x14ac:dyDescent="0.25">
      <c r="H2599">
        <v>16</v>
      </c>
      <c r="I2599">
        <v>160</v>
      </c>
      <c r="J2599">
        <v>110</v>
      </c>
      <c r="K2599" t="b">
        <v>1</v>
      </c>
      <c r="N2599" s="30" t="s">
        <v>627</v>
      </c>
      <c r="O2599" s="2">
        <f>INDEX(Маршруты,MATCH(N2599,$B$3:$B$498,0),1)</f>
        <v>112</v>
      </c>
      <c r="P2599" s="27">
        <v>15</v>
      </c>
      <c r="Q2599" s="2">
        <f>INDEX(Остановки,MATCH(R2599,ИД_Остановки!$B$3:$B$467,0),1)</f>
        <v>228</v>
      </c>
      <c r="R2599" s="45" t="s">
        <v>127</v>
      </c>
      <c r="S2599" s="20">
        <v>0.94</v>
      </c>
    </row>
    <row r="2600" spans="8:19" x14ac:dyDescent="0.25">
      <c r="H2600">
        <v>16</v>
      </c>
      <c r="I2600">
        <v>165</v>
      </c>
      <c r="J2600">
        <v>110</v>
      </c>
      <c r="K2600" t="b">
        <v>1</v>
      </c>
      <c r="N2600" s="25" t="s">
        <v>627</v>
      </c>
      <c r="O2600" s="2">
        <f>INDEX(Маршруты,MATCH(N2600,$B$3:$B$498,0),1)</f>
        <v>112</v>
      </c>
      <c r="P2600" s="27">
        <v>16</v>
      </c>
      <c r="Q2600" s="2">
        <f>INDEX(Остановки,MATCH(R2600,ИД_Остановки!$B$3:$B$467,0),1)</f>
        <v>30</v>
      </c>
      <c r="R2600" s="45" t="s">
        <v>27</v>
      </c>
      <c r="S2600" s="20">
        <v>0.56999999999999995</v>
      </c>
    </row>
    <row r="2601" spans="8:19" x14ac:dyDescent="0.25">
      <c r="H2601">
        <v>16</v>
      </c>
      <c r="I2601">
        <v>170</v>
      </c>
      <c r="J2601">
        <v>110</v>
      </c>
      <c r="K2601" t="b">
        <v>1</v>
      </c>
      <c r="N2601" s="26" t="s">
        <v>627</v>
      </c>
      <c r="O2601" s="2">
        <f>INDEX(Маршруты,MATCH(N2601,$B$3:$B$498,0),1)</f>
        <v>112</v>
      </c>
      <c r="P2601" s="27">
        <v>17</v>
      </c>
      <c r="Q2601" s="2">
        <f>INDEX(Остановки,MATCH(R2601,ИД_Остановки!$B$3:$B$467,0),1)</f>
        <v>3</v>
      </c>
      <c r="R2601" s="45" t="s">
        <v>243</v>
      </c>
      <c r="S2601" s="20">
        <v>0.56000000000000005</v>
      </c>
    </row>
    <row r="2602" spans="8:19" x14ac:dyDescent="0.25">
      <c r="H2602">
        <v>16</v>
      </c>
      <c r="I2602">
        <v>175</v>
      </c>
      <c r="J2602">
        <v>110</v>
      </c>
      <c r="K2602" t="b">
        <v>1</v>
      </c>
      <c r="N2602" s="25" t="s">
        <v>627</v>
      </c>
      <c r="O2602" s="2">
        <f>INDEX(Маршруты,MATCH(N2602,$B$3:$B$498,0),1)</f>
        <v>112</v>
      </c>
      <c r="P2602" s="27">
        <v>18</v>
      </c>
      <c r="Q2602" s="2">
        <f>INDEX(Остановки,MATCH(R2602,ИД_Остановки!$B$3:$B$467,0),1)</f>
        <v>208</v>
      </c>
      <c r="R2602" s="24" t="s">
        <v>121</v>
      </c>
      <c r="S2602" s="20">
        <v>0.9</v>
      </c>
    </row>
    <row r="2603" spans="8:19" x14ac:dyDescent="0.25">
      <c r="H2603">
        <v>16</v>
      </c>
      <c r="I2603">
        <v>180</v>
      </c>
      <c r="J2603">
        <v>110</v>
      </c>
      <c r="K2603" t="b">
        <v>1</v>
      </c>
      <c r="N2603" s="26" t="s">
        <v>627</v>
      </c>
      <c r="O2603" s="2">
        <f>INDEX(Маршруты,MATCH(N2603,$B$3:$B$498,0),1)</f>
        <v>112</v>
      </c>
      <c r="P2603" s="27">
        <v>19</v>
      </c>
      <c r="Q2603" s="2">
        <f>INDEX(Остановки,MATCH(R2603,ИД_Остановки!$B$3:$B$467,0),1)</f>
        <v>207</v>
      </c>
      <c r="R2603" s="45" t="s">
        <v>345</v>
      </c>
      <c r="S2603" s="20">
        <v>0.56999999999999995</v>
      </c>
    </row>
    <row r="2604" spans="8:19" x14ac:dyDescent="0.25">
      <c r="H2604">
        <v>16</v>
      </c>
      <c r="I2604">
        <v>185</v>
      </c>
      <c r="J2604">
        <v>110</v>
      </c>
      <c r="K2604" t="b">
        <v>1</v>
      </c>
      <c r="N2604" s="30" t="s">
        <v>627</v>
      </c>
      <c r="O2604" s="2">
        <f>INDEX(Маршруты,MATCH(N2604,$B$3:$B$498,0),1)</f>
        <v>112</v>
      </c>
      <c r="P2604" s="27">
        <v>20</v>
      </c>
      <c r="Q2604" s="2">
        <f>INDEX(Остановки,MATCH(R2604,ИД_Остановки!$B$3:$B$467,0),1)</f>
        <v>241</v>
      </c>
      <c r="R2604" s="45" t="s">
        <v>132</v>
      </c>
      <c r="S2604" s="20">
        <v>0.74</v>
      </c>
    </row>
    <row r="2605" spans="8:19" x14ac:dyDescent="0.25">
      <c r="H2605">
        <v>16</v>
      </c>
      <c r="I2605">
        <v>190</v>
      </c>
      <c r="J2605">
        <v>110</v>
      </c>
      <c r="K2605" t="b">
        <v>1</v>
      </c>
      <c r="N2605" s="30" t="s">
        <v>627</v>
      </c>
      <c r="O2605" s="2">
        <f>INDEX(Маршруты,MATCH(N2605,$B$3:$B$498,0),1)</f>
        <v>112</v>
      </c>
      <c r="P2605" s="27">
        <v>21</v>
      </c>
      <c r="Q2605" s="2">
        <f>INDEX(Остановки,MATCH(R2605,ИД_Остановки!$B$3:$B$467,0),1)</f>
        <v>206</v>
      </c>
      <c r="R2605" s="45" t="s">
        <v>344</v>
      </c>
      <c r="S2605" s="20">
        <v>0.45</v>
      </c>
    </row>
    <row r="2606" spans="8:19" x14ac:dyDescent="0.25">
      <c r="H2606">
        <v>16</v>
      </c>
      <c r="I2606">
        <v>195</v>
      </c>
      <c r="J2606">
        <v>110</v>
      </c>
      <c r="K2606" t="b">
        <v>1</v>
      </c>
      <c r="N2606" s="25" t="s">
        <v>627</v>
      </c>
      <c r="O2606" s="2">
        <f>INDEX(Маршруты,MATCH(N2606,$B$3:$B$498,0),1)</f>
        <v>112</v>
      </c>
      <c r="P2606" s="27">
        <v>22</v>
      </c>
      <c r="Q2606" s="2">
        <f>INDEX(Остановки,MATCH(R2606,ИД_Остановки!$B$3:$B$467,0),1)</f>
        <v>256</v>
      </c>
      <c r="R2606" s="45" t="s">
        <v>376</v>
      </c>
      <c r="S2606" s="20">
        <v>0.49</v>
      </c>
    </row>
    <row r="2607" spans="8:19" x14ac:dyDescent="0.25">
      <c r="H2607">
        <v>16</v>
      </c>
      <c r="I2607">
        <v>200</v>
      </c>
      <c r="J2607">
        <v>110</v>
      </c>
      <c r="K2607" t="b">
        <v>1</v>
      </c>
      <c r="N2607" s="25" t="s">
        <v>627</v>
      </c>
      <c r="O2607" s="2">
        <f>INDEX(Маршруты,MATCH(N2607,$B$3:$B$498,0),1)</f>
        <v>112</v>
      </c>
      <c r="P2607" s="27">
        <v>23</v>
      </c>
      <c r="Q2607" s="2">
        <f>INDEX(Остановки,MATCH(R2607,ИД_Остановки!$B$3:$B$467,0),1)</f>
        <v>204</v>
      </c>
      <c r="R2607" s="45" t="s">
        <v>342</v>
      </c>
      <c r="S2607" s="20">
        <v>0.68</v>
      </c>
    </row>
    <row r="2608" spans="8:19" x14ac:dyDescent="0.25">
      <c r="H2608">
        <v>16</v>
      </c>
      <c r="I2608">
        <v>205</v>
      </c>
      <c r="J2608">
        <v>110</v>
      </c>
      <c r="K2608" t="b">
        <v>1</v>
      </c>
      <c r="N2608" s="26" t="s">
        <v>627</v>
      </c>
      <c r="O2608" s="2">
        <f>INDEX(Маршруты,MATCH(N2608,$B$3:$B$498,0),1)</f>
        <v>112</v>
      </c>
      <c r="P2608" s="27">
        <v>24</v>
      </c>
      <c r="Q2608" s="2">
        <f>INDEX(Остановки,MATCH(R2608,ИД_Остановки!$B$3:$B$467,0),1)</f>
        <v>33</v>
      </c>
      <c r="R2608" s="45" t="s">
        <v>29</v>
      </c>
      <c r="S2608" s="20">
        <v>0.3</v>
      </c>
    </row>
    <row r="2609" spans="8:19" x14ac:dyDescent="0.25">
      <c r="H2609">
        <v>16</v>
      </c>
      <c r="I2609">
        <v>210</v>
      </c>
      <c r="J2609">
        <v>110</v>
      </c>
      <c r="K2609" t="b">
        <v>1</v>
      </c>
      <c r="N2609" s="30" t="s">
        <v>627</v>
      </c>
      <c r="O2609" s="2">
        <f>INDEX(Маршруты,MATCH(N2609,$B$3:$B$498,0),1)</f>
        <v>112</v>
      </c>
      <c r="P2609" s="27">
        <v>25</v>
      </c>
      <c r="Q2609" s="2">
        <f>INDEX(Остановки,MATCH(R2609,ИД_Остановки!$B$3:$B$467,0),1)</f>
        <v>93</v>
      </c>
      <c r="R2609" s="45" t="s">
        <v>65</v>
      </c>
      <c r="S2609" s="20">
        <v>0.52</v>
      </c>
    </row>
    <row r="2610" spans="8:19" x14ac:dyDescent="0.25">
      <c r="H2610">
        <v>16</v>
      </c>
      <c r="I2610">
        <v>215</v>
      </c>
      <c r="J2610">
        <v>110</v>
      </c>
      <c r="K2610" t="b">
        <v>1</v>
      </c>
      <c r="N2610" s="30" t="s">
        <v>627</v>
      </c>
      <c r="O2610" s="2">
        <f>INDEX(Маршруты,MATCH(N2610,$B$3:$B$498,0),1)</f>
        <v>112</v>
      </c>
      <c r="P2610" s="27">
        <v>26</v>
      </c>
      <c r="Q2610" s="2">
        <f>INDEX(Остановки,MATCH(R2610,ИД_Остановки!$B$3:$B$467,0),1)</f>
        <v>82</v>
      </c>
      <c r="R2610" s="45" t="s">
        <v>59</v>
      </c>
      <c r="S2610" s="20">
        <v>0.52</v>
      </c>
    </row>
    <row r="2611" spans="8:19" x14ac:dyDescent="0.25">
      <c r="H2611">
        <v>16</v>
      </c>
      <c r="I2611">
        <v>220</v>
      </c>
      <c r="J2611">
        <v>110</v>
      </c>
      <c r="K2611" t="b">
        <v>1</v>
      </c>
      <c r="N2611" s="25" t="s">
        <v>627</v>
      </c>
      <c r="O2611" s="2">
        <f>INDEX(Маршруты,MATCH(N2611,$B$3:$B$498,0),1)</f>
        <v>112</v>
      </c>
      <c r="P2611" s="27">
        <v>27</v>
      </c>
      <c r="Q2611" s="2">
        <f>INDEX(Остановки,MATCH(R2611,ИД_Остановки!$B$3:$B$467,0),1)</f>
        <v>146</v>
      </c>
      <c r="R2611" s="45" t="s">
        <v>315</v>
      </c>
      <c r="S2611" s="20">
        <v>0.47</v>
      </c>
    </row>
    <row r="2612" spans="8:19" x14ac:dyDescent="0.25">
      <c r="H2612">
        <v>16</v>
      </c>
      <c r="I2612">
        <v>225</v>
      </c>
      <c r="J2612">
        <v>110</v>
      </c>
      <c r="K2612" t="b">
        <v>1</v>
      </c>
      <c r="N2612" s="30" t="s">
        <v>627</v>
      </c>
      <c r="O2612" s="2">
        <f>INDEX(Маршруты,MATCH(N2612,$B$3:$B$498,0),1)</f>
        <v>112</v>
      </c>
      <c r="P2612" s="27">
        <v>28</v>
      </c>
      <c r="Q2612" s="2">
        <f>INDEX(Остановки,MATCH(R2612,ИД_Остановки!$B$3:$B$467,0),1)</f>
        <v>135</v>
      </c>
      <c r="R2612" s="45" t="s">
        <v>83</v>
      </c>
      <c r="S2612" s="20">
        <v>0.72</v>
      </c>
    </row>
    <row r="2613" spans="8:19" x14ac:dyDescent="0.25">
      <c r="H2613">
        <v>16</v>
      </c>
      <c r="I2613">
        <v>230</v>
      </c>
      <c r="J2613">
        <v>110</v>
      </c>
      <c r="K2613" t="b">
        <v>1</v>
      </c>
      <c r="N2613" s="30" t="s">
        <v>583</v>
      </c>
      <c r="O2613" s="2">
        <f>INDEX(Маршруты,MATCH(N2613,$B$3:$B$498,0),1)</f>
        <v>113</v>
      </c>
      <c r="P2613" s="27">
        <v>1</v>
      </c>
      <c r="Q2613" s="2">
        <f>INDEX(Остановки,MATCH(R2613,ИД_Остановки!$B$3:$B$467,0),1)</f>
        <v>144</v>
      </c>
      <c r="R2613" s="45" t="s">
        <v>86</v>
      </c>
      <c r="S2613" s="20"/>
    </row>
    <row r="2614" spans="8:19" x14ac:dyDescent="0.25">
      <c r="H2614">
        <v>16</v>
      </c>
      <c r="I2614">
        <v>235</v>
      </c>
      <c r="J2614">
        <v>110</v>
      </c>
      <c r="K2614" t="b">
        <v>1</v>
      </c>
      <c r="N2614" s="30" t="s">
        <v>583</v>
      </c>
      <c r="O2614" s="2">
        <f>INDEX(Маршруты,MATCH(N2614,$B$3:$B$498,0),1)</f>
        <v>113</v>
      </c>
      <c r="P2614" s="27">
        <v>2</v>
      </c>
      <c r="Q2614" s="2">
        <f>INDEX(Остановки,MATCH(R2614,ИД_Остановки!$B$3:$B$467,0),1)</f>
        <v>390</v>
      </c>
      <c r="R2614" s="45" t="s">
        <v>447</v>
      </c>
      <c r="S2614" s="20">
        <v>0.45</v>
      </c>
    </row>
    <row r="2615" spans="8:19" x14ac:dyDescent="0.25">
      <c r="H2615">
        <v>16</v>
      </c>
      <c r="I2615">
        <v>240</v>
      </c>
      <c r="J2615">
        <v>110</v>
      </c>
      <c r="K2615" t="b">
        <v>1</v>
      </c>
      <c r="N2615" s="30" t="s">
        <v>583</v>
      </c>
      <c r="O2615" s="2">
        <f>INDEX(Маршруты,MATCH(N2615,$B$3:$B$498,0),1)</f>
        <v>113</v>
      </c>
      <c r="P2615" s="27">
        <v>3</v>
      </c>
      <c r="Q2615" s="2">
        <f>INDEX(Остановки,MATCH(R2615,ИД_Остановки!$B$3:$B$467,0),1)</f>
        <v>142</v>
      </c>
      <c r="R2615" s="45" t="s">
        <v>314</v>
      </c>
      <c r="S2615" s="20">
        <v>0.82</v>
      </c>
    </row>
    <row r="2616" spans="8:19" x14ac:dyDescent="0.25">
      <c r="H2616">
        <v>16</v>
      </c>
      <c r="I2616">
        <v>245</v>
      </c>
      <c r="J2616">
        <v>110</v>
      </c>
      <c r="K2616" t="b">
        <v>1</v>
      </c>
      <c r="N2616" s="25" t="s">
        <v>583</v>
      </c>
      <c r="O2616" s="2">
        <f>INDEX(Маршруты,MATCH(N2616,$B$3:$B$498,0),1)</f>
        <v>113</v>
      </c>
      <c r="P2616" s="27">
        <v>4</v>
      </c>
      <c r="Q2616" s="2">
        <f>INDEX(Остановки,MATCH(R2616,ИД_Остановки!$B$3:$B$467,0),1)</f>
        <v>300</v>
      </c>
      <c r="R2616" s="45" t="s">
        <v>169</v>
      </c>
      <c r="S2616" s="20">
        <v>0.37</v>
      </c>
    </row>
    <row r="2617" spans="8:19" x14ac:dyDescent="0.25">
      <c r="H2617">
        <v>16</v>
      </c>
      <c r="I2617">
        <v>250</v>
      </c>
      <c r="J2617">
        <v>110</v>
      </c>
      <c r="K2617" t="b">
        <v>1</v>
      </c>
      <c r="N2617" s="26" t="s">
        <v>583</v>
      </c>
      <c r="O2617" s="2">
        <f>INDEX(Маршруты,MATCH(N2617,$B$3:$B$498,0),1)</f>
        <v>113</v>
      </c>
      <c r="P2617" s="27">
        <v>5</v>
      </c>
      <c r="Q2617" s="2">
        <f>INDEX(Остановки,MATCH(R2617,ИД_Остановки!$B$3:$B$467,0),1)</f>
        <v>301</v>
      </c>
      <c r="R2617" s="45" t="s">
        <v>393</v>
      </c>
      <c r="S2617" s="20">
        <v>0.69</v>
      </c>
    </row>
    <row r="2618" spans="8:19" x14ac:dyDescent="0.25">
      <c r="H2618">
        <v>16</v>
      </c>
      <c r="I2618">
        <v>255</v>
      </c>
      <c r="J2618">
        <v>110</v>
      </c>
      <c r="K2618" t="b">
        <v>1</v>
      </c>
      <c r="N2618" s="30" t="s">
        <v>583</v>
      </c>
      <c r="O2618" s="2">
        <f>INDEX(Маршруты,MATCH(N2618,$B$3:$B$498,0),1)</f>
        <v>113</v>
      </c>
      <c r="P2618" s="27">
        <v>6</v>
      </c>
      <c r="Q2618" s="2">
        <f>INDEX(Остановки,MATCH(R2618,ИД_Остановки!$B$3:$B$467,0),1)</f>
        <v>139</v>
      </c>
      <c r="R2618" s="45" t="s">
        <v>311</v>
      </c>
      <c r="S2618" s="20">
        <v>0.83</v>
      </c>
    </row>
    <row r="2619" spans="8:19" x14ac:dyDescent="0.25">
      <c r="H2619">
        <v>16</v>
      </c>
      <c r="I2619">
        <v>260</v>
      </c>
      <c r="J2619">
        <v>110</v>
      </c>
      <c r="K2619" t="b">
        <v>1</v>
      </c>
      <c r="N2619" s="30" t="s">
        <v>583</v>
      </c>
      <c r="O2619" s="2">
        <f>INDEX(Маршруты,MATCH(N2619,$B$3:$B$498,0),1)</f>
        <v>113</v>
      </c>
      <c r="P2619" s="27">
        <v>7</v>
      </c>
      <c r="Q2619" s="2">
        <f>INDEX(Остановки,MATCH(R2619,ИД_Остановки!$B$3:$B$467,0),1)</f>
        <v>138</v>
      </c>
      <c r="R2619" s="45" t="s">
        <v>310</v>
      </c>
      <c r="S2619" s="20">
        <v>0.34</v>
      </c>
    </row>
    <row r="2620" spans="8:19" x14ac:dyDescent="0.25">
      <c r="H2620">
        <v>16</v>
      </c>
      <c r="I2620">
        <v>265</v>
      </c>
      <c r="J2620">
        <v>110</v>
      </c>
      <c r="K2620" t="b">
        <v>1</v>
      </c>
      <c r="N2620" s="25" t="s">
        <v>583</v>
      </c>
      <c r="O2620" s="2">
        <f>INDEX(Маршруты,MATCH(N2620,$B$3:$B$498,0),1)</f>
        <v>113</v>
      </c>
      <c r="P2620" s="27">
        <v>8</v>
      </c>
      <c r="Q2620" s="2">
        <f>INDEX(Остановки,MATCH(R2620,ИД_Остановки!$B$3:$B$467,0),1)</f>
        <v>137</v>
      </c>
      <c r="R2620" s="45" t="s">
        <v>309</v>
      </c>
      <c r="S2620" s="20">
        <v>0.6</v>
      </c>
    </row>
    <row r="2621" spans="8:19" x14ac:dyDescent="0.25">
      <c r="H2621">
        <v>16</v>
      </c>
      <c r="I2621">
        <v>270</v>
      </c>
      <c r="J2621">
        <v>110</v>
      </c>
      <c r="K2621" t="b">
        <v>1</v>
      </c>
      <c r="N2621" s="30" t="s">
        <v>583</v>
      </c>
      <c r="O2621" s="2">
        <f>INDEX(Маршруты,MATCH(N2621,$B$3:$B$498,0),1)</f>
        <v>113</v>
      </c>
      <c r="P2621" s="27">
        <v>9</v>
      </c>
      <c r="Q2621" s="2">
        <f>INDEX(Остановки,MATCH(R2621,ИД_Остановки!$B$3:$B$467,0),1)</f>
        <v>346</v>
      </c>
      <c r="R2621" s="45" t="s">
        <v>413</v>
      </c>
      <c r="S2621" s="20">
        <v>0.78</v>
      </c>
    </row>
    <row r="2622" spans="8:19" x14ac:dyDescent="0.25">
      <c r="H2622">
        <v>16</v>
      </c>
      <c r="I2622">
        <v>275</v>
      </c>
      <c r="J2622">
        <v>110</v>
      </c>
      <c r="K2622" t="b">
        <v>1</v>
      </c>
      <c r="N2622" s="30" t="s">
        <v>583</v>
      </c>
      <c r="O2622" s="2">
        <f>INDEX(Маршруты,MATCH(N2622,$B$3:$B$498,0),1)</f>
        <v>113</v>
      </c>
      <c r="P2622" s="28">
        <v>10</v>
      </c>
      <c r="Q2622" s="2">
        <f>INDEX(Остановки,MATCH(R2622,ИД_Остановки!$B$3:$B$467,0),1)</f>
        <v>347</v>
      </c>
      <c r="R2622" s="24" t="s">
        <v>414</v>
      </c>
      <c r="S2622" s="20">
        <v>0.7</v>
      </c>
    </row>
    <row r="2623" spans="8:19" x14ac:dyDescent="0.25">
      <c r="H2623">
        <v>16</v>
      </c>
      <c r="I2623">
        <v>280</v>
      </c>
      <c r="J2623">
        <v>110</v>
      </c>
      <c r="K2623" t="b">
        <v>1</v>
      </c>
      <c r="N2623" s="26" t="s">
        <v>583</v>
      </c>
      <c r="O2623" s="2">
        <f>INDEX(Маршруты,MATCH(N2623,$B$3:$B$498,0),1)</f>
        <v>113</v>
      </c>
      <c r="P2623" s="27">
        <v>11</v>
      </c>
      <c r="Q2623" s="2">
        <f>INDEX(Остановки,MATCH(R2623,ИД_Остановки!$B$3:$B$467,0),1)</f>
        <v>348</v>
      </c>
      <c r="R2623" s="45" t="s">
        <v>415</v>
      </c>
      <c r="S2623" s="20">
        <v>0.32</v>
      </c>
    </row>
    <row r="2624" spans="8:19" x14ac:dyDescent="0.25">
      <c r="H2624">
        <v>16</v>
      </c>
      <c r="I2624">
        <v>285</v>
      </c>
      <c r="J2624">
        <v>110</v>
      </c>
      <c r="K2624" t="b">
        <v>1</v>
      </c>
      <c r="N2624" s="25" t="s">
        <v>583</v>
      </c>
      <c r="O2624" s="2">
        <f>INDEX(Маршруты,MATCH(N2624,$B$3:$B$498,0),1)</f>
        <v>113</v>
      </c>
      <c r="P2624" s="27">
        <v>12</v>
      </c>
      <c r="Q2624" s="2">
        <f>INDEX(Остановки,MATCH(R2624,ИД_Остановки!$B$3:$B$467,0),1)</f>
        <v>161</v>
      </c>
      <c r="R2624" s="45" t="s">
        <v>90</v>
      </c>
      <c r="S2624" s="20">
        <v>0.95</v>
      </c>
    </row>
    <row r="2625" spans="8:19" x14ac:dyDescent="0.25">
      <c r="H2625">
        <v>16</v>
      </c>
      <c r="I2625">
        <v>290</v>
      </c>
      <c r="J2625">
        <v>110</v>
      </c>
      <c r="K2625" t="b">
        <v>1</v>
      </c>
      <c r="N2625" s="30" t="s">
        <v>583</v>
      </c>
      <c r="O2625" s="2">
        <f>INDEX(Маршруты,MATCH(N2625,$B$3:$B$498,0),1)</f>
        <v>113</v>
      </c>
      <c r="P2625" s="27">
        <v>13</v>
      </c>
      <c r="Q2625" s="2">
        <f>INDEX(Остановки,MATCH(R2625,ИД_Остановки!$B$3:$B$467,0),1)</f>
        <v>105</v>
      </c>
      <c r="R2625" s="45" t="s">
        <v>290</v>
      </c>
      <c r="S2625" s="20">
        <v>1.18</v>
      </c>
    </row>
    <row r="2626" spans="8:19" x14ac:dyDescent="0.25">
      <c r="H2626">
        <v>16</v>
      </c>
      <c r="I2626">
        <v>295</v>
      </c>
      <c r="J2626">
        <v>110</v>
      </c>
      <c r="K2626" t="b">
        <v>1</v>
      </c>
      <c r="N2626" s="25" t="s">
        <v>583</v>
      </c>
      <c r="O2626" s="2">
        <f>INDEX(Маршруты,MATCH(N2626,$B$3:$B$498,0),1)</f>
        <v>113</v>
      </c>
      <c r="P2626" s="27">
        <v>14</v>
      </c>
      <c r="Q2626" s="2">
        <f>INDEX(Остановки,MATCH(R2626,ИД_Остановки!$B$3:$B$467,0),1)</f>
        <v>84</v>
      </c>
      <c r="R2626" s="45" t="s">
        <v>281</v>
      </c>
      <c r="S2626" s="20">
        <v>0.54</v>
      </c>
    </row>
    <row r="2627" spans="8:19" x14ac:dyDescent="0.25">
      <c r="H2627">
        <v>16</v>
      </c>
      <c r="I2627">
        <v>300</v>
      </c>
      <c r="J2627">
        <v>110</v>
      </c>
      <c r="K2627" t="b">
        <v>1</v>
      </c>
      <c r="N2627" s="25" t="s">
        <v>583</v>
      </c>
      <c r="O2627" s="2">
        <f>INDEX(Маршруты,MATCH(N2627,$B$3:$B$498,0),1)</f>
        <v>113</v>
      </c>
      <c r="P2627" s="28">
        <v>15</v>
      </c>
      <c r="Q2627" s="2">
        <f>INDEX(Остановки,MATCH(R2627,ИД_Остановки!$B$3:$B$467,0),1)</f>
        <v>380</v>
      </c>
      <c r="R2627" s="24" t="s">
        <v>438</v>
      </c>
      <c r="S2627" s="20">
        <v>0.39</v>
      </c>
    </row>
    <row r="2628" spans="8:19" x14ac:dyDescent="0.25">
      <c r="H2628">
        <v>16</v>
      </c>
      <c r="I2628">
        <v>305</v>
      </c>
      <c r="J2628">
        <v>110</v>
      </c>
      <c r="K2628" t="b">
        <v>1</v>
      </c>
      <c r="N2628" s="26" t="s">
        <v>583</v>
      </c>
      <c r="O2628" s="2">
        <f>INDEX(Маршруты,MATCH(N2628,$B$3:$B$498,0),1)</f>
        <v>113</v>
      </c>
      <c r="P2628" s="27">
        <v>16</v>
      </c>
      <c r="Q2628" s="2">
        <f>INDEX(Остановки,MATCH(R2628,ИД_Остановки!$B$3:$B$467,0),1)</f>
        <v>103</v>
      </c>
      <c r="R2628" s="45" t="s">
        <v>288</v>
      </c>
      <c r="S2628" s="20">
        <v>0.5</v>
      </c>
    </row>
    <row r="2629" spans="8:19" x14ac:dyDescent="0.25">
      <c r="H2629">
        <v>16</v>
      </c>
      <c r="I2629">
        <v>310</v>
      </c>
      <c r="J2629">
        <v>110</v>
      </c>
      <c r="K2629" t="b">
        <v>1</v>
      </c>
      <c r="N2629" s="30" t="s">
        <v>583</v>
      </c>
      <c r="O2629" s="2">
        <f>INDEX(Маршруты,MATCH(N2629,$B$3:$B$498,0),1)</f>
        <v>113</v>
      </c>
      <c r="P2629" s="27">
        <v>17</v>
      </c>
      <c r="Q2629" s="2">
        <f>INDEX(Остановки,MATCH(R2629,ИД_Остановки!$B$3:$B$467,0),1)</f>
        <v>83</v>
      </c>
      <c r="R2629" s="45" t="s">
        <v>280</v>
      </c>
      <c r="S2629" s="20">
        <v>0.3</v>
      </c>
    </row>
    <row r="2630" spans="8:19" x14ac:dyDescent="0.25">
      <c r="H2630">
        <v>16</v>
      </c>
      <c r="I2630">
        <v>315</v>
      </c>
      <c r="J2630">
        <v>110</v>
      </c>
      <c r="K2630" t="b">
        <v>1</v>
      </c>
      <c r="N2630" s="25" t="s">
        <v>583</v>
      </c>
      <c r="O2630" s="2">
        <f>INDEX(Маршруты,MATCH(N2630,$B$3:$B$498,0),1)</f>
        <v>113</v>
      </c>
      <c r="P2630" s="27">
        <v>18</v>
      </c>
      <c r="Q2630" s="2">
        <f>INDEX(Остановки,MATCH(R2630,ИД_Остановки!$B$3:$B$467,0),1)</f>
        <v>146</v>
      </c>
      <c r="R2630" s="45" t="s">
        <v>315</v>
      </c>
      <c r="S2630" s="20">
        <v>0.44</v>
      </c>
    </row>
    <row r="2631" spans="8:19" x14ac:dyDescent="0.25">
      <c r="H2631">
        <v>16</v>
      </c>
      <c r="I2631">
        <v>320</v>
      </c>
      <c r="J2631">
        <v>110</v>
      </c>
      <c r="K2631" t="b">
        <v>1</v>
      </c>
      <c r="N2631" s="26" t="s">
        <v>583</v>
      </c>
      <c r="O2631" s="2">
        <f>INDEX(Маршруты,MATCH(N2631,$B$3:$B$498,0),1)</f>
        <v>113</v>
      </c>
      <c r="P2631" s="27">
        <v>19</v>
      </c>
      <c r="Q2631" s="2">
        <f>INDEX(Остановки,MATCH(R2631,ИД_Остановки!$B$3:$B$467,0),1)</f>
        <v>82</v>
      </c>
      <c r="R2631" s="45" t="s">
        <v>59</v>
      </c>
      <c r="S2631" s="20">
        <v>0.47</v>
      </c>
    </row>
    <row r="2632" spans="8:19" x14ac:dyDescent="0.25">
      <c r="H2632">
        <v>16</v>
      </c>
      <c r="I2632">
        <v>325</v>
      </c>
      <c r="J2632">
        <v>110</v>
      </c>
      <c r="K2632" t="b">
        <v>1</v>
      </c>
      <c r="N2632" s="30" t="s">
        <v>583</v>
      </c>
      <c r="O2632" s="2">
        <f>INDEX(Маршруты,MATCH(N2632,$B$3:$B$498,0),1)</f>
        <v>113</v>
      </c>
      <c r="P2632" s="27">
        <v>20</v>
      </c>
      <c r="Q2632" s="2">
        <f>INDEX(Остановки,MATCH(R2632,ИД_Остановки!$B$3:$B$467,0),1)</f>
        <v>93</v>
      </c>
      <c r="R2632" s="45" t="s">
        <v>65</v>
      </c>
      <c r="S2632" s="20">
        <v>0.52</v>
      </c>
    </row>
    <row r="2633" spans="8:19" x14ac:dyDescent="0.25">
      <c r="H2633">
        <v>16</v>
      </c>
      <c r="I2633">
        <v>330</v>
      </c>
      <c r="J2633">
        <v>110</v>
      </c>
      <c r="K2633" t="b">
        <v>1</v>
      </c>
      <c r="N2633" s="30" t="s">
        <v>583</v>
      </c>
      <c r="O2633" s="2">
        <f>INDEX(Маршруты,MATCH(N2633,$B$3:$B$498,0),1)</f>
        <v>113</v>
      </c>
      <c r="P2633" s="27">
        <v>21</v>
      </c>
      <c r="Q2633" s="2">
        <f>INDEX(Остановки,MATCH(R2633,ИД_Остановки!$B$3:$B$467,0),1)</f>
        <v>33</v>
      </c>
      <c r="R2633" s="45" t="s">
        <v>29</v>
      </c>
      <c r="S2633" s="20">
        <v>0.52</v>
      </c>
    </row>
    <row r="2634" spans="8:19" x14ac:dyDescent="0.25">
      <c r="H2634">
        <v>16</v>
      </c>
      <c r="I2634">
        <v>335</v>
      </c>
      <c r="J2634">
        <v>110</v>
      </c>
      <c r="K2634" t="b">
        <v>1</v>
      </c>
      <c r="N2634" s="25" t="s">
        <v>583</v>
      </c>
      <c r="O2634" s="2">
        <f>INDEX(Маршруты,MATCH(N2634,$B$3:$B$498,0),1)</f>
        <v>113</v>
      </c>
      <c r="P2634" s="27">
        <v>22</v>
      </c>
      <c r="Q2634" s="2">
        <f>INDEX(Остановки,MATCH(R2634,ИД_Остановки!$B$3:$B$467,0),1)</f>
        <v>204</v>
      </c>
      <c r="R2634" s="45" t="s">
        <v>342</v>
      </c>
      <c r="S2634" s="20">
        <v>0.3</v>
      </c>
    </row>
    <row r="2635" spans="8:19" x14ac:dyDescent="0.25">
      <c r="H2635">
        <v>16</v>
      </c>
      <c r="I2635">
        <v>340</v>
      </c>
      <c r="J2635">
        <v>110</v>
      </c>
      <c r="K2635" t="b">
        <v>1</v>
      </c>
      <c r="N2635" s="24" t="s">
        <v>583</v>
      </c>
      <c r="O2635" s="2">
        <f>INDEX(Маршруты,MATCH(N2635,$B$3:$B$498,0),1)</f>
        <v>113</v>
      </c>
      <c r="P2635" s="27">
        <v>23</v>
      </c>
      <c r="Q2635" s="2">
        <f>INDEX(Остановки,MATCH(R2635,ИД_Остановки!$B$3:$B$467,0),1)</f>
        <v>102</v>
      </c>
      <c r="R2635" s="45" t="s">
        <v>72</v>
      </c>
      <c r="S2635" s="20">
        <v>0.42</v>
      </c>
    </row>
    <row r="2636" spans="8:19" x14ac:dyDescent="0.25">
      <c r="H2636">
        <v>16</v>
      </c>
      <c r="I2636">
        <v>345</v>
      </c>
      <c r="J2636">
        <v>110</v>
      </c>
      <c r="K2636" t="b">
        <v>1</v>
      </c>
      <c r="N2636" s="25" t="s">
        <v>583</v>
      </c>
      <c r="O2636" s="2">
        <f>INDEX(Маршруты,MATCH(N2636,$B$3:$B$498,0),1)</f>
        <v>113</v>
      </c>
      <c r="P2636" s="27">
        <v>24</v>
      </c>
      <c r="Q2636" s="2">
        <f>INDEX(Остановки,MATCH(R2636,ИД_Остановки!$B$3:$B$467,0),1)</f>
        <v>349</v>
      </c>
      <c r="R2636" s="45" t="s">
        <v>58</v>
      </c>
      <c r="S2636" s="20">
        <v>0.47</v>
      </c>
    </row>
    <row r="2637" spans="8:19" x14ac:dyDescent="0.25">
      <c r="H2637">
        <v>16</v>
      </c>
      <c r="I2637">
        <v>350</v>
      </c>
      <c r="J2637">
        <v>110</v>
      </c>
      <c r="K2637" t="b">
        <v>1</v>
      </c>
      <c r="N2637" s="25" t="s">
        <v>583</v>
      </c>
      <c r="O2637" s="2">
        <f>INDEX(Маршруты,MATCH(N2637,$B$3:$B$498,0),1)</f>
        <v>113</v>
      </c>
      <c r="P2637" s="27">
        <v>25</v>
      </c>
      <c r="Q2637" s="2">
        <f>INDEX(Остановки,MATCH(R2637,ИД_Остановки!$B$3:$B$467,0),1)</f>
        <v>101</v>
      </c>
      <c r="R2637" s="45" t="s">
        <v>71</v>
      </c>
      <c r="S2637" s="20">
        <v>0.28999999999999998</v>
      </c>
    </row>
    <row r="2638" spans="8:19" x14ac:dyDescent="0.25">
      <c r="H2638">
        <v>16</v>
      </c>
      <c r="I2638">
        <v>355</v>
      </c>
      <c r="J2638">
        <v>110</v>
      </c>
      <c r="K2638" t="b">
        <v>1</v>
      </c>
      <c r="N2638" s="25" t="s">
        <v>583</v>
      </c>
      <c r="O2638" s="2">
        <f>INDEX(Маршруты,MATCH(N2638,$B$3:$B$498,0),1)</f>
        <v>113</v>
      </c>
      <c r="P2638" s="27">
        <v>26</v>
      </c>
      <c r="Q2638" s="2">
        <f>INDEX(Остановки,MATCH(R2638,ИД_Остановки!$B$3:$B$467,0),1)</f>
        <v>100</v>
      </c>
      <c r="R2638" s="45" t="s">
        <v>70</v>
      </c>
      <c r="S2638" s="20">
        <v>0.62</v>
      </c>
    </row>
    <row r="2639" spans="8:19" x14ac:dyDescent="0.25">
      <c r="H2639">
        <v>16</v>
      </c>
      <c r="I2639">
        <v>360</v>
      </c>
      <c r="J2639">
        <v>110</v>
      </c>
      <c r="K2639" t="b">
        <v>1</v>
      </c>
      <c r="N2639" s="30" t="s">
        <v>583</v>
      </c>
      <c r="O2639" s="2">
        <f>INDEX(Маршруты,MATCH(N2639,$B$3:$B$498,0),1)</f>
        <v>113</v>
      </c>
      <c r="P2639" s="27">
        <v>27</v>
      </c>
      <c r="Q2639" s="2">
        <f>INDEX(Остановки,MATCH(R2639,ИД_Остановки!$B$3:$B$467,0),1)</f>
        <v>99</v>
      </c>
      <c r="R2639" s="45" t="s">
        <v>287</v>
      </c>
      <c r="S2639" s="20">
        <v>0.86</v>
      </c>
    </row>
    <row r="2640" spans="8:19" x14ac:dyDescent="0.25">
      <c r="H2640">
        <v>16</v>
      </c>
      <c r="I2640">
        <v>365</v>
      </c>
      <c r="J2640">
        <v>110</v>
      </c>
      <c r="K2640" t="b">
        <v>1</v>
      </c>
      <c r="N2640" s="30" t="s">
        <v>583</v>
      </c>
      <c r="O2640" s="2">
        <f>INDEX(Маршруты,MATCH(N2640,$B$3:$B$498,0),1)</f>
        <v>113</v>
      </c>
      <c r="P2640" s="27">
        <v>28</v>
      </c>
      <c r="Q2640" s="2">
        <f>INDEX(Остановки,MATCH(R2640,ИД_Остановки!$B$3:$B$467,0),1)</f>
        <v>98</v>
      </c>
      <c r="R2640" s="45" t="s">
        <v>286</v>
      </c>
      <c r="S2640" s="20">
        <v>0.16</v>
      </c>
    </row>
    <row r="2641" spans="8:19" x14ac:dyDescent="0.25">
      <c r="H2641">
        <v>16</v>
      </c>
      <c r="I2641">
        <v>370</v>
      </c>
      <c r="J2641">
        <v>110</v>
      </c>
      <c r="K2641" t="b">
        <v>1</v>
      </c>
      <c r="N2641" s="30" t="s">
        <v>583</v>
      </c>
      <c r="O2641" s="2">
        <f>INDEX(Маршруты,MATCH(N2641,$B$3:$B$498,0),1)</f>
        <v>113</v>
      </c>
      <c r="P2641" s="27">
        <v>29</v>
      </c>
      <c r="Q2641" s="2">
        <f>INDEX(Остановки,MATCH(R2641,ИД_Остановки!$B$3:$B$467,0),1)</f>
        <v>231</v>
      </c>
      <c r="R2641" s="45" t="s">
        <v>360</v>
      </c>
      <c r="S2641" s="20">
        <v>0.42</v>
      </c>
    </row>
    <row r="2642" spans="8:19" x14ac:dyDescent="0.25">
      <c r="H2642">
        <v>16</v>
      </c>
      <c r="I2642">
        <v>375</v>
      </c>
      <c r="J2642">
        <v>110</v>
      </c>
      <c r="K2642" t="b">
        <v>1</v>
      </c>
      <c r="N2642" s="32" t="s">
        <v>584</v>
      </c>
      <c r="O2642" s="2">
        <f>INDEX(Маршруты,MATCH(N2642,$B$3:$B$498,0),1)</f>
        <v>114</v>
      </c>
      <c r="P2642" s="27">
        <v>1</v>
      </c>
      <c r="Q2642" s="2">
        <f>INDEX(Остановки,MATCH(R2642,ИД_Остановки!$B$3:$B$467,0),1)</f>
        <v>231</v>
      </c>
      <c r="R2642" s="45" t="s">
        <v>360</v>
      </c>
      <c r="S2642" s="20"/>
    </row>
    <row r="2643" spans="8:19" x14ac:dyDescent="0.25">
      <c r="H2643">
        <v>16</v>
      </c>
      <c r="I2643">
        <v>380</v>
      </c>
      <c r="J2643">
        <v>110</v>
      </c>
      <c r="K2643" t="b">
        <v>1</v>
      </c>
      <c r="N2643" s="30" t="s">
        <v>584</v>
      </c>
      <c r="O2643" s="2">
        <f>INDEX(Маршруты,MATCH(N2643,$B$3:$B$498,0),1)</f>
        <v>114</v>
      </c>
      <c r="P2643" s="27">
        <v>2</v>
      </c>
      <c r="Q2643" s="2">
        <f>INDEX(Остановки,MATCH(R2643,ИД_Остановки!$B$3:$B$467,0),1)</f>
        <v>98</v>
      </c>
      <c r="R2643" s="45" t="s">
        <v>286</v>
      </c>
      <c r="S2643" s="20">
        <v>0.42</v>
      </c>
    </row>
    <row r="2644" spans="8:19" x14ac:dyDescent="0.25">
      <c r="H2644">
        <v>16</v>
      </c>
      <c r="I2644">
        <v>385</v>
      </c>
      <c r="J2644">
        <v>110</v>
      </c>
      <c r="K2644" t="b">
        <v>1</v>
      </c>
      <c r="N2644" s="30" t="s">
        <v>584</v>
      </c>
      <c r="O2644" s="2">
        <f>INDEX(Маршруты,MATCH(N2644,$B$3:$B$498,0),1)</f>
        <v>114</v>
      </c>
      <c r="P2644" s="27">
        <v>3</v>
      </c>
      <c r="Q2644" s="2">
        <f>INDEX(Остановки,MATCH(R2644,ИД_Остановки!$B$3:$B$467,0),1)</f>
        <v>99</v>
      </c>
      <c r="R2644" s="45" t="s">
        <v>287</v>
      </c>
      <c r="S2644" s="20">
        <v>0.16</v>
      </c>
    </row>
    <row r="2645" spans="8:19" x14ac:dyDescent="0.25">
      <c r="H2645">
        <v>16</v>
      </c>
      <c r="I2645">
        <v>390</v>
      </c>
      <c r="J2645">
        <v>110</v>
      </c>
      <c r="K2645" t="b">
        <v>1</v>
      </c>
      <c r="N2645" s="26" t="s">
        <v>584</v>
      </c>
      <c r="O2645" s="2">
        <f>INDEX(Маршруты,MATCH(N2645,$B$3:$B$498,0),1)</f>
        <v>114</v>
      </c>
      <c r="P2645" s="27">
        <v>4</v>
      </c>
      <c r="Q2645" s="2">
        <f>INDEX(Остановки,MATCH(R2645,ИД_Остановки!$B$3:$B$467,0),1)</f>
        <v>100</v>
      </c>
      <c r="R2645" s="45" t="s">
        <v>70</v>
      </c>
      <c r="S2645" s="20">
        <v>0.86</v>
      </c>
    </row>
    <row r="2646" spans="8:19" x14ac:dyDescent="0.25">
      <c r="H2646">
        <v>16</v>
      </c>
      <c r="I2646">
        <v>395</v>
      </c>
      <c r="J2646">
        <v>110</v>
      </c>
      <c r="K2646" t="b">
        <v>1</v>
      </c>
      <c r="N2646" s="25" t="s">
        <v>584</v>
      </c>
      <c r="O2646" s="2">
        <f>INDEX(Маршруты,MATCH(N2646,$B$3:$B$498,0),1)</f>
        <v>114</v>
      </c>
      <c r="P2646" s="27">
        <v>5</v>
      </c>
      <c r="Q2646" s="2">
        <f>INDEX(Остановки,MATCH(R2646,ИД_Остановки!$B$3:$B$467,0),1)</f>
        <v>101</v>
      </c>
      <c r="R2646" s="45" t="s">
        <v>71</v>
      </c>
      <c r="S2646" s="20">
        <v>0.62</v>
      </c>
    </row>
    <row r="2647" spans="8:19" x14ac:dyDescent="0.25">
      <c r="H2647">
        <v>16</v>
      </c>
      <c r="I2647">
        <v>400</v>
      </c>
      <c r="J2647">
        <v>110</v>
      </c>
      <c r="K2647" t="b">
        <v>1</v>
      </c>
      <c r="N2647" s="25" t="s">
        <v>584</v>
      </c>
      <c r="O2647" s="2">
        <f>INDEX(Маршруты,MATCH(N2647,$B$3:$B$498,0),1)</f>
        <v>114</v>
      </c>
      <c r="P2647" s="27">
        <v>6</v>
      </c>
      <c r="Q2647" s="2">
        <f>INDEX(Остановки,MATCH(R2647,ИД_Остановки!$B$3:$B$467,0),1)</f>
        <v>349</v>
      </c>
      <c r="R2647" s="45" t="s">
        <v>58</v>
      </c>
      <c r="S2647" s="20">
        <v>0.28999999999999998</v>
      </c>
    </row>
    <row r="2648" spans="8:19" x14ac:dyDescent="0.25">
      <c r="H2648">
        <v>16</v>
      </c>
      <c r="I2648">
        <v>405</v>
      </c>
      <c r="J2648">
        <v>110</v>
      </c>
      <c r="K2648" t="b">
        <v>1</v>
      </c>
      <c r="N2648" s="25" t="s">
        <v>584</v>
      </c>
      <c r="O2648" s="2">
        <f>INDEX(Маршруты,MATCH(N2648,$B$3:$B$498,0),1)</f>
        <v>114</v>
      </c>
      <c r="P2648" s="27">
        <v>7</v>
      </c>
      <c r="Q2648" s="2">
        <f>INDEX(Остановки,MATCH(R2648,ИД_Остановки!$B$3:$B$467,0),1)</f>
        <v>102</v>
      </c>
      <c r="R2648" s="45" t="s">
        <v>72</v>
      </c>
      <c r="S2648" s="20">
        <v>0.47</v>
      </c>
    </row>
    <row r="2649" spans="8:19" x14ac:dyDescent="0.25">
      <c r="H2649">
        <v>16</v>
      </c>
      <c r="I2649">
        <v>410</v>
      </c>
      <c r="J2649">
        <v>110</v>
      </c>
      <c r="K2649" t="b">
        <v>1</v>
      </c>
      <c r="N2649" s="30" t="s">
        <v>584</v>
      </c>
      <c r="O2649" s="2">
        <f>INDEX(Маршруты,MATCH(N2649,$B$3:$B$498,0),1)</f>
        <v>114</v>
      </c>
      <c r="P2649" s="27">
        <v>8</v>
      </c>
      <c r="Q2649" s="2">
        <f>INDEX(Остановки,MATCH(R2649,ИД_Остановки!$B$3:$B$467,0),1)</f>
        <v>204</v>
      </c>
      <c r="R2649" s="45" t="s">
        <v>342</v>
      </c>
      <c r="S2649" s="20">
        <v>0.42</v>
      </c>
    </row>
    <row r="2650" spans="8:19" x14ac:dyDescent="0.25">
      <c r="H2650">
        <v>16</v>
      </c>
      <c r="I2650">
        <v>415</v>
      </c>
      <c r="J2650">
        <v>110</v>
      </c>
      <c r="K2650" t="b">
        <v>1</v>
      </c>
      <c r="N2650" s="25" t="s">
        <v>584</v>
      </c>
      <c r="O2650" s="2">
        <f>INDEX(Маршруты,MATCH(N2650,$B$3:$B$498,0),1)</f>
        <v>114</v>
      </c>
      <c r="P2650" s="27">
        <v>9</v>
      </c>
      <c r="Q2650" s="2">
        <f>INDEX(Остановки,MATCH(R2650,ИД_Остановки!$B$3:$B$467,0),1)</f>
        <v>33</v>
      </c>
      <c r="R2650" s="45" t="s">
        <v>29</v>
      </c>
      <c r="S2650" s="20">
        <v>0.3</v>
      </c>
    </row>
    <row r="2651" spans="8:19" x14ac:dyDescent="0.25">
      <c r="H2651">
        <v>16</v>
      </c>
      <c r="I2651">
        <v>420</v>
      </c>
      <c r="J2651">
        <v>110</v>
      </c>
      <c r="K2651" t="b">
        <v>1</v>
      </c>
      <c r="N2651" s="25" t="s">
        <v>584</v>
      </c>
      <c r="O2651" s="2">
        <f>INDEX(Маршруты,MATCH(N2651,$B$3:$B$498,0),1)</f>
        <v>114</v>
      </c>
      <c r="P2651" s="27">
        <v>10</v>
      </c>
      <c r="Q2651" s="2">
        <f>INDEX(Остановки,MATCH(R2651,ИД_Остановки!$B$3:$B$467,0),1)</f>
        <v>93</v>
      </c>
      <c r="R2651" s="45" t="s">
        <v>65</v>
      </c>
      <c r="S2651" s="20">
        <v>0.52</v>
      </c>
    </row>
    <row r="2652" spans="8:19" x14ac:dyDescent="0.25">
      <c r="H2652">
        <v>16</v>
      </c>
      <c r="I2652">
        <v>425</v>
      </c>
      <c r="J2652">
        <v>110</v>
      </c>
      <c r="K2652" t="b">
        <v>1</v>
      </c>
      <c r="N2652" s="25" t="s">
        <v>584</v>
      </c>
      <c r="O2652" s="2">
        <f>INDEX(Маршруты,MATCH(N2652,$B$3:$B$498,0),1)</f>
        <v>114</v>
      </c>
      <c r="P2652" s="27">
        <v>11</v>
      </c>
      <c r="Q2652" s="2">
        <f>INDEX(Остановки,MATCH(R2652,ИД_Остановки!$B$3:$B$467,0),1)</f>
        <v>82</v>
      </c>
      <c r="R2652" s="45" t="s">
        <v>59</v>
      </c>
      <c r="S2652" s="20">
        <v>0.52</v>
      </c>
    </row>
    <row r="2653" spans="8:19" x14ac:dyDescent="0.25">
      <c r="H2653">
        <v>16</v>
      </c>
      <c r="I2653">
        <v>430</v>
      </c>
      <c r="J2653">
        <v>110</v>
      </c>
      <c r="K2653" t="b">
        <v>1</v>
      </c>
      <c r="N2653" s="25" t="s">
        <v>584</v>
      </c>
      <c r="O2653" s="2">
        <f>INDEX(Маршруты,MATCH(N2653,$B$3:$B$498,0),1)</f>
        <v>114</v>
      </c>
      <c r="P2653" s="27">
        <v>12</v>
      </c>
      <c r="Q2653" s="2">
        <f>INDEX(Остановки,MATCH(R2653,ИД_Остановки!$B$3:$B$467,0),1)</f>
        <v>146</v>
      </c>
      <c r="R2653" s="45" t="s">
        <v>315</v>
      </c>
      <c r="S2653" s="20">
        <v>0.47</v>
      </c>
    </row>
    <row r="2654" spans="8:19" x14ac:dyDescent="0.25">
      <c r="H2654">
        <v>16</v>
      </c>
      <c r="I2654">
        <v>435</v>
      </c>
      <c r="J2654">
        <v>110</v>
      </c>
      <c r="K2654" t="b">
        <v>1</v>
      </c>
      <c r="N2654" s="26" t="s">
        <v>584</v>
      </c>
      <c r="O2654" s="2">
        <f>INDEX(Маршруты,MATCH(N2654,$B$3:$B$498,0),1)</f>
        <v>114</v>
      </c>
      <c r="P2654" s="27">
        <v>13</v>
      </c>
      <c r="Q2654" s="2">
        <f>INDEX(Остановки,MATCH(R2654,ИД_Остановки!$B$3:$B$467,0),1)</f>
        <v>83</v>
      </c>
      <c r="R2654" s="45" t="s">
        <v>280</v>
      </c>
      <c r="S2654" s="20">
        <v>0.44</v>
      </c>
    </row>
    <row r="2655" spans="8:19" x14ac:dyDescent="0.25">
      <c r="H2655">
        <v>16</v>
      </c>
      <c r="I2655">
        <v>440</v>
      </c>
      <c r="J2655">
        <v>110</v>
      </c>
      <c r="K2655" t="b">
        <v>1</v>
      </c>
      <c r="N2655" s="25" t="s">
        <v>584</v>
      </c>
      <c r="O2655" s="2">
        <f>INDEX(Маршруты,MATCH(N2655,$B$3:$B$498,0),1)</f>
        <v>114</v>
      </c>
      <c r="P2655" s="27">
        <v>14</v>
      </c>
      <c r="Q2655" s="2">
        <f>INDEX(Остановки,MATCH(R2655,ИД_Остановки!$B$3:$B$467,0),1)</f>
        <v>103</v>
      </c>
      <c r="R2655" s="45" t="s">
        <v>288</v>
      </c>
      <c r="S2655" s="20">
        <v>0.3</v>
      </c>
    </row>
    <row r="2656" spans="8:19" x14ac:dyDescent="0.25">
      <c r="H2656">
        <v>16</v>
      </c>
      <c r="I2656">
        <v>445</v>
      </c>
      <c r="J2656">
        <v>110</v>
      </c>
      <c r="K2656" t="b">
        <v>1</v>
      </c>
      <c r="N2656" s="30" t="s">
        <v>584</v>
      </c>
      <c r="O2656" s="2">
        <f>INDEX(Маршруты,MATCH(N2656,$B$3:$B$498,0),1)</f>
        <v>114</v>
      </c>
      <c r="P2656" s="27">
        <v>15</v>
      </c>
      <c r="Q2656" s="2">
        <f>INDEX(Остановки,MATCH(R2656,ИД_Остановки!$B$3:$B$467,0),1)</f>
        <v>380</v>
      </c>
      <c r="R2656" s="45" t="s">
        <v>438</v>
      </c>
      <c r="S2656" s="20">
        <v>0.5</v>
      </c>
    </row>
    <row r="2657" spans="8:19" x14ac:dyDescent="0.25">
      <c r="H2657">
        <v>16</v>
      </c>
      <c r="I2657">
        <v>450</v>
      </c>
      <c r="J2657">
        <v>110</v>
      </c>
      <c r="K2657" t="b">
        <v>1</v>
      </c>
      <c r="N2657" s="25" t="s">
        <v>584</v>
      </c>
      <c r="O2657" s="2">
        <f>INDEX(Маршруты,MATCH(N2657,$B$3:$B$498,0),1)</f>
        <v>114</v>
      </c>
      <c r="P2657" s="27">
        <v>16</v>
      </c>
      <c r="Q2657" s="2">
        <f>INDEX(Остановки,MATCH(R2657,ИД_Остановки!$B$3:$B$467,0),1)</f>
        <v>84</v>
      </c>
      <c r="R2657" s="45" t="s">
        <v>281</v>
      </c>
      <c r="S2657" s="20">
        <v>0.39</v>
      </c>
    </row>
    <row r="2658" spans="8:19" x14ac:dyDescent="0.25">
      <c r="H2658">
        <v>16</v>
      </c>
      <c r="I2658">
        <v>455</v>
      </c>
      <c r="J2658">
        <v>110</v>
      </c>
      <c r="K2658" t="b">
        <v>1</v>
      </c>
      <c r="N2658" s="30" t="s">
        <v>584</v>
      </c>
      <c r="O2658" s="2">
        <f>INDEX(Маршруты,MATCH(N2658,$B$3:$B$498,0),1)</f>
        <v>114</v>
      </c>
      <c r="P2658" s="27">
        <v>17</v>
      </c>
      <c r="Q2658" s="2">
        <f>INDEX(Остановки,MATCH(R2658,ИД_Остановки!$B$3:$B$467,0),1)</f>
        <v>105</v>
      </c>
      <c r="R2658" s="45" t="s">
        <v>290</v>
      </c>
      <c r="S2658" s="20">
        <v>0.54</v>
      </c>
    </row>
    <row r="2659" spans="8:19" x14ac:dyDescent="0.25">
      <c r="H2659">
        <v>16</v>
      </c>
      <c r="I2659">
        <v>460</v>
      </c>
      <c r="J2659">
        <v>110</v>
      </c>
      <c r="K2659" t="b">
        <v>1</v>
      </c>
      <c r="N2659" s="30" t="s">
        <v>584</v>
      </c>
      <c r="O2659" s="2">
        <f>INDEX(Маршруты,MATCH(N2659,$B$3:$B$498,0),1)</f>
        <v>114</v>
      </c>
      <c r="P2659" s="27">
        <v>18</v>
      </c>
      <c r="Q2659" s="2">
        <f>INDEX(Остановки,MATCH(R2659,ИД_Остановки!$B$3:$B$467,0),1)</f>
        <v>161</v>
      </c>
      <c r="R2659" s="45" t="s">
        <v>90</v>
      </c>
      <c r="S2659" s="20">
        <v>1.18</v>
      </c>
    </row>
    <row r="2660" spans="8:19" x14ac:dyDescent="0.25">
      <c r="H2660">
        <v>16</v>
      </c>
      <c r="I2660">
        <v>465</v>
      </c>
      <c r="J2660">
        <v>110</v>
      </c>
      <c r="K2660" t="b">
        <v>1</v>
      </c>
      <c r="N2660" s="25" t="s">
        <v>584</v>
      </c>
      <c r="O2660" s="2">
        <f>INDEX(Маршруты,MATCH(N2660,$B$3:$B$498,0),1)</f>
        <v>114</v>
      </c>
      <c r="P2660" s="27">
        <v>19</v>
      </c>
      <c r="Q2660" s="2">
        <f>INDEX(Остановки,MATCH(R2660,ИД_Остановки!$B$3:$B$467,0),1)</f>
        <v>348</v>
      </c>
      <c r="R2660" s="45" t="s">
        <v>415</v>
      </c>
      <c r="S2660" s="20">
        <v>0.95</v>
      </c>
    </row>
    <row r="2661" spans="8:19" x14ac:dyDescent="0.25">
      <c r="H2661">
        <v>16</v>
      </c>
      <c r="I2661">
        <v>470</v>
      </c>
      <c r="J2661">
        <v>110</v>
      </c>
      <c r="K2661" t="b">
        <v>1</v>
      </c>
      <c r="N2661" s="26" t="s">
        <v>584</v>
      </c>
      <c r="O2661" s="2">
        <f>INDEX(Маршруты,MATCH(N2661,$B$3:$B$498,0),1)</f>
        <v>114</v>
      </c>
      <c r="P2661" s="27">
        <v>20</v>
      </c>
      <c r="Q2661" s="2">
        <f>INDEX(Остановки,MATCH(R2661,ИД_Остановки!$B$3:$B$467,0),1)</f>
        <v>347</v>
      </c>
      <c r="R2661" s="45" t="s">
        <v>414</v>
      </c>
      <c r="S2661" s="20">
        <v>0.32</v>
      </c>
    </row>
    <row r="2662" spans="8:19" x14ac:dyDescent="0.25">
      <c r="H2662">
        <v>16</v>
      </c>
      <c r="I2662">
        <v>475</v>
      </c>
      <c r="J2662">
        <v>110</v>
      </c>
      <c r="K2662" t="b">
        <v>1</v>
      </c>
      <c r="N2662" s="30" t="s">
        <v>584</v>
      </c>
      <c r="O2662" s="2">
        <f>INDEX(Маршруты,MATCH(N2662,$B$3:$B$498,0),1)</f>
        <v>114</v>
      </c>
      <c r="P2662" s="28">
        <v>21</v>
      </c>
      <c r="Q2662" s="2">
        <f>INDEX(Остановки,MATCH(R2662,ИД_Остановки!$B$3:$B$467,0),1)</f>
        <v>346</v>
      </c>
      <c r="R2662" s="24" t="s">
        <v>413</v>
      </c>
      <c r="S2662" s="20">
        <v>0.7</v>
      </c>
    </row>
    <row r="2663" spans="8:19" x14ac:dyDescent="0.25">
      <c r="H2663">
        <v>16</v>
      </c>
      <c r="I2663">
        <v>480</v>
      </c>
      <c r="J2663">
        <v>110</v>
      </c>
      <c r="K2663" t="b">
        <v>1</v>
      </c>
      <c r="N2663" s="30" t="s">
        <v>584</v>
      </c>
      <c r="O2663" s="2">
        <f>INDEX(Маршруты,MATCH(N2663,$B$3:$B$498,0),1)</f>
        <v>114</v>
      </c>
      <c r="P2663" s="27">
        <v>22</v>
      </c>
      <c r="Q2663" s="2">
        <f>INDEX(Остановки,MATCH(R2663,ИД_Остановки!$B$3:$B$467,0),1)</f>
        <v>137</v>
      </c>
      <c r="R2663" s="45" t="s">
        <v>309</v>
      </c>
      <c r="S2663" s="20">
        <v>0.78</v>
      </c>
    </row>
    <row r="2664" spans="8:19" x14ac:dyDescent="0.25">
      <c r="H2664">
        <v>16</v>
      </c>
      <c r="I2664">
        <v>485</v>
      </c>
      <c r="J2664">
        <v>110</v>
      </c>
      <c r="K2664" t="b">
        <v>1</v>
      </c>
      <c r="N2664" s="26" t="s">
        <v>584</v>
      </c>
      <c r="O2664" s="2">
        <f>INDEX(Маршруты,MATCH(N2664,$B$3:$B$498,0),1)</f>
        <v>114</v>
      </c>
      <c r="P2664" s="27">
        <v>23</v>
      </c>
      <c r="Q2664" s="2">
        <f>INDEX(Остановки,MATCH(R2664,ИД_Остановки!$B$3:$B$467,0),1)</f>
        <v>138</v>
      </c>
      <c r="R2664" s="45" t="s">
        <v>310</v>
      </c>
      <c r="S2664" s="20">
        <v>0.6</v>
      </c>
    </row>
    <row r="2665" spans="8:19" x14ac:dyDescent="0.25">
      <c r="H2665">
        <v>16</v>
      </c>
      <c r="I2665">
        <v>490</v>
      </c>
      <c r="J2665">
        <v>110</v>
      </c>
      <c r="K2665" t="b">
        <v>1</v>
      </c>
      <c r="N2665" s="30" t="s">
        <v>584</v>
      </c>
      <c r="O2665" s="2">
        <f>INDEX(Маршруты,MATCH(N2665,$B$3:$B$498,0),1)</f>
        <v>114</v>
      </c>
      <c r="P2665" s="27">
        <v>24</v>
      </c>
      <c r="Q2665" s="2">
        <f>INDEX(Остановки,MATCH(R2665,ИД_Остановки!$B$3:$B$467,0),1)</f>
        <v>139</v>
      </c>
      <c r="R2665" s="45" t="s">
        <v>311</v>
      </c>
      <c r="S2665" s="20">
        <v>0.34</v>
      </c>
    </row>
    <row r="2666" spans="8:19" x14ac:dyDescent="0.25">
      <c r="H2666">
        <v>16</v>
      </c>
      <c r="I2666">
        <v>495</v>
      </c>
      <c r="J2666">
        <v>110</v>
      </c>
      <c r="K2666" t="b">
        <v>1</v>
      </c>
      <c r="N2666" s="30" t="s">
        <v>584</v>
      </c>
      <c r="O2666" s="2">
        <f>INDEX(Маршруты,MATCH(N2666,$B$3:$B$498,0),1)</f>
        <v>114</v>
      </c>
      <c r="P2666" s="27">
        <v>25</v>
      </c>
      <c r="Q2666" s="2">
        <f>INDEX(Остановки,MATCH(R2666,ИД_Остановки!$B$3:$B$467,0),1)</f>
        <v>301</v>
      </c>
      <c r="R2666" s="45" t="s">
        <v>393</v>
      </c>
      <c r="S2666" s="20">
        <v>0.83</v>
      </c>
    </row>
    <row r="2667" spans="8:19" x14ac:dyDescent="0.25">
      <c r="H2667">
        <v>16</v>
      </c>
      <c r="I2667">
        <v>500</v>
      </c>
      <c r="J2667">
        <v>110</v>
      </c>
      <c r="K2667" t="b">
        <v>1</v>
      </c>
      <c r="N2667" s="30" t="s">
        <v>584</v>
      </c>
      <c r="O2667" s="2">
        <f>INDEX(Маршруты,MATCH(N2667,$B$3:$B$498,0),1)</f>
        <v>114</v>
      </c>
      <c r="P2667" s="27">
        <v>26</v>
      </c>
      <c r="Q2667" s="2">
        <f>INDEX(Остановки,MATCH(R2667,ИД_Остановки!$B$3:$B$467,0),1)</f>
        <v>300</v>
      </c>
      <c r="R2667" s="45" t="s">
        <v>169</v>
      </c>
      <c r="S2667" s="20">
        <v>0.69</v>
      </c>
    </row>
    <row r="2668" spans="8:19" x14ac:dyDescent="0.25">
      <c r="H2668">
        <v>16</v>
      </c>
      <c r="I2668">
        <v>505</v>
      </c>
      <c r="J2668">
        <v>110</v>
      </c>
      <c r="K2668" t="b">
        <v>1</v>
      </c>
      <c r="N2668" s="24" t="s">
        <v>584</v>
      </c>
      <c r="O2668" s="2">
        <f>INDEX(Маршруты,MATCH(N2668,$B$3:$B$498,0),1)</f>
        <v>114</v>
      </c>
      <c r="P2668" s="27">
        <v>27</v>
      </c>
      <c r="Q2668" s="2">
        <f>INDEX(Остановки,MATCH(R2668,ИД_Остановки!$B$3:$B$467,0),1)</f>
        <v>142</v>
      </c>
      <c r="R2668" s="24" t="s">
        <v>314</v>
      </c>
      <c r="S2668" s="20">
        <v>0.37</v>
      </c>
    </row>
    <row r="2669" spans="8:19" x14ac:dyDescent="0.25">
      <c r="H2669">
        <v>16</v>
      </c>
      <c r="I2669">
        <v>510</v>
      </c>
      <c r="J2669">
        <v>110</v>
      </c>
      <c r="K2669" t="b">
        <v>1</v>
      </c>
      <c r="N2669" s="30" t="s">
        <v>584</v>
      </c>
      <c r="O2669" s="2">
        <f>INDEX(Маршруты,MATCH(N2669,$B$3:$B$498,0),1)</f>
        <v>114</v>
      </c>
      <c r="P2669" s="27">
        <v>28</v>
      </c>
      <c r="Q2669" s="2">
        <f>INDEX(Остановки,MATCH(R2669,ИД_Остановки!$B$3:$B$467,0),1)</f>
        <v>390</v>
      </c>
      <c r="R2669" s="45" t="s">
        <v>447</v>
      </c>
      <c r="S2669" s="20">
        <v>0.82</v>
      </c>
    </row>
    <row r="2670" spans="8:19" x14ac:dyDescent="0.25">
      <c r="H2670">
        <v>16</v>
      </c>
      <c r="I2670">
        <v>515</v>
      </c>
      <c r="J2670">
        <v>110</v>
      </c>
      <c r="K2670" t="b">
        <v>1</v>
      </c>
      <c r="N2670" s="30" t="s">
        <v>584</v>
      </c>
      <c r="O2670" s="2">
        <f>INDEX(Маршруты,MATCH(N2670,$B$3:$B$498,0),1)</f>
        <v>114</v>
      </c>
      <c r="P2670" s="27">
        <v>29</v>
      </c>
      <c r="Q2670" s="2">
        <f>INDEX(Остановки,MATCH(R2670,ИД_Остановки!$B$3:$B$467,0),1)</f>
        <v>144</v>
      </c>
      <c r="R2670" s="45" t="s">
        <v>86</v>
      </c>
      <c r="S2670" s="20">
        <v>0.45</v>
      </c>
    </row>
    <row r="2671" spans="8:19" ht="30" x14ac:dyDescent="0.25">
      <c r="H2671">
        <v>16</v>
      </c>
      <c r="I2671">
        <v>520</v>
      </c>
      <c r="J2671">
        <v>110</v>
      </c>
      <c r="K2671" t="b">
        <v>1</v>
      </c>
      <c r="N2671" s="26" t="s">
        <v>585</v>
      </c>
      <c r="O2671" s="2">
        <f>INDEX(Маршруты,MATCH(N2671,$B$3:$B$498,0),1)</f>
        <v>115</v>
      </c>
      <c r="P2671" s="27">
        <v>1</v>
      </c>
      <c r="Q2671" s="2">
        <f>INDEX(Остановки,MATCH(R2671,ИД_Остановки!$B$3:$B$467,0),1)</f>
        <v>350</v>
      </c>
      <c r="R2671" s="45" t="s">
        <v>195</v>
      </c>
      <c r="S2671" s="20"/>
    </row>
    <row r="2672" spans="8:19" ht="30" x14ac:dyDescent="0.25">
      <c r="H2672">
        <v>16</v>
      </c>
      <c r="I2672">
        <v>525</v>
      </c>
      <c r="J2672">
        <v>110</v>
      </c>
      <c r="K2672" t="b">
        <v>1</v>
      </c>
      <c r="N2672" s="26" t="s">
        <v>585</v>
      </c>
      <c r="O2672" s="2">
        <f>INDEX(Маршруты,MATCH(N2672,$B$3:$B$498,0),1)</f>
        <v>115</v>
      </c>
      <c r="P2672" s="27">
        <v>2</v>
      </c>
      <c r="Q2672" s="2">
        <f>INDEX(Остановки,MATCH(R2672,ИД_Остановки!$B$3:$B$467,0),1)</f>
        <v>351</v>
      </c>
      <c r="R2672" s="45" t="s">
        <v>196</v>
      </c>
      <c r="S2672" s="20">
        <v>0.46</v>
      </c>
    </row>
    <row r="2673" spans="8:19" x14ac:dyDescent="0.25">
      <c r="H2673">
        <v>16</v>
      </c>
      <c r="I2673">
        <v>530</v>
      </c>
      <c r="J2673">
        <v>110</v>
      </c>
      <c r="K2673" t="b">
        <v>1</v>
      </c>
      <c r="N2673" s="25" t="s">
        <v>585</v>
      </c>
      <c r="O2673" s="2">
        <f>INDEX(Маршруты,MATCH(N2673,$B$3:$B$498,0),1)</f>
        <v>115</v>
      </c>
      <c r="P2673" s="27">
        <v>3</v>
      </c>
      <c r="Q2673" s="2">
        <f>INDEX(Остановки,MATCH(R2673,ИД_Остановки!$B$3:$B$467,0),1)</f>
        <v>399</v>
      </c>
      <c r="R2673" s="45" t="s">
        <v>456</v>
      </c>
      <c r="S2673" s="20">
        <v>1.1200000000000001</v>
      </c>
    </row>
    <row r="2674" spans="8:19" x14ac:dyDescent="0.25">
      <c r="H2674">
        <v>16</v>
      </c>
      <c r="I2674">
        <v>535</v>
      </c>
      <c r="J2674">
        <v>110</v>
      </c>
      <c r="K2674" t="b">
        <v>1</v>
      </c>
      <c r="N2674" s="30" t="s">
        <v>585</v>
      </c>
      <c r="O2674" s="2">
        <f>INDEX(Маршруты,MATCH(N2674,$B$3:$B$498,0),1)</f>
        <v>115</v>
      </c>
      <c r="P2674" s="28">
        <v>4</v>
      </c>
      <c r="Q2674" s="2">
        <f>INDEX(Остановки,MATCH(R2674,ИД_Остановки!$B$3:$B$467,0),1)</f>
        <v>352</v>
      </c>
      <c r="R2674" s="24" t="s">
        <v>197</v>
      </c>
      <c r="S2674" s="21">
        <v>1.01</v>
      </c>
    </row>
    <row r="2675" spans="8:19" x14ac:dyDescent="0.25">
      <c r="H2675">
        <v>16</v>
      </c>
      <c r="I2675">
        <v>540</v>
      </c>
      <c r="J2675">
        <v>110</v>
      </c>
      <c r="K2675" t="b">
        <v>1</v>
      </c>
      <c r="N2675" s="30" t="s">
        <v>585</v>
      </c>
      <c r="O2675" s="2">
        <f>INDEX(Маршруты,MATCH(N2675,$B$3:$B$498,0),1)</f>
        <v>115</v>
      </c>
      <c r="P2675" s="27">
        <v>5</v>
      </c>
      <c r="Q2675" s="2">
        <f>INDEX(Остановки,MATCH(R2675,ИД_Остановки!$B$3:$B$467,0),1)</f>
        <v>353</v>
      </c>
      <c r="R2675" s="45" t="s">
        <v>416</v>
      </c>
      <c r="S2675" s="20">
        <v>1.06</v>
      </c>
    </row>
    <row r="2676" spans="8:19" x14ac:dyDescent="0.25">
      <c r="H2676">
        <v>16</v>
      </c>
      <c r="I2676">
        <v>545</v>
      </c>
      <c r="J2676">
        <v>110</v>
      </c>
      <c r="K2676" t="b">
        <v>1</v>
      </c>
      <c r="N2676" s="25" t="s">
        <v>585</v>
      </c>
      <c r="O2676" s="2">
        <f>INDEX(Маршруты,MATCH(N2676,$B$3:$B$498,0),1)</f>
        <v>115</v>
      </c>
      <c r="P2676" s="27">
        <v>6</v>
      </c>
      <c r="Q2676" s="2">
        <f>INDEX(Остановки,MATCH(R2676,ИД_Остановки!$B$3:$B$467,0),1)</f>
        <v>240</v>
      </c>
      <c r="R2676" s="45" t="s">
        <v>366</v>
      </c>
      <c r="S2676" s="20">
        <v>0.57999999999999996</v>
      </c>
    </row>
    <row r="2677" spans="8:19" x14ac:dyDescent="0.25">
      <c r="H2677">
        <v>16</v>
      </c>
      <c r="I2677">
        <v>550</v>
      </c>
      <c r="J2677">
        <v>110</v>
      </c>
      <c r="K2677" t="b">
        <v>1</v>
      </c>
      <c r="N2677" s="25" t="s">
        <v>585</v>
      </c>
      <c r="O2677" s="2">
        <f>INDEX(Маршруты,MATCH(N2677,$B$3:$B$498,0),1)</f>
        <v>115</v>
      </c>
      <c r="P2677" s="27">
        <v>7</v>
      </c>
      <c r="Q2677" s="2">
        <f>INDEX(Остановки,MATCH(R2677,ИД_Остановки!$B$3:$B$467,0),1)</f>
        <v>355</v>
      </c>
      <c r="R2677" s="24" t="s">
        <v>418</v>
      </c>
      <c r="S2677" s="20">
        <v>0.47</v>
      </c>
    </row>
    <row r="2678" spans="8:19" ht="30" x14ac:dyDescent="0.25">
      <c r="H2678">
        <v>16</v>
      </c>
      <c r="I2678">
        <v>555</v>
      </c>
      <c r="J2678">
        <v>110</v>
      </c>
      <c r="K2678" t="b">
        <v>1</v>
      </c>
      <c r="N2678" s="26" t="s">
        <v>585</v>
      </c>
      <c r="O2678" s="2">
        <f>INDEX(Маршруты,MATCH(N2678,$B$3:$B$498,0),1)</f>
        <v>115</v>
      </c>
      <c r="P2678" s="27">
        <v>8</v>
      </c>
      <c r="Q2678" s="2">
        <f>INDEX(Остановки,MATCH(R2678,ИД_Остановки!$B$3:$B$467,0),1)</f>
        <v>39</v>
      </c>
      <c r="R2678" s="45" t="s">
        <v>257</v>
      </c>
      <c r="S2678" s="20">
        <v>0.25</v>
      </c>
    </row>
    <row r="2679" spans="8:19" x14ac:dyDescent="0.25">
      <c r="H2679">
        <v>16</v>
      </c>
      <c r="I2679">
        <v>560</v>
      </c>
      <c r="J2679">
        <v>110</v>
      </c>
      <c r="K2679" t="b">
        <v>1</v>
      </c>
      <c r="N2679" s="25" t="s">
        <v>585</v>
      </c>
      <c r="O2679" s="2">
        <f>INDEX(Маршруты,MATCH(N2679,$B$3:$B$498,0),1)</f>
        <v>115</v>
      </c>
      <c r="P2679" s="27">
        <v>9</v>
      </c>
      <c r="Q2679" s="2">
        <f>INDEX(Остановки,MATCH(R2679,ИД_Остановки!$B$3:$B$467,0),1)</f>
        <v>40</v>
      </c>
      <c r="R2679" s="45" t="s">
        <v>36</v>
      </c>
      <c r="S2679" s="20">
        <v>0.31</v>
      </c>
    </row>
    <row r="2680" spans="8:19" x14ac:dyDescent="0.25">
      <c r="H2680">
        <v>16</v>
      </c>
      <c r="I2680">
        <v>565</v>
      </c>
      <c r="J2680">
        <v>110</v>
      </c>
      <c r="K2680" t="b">
        <v>1</v>
      </c>
      <c r="N2680" s="25" t="s">
        <v>585</v>
      </c>
      <c r="O2680" s="2">
        <f>INDEX(Маршруты,MATCH(N2680,$B$3:$B$498,0),1)</f>
        <v>115</v>
      </c>
      <c r="P2680" s="28">
        <v>10</v>
      </c>
      <c r="Q2680" s="2">
        <f>INDEX(Остановки,MATCH(R2680,ИД_Остановки!$B$3:$B$467,0),1)</f>
        <v>41</v>
      </c>
      <c r="R2680" s="24" t="s">
        <v>37</v>
      </c>
      <c r="S2680" s="20">
        <v>0.23</v>
      </c>
    </row>
    <row r="2681" spans="8:19" x14ac:dyDescent="0.25">
      <c r="H2681">
        <v>16</v>
      </c>
      <c r="I2681">
        <v>570</v>
      </c>
      <c r="J2681">
        <v>110</v>
      </c>
      <c r="K2681" t="b">
        <v>1</v>
      </c>
      <c r="N2681" s="30" t="s">
        <v>585</v>
      </c>
      <c r="O2681" s="2">
        <f>INDEX(Маршруты,MATCH(N2681,$B$3:$B$498,0),1)</f>
        <v>115</v>
      </c>
      <c r="P2681" s="28">
        <v>11</v>
      </c>
      <c r="Q2681" s="2">
        <f>INDEX(Остановки,MATCH(R2681,ИД_Остановки!$B$3:$B$467,0),1)</f>
        <v>42</v>
      </c>
      <c r="R2681" s="24" t="s">
        <v>38</v>
      </c>
      <c r="S2681" s="20">
        <v>0.48</v>
      </c>
    </row>
    <row r="2682" spans="8:19" x14ac:dyDescent="0.25">
      <c r="H2682">
        <v>16</v>
      </c>
      <c r="I2682">
        <v>575</v>
      </c>
      <c r="J2682">
        <v>110</v>
      </c>
      <c r="K2682" t="b">
        <v>1</v>
      </c>
      <c r="N2682" s="30" t="s">
        <v>585</v>
      </c>
      <c r="O2682" s="2">
        <f>INDEX(Маршруты,MATCH(N2682,$B$3:$B$498,0),1)</f>
        <v>115</v>
      </c>
      <c r="P2682" s="27">
        <v>12</v>
      </c>
      <c r="Q2682" s="2">
        <f>INDEX(Остановки,MATCH(R2682,ИД_Остановки!$B$3:$B$467,0),1)</f>
        <v>43</v>
      </c>
      <c r="R2682" s="45" t="s">
        <v>39</v>
      </c>
      <c r="S2682" s="20">
        <v>0.37</v>
      </c>
    </row>
    <row r="2683" spans="8:19" x14ac:dyDescent="0.25">
      <c r="H2683">
        <v>16</v>
      </c>
      <c r="I2683">
        <v>580</v>
      </c>
      <c r="J2683">
        <v>110</v>
      </c>
      <c r="K2683" t="b">
        <v>1</v>
      </c>
      <c r="N2683" s="25" t="s">
        <v>585</v>
      </c>
      <c r="O2683" s="2">
        <f>INDEX(Маршруты,MATCH(N2683,$B$3:$B$498,0),1)</f>
        <v>115</v>
      </c>
      <c r="P2683" s="27">
        <v>13</v>
      </c>
      <c r="Q2683" s="2">
        <f>INDEX(Остановки,MATCH(R2683,ИД_Остановки!$B$3:$B$467,0),1)</f>
        <v>44</v>
      </c>
      <c r="R2683" s="45" t="s">
        <v>258</v>
      </c>
      <c r="S2683" s="20">
        <v>0.69</v>
      </c>
    </row>
    <row r="2684" spans="8:19" x14ac:dyDescent="0.25">
      <c r="H2684">
        <v>16</v>
      </c>
      <c r="I2684">
        <v>585</v>
      </c>
      <c r="J2684">
        <v>110</v>
      </c>
      <c r="K2684" t="b">
        <v>1</v>
      </c>
      <c r="N2684" s="25" t="s">
        <v>585</v>
      </c>
      <c r="O2684" s="2">
        <f>INDEX(Маршруты,MATCH(N2684,$B$3:$B$498,0),1)</f>
        <v>115</v>
      </c>
      <c r="P2684" s="27">
        <v>14</v>
      </c>
      <c r="Q2684" s="2">
        <f>INDEX(Остановки,MATCH(R2684,ИД_Остановки!$B$3:$B$467,0),1)</f>
        <v>45</v>
      </c>
      <c r="R2684" s="45" t="s">
        <v>40</v>
      </c>
      <c r="S2684" s="20">
        <v>0.39</v>
      </c>
    </row>
    <row r="2685" spans="8:19" x14ac:dyDescent="0.25">
      <c r="H2685">
        <v>16</v>
      </c>
      <c r="I2685">
        <v>590</v>
      </c>
      <c r="J2685">
        <v>110</v>
      </c>
      <c r="K2685" t="b">
        <v>1</v>
      </c>
      <c r="N2685" s="30" t="s">
        <v>585</v>
      </c>
      <c r="O2685" s="2">
        <f>INDEX(Маршруты,MATCH(N2685,$B$3:$B$498,0),1)</f>
        <v>115</v>
      </c>
      <c r="P2685" s="27">
        <v>15</v>
      </c>
      <c r="Q2685" s="2">
        <f>INDEX(Остановки,MATCH(R2685,ИД_Остановки!$B$3:$B$467,0),1)</f>
        <v>46</v>
      </c>
      <c r="R2685" s="45" t="s">
        <v>41</v>
      </c>
      <c r="S2685" s="20">
        <v>0.45</v>
      </c>
    </row>
    <row r="2686" spans="8:19" x14ac:dyDescent="0.25">
      <c r="H2686">
        <v>16</v>
      </c>
      <c r="I2686">
        <v>595</v>
      </c>
      <c r="J2686">
        <v>110</v>
      </c>
      <c r="K2686" t="b">
        <v>1</v>
      </c>
      <c r="N2686" s="25" t="s">
        <v>585</v>
      </c>
      <c r="O2686" s="2">
        <f>INDEX(Маршруты,MATCH(N2686,$B$3:$B$498,0),1)</f>
        <v>115</v>
      </c>
      <c r="P2686" s="27">
        <v>16</v>
      </c>
      <c r="Q2686" s="2">
        <f>INDEX(Остановки,MATCH(R2686,ИД_Остановки!$B$3:$B$467,0),1)</f>
        <v>47</v>
      </c>
      <c r="R2686" s="45" t="s">
        <v>259</v>
      </c>
      <c r="S2686" s="20">
        <v>0.5</v>
      </c>
    </row>
    <row r="2687" spans="8:19" x14ac:dyDescent="0.25">
      <c r="H2687">
        <v>16</v>
      </c>
      <c r="I2687">
        <v>600</v>
      </c>
      <c r="J2687">
        <v>110</v>
      </c>
      <c r="K2687" t="b">
        <v>1</v>
      </c>
      <c r="N2687" s="25" t="s">
        <v>585</v>
      </c>
      <c r="O2687" s="2">
        <f>INDEX(Маршруты,MATCH(N2687,$B$3:$B$498,0),1)</f>
        <v>115</v>
      </c>
      <c r="P2687" s="27">
        <v>17</v>
      </c>
      <c r="Q2687" s="2">
        <f>INDEX(Остановки,MATCH(R2687,ИД_Остановки!$B$3:$B$467,0),1)</f>
        <v>145</v>
      </c>
      <c r="R2687" s="45" t="s">
        <v>87</v>
      </c>
      <c r="S2687" s="20">
        <v>0.77</v>
      </c>
    </row>
    <row r="2688" spans="8:19" x14ac:dyDescent="0.25">
      <c r="H2688">
        <v>16</v>
      </c>
      <c r="I2688">
        <v>605</v>
      </c>
      <c r="J2688">
        <v>110</v>
      </c>
      <c r="K2688" t="b">
        <v>1</v>
      </c>
      <c r="N2688" s="25" t="s">
        <v>585</v>
      </c>
      <c r="O2688" s="2">
        <f>INDEX(Маршруты,MATCH(N2688,$B$3:$B$498,0),1)</f>
        <v>115</v>
      </c>
      <c r="P2688" s="27">
        <v>18</v>
      </c>
      <c r="Q2688" s="2">
        <f>INDEX(Остановки,MATCH(R2688,ИД_Остановки!$B$3:$B$467,0),1)</f>
        <v>130</v>
      </c>
      <c r="R2688" s="45" t="s">
        <v>305</v>
      </c>
      <c r="S2688" s="20">
        <v>0.63</v>
      </c>
    </row>
    <row r="2689" spans="8:19" x14ac:dyDescent="0.25">
      <c r="H2689">
        <v>16</v>
      </c>
      <c r="I2689">
        <v>610</v>
      </c>
      <c r="J2689">
        <v>110</v>
      </c>
      <c r="K2689" t="b">
        <v>1</v>
      </c>
      <c r="N2689" s="30" t="s">
        <v>585</v>
      </c>
      <c r="O2689" s="2">
        <f>INDEX(Маршруты,MATCH(N2689,$B$3:$B$498,0),1)</f>
        <v>115</v>
      </c>
      <c r="P2689" s="27">
        <v>19</v>
      </c>
      <c r="Q2689" s="2">
        <f>INDEX(Остановки,MATCH(R2689,ИД_Остановки!$B$3:$B$467,0),1)</f>
        <v>131</v>
      </c>
      <c r="R2689" s="45" t="s">
        <v>306</v>
      </c>
      <c r="S2689" s="20">
        <v>0.39</v>
      </c>
    </row>
    <row r="2690" spans="8:19" x14ac:dyDescent="0.25">
      <c r="H2690">
        <v>16</v>
      </c>
      <c r="I2690">
        <v>615</v>
      </c>
      <c r="J2690">
        <v>110</v>
      </c>
      <c r="K2690" t="b">
        <v>1</v>
      </c>
      <c r="N2690" s="30" t="s">
        <v>585</v>
      </c>
      <c r="O2690" s="2">
        <f>INDEX(Маршруты,MATCH(N2690,$B$3:$B$498,0),1)</f>
        <v>115</v>
      </c>
      <c r="P2690" s="27">
        <v>20</v>
      </c>
      <c r="Q2690" s="2">
        <f>INDEX(Остановки,MATCH(R2690,ИД_Остановки!$B$3:$B$467,0),1)</f>
        <v>132</v>
      </c>
      <c r="R2690" s="45" t="s">
        <v>307</v>
      </c>
      <c r="S2690" s="20">
        <v>0.56999999999999995</v>
      </c>
    </row>
    <row r="2691" spans="8:19" x14ac:dyDescent="0.25">
      <c r="H2691">
        <v>16</v>
      </c>
      <c r="I2691">
        <v>620</v>
      </c>
      <c r="J2691">
        <v>110</v>
      </c>
      <c r="K2691" t="b">
        <v>1</v>
      </c>
      <c r="N2691" s="25" t="s">
        <v>585</v>
      </c>
      <c r="O2691" s="2">
        <f>INDEX(Маршруты,MATCH(N2691,$B$3:$B$498,0),1)</f>
        <v>115</v>
      </c>
      <c r="P2691" s="27">
        <v>21</v>
      </c>
      <c r="Q2691" s="2">
        <f>INDEX(Остановки,MATCH(R2691,ИД_Остановки!$B$3:$B$467,0),1)</f>
        <v>133</v>
      </c>
      <c r="R2691" s="45" t="s">
        <v>82</v>
      </c>
      <c r="S2691" s="20">
        <v>0.49</v>
      </c>
    </row>
    <row r="2692" spans="8:19" x14ac:dyDescent="0.25">
      <c r="H2692">
        <v>16</v>
      </c>
      <c r="I2692">
        <v>625</v>
      </c>
      <c r="J2692">
        <v>110</v>
      </c>
      <c r="K2692" t="b">
        <v>1</v>
      </c>
      <c r="N2692" s="25" t="s">
        <v>585</v>
      </c>
      <c r="O2692" s="2">
        <f>INDEX(Маршруты,MATCH(N2692,$B$3:$B$498,0),1)</f>
        <v>115</v>
      </c>
      <c r="P2692" s="27">
        <v>22</v>
      </c>
      <c r="Q2692" s="2">
        <f>INDEX(Остановки,MATCH(R2692,ИД_Остановки!$B$3:$B$467,0),1)</f>
        <v>134</v>
      </c>
      <c r="R2692" s="45" t="s">
        <v>308</v>
      </c>
      <c r="S2692" s="20">
        <v>0.3</v>
      </c>
    </row>
    <row r="2693" spans="8:19" x14ac:dyDescent="0.25">
      <c r="H2693">
        <v>16</v>
      </c>
      <c r="I2693">
        <v>630</v>
      </c>
      <c r="J2693">
        <v>110</v>
      </c>
      <c r="K2693" t="b">
        <v>1</v>
      </c>
      <c r="N2693" s="30" t="s">
        <v>585</v>
      </c>
      <c r="O2693" s="2">
        <f>INDEX(Маршруты,MATCH(N2693,$B$3:$B$498,0),1)</f>
        <v>115</v>
      </c>
      <c r="P2693" s="27">
        <v>23</v>
      </c>
      <c r="Q2693" s="2">
        <f>INDEX(Остановки,MATCH(R2693,ИД_Остановки!$B$3:$B$467,0),1)</f>
        <v>391</v>
      </c>
      <c r="R2693" s="45" t="s">
        <v>448</v>
      </c>
      <c r="S2693" s="20">
        <v>0.26</v>
      </c>
    </row>
    <row r="2694" spans="8:19" x14ac:dyDescent="0.25">
      <c r="H2694">
        <v>16</v>
      </c>
      <c r="I2694">
        <v>635</v>
      </c>
      <c r="J2694">
        <v>110</v>
      </c>
      <c r="K2694" t="b">
        <v>1</v>
      </c>
      <c r="N2694" s="30" t="s">
        <v>585</v>
      </c>
      <c r="O2694" s="2">
        <f>INDEX(Маршруты,MATCH(N2694,$B$3:$B$498,0),1)</f>
        <v>115</v>
      </c>
      <c r="P2694" s="27">
        <v>24</v>
      </c>
      <c r="Q2694" s="2">
        <f>INDEX(Остановки,MATCH(R2694,ИД_Остановки!$B$3:$B$467,0),1)</f>
        <v>83</v>
      </c>
      <c r="R2694" s="45" t="s">
        <v>280</v>
      </c>
      <c r="S2694" s="20">
        <v>0.85</v>
      </c>
    </row>
    <row r="2695" spans="8:19" x14ac:dyDescent="0.25">
      <c r="H2695">
        <v>16</v>
      </c>
      <c r="I2695">
        <v>640</v>
      </c>
      <c r="J2695">
        <v>110</v>
      </c>
      <c r="K2695" t="b">
        <v>1</v>
      </c>
      <c r="N2695" s="30" t="s">
        <v>585</v>
      </c>
      <c r="O2695" s="2">
        <f>INDEX(Маршруты,MATCH(N2695,$B$3:$B$498,0),1)</f>
        <v>115</v>
      </c>
      <c r="P2695" s="27">
        <v>25</v>
      </c>
      <c r="Q2695" s="2">
        <f>INDEX(Остановки,MATCH(R2695,ИД_Остановки!$B$3:$B$467,0),1)</f>
        <v>135</v>
      </c>
      <c r="R2695" s="45" t="s">
        <v>83</v>
      </c>
      <c r="S2695" s="20">
        <v>1.26</v>
      </c>
    </row>
    <row r="2696" spans="8:19" x14ac:dyDescent="0.25">
      <c r="H2696">
        <v>16</v>
      </c>
      <c r="I2696">
        <v>645</v>
      </c>
      <c r="J2696">
        <v>110</v>
      </c>
      <c r="K2696" t="b">
        <v>1</v>
      </c>
      <c r="N2696" s="30" t="s">
        <v>586</v>
      </c>
      <c r="O2696" s="2">
        <f>INDEX(Маршруты,MATCH(N2696,$B$3:$B$498,0),1)</f>
        <v>116</v>
      </c>
      <c r="P2696" s="27">
        <v>1</v>
      </c>
      <c r="Q2696" s="2">
        <f>INDEX(Остановки,MATCH(R2696,ИД_Остановки!$B$3:$B$467,0),1)</f>
        <v>135</v>
      </c>
      <c r="R2696" s="45" t="s">
        <v>83</v>
      </c>
      <c r="S2696" s="20"/>
    </row>
    <row r="2697" spans="8:19" x14ac:dyDescent="0.25">
      <c r="H2697">
        <v>16</v>
      </c>
      <c r="I2697">
        <v>650</v>
      </c>
      <c r="J2697">
        <v>110</v>
      </c>
      <c r="K2697" t="b">
        <v>1</v>
      </c>
      <c r="N2697" s="30" t="s">
        <v>586</v>
      </c>
      <c r="O2697" s="2">
        <f>INDEX(Маршруты,MATCH(N2697,$B$3:$B$498,0),1)</f>
        <v>116</v>
      </c>
      <c r="P2697" s="28">
        <v>2</v>
      </c>
      <c r="Q2697" s="2">
        <f>INDEX(Остановки,MATCH(R2697,ИД_Остановки!$B$3:$B$467,0),1)</f>
        <v>83</v>
      </c>
      <c r="R2697" s="24" t="s">
        <v>280</v>
      </c>
      <c r="S2697" s="20">
        <v>1.26</v>
      </c>
    </row>
    <row r="2698" spans="8:19" x14ac:dyDescent="0.25">
      <c r="H2698">
        <v>16</v>
      </c>
      <c r="I2698">
        <v>655</v>
      </c>
      <c r="J2698">
        <v>110</v>
      </c>
      <c r="K2698" t="b">
        <v>1</v>
      </c>
      <c r="N2698" s="25" t="s">
        <v>586</v>
      </c>
      <c r="O2698" s="2">
        <f>INDEX(Маршруты,MATCH(N2698,$B$3:$B$498,0),1)</f>
        <v>116</v>
      </c>
      <c r="P2698" s="27">
        <v>3</v>
      </c>
      <c r="Q2698" s="2">
        <f>INDEX(Остановки,MATCH(R2698,ИД_Остановки!$B$3:$B$467,0),1)</f>
        <v>391</v>
      </c>
      <c r="R2698" s="45" t="s">
        <v>448</v>
      </c>
      <c r="S2698" s="20">
        <v>0.85</v>
      </c>
    </row>
    <row r="2699" spans="8:19" x14ac:dyDescent="0.25">
      <c r="H2699">
        <v>16</v>
      </c>
      <c r="I2699">
        <v>660</v>
      </c>
      <c r="J2699">
        <v>110</v>
      </c>
      <c r="K2699" t="b">
        <v>1</v>
      </c>
      <c r="N2699" s="30" t="s">
        <v>586</v>
      </c>
      <c r="O2699" s="2">
        <f>INDEX(Маршруты,MATCH(N2699,$B$3:$B$498,0),1)</f>
        <v>116</v>
      </c>
      <c r="P2699" s="27">
        <v>4</v>
      </c>
      <c r="Q2699" s="2">
        <f>INDEX(Остановки,MATCH(R2699,ИД_Остановки!$B$3:$B$467,0),1)</f>
        <v>134</v>
      </c>
      <c r="R2699" s="45" t="s">
        <v>308</v>
      </c>
      <c r="S2699" s="20">
        <v>0.26</v>
      </c>
    </row>
    <row r="2700" spans="8:19" x14ac:dyDescent="0.25">
      <c r="H2700">
        <v>16</v>
      </c>
      <c r="I2700">
        <v>665</v>
      </c>
      <c r="J2700">
        <v>110</v>
      </c>
      <c r="K2700" t="b">
        <v>1</v>
      </c>
      <c r="N2700" s="24" t="s">
        <v>586</v>
      </c>
      <c r="O2700" s="2">
        <f>INDEX(Маршруты,MATCH(N2700,$B$3:$B$498,0),1)</f>
        <v>116</v>
      </c>
      <c r="P2700" s="27">
        <v>5</v>
      </c>
      <c r="Q2700" s="2">
        <f>INDEX(Остановки,MATCH(R2700,ИД_Остановки!$B$3:$B$467,0),1)</f>
        <v>133</v>
      </c>
      <c r="R2700" s="24" t="s">
        <v>82</v>
      </c>
      <c r="S2700" s="20">
        <v>0.3</v>
      </c>
    </row>
    <row r="2701" spans="8:19" x14ac:dyDescent="0.25">
      <c r="H2701">
        <v>16</v>
      </c>
      <c r="I2701">
        <v>670</v>
      </c>
      <c r="J2701">
        <v>110</v>
      </c>
      <c r="K2701" t="b">
        <v>1</v>
      </c>
      <c r="N2701" s="30" t="s">
        <v>586</v>
      </c>
      <c r="O2701" s="2">
        <f>INDEX(Маршруты,MATCH(N2701,$B$3:$B$498,0),1)</f>
        <v>116</v>
      </c>
      <c r="P2701" s="27">
        <v>6</v>
      </c>
      <c r="Q2701" s="2">
        <f>INDEX(Остановки,MATCH(R2701,ИД_Остановки!$B$3:$B$467,0),1)</f>
        <v>132</v>
      </c>
      <c r="R2701" s="45" t="s">
        <v>307</v>
      </c>
      <c r="S2701" s="20">
        <v>0.49</v>
      </c>
    </row>
    <row r="2702" spans="8:19" x14ac:dyDescent="0.25">
      <c r="H2702">
        <v>16</v>
      </c>
      <c r="I2702">
        <v>675</v>
      </c>
      <c r="J2702">
        <v>110</v>
      </c>
      <c r="K2702" t="b">
        <v>1</v>
      </c>
      <c r="N2702" s="25" t="s">
        <v>586</v>
      </c>
      <c r="O2702" s="2">
        <f>INDEX(Маршруты,MATCH(N2702,$B$3:$B$498,0),1)</f>
        <v>116</v>
      </c>
      <c r="P2702" s="28">
        <v>7</v>
      </c>
      <c r="Q2702" s="2">
        <f>INDEX(Остановки,MATCH(R2702,ИД_Остановки!$B$3:$B$467,0),1)</f>
        <v>131</v>
      </c>
      <c r="R2702" s="24" t="s">
        <v>306</v>
      </c>
      <c r="S2702" s="20">
        <v>0.56999999999999995</v>
      </c>
    </row>
    <row r="2703" spans="8:19" x14ac:dyDescent="0.25">
      <c r="H2703">
        <v>16</v>
      </c>
      <c r="I2703">
        <v>680</v>
      </c>
      <c r="J2703">
        <v>110</v>
      </c>
      <c r="K2703" t="b">
        <v>1</v>
      </c>
      <c r="N2703" s="25" t="s">
        <v>586</v>
      </c>
      <c r="O2703" s="2">
        <f>INDEX(Маршруты,MATCH(N2703,$B$3:$B$498,0),1)</f>
        <v>116</v>
      </c>
      <c r="P2703" s="27">
        <v>8</v>
      </c>
      <c r="Q2703" s="2">
        <f>INDEX(Остановки,MATCH(R2703,ИД_Остановки!$B$3:$B$467,0),1)</f>
        <v>130</v>
      </c>
      <c r="R2703" s="45" t="s">
        <v>305</v>
      </c>
      <c r="S2703" s="20">
        <v>0.39</v>
      </c>
    </row>
    <row r="2704" spans="8:19" ht="30" x14ac:dyDescent="0.25">
      <c r="H2704">
        <v>16</v>
      </c>
      <c r="I2704">
        <v>685</v>
      </c>
      <c r="J2704">
        <v>110</v>
      </c>
      <c r="K2704" t="b">
        <v>1</v>
      </c>
      <c r="N2704" s="26" t="s">
        <v>586</v>
      </c>
      <c r="O2704" s="2">
        <f>INDEX(Маршруты,MATCH(N2704,$B$3:$B$498,0),1)</f>
        <v>116</v>
      </c>
      <c r="P2704" s="27">
        <v>9</v>
      </c>
      <c r="Q2704" s="2">
        <f>INDEX(Остановки,MATCH(R2704,ИД_Остановки!$B$3:$B$467,0),1)</f>
        <v>145</v>
      </c>
      <c r="R2704" s="45" t="s">
        <v>87</v>
      </c>
      <c r="S2704" s="20">
        <v>0.63</v>
      </c>
    </row>
    <row r="2705" spans="8:19" x14ac:dyDescent="0.25">
      <c r="H2705">
        <v>16</v>
      </c>
      <c r="I2705">
        <v>690</v>
      </c>
      <c r="J2705">
        <v>110</v>
      </c>
      <c r="K2705" t="b">
        <v>1</v>
      </c>
      <c r="N2705" s="25" t="s">
        <v>586</v>
      </c>
      <c r="O2705" s="2">
        <f>INDEX(Маршруты,MATCH(N2705,$B$3:$B$498,0),1)</f>
        <v>116</v>
      </c>
      <c r="P2705" s="27">
        <v>10</v>
      </c>
      <c r="Q2705" s="2">
        <f>INDEX(Остановки,MATCH(R2705,ИД_Остановки!$B$3:$B$467,0),1)</f>
        <v>47</v>
      </c>
      <c r="R2705" s="45" t="s">
        <v>259</v>
      </c>
      <c r="S2705" s="20">
        <v>0.77</v>
      </c>
    </row>
    <row r="2706" spans="8:19" x14ac:dyDescent="0.25">
      <c r="H2706">
        <v>16</v>
      </c>
      <c r="I2706">
        <v>695</v>
      </c>
      <c r="J2706">
        <v>110</v>
      </c>
      <c r="K2706" t="b">
        <v>1</v>
      </c>
      <c r="N2706" s="25" t="s">
        <v>586</v>
      </c>
      <c r="O2706" s="2">
        <f>INDEX(Маршруты,MATCH(N2706,$B$3:$B$498,0),1)</f>
        <v>116</v>
      </c>
      <c r="P2706" s="27">
        <v>11</v>
      </c>
      <c r="Q2706" s="2">
        <f>INDEX(Остановки,MATCH(R2706,ИД_Остановки!$B$3:$B$467,0),1)</f>
        <v>46</v>
      </c>
      <c r="R2706" s="45" t="s">
        <v>41</v>
      </c>
      <c r="S2706" s="20">
        <v>0.5</v>
      </c>
    </row>
    <row r="2707" spans="8:19" ht="30" x14ac:dyDescent="0.25">
      <c r="H2707">
        <v>16</v>
      </c>
      <c r="I2707">
        <v>700</v>
      </c>
      <c r="J2707">
        <v>110</v>
      </c>
      <c r="K2707" t="b">
        <v>1</v>
      </c>
      <c r="N2707" s="26" t="s">
        <v>586</v>
      </c>
      <c r="O2707" s="2">
        <f>INDEX(Маршруты,MATCH(N2707,$B$3:$B$498,0),1)</f>
        <v>116</v>
      </c>
      <c r="P2707" s="27">
        <v>12</v>
      </c>
      <c r="Q2707" s="2">
        <f>INDEX(Остановки,MATCH(R2707,ИД_Остановки!$B$3:$B$467,0),1)</f>
        <v>45</v>
      </c>
      <c r="R2707" s="45" t="s">
        <v>40</v>
      </c>
      <c r="S2707" s="20">
        <v>0.45</v>
      </c>
    </row>
    <row r="2708" spans="8:19" x14ac:dyDescent="0.25">
      <c r="H2708">
        <v>16</v>
      </c>
      <c r="I2708">
        <v>705</v>
      </c>
      <c r="J2708">
        <v>110</v>
      </c>
      <c r="K2708" t="b">
        <v>1</v>
      </c>
      <c r="N2708" s="30" t="s">
        <v>586</v>
      </c>
      <c r="O2708" s="2">
        <f>INDEX(Маршруты,MATCH(N2708,$B$3:$B$498,0),1)</f>
        <v>116</v>
      </c>
      <c r="P2708" s="27">
        <v>13</v>
      </c>
      <c r="Q2708" s="2">
        <f>INDEX(Остановки,MATCH(R2708,ИД_Остановки!$B$3:$B$467,0),1)</f>
        <v>44</v>
      </c>
      <c r="R2708" s="24" t="s">
        <v>258</v>
      </c>
      <c r="S2708" s="20">
        <v>0.39</v>
      </c>
    </row>
    <row r="2709" spans="8:19" x14ac:dyDescent="0.25">
      <c r="H2709">
        <v>16</v>
      </c>
      <c r="I2709">
        <v>710</v>
      </c>
      <c r="J2709">
        <v>110</v>
      </c>
      <c r="K2709" t="b">
        <v>1</v>
      </c>
      <c r="N2709" s="25" t="s">
        <v>586</v>
      </c>
      <c r="O2709" s="2">
        <f>INDEX(Маршруты,MATCH(N2709,$B$3:$B$498,0),1)</f>
        <v>116</v>
      </c>
      <c r="P2709" s="27">
        <v>14</v>
      </c>
      <c r="Q2709" s="2">
        <f>INDEX(Остановки,MATCH(R2709,ИД_Остановки!$B$3:$B$467,0),1)</f>
        <v>43</v>
      </c>
      <c r="R2709" s="45" t="s">
        <v>39</v>
      </c>
      <c r="S2709" s="20">
        <v>0.69</v>
      </c>
    </row>
    <row r="2710" spans="8:19" x14ac:dyDescent="0.25">
      <c r="H2710">
        <v>16</v>
      </c>
      <c r="I2710">
        <v>715</v>
      </c>
      <c r="J2710">
        <v>110</v>
      </c>
      <c r="K2710" t="b">
        <v>1</v>
      </c>
      <c r="N2710" s="14" t="s">
        <v>586</v>
      </c>
      <c r="O2710" s="2">
        <f>INDEX(Маршруты,MATCH(N2710,$B$3:$B$498,0),1)</f>
        <v>116</v>
      </c>
      <c r="P2710" s="27">
        <v>15</v>
      </c>
      <c r="Q2710" s="2">
        <f>INDEX(Остановки,MATCH(R2710,ИД_Остановки!$B$3:$B$467,0),1)</f>
        <v>42</v>
      </c>
      <c r="R2710" s="45" t="s">
        <v>38</v>
      </c>
      <c r="S2710" s="20">
        <v>0.37</v>
      </c>
    </row>
    <row r="2711" spans="8:19" x14ac:dyDescent="0.25">
      <c r="H2711">
        <v>16</v>
      </c>
      <c r="I2711">
        <v>720</v>
      </c>
      <c r="J2711">
        <v>110</v>
      </c>
      <c r="K2711" t="b">
        <v>1</v>
      </c>
      <c r="N2711" s="30" t="s">
        <v>586</v>
      </c>
      <c r="O2711" s="2">
        <f>INDEX(Маршруты,MATCH(N2711,$B$3:$B$498,0),1)</f>
        <v>116</v>
      </c>
      <c r="P2711" s="27">
        <v>16</v>
      </c>
      <c r="Q2711" s="2">
        <f>INDEX(Остановки,MATCH(R2711,ИД_Остановки!$B$3:$B$467,0),1)</f>
        <v>41</v>
      </c>
      <c r="R2711" s="45" t="s">
        <v>37</v>
      </c>
      <c r="S2711" s="20">
        <v>0.48</v>
      </c>
    </row>
    <row r="2712" spans="8:19" ht="30" x14ac:dyDescent="0.25">
      <c r="H2712">
        <v>16</v>
      </c>
      <c r="I2712">
        <v>725</v>
      </c>
      <c r="J2712">
        <v>110</v>
      </c>
      <c r="K2712" t="b">
        <v>1</v>
      </c>
      <c r="N2712" s="26" t="s">
        <v>586</v>
      </c>
      <c r="O2712" s="2">
        <f>INDEX(Маршруты,MATCH(N2712,$B$3:$B$498,0),1)</f>
        <v>116</v>
      </c>
      <c r="P2712" s="27">
        <v>17</v>
      </c>
      <c r="Q2712" s="2">
        <f>INDEX(Остановки,MATCH(R2712,ИД_Остановки!$B$3:$B$467,0),1)</f>
        <v>40</v>
      </c>
      <c r="R2712" s="45" t="s">
        <v>36</v>
      </c>
      <c r="S2712" s="20">
        <v>0.23</v>
      </c>
    </row>
    <row r="2713" spans="8:19" x14ac:dyDescent="0.25">
      <c r="H2713">
        <v>16</v>
      </c>
      <c r="I2713">
        <v>730</v>
      </c>
      <c r="J2713">
        <v>110</v>
      </c>
      <c r="K2713" t="b">
        <v>1</v>
      </c>
      <c r="N2713" s="25" t="s">
        <v>586</v>
      </c>
      <c r="O2713" s="2">
        <f>INDEX(Маршруты,MATCH(N2713,$B$3:$B$498,0),1)</f>
        <v>116</v>
      </c>
      <c r="P2713" s="27">
        <v>18</v>
      </c>
      <c r="Q2713" s="2">
        <f>INDEX(Остановки,MATCH(R2713,ИД_Остановки!$B$3:$B$467,0),1)</f>
        <v>39</v>
      </c>
      <c r="R2713" s="45" t="s">
        <v>257</v>
      </c>
      <c r="S2713" s="20">
        <v>0.31</v>
      </c>
    </row>
    <row r="2714" spans="8:19" x14ac:dyDescent="0.25">
      <c r="H2714">
        <v>16</v>
      </c>
      <c r="I2714">
        <v>735</v>
      </c>
      <c r="J2714">
        <v>110</v>
      </c>
      <c r="K2714" t="b">
        <v>1</v>
      </c>
      <c r="N2714" s="25" t="s">
        <v>586</v>
      </c>
      <c r="O2714" s="2">
        <f>INDEX(Маршруты,MATCH(N2714,$B$3:$B$498,0),1)</f>
        <v>116</v>
      </c>
      <c r="P2714" s="27">
        <v>19</v>
      </c>
      <c r="Q2714" s="2">
        <f>INDEX(Остановки,MATCH(R2714,ИД_Остановки!$B$3:$B$467,0),1)</f>
        <v>355</v>
      </c>
      <c r="R2714" s="24" t="s">
        <v>418</v>
      </c>
      <c r="S2714" s="20">
        <v>0.25</v>
      </c>
    </row>
    <row r="2715" spans="8:19" x14ac:dyDescent="0.25">
      <c r="H2715">
        <v>16</v>
      </c>
      <c r="I2715">
        <v>740</v>
      </c>
      <c r="J2715">
        <v>110</v>
      </c>
      <c r="K2715" t="b">
        <v>1</v>
      </c>
      <c r="N2715" s="25" t="s">
        <v>586</v>
      </c>
      <c r="O2715" s="2">
        <f>INDEX(Маршруты,MATCH(N2715,$B$3:$B$498,0),1)</f>
        <v>116</v>
      </c>
      <c r="P2715" s="28">
        <v>20</v>
      </c>
      <c r="Q2715" s="2">
        <f>INDEX(Остановки,MATCH(R2715,ИД_Остановки!$B$3:$B$467,0),1)</f>
        <v>240</v>
      </c>
      <c r="R2715" s="24" t="s">
        <v>366</v>
      </c>
      <c r="S2715" s="20">
        <v>0.47</v>
      </c>
    </row>
    <row r="2716" spans="8:19" x14ac:dyDescent="0.25">
      <c r="H2716">
        <v>16</v>
      </c>
      <c r="I2716">
        <v>745</v>
      </c>
      <c r="J2716">
        <v>110</v>
      </c>
      <c r="K2716" t="b">
        <v>1</v>
      </c>
      <c r="N2716" s="25" t="s">
        <v>586</v>
      </c>
      <c r="O2716" s="2">
        <f>INDEX(Маршруты,MATCH(N2716,$B$3:$B$498,0),1)</f>
        <v>116</v>
      </c>
      <c r="P2716" s="27">
        <v>21</v>
      </c>
      <c r="Q2716" s="2">
        <f>INDEX(Остановки,MATCH(R2716,ИД_Остановки!$B$3:$B$467,0),1)</f>
        <v>353</v>
      </c>
      <c r="R2716" s="45" t="s">
        <v>416</v>
      </c>
      <c r="S2716" s="20">
        <v>0.57999999999999996</v>
      </c>
    </row>
    <row r="2717" spans="8:19" x14ac:dyDescent="0.25">
      <c r="H2717">
        <v>16</v>
      </c>
      <c r="I2717">
        <v>750</v>
      </c>
      <c r="J2717">
        <v>110</v>
      </c>
      <c r="K2717" t="b">
        <v>1</v>
      </c>
      <c r="N2717" s="30" t="s">
        <v>586</v>
      </c>
      <c r="O2717" s="2">
        <f>INDEX(Маршруты,MATCH(N2717,$B$3:$B$498,0),1)</f>
        <v>116</v>
      </c>
      <c r="P2717" s="27">
        <v>22</v>
      </c>
      <c r="Q2717" s="2">
        <f>INDEX(Остановки,MATCH(R2717,ИД_Остановки!$B$3:$B$467,0),1)</f>
        <v>352</v>
      </c>
      <c r="R2717" s="45" t="s">
        <v>197</v>
      </c>
      <c r="S2717" s="20">
        <v>1.06</v>
      </c>
    </row>
    <row r="2718" spans="8:19" x14ac:dyDescent="0.25">
      <c r="H2718">
        <v>16</v>
      </c>
      <c r="I2718">
        <v>755</v>
      </c>
      <c r="J2718">
        <v>110</v>
      </c>
      <c r="K2718" t="b">
        <v>1</v>
      </c>
      <c r="N2718" s="30" t="s">
        <v>586</v>
      </c>
      <c r="O2718" s="2">
        <f>INDEX(Маршруты,MATCH(N2718,$B$3:$B$498,0),1)</f>
        <v>116</v>
      </c>
      <c r="P2718" s="27">
        <v>23</v>
      </c>
      <c r="Q2718" s="2">
        <f>INDEX(Остановки,MATCH(R2718,ИД_Остановки!$B$3:$B$467,0),1)</f>
        <v>399</v>
      </c>
      <c r="R2718" s="45" t="s">
        <v>456</v>
      </c>
      <c r="S2718" s="20">
        <v>1.01</v>
      </c>
    </row>
    <row r="2719" spans="8:19" x14ac:dyDescent="0.25">
      <c r="H2719">
        <v>16</v>
      </c>
      <c r="I2719">
        <v>760</v>
      </c>
      <c r="J2719">
        <v>110</v>
      </c>
      <c r="K2719" t="b">
        <v>1</v>
      </c>
      <c r="N2719" s="25" t="s">
        <v>586</v>
      </c>
      <c r="O2719" s="2">
        <f>INDEX(Маршруты,MATCH(N2719,$B$3:$B$498,0),1)</f>
        <v>116</v>
      </c>
      <c r="P2719" s="27">
        <v>24</v>
      </c>
      <c r="Q2719" s="2">
        <f>INDEX(Остановки,MATCH(R2719,ИД_Остановки!$B$3:$B$467,0),1)</f>
        <v>351</v>
      </c>
      <c r="R2719" s="45" t="s">
        <v>196</v>
      </c>
      <c r="S2719" s="20">
        <v>1.1200000000000001</v>
      </c>
    </row>
    <row r="2720" spans="8:19" x14ac:dyDescent="0.25">
      <c r="H2720">
        <v>16</v>
      </c>
      <c r="I2720">
        <v>765</v>
      </c>
      <c r="J2720">
        <v>110</v>
      </c>
      <c r="K2720" t="b">
        <v>1</v>
      </c>
      <c r="N2720" s="30" t="s">
        <v>586</v>
      </c>
      <c r="O2720" s="2">
        <f>INDEX(Маршруты,MATCH(N2720,$B$3:$B$498,0),1)</f>
        <v>116</v>
      </c>
      <c r="P2720" s="27">
        <v>25</v>
      </c>
      <c r="Q2720" s="2">
        <f>INDEX(Остановки,MATCH(R2720,ИД_Остановки!$B$3:$B$467,0),1)</f>
        <v>350</v>
      </c>
      <c r="R2720" s="45" t="s">
        <v>195</v>
      </c>
      <c r="S2720" s="20">
        <v>0.46</v>
      </c>
    </row>
    <row r="2721" spans="8:19" x14ac:dyDescent="0.25">
      <c r="H2721">
        <v>16</v>
      </c>
      <c r="I2721">
        <v>770</v>
      </c>
      <c r="J2721">
        <v>110</v>
      </c>
      <c r="K2721" t="b">
        <v>1</v>
      </c>
      <c r="N2721" s="30" t="s">
        <v>587</v>
      </c>
      <c r="O2721" s="2">
        <f>INDEX(Маршруты,MATCH(N2721,$B$3:$B$498,0),1)</f>
        <v>117</v>
      </c>
      <c r="P2721" s="27">
        <v>1</v>
      </c>
      <c r="Q2721" s="2">
        <f>INDEX(Остановки,MATCH(R2721,ИД_Остановки!$B$3:$B$467,0),1)</f>
        <v>152</v>
      </c>
      <c r="R2721" s="45" t="s">
        <v>318</v>
      </c>
      <c r="S2721" s="20"/>
    </row>
    <row r="2722" spans="8:19" x14ac:dyDescent="0.25">
      <c r="H2722">
        <v>16</v>
      </c>
      <c r="I2722">
        <v>775</v>
      </c>
      <c r="J2722">
        <v>110</v>
      </c>
      <c r="K2722" t="b">
        <v>1</v>
      </c>
      <c r="N2722" s="30" t="s">
        <v>587</v>
      </c>
      <c r="O2722" s="2">
        <f>INDEX(Маршруты,MATCH(N2722,$B$3:$B$498,0),1)</f>
        <v>117</v>
      </c>
      <c r="P2722" s="27">
        <v>2</v>
      </c>
      <c r="Q2722" s="2">
        <f>INDEX(Остановки,MATCH(R2722,ИД_Остановки!$B$3:$B$467,0),1)</f>
        <v>444</v>
      </c>
      <c r="R2722" s="45" t="s">
        <v>650</v>
      </c>
      <c r="S2722" s="20">
        <v>0.42</v>
      </c>
    </row>
    <row r="2723" spans="8:19" x14ac:dyDescent="0.25">
      <c r="H2723">
        <v>16</v>
      </c>
      <c r="I2723">
        <v>780</v>
      </c>
      <c r="J2723">
        <v>110</v>
      </c>
      <c r="K2723" t="b">
        <v>1</v>
      </c>
      <c r="N2723" s="30" t="s">
        <v>587</v>
      </c>
      <c r="O2723" s="2">
        <f>INDEX(Маршруты,MATCH(N2723,$B$3:$B$498,0),1)</f>
        <v>117</v>
      </c>
      <c r="P2723" s="27">
        <v>3</v>
      </c>
      <c r="Q2723" s="2">
        <f>INDEX(Остановки,MATCH(R2723,ИД_Остановки!$B$3:$B$467,0),1)</f>
        <v>178</v>
      </c>
      <c r="R2723" s="45" t="s">
        <v>93</v>
      </c>
      <c r="S2723" s="20">
        <v>0.34</v>
      </c>
    </row>
    <row r="2724" spans="8:19" x14ac:dyDescent="0.25">
      <c r="H2724">
        <v>16</v>
      </c>
      <c r="I2724">
        <v>785</v>
      </c>
      <c r="J2724">
        <v>110</v>
      </c>
      <c r="K2724" t="b">
        <v>1</v>
      </c>
      <c r="N2724" s="30" t="s">
        <v>587</v>
      </c>
      <c r="O2724" s="2">
        <f>INDEX(Маршруты,MATCH(N2724,$B$3:$B$498,0),1)</f>
        <v>117</v>
      </c>
      <c r="P2724" s="27">
        <v>4</v>
      </c>
      <c r="Q2724" s="2">
        <f>INDEX(Остановки,MATCH(R2724,ИД_Остановки!$B$3:$B$467,0),1)</f>
        <v>77</v>
      </c>
      <c r="R2724" s="45" t="s">
        <v>276</v>
      </c>
      <c r="S2724" s="20">
        <v>0.59</v>
      </c>
    </row>
    <row r="2725" spans="8:19" x14ac:dyDescent="0.25">
      <c r="H2725">
        <v>16</v>
      </c>
      <c r="I2725">
        <v>790</v>
      </c>
      <c r="J2725">
        <v>110</v>
      </c>
      <c r="K2725" t="b">
        <v>1</v>
      </c>
      <c r="N2725" s="25" t="s">
        <v>587</v>
      </c>
      <c r="O2725" s="2">
        <f>INDEX(Маршруты,MATCH(N2725,$B$3:$B$498,0),1)</f>
        <v>117</v>
      </c>
      <c r="P2725" s="28">
        <v>5</v>
      </c>
      <c r="Q2725" s="2">
        <f>INDEX(Остановки,MATCH(R2725,ИД_Остановки!$B$3:$B$467,0),1)</f>
        <v>78</v>
      </c>
      <c r="R2725" s="24" t="s">
        <v>277</v>
      </c>
      <c r="S2725" s="21">
        <v>0.39</v>
      </c>
    </row>
    <row r="2726" spans="8:19" x14ac:dyDescent="0.25">
      <c r="H2726">
        <v>16</v>
      </c>
      <c r="I2726">
        <v>795</v>
      </c>
      <c r="J2726">
        <v>110</v>
      </c>
      <c r="K2726" t="b">
        <v>1</v>
      </c>
      <c r="N2726" s="30" t="s">
        <v>587</v>
      </c>
      <c r="O2726" s="2">
        <f>INDEX(Маршруты,MATCH(N2726,$B$3:$B$498,0),1)</f>
        <v>117</v>
      </c>
      <c r="P2726" s="27">
        <v>6</v>
      </c>
      <c r="Q2726" s="2">
        <f>INDEX(Остановки,MATCH(R2726,ИД_Остановки!$B$3:$B$467,0),1)</f>
        <v>129</v>
      </c>
      <c r="R2726" s="45" t="s">
        <v>81</v>
      </c>
      <c r="S2726" s="20">
        <v>0.47</v>
      </c>
    </row>
    <row r="2727" spans="8:19" x14ac:dyDescent="0.25">
      <c r="H2727">
        <v>16</v>
      </c>
      <c r="I2727">
        <v>800</v>
      </c>
      <c r="J2727">
        <v>110</v>
      </c>
      <c r="K2727" t="b">
        <v>1</v>
      </c>
      <c r="N2727" s="25" t="s">
        <v>587</v>
      </c>
      <c r="O2727" s="2">
        <f>INDEX(Маршруты,MATCH(N2727,$B$3:$B$498,0),1)</f>
        <v>117</v>
      </c>
      <c r="P2727" s="27">
        <v>7</v>
      </c>
      <c r="Q2727" s="2">
        <f>INDEX(Остановки,MATCH(R2727,ИД_Остановки!$B$3:$B$467,0),1)</f>
        <v>109</v>
      </c>
      <c r="R2727" s="45" t="s">
        <v>293</v>
      </c>
      <c r="S2727" s="20">
        <v>0.44</v>
      </c>
    </row>
    <row r="2728" spans="8:19" x14ac:dyDescent="0.25">
      <c r="H2728">
        <v>16</v>
      </c>
      <c r="I2728">
        <v>805</v>
      </c>
      <c r="J2728">
        <v>110</v>
      </c>
      <c r="K2728" t="b">
        <v>1</v>
      </c>
      <c r="N2728" s="24" t="s">
        <v>587</v>
      </c>
      <c r="O2728" s="2">
        <f>INDEX(Маршруты,MATCH(N2728,$B$3:$B$498,0),1)</f>
        <v>117</v>
      </c>
      <c r="P2728" s="27">
        <v>8</v>
      </c>
      <c r="Q2728" s="2">
        <f>INDEX(Остановки,MATCH(R2728,ИД_Остановки!$B$3:$B$467,0),1)</f>
        <v>72</v>
      </c>
      <c r="R2728" s="24" t="s">
        <v>272</v>
      </c>
      <c r="S2728" s="20">
        <v>0.41</v>
      </c>
    </row>
    <row r="2729" spans="8:19" x14ac:dyDescent="0.25">
      <c r="H2729">
        <v>16</v>
      </c>
      <c r="I2729">
        <v>810</v>
      </c>
      <c r="J2729">
        <v>110</v>
      </c>
      <c r="K2729" t="b">
        <v>1</v>
      </c>
      <c r="N2729" s="30" t="s">
        <v>587</v>
      </c>
      <c r="O2729" s="2">
        <f>INDEX(Маршруты,MATCH(N2729,$B$3:$B$498,0),1)</f>
        <v>117</v>
      </c>
      <c r="P2729" s="27">
        <v>9</v>
      </c>
      <c r="Q2729" s="2">
        <f>INDEX(Остановки,MATCH(R2729,ИД_Остановки!$B$3:$B$467,0),1)</f>
        <v>110</v>
      </c>
      <c r="R2729" s="45" t="s">
        <v>294</v>
      </c>
      <c r="S2729" s="20">
        <v>0.31</v>
      </c>
    </row>
    <row r="2730" spans="8:19" x14ac:dyDescent="0.25">
      <c r="H2730">
        <v>16</v>
      </c>
      <c r="I2730">
        <v>815</v>
      </c>
      <c r="J2730">
        <v>110</v>
      </c>
      <c r="K2730" t="b">
        <v>1</v>
      </c>
      <c r="N2730" s="30" t="s">
        <v>587</v>
      </c>
      <c r="O2730" s="2">
        <f>INDEX(Маршруты,MATCH(N2730,$B$3:$B$498,0),1)</f>
        <v>117</v>
      </c>
      <c r="P2730" s="27">
        <v>10</v>
      </c>
      <c r="Q2730" s="2">
        <f>INDEX(Остановки,MATCH(R2730,ИД_Остановки!$B$3:$B$467,0),1)</f>
        <v>111</v>
      </c>
      <c r="R2730" s="45" t="s">
        <v>73</v>
      </c>
      <c r="S2730" s="20">
        <v>0.54</v>
      </c>
    </row>
    <row r="2731" spans="8:19" x14ac:dyDescent="0.25">
      <c r="H2731">
        <v>16</v>
      </c>
      <c r="I2731">
        <v>820</v>
      </c>
      <c r="J2731">
        <v>110</v>
      </c>
      <c r="K2731" t="b">
        <v>1</v>
      </c>
      <c r="N2731" s="25" t="s">
        <v>587</v>
      </c>
      <c r="O2731" s="2">
        <f>INDEX(Маршруты,MATCH(N2731,$B$3:$B$498,0),1)</f>
        <v>117</v>
      </c>
      <c r="P2731" s="27">
        <v>11</v>
      </c>
      <c r="Q2731" s="2">
        <f>INDEX(Остановки,MATCH(R2731,ИД_Остановки!$B$3:$B$467,0),1)</f>
        <v>112</v>
      </c>
      <c r="R2731" s="45" t="s">
        <v>295</v>
      </c>
      <c r="S2731" s="20">
        <v>0.38</v>
      </c>
    </row>
    <row r="2732" spans="8:19" x14ac:dyDescent="0.25">
      <c r="H2732">
        <v>16</v>
      </c>
      <c r="I2732">
        <v>825</v>
      </c>
      <c r="J2732">
        <v>110</v>
      </c>
      <c r="K2732" t="b">
        <v>1</v>
      </c>
      <c r="N2732" s="25" t="s">
        <v>587</v>
      </c>
      <c r="O2732" s="2">
        <f>INDEX(Маршруты,MATCH(N2732,$B$3:$B$498,0),1)</f>
        <v>117</v>
      </c>
      <c r="P2732" s="27">
        <v>12</v>
      </c>
      <c r="Q2732" s="2">
        <f>INDEX(Остановки,MATCH(R2732,ИД_Остановки!$B$3:$B$467,0),1)</f>
        <v>114</v>
      </c>
      <c r="R2732" s="45" t="s">
        <v>297</v>
      </c>
      <c r="S2732" s="20">
        <v>1</v>
      </c>
    </row>
    <row r="2733" spans="8:19" x14ac:dyDescent="0.25">
      <c r="H2733">
        <v>16</v>
      </c>
      <c r="I2733">
        <v>830</v>
      </c>
      <c r="J2733">
        <v>110</v>
      </c>
      <c r="K2733" t="b">
        <v>1</v>
      </c>
      <c r="N2733" s="25" t="s">
        <v>587</v>
      </c>
      <c r="O2733" s="2">
        <f>INDEX(Маршруты,MATCH(N2733,$B$3:$B$498,0),1)</f>
        <v>117</v>
      </c>
      <c r="P2733" s="27">
        <v>13</v>
      </c>
      <c r="Q2733" s="2">
        <f>INDEX(Остановки,MATCH(R2733,ИД_Остановки!$B$3:$B$467,0),1)</f>
        <v>115</v>
      </c>
      <c r="R2733" s="45" t="s">
        <v>74</v>
      </c>
      <c r="S2733" s="20">
        <v>0.37</v>
      </c>
    </row>
    <row r="2734" spans="8:19" x14ac:dyDescent="0.25">
      <c r="H2734">
        <v>16</v>
      </c>
      <c r="I2734">
        <v>835</v>
      </c>
      <c r="J2734">
        <v>110</v>
      </c>
      <c r="K2734" t="b">
        <v>1</v>
      </c>
      <c r="N2734" s="30" t="s">
        <v>587</v>
      </c>
      <c r="O2734" s="2">
        <f>INDEX(Маршруты,MATCH(N2734,$B$3:$B$498,0),1)</f>
        <v>117</v>
      </c>
      <c r="P2734" s="28">
        <v>14</v>
      </c>
      <c r="Q2734" s="2">
        <f>INDEX(Остановки,MATCH(R2734,ИД_Остановки!$B$3:$B$467,0),1)</f>
        <v>335</v>
      </c>
      <c r="R2734" s="24" t="s">
        <v>191</v>
      </c>
      <c r="S2734" s="21">
        <v>0.67</v>
      </c>
    </row>
    <row r="2735" spans="8:19" x14ac:dyDescent="0.25">
      <c r="H2735">
        <v>16</v>
      </c>
      <c r="I2735">
        <v>840</v>
      </c>
      <c r="J2735">
        <v>110</v>
      </c>
      <c r="K2735" t="b">
        <v>1</v>
      </c>
      <c r="N2735" s="30" t="s">
        <v>587</v>
      </c>
      <c r="O2735" s="2">
        <f>INDEX(Маршруты,MATCH(N2735,$B$3:$B$498,0),1)</f>
        <v>117</v>
      </c>
      <c r="P2735" s="27">
        <v>15</v>
      </c>
      <c r="Q2735" s="2">
        <f>INDEX(Остановки,MATCH(R2735,ИД_Остановки!$B$3:$B$467,0),1)</f>
        <v>104</v>
      </c>
      <c r="R2735" s="45" t="s">
        <v>289</v>
      </c>
      <c r="S2735" s="20">
        <v>0.57999999999999996</v>
      </c>
    </row>
    <row r="2736" spans="8:19" x14ac:dyDescent="0.25">
      <c r="H2736">
        <v>16</v>
      </c>
      <c r="I2736">
        <v>845</v>
      </c>
      <c r="J2736">
        <v>110</v>
      </c>
      <c r="K2736" t="b">
        <v>1</v>
      </c>
      <c r="N2736" s="25" t="s">
        <v>587</v>
      </c>
      <c r="O2736" s="2">
        <f>INDEX(Маршруты,MATCH(N2736,$B$3:$B$498,0),1)</f>
        <v>117</v>
      </c>
      <c r="P2736" s="27">
        <v>16</v>
      </c>
      <c r="Q2736" s="2">
        <f>INDEX(Остановки,MATCH(R2736,ИД_Остановки!$B$3:$B$467,0),1)</f>
        <v>316</v>
      </c>
      <c r="R2736" s="45" t="s">
        <v>182</v>
      </c>
      <c r="S2736" s="20">
        <v>1.31</v>
      </c>
    </row>
    <row r="2737" spans="8:19" x14ac:dyDescent="0.25">
      <c r="H2737">
        <v>16</v>
      </c>
      <c r="I2737">
        <v>850</v>
      </c>
      <c r="J2737">
        <v>110</v>
      </c>
      <c r="K2737" t="b">
        <v>1</v>
      </c>
      <c r="N2737" s="25" t="s">
        <v>587</v>
      </c>
      <c r="O2737" s="2">
        <f>INDEX(Маршруты,MATCH(N2737,$B$3:$B$498,0),1)</f>
        <v>117</v>
      </c>
      <c r="P2737" s="27">
        <v>17</v>
      </c>
      <c r="Q2737" s="2">
        <f>INDEX(Остановки,MATCH(R2737,ИД_Остановки!$B$3:$B$467,0),1)</f>
        <v>421</v>
      </c>
      <c r="R2737" s="45" t="s">
        <v>477</v>
      </c>
      <c r="S2737" s="20">
        <v>0.45</v>
      </c>
    </row>
    <row r="2738" spans="8:19" x14ac:dyDescent="0.25">
      <c r="H2738">
        <v>16</v>
      </c>
      <c r="I2738">
        <v>855</v>
      </c>
      <c r="J2738">
        <v>110</v>
      </c>
      <c r="K2738" t="b">
        <v>1</v>
      </c>
      <c r="N2738" s="30" t="s">
        <v>587</v>
      </c>
      <c r="O2738" s="2">
        <f>INDEX(Маршруты,MATCH(N2738,$B$3:$B$498,0),1)</f>
        <v>117</v>
      </c>
      <c r="P2738" s="27">
        <v>18</v>
      </c>
      <c r="Q2738" s="2">
        <f>INDEX(Остановки,MATCH(R2738,ИД_Остановки!$B$3:$B$467,0),1)</f>
        <v>246</v>
      </c>
      <c r="R2738" s="45" t="s">
        <v>370</v>
      </c>
      <c r="S2738" s="20">
        <v>0.97</v>
      </c>
    </row>
    <row r="2739" spans="8:19" x14ac:dyDescent="0.25">
      <c r="H2739">
        <v>16</v>
      </c>
      <c r="I2739">
        <v>860</v>
      </c>
      <c r="J2739">
        <v>110</v>
      </c>
      <c r="K2739" t="b">
        <v>1</v>
      </c>
      <c r="N2739" s="30" t="s">
        <v>587</v>
      </c>
      <c r="O2739" s="2">
        <f>INDEX(Маршруты,MATCH(N2739,$B$3:$B$498,0),1)</f>
        <v>117</v>
      </c>
      <c r="P2739" s="27">
        <v>19</v>
      </c>
      <c r="Q2739" s="2">
        <f>INDEX(Остановки,MATCH(R2739,ИД_Остановки!$B$3:$B$467,0),1)</f>
        <v>361</v>
      </c>
      <c r="R2739" s="45" t="s">
        <v>422</v>
      </c>
      <c r="S2739" s="20">
        <v>0.46</v>
      </c>
    </row>
    <row r="2740" spans="8:19" x14ac:dyDescent="0.25">
      <c r="H2740">
        <v>16</v>
      </c>
      <c r="I2740">
        <v>865</v>
      </c>
      <c r="J2740">
        <v>110</v>
      </c>
      <c r="K2740" t="b">
        <v>1</v>
      </c>
      <c r="N2740" s="30" t="s">
        <v>588</v>
      </c>
      <c r="O2740" s="2">
        <f>INDEX(Маршруты,MATCH(N2740,$B$3:$B$498,0),1)</f>
        <v>118</v>
      </c>
      <c r="P2740" s="27">
        <v>1</v>
      </c>
      <c r="Q2740" s="2">
        <f>INDEX(Остановки,MATCH(R2740,ИД_Остановки!$B$3:$B$467,0),1)</f>
        <v>361</v>
      </c>
      <c r="R2740" s="45" t="s">
        <v>422</v>
      </c>
      <c r="S2740" s="20"/>
    </row>
    <row r="2741" spans="8:19" x14ac:dyDescent="0.25">
      <c r="H2741">
        <v>16</v>
      </c>
      <c r="I2741">
        <v>870</v>
      </c>
      <c r="J2741">
        <v>110</v>
      </c>
      <c r="K2741" t="b">
        <v>1</v>
      </c>
      <c r="N2741" s="30" t="s">
        <v>588</v>
      </c>
      <c r="O2741" s="2">
        <f>INDEX(Маршруты,MATCH(N2741,$B$3:$B$498,0),1)</f>
        <v>118</v>
      </c>
      <c r="P2741" s="27">
        <v>2</v>
      </c>
      <c r="Q2741" s="2">
        <f>INDEX(Остановки,MATCH(R2741,ИД_Остановки!$B$3:$B$467,0),1)</f>
        <v>246</v>
      </c>
      <c r="R2741" s="45" t="s">
        <v>370</v>
      </c>
      <c r="S2741" s="20">
        <v>0.46</v>
      </c>
    </row>
    <row r="2742" spans="8:19" x14ac:dyDescent="0.25">
      <c r="H2742">
        <v>16</v>
      </c>
      <c r="I2742">
        <v>875</v>
      </c>
      <c r="J2742">
        <v>110</v>
      </c>
      <c r="K2742" t="b">
        <v>1</v>
      </c>
      <c r="N2742" s="30" t="s">
        <v>588</v>
      </c>
      <c r="O2742" s="2">
        <f>INDEX(Маршруты,MATCH(N2742,$B$3:$B$498,0),1)</f>
        <v>118</v>
      </c>
      <c r="P2742" s="27">
        <v>3</v>
      </c>
      <c r="Q2742" s="2">
        <f>INDEX(Остановки,MATCH(R2742,ИД_Остановки!$B$3:$B$467,0),1)</f>
        <v>421</v>
      </c>
      <c r="R2742" s="45" t="s">
        <v>477</v>
      </c>
      <c r="S2742" s="20">
        <v>0.97</v>
      </c>
    </row>
    <row r="2743" spans="8:19" x14ac:dyDescent="0.25">
      <c r="H2743">
        <v>16</v>
      </c>
      <c r="I2743">
        <v>880</v>
      </c>
      <c r="J2743">
        <v>110</v>
      </c>
      <c r="K2743" t="b">
        <v>1</v>
      </c>
      <c r="N2743" s="25" t="s">
        <v>588</v>
      </c>
      <c r="O2743" s="2">
        <f>INDEX(Маршруты,MATCH(N2743,$B$3:$B$498,0),1)</f>
        <v>118</v>
      </c>
      <c r="P2743" s="27">
        <v>4</v>
      </c>
      <c r="Q2743" s="2">
        <f>INDEX(Остановки,MATCH(R2743,ИД_Остановки!$B$3:$B$467,0),1)</f>
        <v>316</v>
      </c>
      <c r="R2743" s="45" t="s">
        <v>182</v>
      </c>
      <c r="S2743" s="20">
        <v>0.45</v>
      </c>
    </row>
    <row r="2744" spans="8:19" x14ac:dyDescent="0.25">
      <c r="H2744">
        <v>16</v>
      </c>
      <c r="I2744">
        <v>885</v>
      </c>
      <c r="J2744">
        <v>110</v>
      </c>
      <c r="K2744" t="b">
        <v>1</v>
      </c>
      <c r="N2744" s="25" t="s">
        <v>588</v>
      </c>
      <c r="O2744" s="2">
        <f>INDEX(Маршруты,MATCH(N2744,$B$3:$B$498,0),1)</f>
        <v>118</v>
      </c>
      <c r="P2744" s="27">
        <v>5</v>
      </c>
      <c r="Q2744" s="2">
        <f>INDEX(Остановки,MATCH(R2744,ИД_Остановки!$B$3:$B$467,0),1)</f>
        <v>104</v>
      </c>
      <c r="R2744" s="24" t="s">
        <v>289</v>
      </c>
      <c r="S2744" s="20">
        <v>1.31</v>
      </c>
    </row>
    <row r="2745" spans="8:19" x14ac:dyDescent="0.25">
      <c r="H2745">
        <v>16</v>
      </c>
      <c r="I2745">
        <v>890</v>
      </c>
      <c r="J2745">
        <v>110</v>
      </c>
      <c r="K2745" t="b">
        <v>1</v>
      </c>
      <c r="N2745" s="26" t="s">
        <v>588</v>
      </c>
      <c r="O2745" s="2">
        <f>INDEX(Маршруты,MATCH(N2745,$B$3:$B$498,0),1)</f>
        <v>118</v>
      </c>
      <c r="P2745" s="27">
        <v>6</v>
      </c>
      <c r="Q2745" s="2">
        <f>INDEX(Остановки,MATCH(R2745,ИД_Остановки!$B$3:$B$467,0),1)</f>
        <v>335</v>
      </c>
      <c r="R2745" s="45" t="s">
        <v>191</v>
      </c>
      <c r="S2745" s="20">
        <v>0.57999999999999996</v>
      </c>
    </row>
    <row r="2746" spans="8:19" x14ac:dyDescent="0.25">
      <c r="H2746">
        <v>16</v>
      </c>
      <c r="I2746">
        <v>895</v>
      </c>
      <c r="J2746">
        <v>110</v>
      </c>
      <c r="K2746" t="b">
        <v>1</v>
      </c>
      <c r="N2746" s="30" t="s">
        <v>588</v>
      </c>
      <c r="O2746" s="2">
        <f>INDEX(Маршруты,MATCH(N2746,$B$3:$B$498,0),1)</f>
        <v>118</v>
      </c>
      <c r="P2746" s="27">
        <v>7</v>
      </c>
      <c r="Q2746" s="2">
        <f>INDEX(Остановки,MATCH(R2746,ИД_Остановки!$B$3:$B$467,0),1)</f>
        <v>115</v>
      </c>
      <c r="R2746" s="45" t="s">
        <v>74</v>
      </c>
      <c r="S2746" s="20">
        <v>0.67</v>
      </c>
    </row>
    <row r="2747" spans="8:19" x14ac:dyDescent="0.25">
      <c r="H2747">
        <v>16</v>
      </c>
      <c r="I2747">
        <v>900</v>
      </c>
      <c r="J2747">
        <v>110</v>
      </c>
      <c r="K2747" t="b">
        <v>1</v>
      </c>
      <c r="N2747" s="25" t="s">
        <v>588</v>
      </c>
      <c r="O2747" s="2">
        <f>INDEX(Маршруты,MATCH(N2747,$B$3:$B$498,0),1)</f>
        <v>118</v>
      </c>
      <c r="P2747" s="28">
        <v>8</v>
      </c>
      <c r="Q2747" s="2">
        <f>INDEX(Остановки,MATCH(R2747,ИД_Остановки!$B$3:$B$467,0),1)</f>
        <v>114</v>
      </c>
      <c r="R2747" s="24" t="s">
        <v>297</v>
      </c>
      <c r="S2747" s="20">
        <v>0.37</v>
      </c>
    </row>
    <row r="2748" spans="8:19" x14ac:dyDescent="0.25">
      <c r="H2748">
        <v>16</v>
      </c>
      <c r="I2748">
        <v>905</v>
      </c>
      <c r="J2748">
        <v>110</v>
      </c>
      <c r="K2748" t="b">
        <v>1</v>
      </c>
      <c r="N2748" s="25" t="s">
        <v>588</v>
      </c>
      <c r="O2748" s="2">
        <f>INDEX(Маршруты,MATCH(N2748,$B$3:$B$498,0),1)</f>
        <v>118</v>
      </c>
      <c r="P2748" s="27">
        <v>9</v>
      </c>
      <c r="Q2748" s="2">
        <f>INDEX(Остановки,MATCH(R2748,ИД_Остановки!$B$3:$B$467,0),1)</f>
        <v>112</v>
      </c>
      <c r="R2748" s="45" t="s">
        <v>295</v>
      </c>
      <c r="S2748" s="20">
        <v>1</v>
      </c>
    </row>
    <row r="2749" spans="8:19" x14ac:dyDescent="0.25">
      <c r="H2749">
        <v>16</v>
      </c>
      <c r="I2749">
        <v>910</v>
      </c>
      <c r="J2749">
        <v>110</v>
      </c>
      <c r="K2749" t="b">
        <v>1</v>
      </c>
      <c r="N2749" s="26" t="s">
        <v>588</v>
      </c>
      <c r="O2749" s="2">
        <f>INDEX(Маршруты,MATCH(N2749,$B$3:$B$498,0),1)</f>
        <v>118</v>
      </c>
      <c r="P2749" s="27">
        <v>10</v>
      </c>
      <c r="Q2749" s="2">
        <f>INDEX(Остановки,MATCH(R2749,ИД_Остановки!$B$3:$B$467,0),1)</f>
        <v>111</v>
      </c>
      <c r="R2749" s="45" t="s">
        <v>73</v>
      </c>
      <c r="S2749" s="20">
        <v>0.38</v>
      </c>
    </row>
    <row r="2750" spans="8:19" x14ac:dyDescent="0.25">
      <c r="H2750">
        <v>16</v>
      </c>
      <c r="I2750">
        <v>915</v>
      </c>
      <c r="J2750">
        <v>110</v>
      </c>
      <c r="K2750" t="b">
        <v>1</v>
      </c>
      <c r="N2750" s="30" t="s">
        <v>588</v>
      </c>
      <c r="O2750" s="2">
        <f>INDEX(Маршруты,MATCH(N2750,$B$3:$B$498,0),1)</f>
        <v>118</v>
      </c>
      <c r="P2750" s="27">
        <v>11</v>
      </c>
      <c r="Q2750" s="2">
        <f>INDEX(Остановки,MATCH(R2750,ИД_Остановки!$B$3:$B$467,0),1)</f>
        <v>110</v>
      </c>
      <c r="R2750" s="45" t="s">
        <v>294</v>
      </c>
      <c r="S2750" s="20">
        <v>0.54</v>
      </c>
    </row>
    <row r="2751" spans="8:19" x14ac:dyDescent="0.25">
      <c r="H2751">
        <v>16</v>
      </c>
      <c r="I2751">
        <v>920</v>
      </c>
      <c r="J2751">
        <v>110</v>
      </c>
      <c r="K2751" t="b">
        <v>1</v>
      </c>
      <c r="N2751" s="30" t="s">
        <v>588</v>
      </c>
      <c r="O2751" s="2">
        <f>INDEX(Маршруты,MATCH(N2751,$B$3:$B$498,0),1)</f>
        <v>118</v>
      </c>
      <c r="P2751" s="27">
        <v>12</v>
      </c>
      <c r="Q2751" s="2">
        <f>INDEX(Остановки,MATCH(R2751,ИД_Остановки!$B$3:$B$467,0),1)</f>
        <v>72</v>
      </c>
      <c r="R2751" s="45" t="s">
        <v>272</v>
      </c>
      <c r="S2751" s="20">
        <v>0.31</v>
      </c>
    </row>
    <row r="2752" spans="8:19" x14ac:dyDescent="0.25">
      <c r="H2752">
        <v>16</v>
      </c>
      <c r="I2752">
        <v>925</v>
      </c>
      <c r="J2752">
        <v>110</v>
      </c>
      <c r="K2752" t="b">
        <v>1</v>
      </c>
      <c r="N2752" s="25" t="s">
        <v>588</v>
      </c>
      <c r="O2752" s="2">
        <f>INDEX(Маршруты,MATCH(N2752,$B$3:$B$498,0),1)</f>
        <v>118</v>
      </c>
      <c r="P2752" s="27">
        <v>13</v>
      </c>
      <c r="Q2752" s="2">
        <f>INDEX(Остановки,MATCH(R2752,ИД_Остановки!$B$3:$B$467,0),1)</f>
        <v>109</v>
      </c>
      <c r="R2752" s="45" t="s">
        <v>293</v>
      </c>
      <c r="S2752" s="20">
        <v>0.41</v>
      </c>
    </row>
    <row r="2753" spans="8:19" x14ac:dyDescent="0.25">
      <c r="H2753">
        <v>16</v>
      </c>
      <c r="I2753">
        <v>930</v>
      </c>
      <c r="J2753">
        <v>110</v>
      </c>
      <c r="K2753" t="b">
        <v>1</v>
      </c>
      <c r="N2753" s="25" t="s">
        <v>588</v>
      </c>
      <c r="O2753" s="2">
        <f>INDEX(Маршруты,MATCH(N2753,$B$3:$B$498,0),1)</f>
        <v>118</v>
      </c>
      <c r="P2753" s="27">
        <v>14</v>
      </c>
      <c r="Q2753" s="2">
        <f>INDEX(Остановки,MATCH(R2753,ИД_Остановки!$B$3:$B$467,0),1)</f>
        <v>129</v>
      </c>
      <c r="R2753" s="45" t="s">
        <v>81</v>
      </c>
      <c r="S2753" s="20">
        <v>0.44</v>
      </c>
    </row>
    <row r="2754" spans="8:19" x14ac:dyDescent="0.25">
      <c r="H2754">
        <v>16</v>
      </c>
      <c r="I2754">
        <v>935</v>
      </c>
      <c r="J2754">
        <v>110</v>
      </c>
      <c r="K2754" t="b">
        <v>1</v>
      </c>
      <c r="N2754" s="14" t="s">
        <v>588</v>
      </c>
      <c r="O2754" s="2">
        <f>INDEX(Маршруты,MATCH(N2754,$B$3:$B$498,0),1)</f>
        <v>118</v>
      </c>
      <c r="P2754" s="27">
        <v>15</v>
      </c>
      <c r="Q2754" s="2">
        <f>INDEX(Остановки,MATCH(R2754,ИД_Остановки!$B$3:$B$467,0),1)</f>
        <v>78</v>
      </c>
      <c r="R2754" s="45" t="s">
        <v>277</v>
      </c>
      <c r="S2754" s="20">
        <v>0.47</v>
      </c>
    </row>
    <row r="2755" spans="8:19" x14ac:dyDescent="0.25">
      <c r="H2755">
        <v>16</v>
      </c>
      <c r="I2755">
        <v>940</v>
      </c>
      <c r="J2755">
        <v>110</v>
      </c>
      <c r="K2755" t="b">
        <v>1</v>
      </c>
      <c r="N2755" s="25" t="s">
        <v>588</v>
      </c>
      <c r="O2755" s="2">
        <f>INDEX(Маршруты,MATCH(N2755,$B$3:$B$498,0),1)</f>
        <v>118</v>
      </c>
      <c r="P2755" s="27">
        <v>16</v>
      </c>
      <c r="Q2755" s="2">
        <f>INDEX(Остановки,MATCH(R2755,ИД_Остановки!$B$3:$B$467,0),1)</f>
        <v>77</v>
      </c>
      <c r="R2755" s="45" t="s">
        <v>276</v>
      </c>
      <c r="S2755" s="20">
        <v>0.39</v>
      </c>
    </row>
    <row r="2756" spans="8:19" x14ac:dyDescent="0.25">
      <c r="H2756">
        <v>16</v>
      </c>
      <c r="I2756">
        <v>945</v>
      </c>
      <c r="J2756">
        <v>110</v>
      </c>
      <c r="K2756" t="b">
        <v>1</v>
      </c>
      <c r="N2756" s="24" t="s">
        <v>588</v>
      </c>
      <c r="O2756" s="2">
        <f>INDEX(Маршруты,MATCH(N2756,$B$3:$B$498,0),1)</f>
        <v>118</v>
      </c>
      <c r="P2756" s="27">
        <v>17</v>
      </c>
      <c r="Q2756" s="2">
        <f>INDEX(Остановки,MATCH(R2756,ИД_Остановки!$B$3:$B$467,0),1)</f>
        <v>178</v>
      </c>
      <c r="R2756" s="45" t="s">
        <v>93</v>
      </c>
      <c r="S2756" s="20">
        <v>0.59</v>
      </c>
    </row>
    <row r="2757" spans="8:19" x14ac:dyDescent="0.25">
      <c r="H2757">
        <v>16</v>
      </c>
      <c r="I2757">
        <v>950</v>
      </c>
      <c r="J2757">
        <v>110</v>
      </c>
      <c r="K2757" t="b">
        <v>1</v>
      </c>
      <c r="N2757" s="25" t="s">
        <v>588</v>
      </c>
      <c r="O2757" s="2">
        <f>INDEX(Маршруты,MATCH(N2757,$B$3:$B$498,0),1)</f>
        <v>118</v>
      </c>
      <c r="P2757" s="27">
        <v>18</v>
      </c>
      <c r="Q2757" s="2">
        <f>INDEX(Остановки,MATCH(R2757,ИД_Остановки!$B$3:$B$467,0),1)</f>
        <v>444</v>
      </c>
      <c r="R2757" s="45" t="s">
        <v>650</v>
      </c>
      <c r="S2757" s="20">
        <v>0.34</v>
      </c>
    </row>
    <row r="2758" spans="8:19" x14ac:dyDescent="0.25">
      <c r="H2758">
        <v>16</v>
      </c>
      <c r="I2758">
        <v>955</v>
      </c>
      <c r="J2758">
        <v>110</v>
      </c>
      <c r="K2758" t="b">
        <v>1</v>
      </c>
      <c r="N2758" s="25" t="s">
        <v>588</v>
      </c>
      <c r="O2758" s="2">
        <f>INDEX(Маршруты,MATCH(N2758,$B$3:$B$498,0),1)</f>
        <v>118</v>
      </c>
      <c r="P2758" s="27">
        <v>19</v>
      </c>
      <c r="Q2758" s="2">
        <f>INDEX(Остановки,MATCH(R2758,ИД_Остановки!$B$3:$B$467,0),1)</f>
        <v>152</v>
      </c>
      <c r="R2758" s="45" t="s">
        <v>318</v>
      </c>
      <c r="S2758" s="20">
        <v>0.42</v>
      </c>
    </row>
    <row r="2759" spans="8:19" x14ac:dyDescent="0.25">
      <c r="H2759">
        <v>17</v>
      </c>
      <c r="I2759">
        <v>0</v>
      </c>
      <c r="J2759">
        <v>110</v>
      </c>
      <c r="K2759" t="b">
        <v>1</v>
      </c>
      <c r="N2759" s="26" t="s">
        <v>589</v>
      </c>
      <c r="O2759" s="2">
        <f>INDEX(Маршруты,MATCH(N2759,$B$3:$B$498,0),1)</f>
        <v>119</v>
      </c>
      <c r="P2759" s="27">
        <v>1</v>
      </c>
      <c r="Q2759" s="2">
        <f>INDEX(Остановки,MATCH(R2759,ИД_Остановки!$B$3:$B$467,0),1)</f>
        <v>356</v>
      </c>
      <c r="R2759" s="45" t="s">
        <v>198</v>
      </c>
      <c r="S2759" s="20"/>
    </row>
    <row r="2760" spans="8:19" x14ac:dyDescent="0.25">
      <c r="H2760">
        <v>17</v>
      </c>
      <c r="I2760">
        <v>12</v>
      </c>
      <c r="J2760">
        <v>110</v>
      </c>
      <c r="K2760" t="b">
        <v>1</v>
      </c>
      <c r="N2760" s="32" t="s">
        <v>589</v>
      </c>
      <c r="O2760" s="2">
        <f>INDEX(Маршруты,MATCH(N2760,$B$3:$B$498,0),1)</f>
        <v>119</v>
      </c>
      <c r="P2760" s="27">
        <v>2</v>
      </c>
      <c r="Q2760" s="2">
        <f>INDEX(Остановки,MATCH(R2760,ИД_Остановки!$B$3:$B$467,0),1)</f>
        <v>357</v>
      </c>
      <c r="R2760" s="45" t="s">
        <v>419</v>
      </c>
      <c r="S2760" s="20">
        <v>1.91</v>
      </c>
    </row>
    <row r="2761" spans="8:19" x14ac:dyDescent="0.25">
      <c r="H2761">
        <v>17</v>
      </c>
      <c r="I2761">
        <v>24</v>
      </c>
      <c r="J2761">
        <v>110</v>
      </c>
      <c r="K2761" t="b">
        <v>1</v>
      </c>
      <c r="N2761" s="32" t="s">
        <v>589</v>
      </c>
      <c r="O2761" s="2">
        <f>INDEX(Маршруты,MATCH(N2761,$B$3:$B$498,0),1)</f>
        <v>119</v>
      </c>
      <c r="P2761" s="27">
        <v>3</v>
      </c>
      <c r="Q2761" s="2">
        <f>INDEX(Остановки,MATCH(R2761,ИД_Остановки!$B$3:$B$467,0),1)</f>
        <v>358</v>
      </c>
      <c r="R2761" s="45" t="s">
        <v>420</v>
      </c>
      <c r="S2761" s="20">
        <v>0.52</v>
      </c>
    </row>
    <row r="2762" spans="8:19" x14ac:dyDescent="0.25">
      <c r="H2762">
        <v>17</v>
      </c>
      <c r="I2762">
        <v>36</v>
      </c>
      <c r="J2762">
        <v>110</v>
      </c>
      <c r="K2762" t="b">
        <v>1</v>
      </c>
      <c r="N2762" s="25" t="s">
        <v>589</v>
      </c>
      <c r="O2762" s="2">
        <f>INDEX(Маршруты,MATCH(N2762,$B$3:$B$498,0),1)</f>
        <v>119</v>
      </c>
      <c r="P2762" s="27">
        <v>4</v>
      </c>
      <c r="Q2762" s="2">
        <f>INDEX(Остановки,MATCH(R2762,ИД_Остановки!$B$3:$B$467,0),1)</f>
        <v>293</v>
      </c>
      <c r="R2762" s="45" t="s">
        <v>163</v>
      </c>
      <c r="S2762" s="20">
        <v>0.76</v>
      </c>
    </row>
    <row r="2763" spans="8:19" x14ac:dyDescent="0.25">
      <c r="H2763">
        <v>17</v>
      </c>
      <c r="I2763">
        <v>48</v>
      </c>
      <c r="J2763">
        <v>110</v>
      </c>
      <c r="K2763" t="b">
        <v>1</v>
      </c>
      <c r="N2763" s="25" t="s">
        <v>589</v>
      </c>
      <c r="O2763" s="2">
        <f>INDEX(Маршруты,MATCH(N2763,$B$3:$B$498,0),1)</f>
        <v>119</v>
      </c>
      <c r="P2763" s="27">
        <v>5</v>
      </c>
      <c r="Q2763" s="2">
        <f>INDEX(Остановки,MATCH(R2763,ИД_Остановки!$B$3:$B$467,0),1)</f>
        <v>167</v>
      </c>
      <c r="R2763" s="45" t="s">
        <v>104</v>
      </c>
      <c r="S2763" s="20">
        <v>0.94</v>
      </c>
    </row>
    <row r="2764" spans="8:19" x14ac:dyDescent="0.25">
      <c r="H2764">
        <v>17</v>
      </c>
      <c r="I2764">
        <v>60</v>
      </c>
      <c r="J2764">
        <v>110</v>
      </c>
      <c r="K2764" t="b">
        <v>1</v>
      </c>
      <c r="N2764" s="25" t="s">
        <v>589</v>
      </c>
      <c r="O2764" s="2">
        <f>INDEX(Маршруты,MATCH(N2764,$B$3:$B$498,0),1)</f>
        <v>119</v>
      </c>
      <c r="P2764" s="27">
        <v>6</v>
      </c>
      <c r="Q2764" s="2">
        <f>INDEX(Остановки,MATCH(R2764,ИД_Остановки!$B$3:$B$467,0),1)</f>
        <v>247</v>
      </c>
      <c r="R2764" s="45" t="s">
        <v>134</v>
      </c>
      <c r="S2764" s="20">
        <v>0.45</v>
      </c>
    </row>
    <row r="2765" spans="8:19" x14ac:dyDescent="0.25">
      <c r="H2765">
        <v>17</v>
      </c>
      <c r="I2765">
        <v>72</v>
      </c>
      <c r="J2765">
        <v>110</v>
      </c>
      <c r="K2765" t="b">
        <v>1</v>
      </c>
      <c r="N2765" s="30" t="s">
        <v>589</v>
      </c>
      <c r="O2765" s="2">
        <f>INDEX(Маршруты,MATCH(N2765,$B$3:$B$498,0),1)</f>
        <v>119</v>
      </c>
      <c r="P2765" s="27">
        <v>7</v>
      </c>
      <c r="Q2765" s="2">
        <f>INDEX(Остановки,MATCH(R2765,ИД_Остановки!$B$3:$B$467,0),1)</f>
        <v>411</v>
      </c>
      <c r="R2765" s="45" t="s">
        <v>467</v>
      </c>
      <c r="S2765" s="20">
        <v>0.6</v>
      </c>
    </row>
    <row r="2766" spans="8:19" x14ac:dyDescent="0.25">
      <c r="H2766">
        <v>17</v>
      </c>
      <c r="I2766">
        <v>84</v>
      </c>
      <c r="J2766">
        <v>110</v>
      </c>
      <c r="K2766" t="b">
        <v>1</v>
      </c>
      <c r="N2766" s="25" t="s">
        <v>589</v>
      </c>
      <c r="O2766" s="2">
        <f>INDEX(Маршруты,MATCH(N2766,$B$3:$B$498,0),1)</f>
        <v>119</v>
      </c>
      <c r="P2766" s="27">
        <v>8</v>
      </c>
      <c r="Q2766" s="2">
        <f>INDEX(Остановки,MATCH(R2766,ИД_Остановки!$B$3:$B$467,0),1)</f>
        <v>248</v>
      </c>
      <c r="R2766" s="45" t="s">
        <v>617</v>
      </c>
      <c r="S2766" s="20">
        <v>0.74</v>
      </c>
    </row>
    <row r="2767" spans="8:19" x14ac:dyDescent="0.25">
      <c r="H2767">
        <v>17</v>
      </c>
      <c r="I2767">
        <v>96</v>
      </c>
      <c r="J2767">
        <v>110</v>
      </c>
      <c r="K2767" t="b">
        <v>1</v>
      </c>
      <c r="N2767" s="25" t="s">
        <v>589</v>
      </c>
      <c r="O2767" s="2">
        <f>INDEX(Маршруты,MATCH(N2767,$B$3:$B$498,0),1)</f>
        <v>119</v>
      </c>
      <c r="P2767" s="28">
        <v>9</v>
      </c>
      <c r="Q2767" s="2">
        <f>INDEX(Остановки,MATCH(R2767,ИД_Остановки!$B$3:$B$467,0),1)</f>
        <v>249</v>
      </c>
      <c r="R2767" s="24" t="s">
        <v>372</v>
      </c>
      <c r="S2767" s="21">
        <v>0.77</v>
      </c>
    </row>
    <row r="2768" spans="8:19" x14ac:dyDescent="0.25">
      <c r="H2768">
        <v>17</v>
      </c>
      <c r="I2768">
        <v>108</v>
      </c>
      <c r="J2768">
        <v>110</v>
      </c>
      <c r="K2768" t="b">
        <v>1</v>
      </c>
      <c r="N2768" s="30" t="s">
        <v>589</v>
      </c>
      <c r="O2768" s="2">
        <f>INDEX(Маршруты,MATCH(N2768,$B$3:$B$498,0),1)</f>
        <v>119</v>
      </c>
      <c r="P2768" s="27">
        <v>10</v>
      </c>
      <c r="Q2768" s="2">
        <f>INDEX(Остановки,MATCH(R2768,ИД_Остановки!$B$3:$B$467,0),1)</f>
        <v>250</v>
      </c>
      <c r="R2768" s="45" t="s">
        <v>373</v>
      </c>
      <c r="S2768" s="20">
        <v>0.32</v>
      </c>
    </row>
    <row r="2769" spans="8:19" x14ac:dyDescent="0.25">
      <c r="H2769">
        <v>17</v>
      </c>
      <c r="I2769">
        <v>120</v>
      </c>
      <c r="J2769">
        <v>110</v>
      </c>
      <c r="K2769" t="b">
        <v>1</v>
      </c>
      <c r="N2769" s="25" t="s">
        <v>589</v>
      </c>
      <c r="O2769" s="2">
        <f>INDEX(Маршруты,MATCH(N2769,$B$3:$B$498,0),1)</f>
        <v>119</v>
      </c>
      <c r="P2769" s="27">
        <v>11</v>
      </c>
      <c r="Q2769" s="2">
        <f>INDEX(Остановки,MATCH(R2769,ИД_Остановки!$B$3:$B$467,0),1)</f>
        <v>276</v>
      </c>
      <c r="R2769" s="45" t="s">
        <v>148</v>
      </c>
      <c r="S2769" s="20">
        <v>0.3</v>
      </c>
    </row>
    <row r="2770" spans="8:19" x14ac:dyDescent="0.25">
      <c r="H2770">
        <v>17</v>
      </c>
      <c r="I2770">
        <v>132</v>
      </c>
      <c r="J2770">
        <v>110</v>
      </c>
      <c r="K2770" t="b">
        <v>1</v>
      </c>
      <c r="N2770" s="25" t="s">
        <v>589</v>
      </c>
      <c r="O2770" s="2">
        <f>INDEX(Маршруты,MATCH(N2770,$B$3:$B$498,0),1)</f>
        <v>119</v>
      </c>
      <c r="P2770" s="27">
        <v>12</v>
      </c>
      <c r="Q2770" s="2">
        <f>INDEX(Остановки,MATCH(R2770,ИД_Остановки!$B$3:$B$467,0),1)</f>
        <v>384</v>
      </c>
      <c r="R2770" s="45" t="s">
        <v>442</v>
      </c>
      <c r="S2770" s="20">
        <v>0.48</v>
      </c>
    </row>
    <row r="2771" spans="8:19" x14ac:dyDescent="0.25">
      <c r="H2771">
        <v>17</v>
      </c>
      <c r="I2771">
        <v>144</v>
      </c>
      <c r="J2771">
        <v>110</v>
      </c>
      <c r="K2771" t="b">
        <v>1</v>
      </c>
      <c r="N2771" s="26" t="s">
        <v>589</v>
      </c>
      <c r="O2771" s="2">
        <f>INDEX(Маршруты,MATCH(N2771,$B$3:$B$498,0),1)</f>
        <v>119</v>
      </c>
      <c r="P2771" s="27">
        <v>13</v>
      </c>
      <c r="Q2771" s="2">
        <f>INDEX(Остановки,MATCH(R2771,ИД_Остановки!$B$3:$B$467,0),1)</f>
        <v>277</v>
      </c>
      <c r="R2771" s="45" t="s">
        <v>149</v>
      </c>
      <c r="S2771" s="20">
        <v>0.3</v>
      </c>
    </row>
    <row r="2772" spans="8:19" x14ac:dyDescent="0.25">
      <c r="H2772">
        <v>17</v>
      </c>
      <c r="I2772">
        <v>156</v>
      </c>
      <c r="J2772">
        <v>110</v>
      </c>
      <c r="K2772" t="b">
        <v>1</v>
      </c>
      <c r="N2772" s="30" t="s">
        <v>589</v>
      </c>
      <c r="O2772" s="2">
        <f>INDEX(Маршруты,MATCH(N2772,$B$3:$B$498,0),1)</f>
        <v>119</v>
      </c>
      <c r="P2772" s="27">
        <v>14</v>
      </c>
      <c r="Q2772" s="2">
        <f>INDEX(Остановки,MATCH(R2772,ИД_Остановки!$B$3:$B$467,0),1)</f>
        <v>278</v>
      </c>
      <c r="R2772" s="45" t="s">
        <v>386</v>
      </c>
      <c r="S2772" s="20">
        <v>0.18</v>
      </c>
    </row>
    <row r="2773" spans="8:19" x14ac:dyDescent="0.25">
      <c r="H2773">
        <v>17</v>
      </c>
      <c r="I2773">
        <v>168</v>
      </c>
      <c r="J2773">
        <v>110</v>
      </c>
      <c r="K2773" t="b">
        <v>1</v>
      </c>
      <c r="N2773" s="26" t="s">
        <v>589</v>
      </c>
      <c r="O2773" s="2">
        <f>INDEX(Маршруты,MATCH(N2773,$B$3:$B$498,0),1)</f>
        <v>119</v>
      </c>
      <c r="P2773" s="27">
        <v>15</v>
      </c>
      <c r="Q2773" s="2">
        <f>INDEX(Остановки,MATCH(R2773,ИД_Остановки!$B$3:$B$467,0),1)</f>
        <v>385</v>
      </c>
      <c r="R2773" s="45" t="s">
        <v>443</v>
      </c>
      <c r="S2773" s="20">
        <v>0.46</v>
      </c>
    </row>
    <row r="2774" spans="8:19" x14ac:dyDescent="0.25">
      <c r="H2774">
        <v>17</v>
      </c>
      <c r="I2774">
        <v>180</v>
      </c>
      <c r="J2774">
        <v>110</v>
      </c>
      <c r="K2774" t="b">
        <v>1</v>
      </c>
      <c r="N2774" s="25" t="s">
        <v>589</v>
      </c>
      <c r="O2774" s="2">
        <f>INDEX(Маршруты,MATCH(N2774,$B$3:$B$498,0),1)</f>
        <v>119</v>
      </c>
      <c r="P2774" s="27">
        <v>16</v>
      </c>
      <c r="Q2774" s="2">
        <f>INDEX(Остановки,MATCH(R2774,ИД_Остановки!$B$3:$B$467,0),1)</f>
        <v>279</v>
      </c>
      <c r="R2774" s="45" t="s">
        <v>387</v>
      </c>
      <c r="S2774" s="20">
        <v>1.01</v>
      </c>
    </row>
    <row r="2775" spans="8:19" x14ac:dyDescent="0.25">
      <c r="H2775">
        <v>17</v>
      </c>
      <c r="I2775">
        <v>192</v>
      </c>
      <c r="J2775">
        <v>110</v>
      </c>
      <c r="K2775" t="b">
        <v>1</v>
      </c>
      <c r="N2775" s="25" t="s">
        <v>589</v>
      </c>
      <c r="O2775" s="2">
        <f>INDEX(Маршруты,MATCH(N2775,$B$3:$B$498,0),1)</f>
        <v>119</v>
      </c>
      <c r="P2775" s="28">
        <v>17</v>
      </c>
      <c r="Q2775" s="2">
        <f>INDEX(Остановки,MATCH(R2775,ИД_Остановки!$B$3:$B$467,0),1)</f>
        <v>386</v>
      </c>
      <c r="R2775" s="24" t="s">
        <v>444</v>
      </c>
      <c r="S2775" s="21">
        <v>0.51</v>
      </c>
    </row>
    <row r="2776" spans="8:19" x14ac:dyDescent="0.25">
      <c r="H2776">
        <v>17</v>
      </c>
      <c r="I2776">
        <v>204</v>
      </c>
      <c r="J2776">
        <v>110</v>
      </c>
      <c r="K2776" t="b">
        <v>1</v>
      </c>
      <c r="N2776" s="30" t="s">
        <v>589</v>
      </c>
      <c r="O2776" s="2">
        <f>INDEX(Маршруты,MATCH(N2776,$B$3:$B$498,0),1)</f>
        <v>119</v>
      </c>
      <c r="P2776" s="27">
        <v>18</v>
      </c>
      <c r="Q2776" s="2">
        <f>INDEX(Остановки,MATCH(R2776,ИД_Остановки!$B$3:$B$467,0),1)</f>
        <v>387</v>
      </c>
      <c r="R2776" s="45" t="s">
        <v>150</v>
      </c>
      <c r="S2776" s="20">
        <v>0.44</v>
      </c>
    </row>
    <row r="2777" spans="8:19" x14ac:dyDescent="0.25">
      <c r="H2777">
        <v>17</v>
      </c>
      <c r="I2777">
        <v>216</v>
      </c>
      <c r="J2777">
        <v>110</v>
      </c>
      <c r="K2777" t="b">
        <v>1</v>
      </c>
      <c r="N2777" s="25" t="s">
        <v>589</v>
      </c>
      <c r="O2777" s="2">
        <f>INDEX(Маршруты,MATCH(N2777,$B$3:$B$498,0),1)</f>
        <v>119</v>
      </c>
      <c r="P2777" s="27">
        <v>19</v>
      </c>
      <c r="Q2777" s="2">
        <f>INDEX(Остановки,MATCH(R2777,ИД_Остановки!$B$3:$B$467,0),1)</f>
        <v>388</v>
      </c>
      <c r="R2777" s="45" t="s">
        <v>445</v>
      </c>
      <c r="S2777" s="20">
        <v>0.66</v>
      </c>
    </row>
    <row r="2778" spans="8:19" x14ac:dyDescent="0.25">
      <c r="H2778">
        <v>17</v>
      </c>
      <c r="I2778">
        <v>228</v>
      </c>
      <c r="J2778">
        <v>110</v>
      </c>
      <c r="K2778" t="b">
        <v>1</v>
      </c>
      <c r="N2778" s="32" t="s">
        <v>589</v>
      </c>
      <c r="O2778" s="2">
        <f>INDEX(Маршруты,MATCH(N2778,$B$3:$B$498,0),1)</f>
        <v>119</v>
      </c>
      <c r="P2778" s="27">
        <v>20</v>
      </c>
      <c r="Q2778" s="2">
        <f>INDEX(Остановки,MATCH(R2778,ИД_Остановки!$B$3:$B$467,0),1)</f>
        <v>280</v>
      </c>
      <c r="R2778" s="45" t="s">
        <v>151</v>
      </c>
      <c r="S2778" s="20">
        <v>0.66</v>
      </c>
    </row>
    <row r="2779" spans="8:19" x14ac:dyDescent="0.25">
      <c r="H2779">
        <v>17</v>
      </c>
      <c r="I2779">
        <v>240</v>
      </c>
      <c r="J2779">
        <v>110</v>
      </c>
      <c r="K2779" t="b">
        <v>1</v>
      </c>
      <c r="N2779" s="25" t="s">
        <v>589</v>
      </c>
      <c r="O2779" s="2">
        <f>INDEX(Маршруты,MATCH(N2779,$B$3:$B$498,0),1)</f>
        <v>119</v>
      </c>
      <c r="P2779" s="28">
        <v>21</v>
      </c>
      <c r="Q2779" s="2">
        <f>INDEX(Остановки,MATCH(R2779,ИД_Остановки!$B$3:$B$467,0),1)</f>
        <v>281</v>
      </c>
      <c r="R2779" s="24" t="s">
        <v>152</v>
      </c>
      <c r="S2779" s="20">
        <v>0.57999999999999996</v>
      </c>
    </row>
    <row r="2780" spans="8:19" x14ac:dyDescent="0.25">
      <c r="H2780">
        <v>17</v>
      </c>
      <c r="I2780">
        <v>252</v>
      </c>
      <c r="J2780">
        <v>110</v>
      </c>
      <c r="K2780" t="b">
        <v>1</v>
      </c>
      <c r="N2780" s="25" t="s">
        <v>589</v>
      </c>
      <c r="O2780" s="2">
        <f>INDEX(Маршруты,MATCH(N2780,$B$3:$B$498,0),1)</f>
        <v>119</v>
      </c>
      <c r="P2780" s="27">
        <v>22</v>
      </c>
      <c r="Q2780" s="2">
        <f>INDEX(Остановки,MATCH(R2780,ИД_Остановки!$B$3:$B$467,0),1)</f>
        <v>282</v>
      </c>
      <c r="R2780" s="45" t="s">
        <v>153</v>
      </c>
      <c r="S2780" s="20">
        <v>0.28000000000000003</v>
      </c>
    </row>
    <row r="2781" spans="8:19" x14ac:dyDescent="0.25">
      <c r="H2781">
        <v>17</v>
      </c>
      <c r="I2781">
        <v>264</v>
      </c>
      <c r="J2781">
        <v>110</v>
      </c>
      <c r="K2781" t="b">
        <v>1</v>
      </c>
      <c r="N2781" s="25" t="s">
        <v>589</v>
      </c>
      <c r="O2781" s="2">
        <f>INDEX(Маршруты,MATCH(N2781,$B$3:$B$498,0),1)</f>
        <v>119</v>
      </c>
      <c r="P2781" s="27">
        <v>23</v>
      </c>
      <c r="Q2781" s="2">
        <f>INDEX(Остановки,MATCH(R2781,ИД_Остановки!$B$3:$B$467,0),1)</f>
        <v>283</v>
      </c>
      <c r="R2781" s="45" t="s">
        <v>154</v>
      </c>
      <c r="S2781" s="20">
        <v>0.32</v>
      </c>
    </row>
    <row r="2782" spans="8:19" x14ac:dyDescent="0.25">
      <c r="H2782">
        <v>17</v>
      </c>
      <c r="I2782">
        <v>276</v>
      </c>
      <c r="J2782">
        <v>110</v>
      </c>
      <c r="K2782" t="b">
        <v>1</v>
      </c>
      <c r="N2782" s="24" t="s">
        <v>590</v>
      </c>
      <c r="O2782" s="2">
        <f>INDEX(Маршруты,MATCH(N2782,$B$3:$B$498,0),1)</f>
        <v>120</v>
      </c>
      <c r="P2782" s="27">
        <v>1</v>
      </c>
      <c r="Q2782" s="2">
        <f>INDEX(Остановки,MATCH(R2782,ИД_Остановки!$B$3:$B$467,0),1)</f>
        <v>283</v>
      </c>
      <c r="R2782" s="45" t="s">
        <v>154</v>
      </c>
      <c r="S2782" s="20"/>
    </row>
    <row r="2783" spans="8:19" x14ac:dyDescent="0.25">
      <c r="H2783">
        <v>17</v>
      </c>
      <c r="I2783">
        <v>288</v>
      </c>
      <c r="J2783">
        <v>110</v>
      </c>
      <c r="K2783" t="b">
        <v>1</v>
      </c>
      <c r="N2783" s="30" t="s">
        <v>590</v>
      </c>
      <c r="O2783" s="2">
        <f>INDEX(Маршруты,MATCH(N2783,$B$3:$B$498,0),1)</f>
        <v>120</v>
      </c>
      <c r="P2783" s="27">
        <v>2</v>
      </c>
      <c r="Q2783" s="2">
        <f>INDEX(Остановки,MATCH(R2783,ИД_Остановки!$B$3:$B$467,0),1)</f>
        <v>282</v>
      </c>
      <c r="R2783" s="45" t="s">
        <v>153</v>
      </c>
      <c r="S2783" s="20">
        <v>0.32</v>
      </c>
    </row>
    <row r="2784" spans="8:19" x14ac:dyDescent="0.25">
      <c r="H2784">
        <v>17</v>
      </c>
      <c r="I2784">
        <v>300</v>
      </c>
      <c r="J2784">
        <v>110</v>
      </c>
      <c r="K2784" t="b">
        <v>1</v>
      </c>
      <c r="N2784" s="25" t="s">
        <v>590</v>
      </c>
      <c r="O2784" s="2">
        <f>INDEX(Маршруты,MATCH(N2784,$B$3:$B$498,0),1)</f>
        <v>120</v>
      </c>
      <c r="P2784" s="28">
        <v>3</v>
      </c>
      <c r="Q2784" s="2">
        <f>INDEX(Остановки,MATCH(R2784,ИД_Остановки!$B$3:$B$467,0),1)</f>
        <v>281</v>
      </c>
      <c r="R2784" s="24" t="s">
        <v>152</v>
      </c>
      <c r="S2784" s="20">
        <v>0.28000000000000003</v>
      </c>
    </row>
    <row r="2785" spans="8:19" x14ac:dyDescent="0.25">
      <c r="H2785">
        <v>17</v>
      </c>
      <c r="I2785">
        <v>312</v>
      </c>
      <c r="J2785">
        <v>110</v>
      </c>
      <c r="K2785" t="b">
        <v>1</v>
      </c>
      <c r="N2785" s="30" t="s">
        <v>590</v>
      </c>
      <c r="O2785" s="2">
        <f>INDEX(Маршруты,MATCH(N2785,$B$3:$B$498,0),1)</f>
        <v>120</v>
      </c>
      <c r="P2785" s="27">
        <v>4</v>
      </c>
      <c r="Q2785" s="2">
        <f>INDEX(Остановки,MATCH(R2785,ИД_Остановки!$B$3:$B$467,0),1)</f>
        <v>280</v>
      </c>
      <c r="R2785" s="45" t="s">
        <v>151</v>
      </c>
      <c r="S2785" s="20">
        <v>0.57999999999999996</v>
      </c>
    </row>
    <row r="2786" spans="8:19" x14ac:dyDescent="0.25">
      <c r="H2786">
        <v>17</v>
      </c>
      <c r="I2786">
        <v>324</v>
      </c>
      <c r="J2786">
        <v>110</v>
      </c>
      <c r="K2786" t="b">
        <v>1</v>
      </c>
      <c r="N2786" s="30" t="s">
        <v>590</v>
      </c>
      <c r="O2786" s="2">
        <f>INDEX(Маршруты,MATCH(N2786,$B$3:$B$498,0),1)</f>
        <v>120</v>
      </c>
      <c r="P2786" s="27">
        <v>5</v>
      </c>
      <c r="Q2786" s="2">
        <f>INDEX(Остановки,MATCH(R2786,ИД_Остановки!$B$3:$B$467,0),1)</f>
        <v>388</v>
      </c>
      <c r="R2786" s="45" t="s">
        <v>445</v>
      </c>
      <c r="S2786" s="20">
        <v>0.66</v>
      </c>
    </row>
    <row r="2787" spans="8:19" x14ac:dyDescent="0.25">
      <c r="H2787">
        <v>17</v>
      </c>
      <c r="I2787">
        <v>336</v>
      </c>
      <c r="J2787">
        <v>110</v>
      </c>
      <c r="K2787" t="b">
        <v>1</v>
      </c>
      <c r="N2787" s="25" t="s">
        <v>590</v>
      </c>
      <c r="O2787" s="2">
        <f>INDEX(Маршруты,MATCH(N2787,$B$3:$B$498,0),1)</f>
        <v>120</v>
      </c>
      <c r="P2787" s="27">
        <v>6</v>
      </c>
      <c r="Q2787" s="2">
        <f>INDEX(Остановки,MATCH(R2787,ИД_Остановки!$B$3:$B$467,0),1)</f>
        <v>387</v>
      </c>
      <c r="R2787" s="45" t="s">
        <v>150</v>
      </c>
      <c r="S2787" s="20">
        <v>0.66</v>
      </c>
    </row>
    <row r="2788" spans="8:19" x14ac:dyDescent="0.25">
      <c r="H2788">
        <v>17</v>
      </c>
      <c r="I2788">
        <v>348</v>
      </c>
      <c r="J2788">
        <v>110</v>
      </c>
      <c r="K2788" t="b">
        <v>1</v>
      </c>
      <c r="N2788" s="25" t="s">
        <v>590</v>
      </c>
      <c r="O2788" s="2">
        <f>INDEX(Маршруты,MATCH(N2788,$B$3:$B$498,0),1)</f>
        <v>120</v>
      </c>
      <c r="P2788" s="27">
        <v>7</v>
      </c>
      <c r="Q2788" s="2">
        <f>INDEX(Остановки,MATCH(R2788,ИД_Остановки!$B$3:$B$467,0),1)</f>
        <v>386</v>
      </c>
      <c r="R2788" s="45" t="s">
        <v>444</v>
      </c>
      <c r="S2788" s="20">
        <v>0.44</v>
      </c>
    </row>
    <row r="2789" spans="8:19" x14ac:dyDescent="0.25">
      <c r="H2789">
        <v>17</v>
      </c>
      <c r="I2789">
        <v>360</v>
      </c>
      <c r="J2789">
        <v>110</v>
      </c>
      <c r="K2789" t="b">
        <v>1</v>
      </c>
      <c r="N2789" s="25" t="s">
        <v>590</v>
      </c>
      <c r="O2789" s="2">
        <f>INDEX(Маршруты,MATCH(N2789,$B$3:$B$498,0),1)</f>
        <v>120</v>
      </c>
      <c r="P2789" s="27">
        <v>8</v>
      </c>
      <c r="Q2789" s="2">
        <f>INDEX(Остановки,MATCH(R2789,ИД_Остановки!$B$3:$B$467,0),1)</f>
        <v>279</v>
      </c>
      <c r="R2789" s="45" t="s">
        <v>387</v>
      </c>
      <c r="S2789" s="20">
        <v>0.51</v>
      </c>
    </row>
    <row r="2790" spans="8:19" x14ac:dyDescent="0.25">
      <c r="H2790">
        <v>17</v>
      </c>
      <c r="I2790">
        <v>372</v>
      </c>
      <c r="J2790">
        <v>110</v>
      </c>
      <c r="K2790" t="b">
        <v>1</v>
      </c>
      <c r="N2790" s="25" t="s">
        <v>590</v>
      </c>
      <c r="O2790" s="2">
        <f>INDEX(Маршруты,MATCH(N2790,$B$3:$B$498,0),1)</f>
        <v>120</v>
      </c>
      <c r="P2790" s="27">
        <v>9</v>
      </c>
      <c r="Q2790" s="2">
        <f>INDEX(Остановки,MATCH(R2790,ИД_Остановки!$B$3:$B$467,0),1)</f>
        <v>385</v>
      </c>
      <c r="R2790" s="45" t="s">
        <v>443</v>
      </c>
      <c r="S2790" s="20">
        <v>1.01</v>
      </c>
    </row>
    <row r="2791" spans="8:19" x14ac:dyDescent="0.25">
      <c r="H2791">
        <v>17</v>
      </c>
      <c r="I2791">
        <v>384</v>
      </c>
      <c r="J2791">
        <v>110</v>
      </c>
      <c r="K2791" t="b">
        <v>1</v>
      </c>
      <c r="N2791" s="25" t="s">
        <v>590</v>
      </c>
      <c r="O2791" s="2">
        <f>INDEX(Маршруты,MATCH(N2791,$B$3:$B$498,0),1)</f>
        <v>120</v>
      </c>
      <c r="P2791" s="28">
        <v>10</v>
      </c>
      <c r="Q2791" s="2">
        <f>INDEX(Остановки,MATCH(R2791,ИД_Остановки!$B$3:$B$467,0),1)</f>
        <v>278</v>
      </c>
      <c r="R2791" s="24" t="s">
        <v>386</v>
      </c>
      <c r="S2791" s="20">
        <v>0.46</v>
      </c>
    </row>
    <row r="2792" spans="8:19" x14ac:dyDescent="0.25">
      <c r="H2792">
        <v>17</v>
      </c>
      <c r="I2792">
        <v>396</v>
      </c>
      <c r="J2792">
        <v>110</v>
      </c>
      <c r="K2792" t="b">
        <v>1</v>
      </c>
      <c r="N2792" s="25" t="s">
        <v>590</v>
      </c>
      <c r="O2792" s="2">
        <f>INDEX(Маршруты,MATCH(N2792,$B$3:$B$498,0),1)</f>
        <v>120</v>
      </c>
      <c r="P2792" s="27">
        <v>11</v>
      </c>
      <c r="Q2792" s="2">
        <f>INDEX(Остановки,MATCH(R2792,ИД_Остановки!$B$3:$B$467,0),1)</f>
        <v>277</v>
      </c>
      <c r="R2792" s="45" t="s">
        <v>149</v>
      </c>
      <c r="S2792" s="20">
        <v>0.18</v>
      </c>
    </row>
    <row r="2793" spans="8:19" x14ac:dyDescent="0.25">
      <c r="H2793">
        <v>17</v>
      </c>
      <c r="I2793">
        <v>408</v>
      </c>
      <c r="J2793">
        <v>110</v>
      </c>
      <c r="K2793" t="b">
        <v>1</v>
      </c>
      <c r="N2793" s="25" t="s">
        <v>590</v>
      </c>
      <c r="O2793" s="2">
        <f>INDEX(Маршруты,MATCH(N2793,$B$3:$B$498,0),1)</f>
        <v>120</v>
      </c>
      <c r="P2793" s="27">
        <v>12</v>
      </c>
      <c r="Q2793" s="2">
        <f>INDEX(Остановки,MATCH(R2793,ИД_Остановки!$B$3:$B$467,0),1)</f>
        <v>384</v>
      </c>
      <c r="R2793" s="45" t="s">
        <v>442</v>
      </c>
      <c r="S2793" s="20">
        <v>0.3</v>
      </c>
    </row>
    <row r="2794" spans="8:19" x14ac:dyDescent="0.25">
      <c r="H2794">
        <v>17</v>
      </c>
      <c r="I2794">
        <v>420</v>
      </c>
      <c r="J2794">
        <v>110</v>
      </c>
      <c r="K2794" t="b">
        <v>1</v>
      </c>
      <c r="N2794" s="30" t="s">
        <v>590</v>
      </c>
      <c r="O2794" s="2">
        <f>INDEX(Маршруты,MATCH(N2794,$B$3:$B$498,0),1)</f>
        <v>120</v>
      </c>
      <c r="P2794" s="27">
        <v>13</v>
      </c>
      <c r="Q2794" s="2">
        <f>INDEX(Остановки,MATCH(R2794,ИД_Остановки!$B$3:$B$467,0),1)</f>
        <v>276</v>
      </c>
      <c r="R2794" s="45" t="s">
        <v>148</v>
      </c>
      <c r="S2794" s="20">
        <v>0.48</v>
      </c>
    </row>
    <row r="2795" spans="8:19" x14ac:dyDescent="0.25">
      <c r="H2795">
        <v>17</v>
      </c>
      <c r="I2795">
        <v>432</v>
      </c>
      <c r="J2795">
        <v>110</v>
      </c>
      <c r="K2795" t="b">
        <v>1</v>
      </c>
      <c r="N2795" s="30" t="s">
        <v>590</v>
      </c>
      <c r="O2795" s="2">
        <f>INDEX(Маршруты,MATCH(N2795,$B$3:$B$498,0),1)</f>
        <v>120</v>
      </c>
      <c r="P2795" s="27">
        <v>14</v>
      </c>
      <c r="Q2795" s="2">
        <f>INDEX(Остановки,MATCH(R2795,ИД_Остановки!$B$3:$B$467,0),1)</f>
        <v>250</v>
      </c>
      <c r="R2795" s="45" t="s">
        <v>373</v>
      </c>
      <c r="S2795" s="20">
        <v>0.3</v>
      </c>
    </row>
    <row r="2796" spans="8:19" x14ac:dyDescent="0.25">
      <c r="H2796">
        <v>17</v>
      </c>
      <c r="I2796">
        <v>444</v>
      </c>
      <c r="J2796">
        <v>110</v>
      </c>
      <c r="K2796" t="b">
        <v>1</v>
      </c>
      <c r="N2796" s="30" t="s">
        <v>590</v>
      </c>
      <c r="O2796" s="2">
        <f>INDEX(Маршруты,MATCH(N2796,$B$3:$B$498,0),1)</f>
        <v>120</v>
      </c>
      <c r="P2796" s="27">
        <v>15</v>
      </c>
      <c r="Q2796" s="2">
        <f>INDEX(Остановки,MATCH(R2796,ИД_Остановки!$B$3:$B$467,0),1)</f>
        <v>249</v>
      </c>
      <c r="R2796" s="45" t="s">
        <v>372</v>
      </c>
      <c r="S2796" s="20">
        <v>0.32</v>
      </c>
    </row>
    <row r="2797" spans="8:19" x14ac:dyDescent="0.25">
      <c r="H2797">
        <v>17</v>
      </c>
      <c r="I2797">
        <v>456</v>
      </c>
      <c r="J2797">
        <v>110</v>
      </c>
      <c r="K2797" t="b">
        <v>1</v>
      </c>
      <c r="N2797" s="30" t="s">
        <v>590</v>
      </c>
      <c r="O2797" s="2">
        <f>INDEX(Маршруты,MATCH(N2797,$B$3:$B$498,0),1)</f>
        <v>120</v>
      </c>
      <c r="P2797" s="27">
        <v>16</v>
      </c>
      <c r="Q2797" s="2">
        <f>INDEX(Остановки,MATCH(R2797,ИД_Остановки!$B$3:$B$467,0),1)</f>
        <v>248</v>
      </c>
      <c r="R2797" s="45" t="s">
        <v>617</v>
      </c>
      <c r="S2797" s="20">
        <v>0.77</v>
      </c>
    </row>
    <row r="2798" spans="8:19" x14ac:dyDescent="0.25">
      <c r="H2798">
        <v>17</v>
      </c>
      <c r="I2798">
        <v>468</v>
      </c>
      <c r="J2798">
        <v>110</v>
      </c>
      <c r="K2798" t="b">
        <v>1</v>
      </c>
      <c r="N2798" s="30" t="s">
        <v>590</v>
      </c>
      <c r="O2798" s="2">
        <f>INDEX(Маршруты,MATCH(N2798,$B$3:$B$498,0),1)</f>
        <v>120</v>
      </c>
      <c r="P2798" s="27">
        <v>17</v>
      </c>
      <c r="Q2798" s="2">
        <f>INDEX(Остановки,MATCH(R2798,ИД_Остановки!$B$3:$B$467,0),1)</f>
        <v>411</v>
      </c>
      <c r="R2798" s="45" t="s">
        <v>467</v>
      </c>
      <c r="S2798" s="20">
        <v>0.74</v>
      </c>
    </row>
    <row r="2799" spans="8:19" x14ac:dyDescent="0.25">
      <c r="H2799">
        <v>17</v>
      </c>
      <c r="I2799">
        <v>480</v>
      </c>
      <c r="J2799">
        <v>110</v>
      </c>
      <c r="K2799" t="b">
        <v>1</v>
      </c>
      <c r="N2799" s="30" t="s">
        <v>590</v>
      </c>
      <c r="O2799" s="2">
        <f>INDEX(Маршруты,MATCH(N2799,$B$3:$B$498,0),1)</f>
        <v>120</v>
      </c>
      <c r="P2799" s="27">
        <v>18</v>
      </c>
      <c r="Q2799" s="2">
        <f>INDEX(Остановки,MATCH(R2799,ИД_Остановки!$B$3:$B$467,0),1)</f>
        <v>247</v>
      </c>
      <c r="R2799" s="45" t="s">
        <v>134</v>
      </c>
      <c r="S2799" s="20">
        <v>0.6</v>
      </c>
    </row>
    <row r="2800" spans="8:19" x14ac:dyDescent="0.25">
      <c r="H2800">
        <v>17</v>
      </c>
      <c r="I2800">
        <v>492</v>
      </c>
      <c r="J2800">
        <v>110</v>
      </c>
      <c r="K2800" t="b">
        <v>1</v>
      </c>
      <c r="N2800" s="30" t="s">
        <v>590</v>
      </c>
      <c r="O2800" s="2">
        <f>INDEX(Маршруты,MATCH(N2800,$B$3:$B$498,0),1)</f>
        <v>120</v>
      </c>
      <c r="P2800" s="27">
        <v>19</v>
      </c>
      <c r="Q2800" s="2">
        <f>INDEX(Остановки,MATCH(R2800,ИД_Остановки!$B$3:$B$467,0),1)</f>
        <v>167</v>
      </c>
      <c r="R2800" s="45" t="s">
        <v>104</v>
      </c>
      <c r="S2800" s="20">
        <v>0.45</v>
      </c>
    </row>
    <row r="2801" spans="8:19" x14ac:dyDescent="0.25">
      <c r="H2801">
        <v>17</v>
      </c>
      <c r="I2801">
        <v>504</v>
      </c>
      <c r="J2801">
        <v>110</v>
      </c>
      <c r="K2801" t="b">
        <v>1</v>
      </c>
      <c r="N2801" s="30" t="s">
        <v>590</v>
      </c>
      <c r="O2801" s="2">
        <f>INDEX(Маршруты,MATCH(N2801,$B$3:$B$498,0),1)</f>
        <v>120</v>
      </c>
      <c r="P2801" s="28">
        <v>20</v>
      </c>
      <c r="Q2801" s="2">
        <f>INDEX(Остановки,MATCH(R2801,ИД_Остановки!$B$3:$B$467,0),1)</f>
        <v>293</v>
      </c>
      <c r="R2801" s="24" t="s">
        <v>163</v>
      </c>
      <c r="S2801" s="21">
        <v>0.94</v>
      </c>
    </row>
    <row r="2802" spans="8:19" x14ac:dyDescent="0.25">
      <c r="H2802">
        <v>17</v>
      </c>
      <c r="I2802">
        <v>516</v>
      </c>
      <c r="J2802">
        <v>110</v>
      </c>
      <c r="K2802" t="b">
        <v>1</v>
      </c>
      <c r="N2802" s="30" t="s">
        <v>590</v>
      </c>
      <c r="O2802" s="2">
        <f>INDEX(Маршруты,MATCH(N2802,$B$3:$B$498,0),1)</f>
        <v>120</v>
      </c>
      <c r="P2802" s="27">
        <v>21</v>
      </c>
      <c r="Q2802" s="2">
        <f>INDEX(Остановки,MATCH(R2802,ИД_Остановки!$B$3:$B$467,0),1)</f>
        <v>358</v>
      </c>
      <c r="R2802" s="45" t="s">
        <v>420</v>
      </c>
      <c r="S2802" s="20">
        <v>0.76</v>
      </c>
    </row>
    <row r="2803" spans="8:19" x14ac:dyDescent="0.25">
      <c r="H2803">
        <v>17</v>
      </c>
      <c r="I2803">
        <v>528</v>
      </c>
      <c r="J2803">
        <v>110</v>
      </c>
      <c r="K2803" t="b">
        <v>1</v>
      </c>
      <c r="N2803" s="25" t="s">
        <v>590</v>
      </c>
      <c r="O2803" s="2">
        <f>INDEX(Маршруты,MATCH(N2803,$B$3:$B$498,0),1)</f>
        <v>120</v>
      </c>
      <c r="P2803" s="27">
        <v>22</v>
      </c>
      <c r="Q2803" s="2">
        <f>INDEX(Остановки,MATCH(R2803,ИД_Остановки!$B$3:$B$467,0),1)</f>
        <v>357</v>
      </c>
      <c r="R2803" s="45" t="s">
        <v>419</v>
      </c>
      <c r="S2803" s="20">
        <v>0.52</v>
      </c>
    </row>
    <row r="2804" spans="8:19" x14ac:dyDescent="0.25">
      <c r="H2804">
        <v>17</v>
      </c>
      <c r="I2804">
        <v>540</v>
      </c>
      <c r="J2804">
        <v>110</v>
      </c>
      <c r="K2804" t="b">
        <v>1</v>
      </c>
      <c r="N2804" s="25" t="s">
        <v>590</v>
      </c>
      <c r="O2804" s="2">
        <f>INDEX(Маршруты,MATCH(N2804,$B$3:$B$498,0),1)</f>
        <v>120</v>
      </c>
      <c r="P2804" s="28">
        <v>23</v>
      </c>
      <c r="Q2804" s="2">
        <f>INDEX(Остановки,MATCH(R2804,ИД_Остановки!$B$3:$B$467,0),1)</f>
        <v>356</v>
      </c>
      <c r="R2804" s="24" t="s">
        <v>198</v>
      </c>
      <c r="S2804" s="20">
        <v>1.91</v>
      </c>
    </row>
    <row r="2805" spans="8:19" x14ac:dyDescent="0.25">
      <c r="H2805">
        <v>17</v>
      </c>
      <c r="I2805">
        <v>552</v>
      </c>
      <c r="J2805">
        <v>110</v>
      </c>
      <c r="K2805" t="b">
        <v>1</v>
      </c>
      <c r="N2805" s="30" t="s">
        <v>220</v>
      </c>
      <c r="O2805" s="2">
        <f>INDEX(Маршруты,MATCH(N2805,$B$3:$B$498,0),1)</f>
        <v>121</v>
      </c>
      <c r="P2805" s="27">
        <v>1</v>
      </c>
      <c r="Q2805" s="2">
        <f>INDEX(Остановки,MATCH(R2805,ИД_Остановки!$B$3:$B$467,0),1)</f>
        <v>236</v>
      </c>
      <c r="R2805" s="45" t="s">
        <v>130</v>
      </c>
      <c r="S2805" s="20"/>
    </row>
    <row r="2806" spans="8:19" x14ac:dyDescent="0.25">
      <c r="H2806">
        <v>17</v>
      </c>
      <c r="I2806">
        <v>564</v>
      </c>
      <c r="J2806">
        <v>110</v>
      </c>
      <c r="K2806" t="b">
        <v>1</v>
      </c>
      <c r="N2806" s="30" t="s">
        <v>220</v>
      </c>
      <c r="O2806" s="2">
        <f>INDEX(Маршруты,MATCH(N2806,$B$3:$B$498,0),1)</f>
        <v>121</v>
      </c>
      <c r="P2806" s="27">
        <v>2</v>
      </c>
      <c r="Q2806" s="2">
        <f>INDEX(Остановки,MATCH(R2806,ИД_Остановки!$B$3:$B$467,0),1)</f>
        <v>245</v>
      </c>
      <c r="R2806" s="45" t="s">
        <v>369</v>
      </c>
      <c r="S2806" s="20">
        <v>0.38</v>
      </c>
    </row>
    <row r="2807" spans="8:19" x14ac:dyDescent="0.25">
      <c r="H2807">
        <v>17</v>
      </c>
      <c r="I2807">
        <v>576</v>
      </c>
      <c r="J2807">
        <v>110</v>
      </c>
      <c r="K2807" t="b">
        <v>1</v>
      </c>
      <c r="N2807" s="30" t="s">
        <v>220</v>
      </c>
      <c r="O2807" s="2">
        <f>INDEX(Маршруты,MATCH(N2807,$B$3:$B$498,0),1)</f>
        <v>121</v>
      </c>
      <c r="P2807" s="27">
        <v>3</v>
      </c>
      <c r="Q2807" s="2">
        <f>INDEX(Остановки,MATCH(R2807,ИД_Остановки!$B$3:$B$467,0),1)</f>
        <v>258</v>
      </c>
      <c r="R2807" s="24" t="s">
        <v>378</v>
      </c>
      <c r="S2807" s="20">
        <v>0.3</v>
      </c>
    </row>
    <row r="2808" spans="8:19" x14ac:dyDescent="0.25">
      <c r="H2808">
        <v>17</v>
      </c>
      <c r="I2808">
        <v>588</v>
      </c>
      <c r="J2808">
        <v>110</v>
      </c>
      <c r="K2808" t="b">
        <v>1</v>
      </c>
      <c r="N2808" s="30" t="s">
        <v>220</v>
      </c>
      <c r="O2808" s="2">
        <f>INDEX(Маршруты,MATCH(N2808,$B$3:$B$498,0),1)</f>
        <v>121</v>
      </c>
      <c r="P2808" s="27">
        <v>4</v>
      </c>
      <c r="Q2808" s="2">
        <f>INDEX(Остановки,MATCH(R2808,ИД_Остановки!$B$3:$B$467,0),1)</f>
        <v>244</v>
      </c>
      <c r="R2808" s="45" t="s">
        <v>133</v>
      </c>
      <c r="S2808" s="20">
        <v>0.215</v>
      </c>
    </row>
    <row r="2809" spans="8:19" x14ac:dyDescent="0.25">
      <c r="H2809">
        <v>17</v>
      </c>
      <c r="I2809">
        <v>600</v>
      </c>
      <c r="J2809">
        <v>110</v>
      </c>
      <c r="K2809" t="b">
        <v>1</v>
      </c>
      <c r="N2809" s="25" t="s">
        <v>220</v>
      </c>
      <c r="O2809" s="2">
        <f>INDEX(Маршруты,MATCH(N2809,$B$3:$B$498,0),1)</f>
        <v>121</v>
      </c>
      <c r="P2809" s="28">
        <v>5</v>
      </c>
      <c r="Q2809" s="2">
        <f>INDEX(Остановки,MATCH(R2809,ИД_Остановки!$B$3:$B$467,0),1)</f>
        <v>251</v>
      </c>
      <c r="R2809" s="24" t="s">
        <v>164</v>
      </c>
      <c r="S2809" s="20">
        <v>0.64</v>
      </c>
    </row>
    <row r="2810" spans="8:19" x14ac:dyDescent="0.25">
      <c r="H2810">
        <v>17</v>
      </c>
      <c r="I2810">
        <v>612</v>
      </c>
      <c r="J2810">
        <v>110</v>
      </c>
      <c r="K2810" t="b">
        <v>1</v>
      </c>
      <c r="N2810" s="30" t="s">
        <v>220</v>
      </c>
      <c r="O2810" s="2">
        <f>INDEX(Маршруты,MATCH(N2810,$B$3:$B$498,0),1)</f>
        <v>121</v>
      </c>
      <c r="P2810" s="27">
        <v>6</v>
      </c>
      <c r="Q2810" s="2">
        <f>INDEX(Остановки,MATCH(R2810,ИД_Остановки!$B$3:$B$467,0),1)</f>
        <v>243</v>
      </c>
      <c r="R2810" s="45" t="s">
        <v>368</v>
      </c>
      <c r="S2810" s="20">
        <v>0.7</v>
      </c>
    </row>
    <row r="2811" spans="8:19" x14ac:dyDescent="0.25">
      <c r="H2811">
        <v>17</v>
      </c>
      <c r="I2811">
        <v>624</v>
      </c>
      <c r="J2811">
        <v>110</v>
      </c>
      <c r="K2811" t="b">
        <v>1</v>
      </c>
      <c r="N2811" s="32" t="s">
        <v>220</v>
      </c>
      <c r="O2811" s="2">
        <f>INDEX(Маршруты,MATCH(N2811,$B$3:$B$498,0),1)</f>
        <v>121</v>
      </c>
      <c r="P2811" s="27">
        <v>7</v>
      </c>
      <c r="Q2811" s="2">
        <f>INDEX(Остановки,MATCH(R2811,ИД_Остановки!$B$3:$B$467,0),1)</f>
        <v>222</v>
      </c>
      <c r="R2811" s="45" t="s">
        <v>354</v>
      </c>
      <c r="S2811" s="20">
        <v>0.36</v>
      </c>
    </row>
    <row r="2812" spans="8:19" x14ac:dyDescent="0.25">
      <c r="H2812">
        <v>17</v>
      </c>
      <c r="I2812">
        <v>636</v>
      </c>
      <c r="J2812">
        <v>110</v>
      </c>
      <c r="K2812" t="b">
        <v>1</v>
      </c>
      <c r="N2812" s="25" t="s">
        <v>220</v>
      </c>
      <c r="O2812" s="2">
        <f>INDEX(Маршруты,MATCH(N2812,$B$3:$B$498,0),1)</f>
        <v>121</v>
      </c>
      <c r="P2812" s="27">
        <v>8</v>
      </c>
      <c r="Q2812" s="2">
        <f>INDEX(Остановки,MATCH(R2812,ИД_Остановки!$B$3:$B$467,0),1)</f>
        <v>250</v>
      </c>
      <c r="R2812" s="45" t="s">
        <v>373</v>
      </c>
      <c r="S2812" s="20">
        <v>0.64</v>
      </c>
    </row>
    <row r="2813" spans="8:19" x14ac:dyDescent="0.25">
      <c r="H2813">
        <v>17</v>
      </c>
      <c r="I2813">
        <v>648</v>
      </c>
      <c r="J2813">
        <v>110</v>
      </c>
      <c r="K2813" t="b">
        <v>1</v>
      </c>
      <c r="N2813" s="30" t="s">
        <v>220</v>
      </c>
      <c r="O2813" s="2">
        <f>INDEX(Маршруты,MATCH(N2813,$B$3:$B$498,0),1)</f>
        <v>121</v>
      </c>
      <c r="P2813" s="27">
        <v>9</v>
      </c>
      <c r="Q2813" s="2">
        <f>INDEX(Остановки,MATCH(R2813,ИД_Остановки!$B$3:$B$467,0),1)</f>
        <v>249</v>
      </c>
      <c r="R2813" s="45" t="s">
        <v>372</v>
      </c>
      <c r="S2813" s="20">
        <v>0.32</v>
      </c>
    </row>
    <row r="2814" spans="8:19" x14ac:dyDescent="0.25">
      <c r="H2814">
        <v>17</v>
      </c>
      <c r="I2814">
        <v>660</v>
      </c>
      <c r="J2814">
        <v>110</v>
      </c>
      <c r="K2814" t="b">
        <v>1</v>
      </c>
      <c r="N2814" s="26" t="s">
        <v>220</v>
      </c>
      <c r="O2814" s="2">
        <f>INDEX(Маршруты,MATCH(N2814,$B$3:$B$498,0),1)</f>
        <v>121</v>
      </c>
      <c r="P2814" s="27">
        <v>10</v>
      </c>
      <c r="Q2814" s="2">
        <f>INDEX(Остановки,MATCH(R2814,ИД_Остановки!$B$3:$B$467,0),1)</f>
        <v>248</v>
      </c>
      <c r="R2814" s="45" t="s">
        <v>617</v>
      </c>
      <c r="S2814" s="20">
        <v>0.77</v>
      </c>
    </row>
    <row r="2815" spans="8:19" x14ac:dyDescent="0.25">
      <c r="H2815">
        <v>17</v>
      </c>
      <c r="I2815">
        <v>672</v>
      </c>
      <c r="J2815">
        <v>110</v>
      </c>
      <c r="K2815" t="b">
        <v>1</v>
      </c>
      <c r="N2815" s="30" t="s">
        <v>220</v>
      </c>
      <c r="O2815" s="2">
        <f>INDEX(Маршруты,MATCH(N2815,$B$3:$B$498,0),1)</f>
        <v>121</v>
      </c>
      <c r="P2815" s="27">
        <v>11</v>
      </c>
      <c r="Q2815" s="2">
        <f>INDEX(Остановки,MATCH(R2815,ИД_Остановки!$B$3:$B$467,0),1)</f>
        <v>411</v>
      </c>
      <c r="R2815" s="45" t="s">
        <v>467</v>
      </c>
      <c r="S2815" s="20">
        <v>0.74</v>
      </c>
    </row>
    <row r="2816" spans="8:19" x14ac:dyDescent="0.25">
      <c r="H2816">
        <v>17</v>
      </c>
      <c r="I2816">
        <v>684</v>
      </c>
      <c r="J2816">
        <v>110</v>
      </c>
      <c r="K2816" t="b">
        <v>1</v>
      </c>
      <c r="N2816" s="25" t="s">
        <v>220</v>
      </c>
      <c r="O2816" s="2">
        <f>INDEX(Маршруты,MATCH(N2816,$B$3:$B$498,0),1)</f>
        <v>121</v>
      </c>
      <c r="P2816" s="27">
        <v>12</v>
      </c>
      <c r="Q2816" s="2">
        <f>INDEX(Остановки,MATCH(R2816,ИД_Остановки!$B$3:$B$467,0),1)</f>
        <v>247</v>
      </c>
      <c r="R2816" s="45" t="s">
        <v>134</v>
      </c>
      <c r="S2816" s="20">
        <v>0.6</v>
      </c>
    </row>
    <row r="2817" spans="8:19" x14ac:dyDescent="0.25">
      <c r="H2817">
        <v>17</v>
      </c>
      <c r="I2817">
        <v>696</v>
      </c>
      <c r="J2817">
        <v>110</v>
      </c>
      <c r="K2817" t="b">
        <v>1</v>
      </c>
      <c r="N2817" s="25" t="s">
        <v>220</v>
      </c>
      <c r="O2817" s="2">
        <f>INDEX(Маршруты,MATCH(N2817,$B$3:$B$498,0),1)</f>
        <v>121</v>
      </c>
      <c r="P2817" s="27">
        <v>13</v>
      </c>
      <c r="Q2817" s="2">
        <f>INDEX(Остановки,MATCH(R2817,ИД_Остановки!$B$3:$B$467,0),1)</f>
        <v>167</v>
      </c>
      <c r="R2817" s="45" t="s">
        <v>104</v>
      </c>
      <c r="S2817" s="20">
        <v>0.45</v>
      </c>
    </row>
    <row r="2818" spans="8:19" x14ac:dyDescent="0.25">
      <c r="H2818">
        <v>17</v>
      </c>
      <c r="I2818">
        <v>708</v>
      </c>
      <c r="J2818">
        <v>110</v>
      </c>
      <c r="K2818" t="b">
        <v>1</v>
      </c>
      <c r="N2818" s="30" t="s">
        <v>220</v>
      </c>
      <c r="O2818" s="2">
        <f>INDEX(Маршруты,MATCH(N2818,$B$3:$B$498,0),1)</f>
        <v>121</v>
      </c>
      <c r="P2818" s="27">
        <v>14</v>
      </c>
      <c r="Q2818" s="2">
        <f>INDEX(Остановки,MATCH(R2818,ИД_Остановки!$B$3:$B$467,0),1)</f>
        <v>293</v>
      </c>
      <c r="R2818" s="45" t="s">
        <v>163</v>
      </c>
      <c r="S2818" s="20">
        <v>0.94</v>
      </c>
    </row>
    <row r="2819" spans="8:19" x14ac:dyDescent="0.25">
      <c r="H2819">
        <v>17</v>
      </c>
      <c r="I2819">
        <v>720</v>
      </c>
      <c r="J2819">
        <v>110</v>
      </c>
      <c r="K2819" t="b">
        <v>1</v>
      </c>
      <c r="N2819" s="25" t="s">
        <v>220</v>
      </c>
      <c r="O2819" s="2">
        <f>INDEX(Маршруты,MATCH(N2819,$B$3:$B$498,0),1)</f>
        <v>121</v>
      </c>
      <c r="P2819" s="27">
        <v>15</v>
      </c>
      <c r="Q2819" s="2">
        <f>INDEX(Остановки,MATCH(R2819,ИД_Остановки!$B$3:$B$467,0),1)</f>
        <v>358</v>
      </c>
      <c r="R2819" s="45" t="s">
        <v>420</v>
      </c>
      <c r="S2819" s="20">
        <v>0.76</v>
      </c>
    </row>
    <row r="2820" spans="8:19" x14ac:dyDescent="0.25">
      <c r="H2820">
        <v>17</v>
      </c>
      <c r="I2820">
        <v>732</v>
      </c>
      <c r="J2820">
        <v>110</v>
      </c>
      <c r="K2820" t="b">
        <v>1</v>
      </c>
      <c r="N2820" s="25" t="s">
        <v>220</v>
      </c>
      <c r="O2820" s="2">
        <f>INDEX(Маршруты,MATCH(N2820,$B$3:$B$498,0),1)</f>
        <v>121</v>
      </c>
      <c r="P2820" s="28">
        <v>16</v>
      </c>
      <c r="Q2820" s="2">
        <f>INDEX(Остановки,MATCH(R2820,ИД_Остановки!$B$3:$B$467,0),1)</f>
        <v>357</v>
      </c>
      <c r="R2820" s="24" t="s">
        <v>419</v>
      </c>
      <c r="S2820" s="20">
        <v>0.52</v>
      </c>
    </row>
    <row r="2821" spans="8:19" x14ac:dyDescent="0.25">
      <c r="H2821">
        <v>17</v>
      </c>
      <c r="I2821">
        <v>744</v>
      </c>
      <c r="J2821">
        <v>110</v>
      </c>
      <c r="K2821" t="b">
        <v>1</v>
      </c>
      <c r="N2821" s="30" t="s">
        <v>220</v>
      </c>
      <c r="O2821" s="2">
        <f>INDEX(Маршруты,MATCH(N2821,$B$3:$B$498,0),1)</f>
        <v>121</v>
      </c>
      <c r="P2821" s="27">
        <v>17</v>
      </c>
      <c r="Q2821" s="2">
        <f>INDEX(Остановки,MATCH(R2821,ИД_Остановки!$B$3:$B$467,0),1)</f>
        <v>356</v>
      </c>
      <c r="R2821" s="45" t="s">
        <v>198</v>
      </c>
      <c r="S2821" s="20">
        <v>1.91</v>
      </c>
    </row>
    <row r="2822" spans="8:19" x14ac:dyDescent="0.25">
      <c r="H2822">
        <v>17</v>
      </c>
      <c r="I2822">
        <v>756</v>
      </c>
      <c r="J2822">
        <v>110</v>
      </c>
      <c r="K2822" t="b">
        <v>1</v>
      </c>
      <c r="N2822" s="30" t="s">
        <v>591</v>
      </c>
      <c r="O2822" s="2">
        <f>INDEX(Маршруты,MATCH(N2822,$B$3:$B$498,0),1)</f>
        <v>122</v>
      </c>
      <c r="P2822" s="27">
        <v>1</v>
      </c>
      <c r="Q2822" s="2">
        <f>INDEX(Остановки,MATCH(R2822,ИД_Остановки!$B$3:$B$467,0),1)</f>
        <v>356</v>
      </c>
      <c r="R2822" s="45" t="s">
        <v>198</v>
      </c>
      <c r="S2822" s="20"/>
    </row>
    <row r="2823" spans="8:19" x14ac:dyDescent="0.25">
      <c r="H2823">
        <v>17</v>
      </c>
      <c r="I2823">
        <v>768</v>
      </c>
      <c r="J2823">
        <v>110</v>
      </c>
      <c r="K2823" t="b">
        <v>1</v>
      </c>
      <c r="N2823" s="26" t="s">
        <v>591</v>
      </c>
      <c r="O2823" s="2">
        <f>INDEX(Маршруты,MATCH(N2823,$B$3:$B$498,0),1)</f>
        <v>122</v>
      </c>
      <c r="P2823" s="27">
        <v>2</v>
      </c>
      <c r="Q2823" s="2">
        <f>INDEX(Остановки,MATCH(R2823,ИД_Остановки!$B$3:$B$467,0),1)</f>
        <v>357</v>
      </c>
      <c r="R2823" s="45" t="s">
        <v>419</v>
      </c>
      <c r="S2823" s="20">
        <v>1.91</v>
      </c>
    </row>
    <row r="2824" spans="8:19" x14ac:dyDescent="0.25">
      <c r="H2824">
        <v>17</v>
      </c>
      <c r="I2824">
        <v>780</v>
      </c>
      <c r="J2824">
        <v>110</v>
      </c>
      <c r="K2824" t="b">
        <v>1</v>
      </c>
      <c r="N2824" s="25" t="s">
        <v>591</v>
      </c>
      <c r="O2824" s="2">
        <f>INDEX(Маршруты,MATCH(N2824,$B$3:$B$498,0),1)</f>
        <v>122</v>
      </c>
      <c r="P2824" s="27">
        <v>3</v>
      </c>
      <c r="Q2824" s="2">
        <f>INDEX(Остановки,MATCH(R2824,ИД_Остановки!$B$3:$B$467,0),1)</f>
        <v>358</v>
      </c>
      <c r="R2824" s="24" t="s">
        <v>420</v>
      </c>
      <c r="S2824" s="20">
        <v>0.52</v>
      </c>
    </row>
    <row r="2825" spans="8:19" x14ac:dyDescent="0.25">
      <c r="H2825">
        <v>17</v>
      </c>
      <c r="I2825">
        <v>792</v>
      </c>
      <c r="J2825">
        <v>110</v>
      </c>
      <c r="K2825" t="b">
        <v>1</v>
      </c>
      <c r="N2825" s="26" t="s">
        <v>591</v>
      </c>
      <c r="O2825" s="2">
        <f>INDEX(Маршруты,MATCH(N2825,$B$3:$B$498,0),1)</f>
        <v>122</v>
      </c>
      <c r="P2825" s="27">
        <v>4</v>
      </c>
      <c r="Q2825" s="2">
        <f>INDEX(Остановки,MATCH(R2825,ИД_Остановки!$B$3:$B$467,0),1)</f>
        <v>293</v>
      </c>
      <c r="R2825" s="45" t="s">
        <v>163</v>
      </c>
      <c r="S2825" s="20">
        <v>0.76</v>
      </c>
    </row>
    <row r="2826" spans="8:19" x14ac:dyDescent="0.25">
      <c r="H2826">
        <v>17</v>
      </c>
      <c r="I2826">
        <v>804</v>
      </c>
      <c r="J2826">
        <v>110</v>
      </c>
      <c r="K2826" t="b">
        <v>1</v>
      </c>
      <c r="N2826" s="25" t="s">
        <v>591</v>
      </c>
      <c r="O2826" s="2">
        <f>INDEX(Маршруты,MATCH(N2826,$B$3:$B$498,0),1)</f>
        <v>122</v>
      </c>
      <c r="P2826" s="27">
        <v>5</v>
      </c>
      <c r="Q2826" s="2">
        <f>INDEX(Остановки,MATCH(R2826,ИД_Остановки!$B$3:$B$467,0),1)</f>
        <v>167</v>
      </c>
      <c r="R2826" s="45" t="s">
        <v>104</v>
      </c>
      <c r="S2826" s="20">
        <v>0.94</v>
      </c>
    </row>
    <row r="2827" spans="8:19" x14ac:dyDescent="0.25">
      <c r="H2827">
        <v>17</v>
      </c>
      <c r="I2827">
        <v>816</v>
      </c>
      <c r="J2827">
        <v>110</v>
      </c>
      <c r="K2827" t="b">
        <v>1</v>
      </c>
      <c r="N2827" s="25" t="s">
        <v>591</v>
      </c>
      <c r="O2827" s="2">
        <f>INDEX(Маршруты,MATCH(N2827,$B$3:$B$498,0),1)</f>
        <v>122</v>
      </c>
      <c r="P2827" s="27">
        <v>6</v>
      </c>
      <c r="Q2827" s="2">
        <f>INDEX(Остановки,MATCH(R2827,ИД_Остановки!$B$3:$B$467,0),1)</f>
        <v>247</v>
      </c>
      <c r="R2827" s="45" t="s">
        <v>134</v>
      </c>
      <c r="S2827" s="20">
        <v>0.45</v>
      </c>
    </row>
    <row r="2828" spans="8:19" x14ac:dyDescent="0.25">
      <c r="H2828">
        <v>17</v>
      </c>
      <c r="I2828">
        <v>828</v>
      </c>
      <c r="J2828">
        <v>110</v>
      </c>
      <c r="K2828" t="b">
        <v>1</v>
      </c>
      <c r="N2828" s="25" t="s">
        <v>591</v>
      </c>
      <c r="O2828" s="2">
        <f>INDEX(Маршруты,MATCH(N2828,$B$3:$B$498,0),1)</f>
        <v>122</v>
      </c>
      <c r="P2828" s="28">
        <v>7</v>
      </c>
      <c r="Q2828" s="2">
        <f>INDEX(Остановки,MATCH(R2828,ИД_Остановки!$B$3:$B$467,0),1)</f>
        <v>411</v>
      </c>
      <c r="R2828" s="24" t="s">
        <v>467</v>
      </c>
      <c r="S2828" s="20">
        <v>0.6</v>
      </c>
    </row>
    <row r="2829" spans="8:19" x14ac:dyDescent="0.25">
      <c r="H2829">
        <v>17</v>
      </c>
      <c r="I2829">
        <v>840</v>
      </c>
      <c r="J2829">
        <v>110</v>
      </c>
      <c r="K2829" t="b">
        <v>1</v>
      </c>
      <c r="N2829" s="25" t="s">
        <v>591</v>
      </c>
      <c r="O2829" s="2">
        <f>INDEX(Маршруты,MATCH(N2829,$B$3:$B$498,0),1)</f>
        <v>122</v>
      </c>
      <c r="P2829" s="27">
        <v>8</v>
      </c>
      <c r="Q2829" s="2">
        <f>INDEX(Остановки,MATCH(R2829,ИД_Остановки!$B$3:$B$467,0),1)</f>
        <v>248</v>
      </c>
      <c r="R2829" s="45" t="s">
        <v>617</v>
      </c>
      <c r="S2829" s="20">
        <v>0.74</v>
      </c>
    </row>
    <row r="2830" spans="8:19" x14ac:dyDescent="0.25">
      <c r="H2830">
        <v>17</v>
      </c>
      <c r="I2830">
        <v>852</v>
      </c>
      <c r="J2830">
        <v>110</v>
      </c>
      <c r="K2830" t="b">
        <v>1</v>
      </c>
      <c r="N2830" s="26" t="s">
        <v>591</v>
      </c>
      <c r="O2830" s="2">
        <f>INDEX(Маршруты,MATCH(N2830,$B$3:$B$498,0),1)</f>
        <v>122</v>
      </c>
      <c r="P2830" s="27">
        <v>9</v>
      </c>
      <c r="Q2830" s="2">
        <f>INDEX(Остановки,MATCH(R2830,ИД_Остановки!$B$3:$B$467,0),1)</f>
        <v>249</v>
      </c>
      <c r="R2830" s="45" t="s">
        <v>372</v>
      </c>
      <c r="S2830" s="20">
        <v>0.77</v>
      </c>
    </row>
    <row r="2831" spans="8:19" x14ac:dyDescent="0.25">
      <c r="H2831">
        <v>17</v>
      </c>
      <c r="I2831">
        <v>864</v>
      </c>
      <c r="J2831">
        <v>110</v>
      </c>
      <c r="K2831" t="b">
        <v>1</v>
      </c>
      <c r="N2831" s="30" t="s">
        <v>591</v>
      </c>
      <c r="O2831" s="2">
        <f>INDEX(Маршруты,MATCH(N2831,$B$3:$B$498,0),1)</f>
        <v>122</v>
      </c>
      <c r="P2831" s="27">
        <v>10</v>
      </c>
      <c r="Q2831" s="2">
        <f>INDEX(Остановки,MATCH(R2831,ИД_Остановки!$B$3:$B$467,0),1)</f>
        <v>250</v>
      </c>
      <c r="R2831" s="45" t="s">
        <v>373</v>
      </c>
      <c r="S2831" s="20">
        <v>0.32</v>
      </c>
    </row>
    <row r="2832" spans="8:19" x14ac:dyDescent="0.25">
      <c r="H2832">
        <v>17</v>
      </c>
      <c r="I2832">
        <v>876</v>
      </c>
      <c r="J2832">
        <v>110</v>
      </c>
      <c r="K2832" t="b">
        <v>1</v>
      </c>
      <c r="N2832" s="25" t="s">
        <v>591</v>
      </c>
      <c r="O2832" s="2">
        <f>INDEX(Маршруты,MATCH(N2832,$B$3:$B$498,0),1)</f>
        <v>122</v>
      </c>
      <c r="P2832" s="27">
        <v>11</v>
      </c>
      <c r="Q2832" s="2">
        <f>INDEX(Остановки,MATCH(R2832,ИД_Остановки!$B$3:$B$467,0),1)</f>
        <v>222</v>
      </c>
      <c r="R2832" s="45" t="s">
        <v>354</v>
      </c>
      <c r="S2832" s="20">
        <v>0.64</v>
      </c>
    </row>
    <row r="2833" spans="8:19" x14ac:dyDescent="0.25">
      <c r="H2833">
        <v>17</v>
      </c>
      <c r="I2833">
        <v>888</v>
      </c>
      <c r="J2833">
        <v>110</v>
      </c>
      <c r="K2833" t="b">
        <v>1</v>
      </c>
      <c r="N2833" s="30" t="s">
        <v>591</v>
      </c>
      <c r="O2833" s="2">
        <f>INDEX(Маршруты,MATCH(N2833,$B$3:$B$498,0),1)</f>
        <v>122</v>
      </c>
      <c r="P2833" s="27">
        <v>12</v>
      </c>
      <c r="Q2833" s="2">
        <f>INDEX(Остановки,MATCH(R2833,ИД_Остановки!$B$3:$B$467,0),1)</f>
        <v>243</v>
      </c>
      <c r="R2833" s="45" t="s">
        <v>368</v>
      </c>
      <c r="S2833" s="20">
        <v>0.36</v>
      </c>
    </row>
    <row r="2834" spans="8:19" x14ac:dyDescent="0.25">
      <c r="H2834">
        <v>17</v>
      </c>
      <c r="I2834">
        <v>900</v>
      </c>
      <c r="J2834">
        <v>110</v>
      </c>
      <c r="K2834" t="b">
        <v>1</v>
      </c>
      <c r="N2834" s="26" t="s">
        <v>591</v>
      </c>
      <c r="O2834" s="2">
        <f>INDEX(Маршруты,MATCH(N2834,$B$3:$B$498,0),1)</f>
        <v>122</v>
      </c>
      <c r="P2834" s="27">
        <v>13</v>
      </c>
      <c r="Q2834" s="2">
        <f>INDEX(Остановки,MATCH(R2834,ИД_Остановки!$B$3:$B$467,0),1)</f>
        <v>251</v>
      </c>
      <c r="R2834" s="45" t="s">
        <v>164</v>
      </c>
      <c r="S2834" s="20">
        <v>0.7</v>
      </c>
    </row>
    <row r="2835" spans="8:19" x14ac:dyDescent="0.25">
      <c r="H2835">
        <v>17</v>
      </c>
      <c r="I2835">
        <v>912</v>
      </c>
      <c r="J2835">
        <v>110</v>
      </c>
      <c r="K2835" t="b">
        <v>1</v>
      </c>
      <c r="N2835" s="30" t="s">
        <v>591</v>
      </c>
      <c r="O2835" s="2">
        <f>INDEX(Маршруты,MATCH(N2835,$B$3:$B$498,0),1)</f>
        <v>122</v>
      </c>
      <c r="P2835" s="27">
        <v>14</v>
      </c>
      <c r="Q2835" s="2">
        <f>INDEX(Остановки,MATCH(R2835,ИД_Остановки!$B$3:$B$467,0),1)</f>
        <v>244</v>
      </c>
      <c r="R2835" s="45" t="s">
        <v>133</v>
      </c>
      <c r="S2835" s="20">
        <v>0.64</v>
      </c>
    </row>
    <row r="2836" spans="8:19" x14ac:dyDescent="0.25">
      <c r="H2836">
        <v>17</v>
      </c>
      <c r="I2836">
        <v>924</v>
      </c>
      <c r="J2836">
        <v>110</v>
      </c>
      <c r="K2836" t="b">
        <v>1</v>
      </c>
      <c r="N2836" s="30" t="s">
        <v>591</v>
      </c>
      <c r="O2836" s="2">
        <f>INDEX(Маршруты,MATCH(N2836,$B$3:$B$498,0),1)</f>
        <v>122</v>
      </c>
      <c r="P2836" s="27">
        <v>15</v>
      </c>
      <c r="Q2836" s="2">
        <f>INDEX(Остановки,MATCH(R2836,ИД_Остановки!$B$3:$B$467,0),1)</f>
        <v>258</v>
      </c>
      <c r="R2836" s="45" t="s">
        <v>378</v>
      </c>
      <c r="S2836" s="20">
        <v>0.215</v>
      </c>
    </row>
    <row r="2837" spans="8:19" x14ac:dyDescent="0.25">
      <c r="H2837">
        <v>17</v>
      </c>
      <c r="I2837">
        <v>936</v>
      </c>
      <c r="J2837">
        <v>110</v>
      </c>
      <c r="K2837" t="b">
        <v>1</v>
      </c>
      <c r="N2837" s="30" t="s">
        <v>591</v>
      </c>
      <c r="O2837" s="2">
        <f>INDEX(Маршруты,MATCH(N2837,$B$3:$B$498,0),1)</f>
        <v>122</v>
      </c>
      <c r="P2837" s="27">
        <v>16</v>
      </c>
      <c r="Q2837" s="2">
        <f>INDEX(Остановки,MATCH(R2837,ИД_Остановки!$B$3:$B$467,0),1)</f>
        <v>245</v>
      </c>
      <c r="R2837" s="45" t="s">
        <v>369</v>
      </c>
      <c r="S2837" s="20">
        <v>0.3</v>
      </c>
    </row>
    <row r="2838" spans="8:19" x14ac:dyDescent="0.25">
      <c r="H2838">
        <v>17</v>
      </c>
      <c r="I2838">
        <v>948</v>
      </c>
      <c r="J2838">
        <v>110</v>
      </c>
      <c r="K2838" t="b">
        <v>1</v>
      </c>
      <c r="N2838" s="30" t="s">
        <v>591</v>
      </c>
      <c r="O2838" s="2">
        <f>INDEX(Маршруты,MATCH(N2838,$B$3:$B$498,0),1)</f>
        <v>122</v>
      </c>
      <c r="P2838" s="28">
        <v>17</v>
      </c>
      <c r="Q2838" s="2">
        <f>INDEX(Остановки,MATCH(R2838,ИД_Остановки!$B$3:$B$467,0),1)</f>
        <v>236</v>
      </c>
      <c r="R2838" s="24" t="s">
        <v>130</v>
      </c>
      <c r="S2838" s="20">
        <v>0.38</v>
      </c>
    </row>
    <row r="2839" spans="8:19" x14ac:dyDescent="0.25">
      <c r="H2839">
        <v>18</v>
      </c>
      <c r="I2839">
        <v>0</v>
      </c>
      <c r="J2839">
        <v>110</v>
      </c>
      <c r="K2839" t="b">
        <v>1</v>
      </c>
      <c r="N2839" s="30" t="s">
        <v>592</v>
      </c>
      <c r="O2839" s="2">
        <f>INDEX(Маршруты,MATCH(N2839,$B$3:$B$498,0),1)</f>
        <v>123</v>
      </c>
      <c r="P2839" s="27">
        <v>1</v>
      </c>
      <c r="Q2839" s="2">
        <f>INDEX(Остановки,MATCH(R2839,ИД_Остановки!$B$3:$B$467,0),1)</f>
        <v>59</v>
      </c>
      <c r="R2839" s="45" t="s">
        <v>48</v>
      </c>
      <c r="S2839" s="20"/>
    </row>
    <row r="2840" spans="8:19" x14ac:dyDescent="0.25">
      <c r="H2840">
        <v>18</v>
      </c>
      <c r="I2840">
        <v>12</v>
      </c>
      <c r="J2840">
        <v>110</v>
      </c>
      <c r="K2840" t="b">
        <v>1</v>
      </c>
      <c r="N2840" s="30" t="s">
        <v>592</v>
      </c>
      <c r="O2840" s="2">
        <f>INDEX(Маршруты,MATCH(N2840,$B$3:$B$498,0),1)</f>
        <v>123</v>
      </c>
      <c r="P2840" s="27">
        <v>2</v>
      </c>
      <c r="Q2840" s="2">
        <f>INDEX(Остановки,MATCH(R2840,ИД_Остановки!$B$3:$B$467,0),1)</f>
        <v>116</v>
      </c>
      <c r="R2840" s="45" t="s">
        <v>75</v>
      </c>
      <c r="S2840" s="20">
        <v>0.3</v>
      </c>
    </row>
    <row r="2841" spans="8:19" x14ac:dyDescent="0.25">
      <c r="H2841">
        <v>18</v>
      </c>
      <c r="I2841">
        <v>24</v>
      </c>
      <c r="J2841">
        <v>110</v>
      </c>
      <c r="K2841" t="b">
        <v>1</v>
      </c>
      <c r="N2841" s="25" t="s">
        <v>592</v>
      </c>
      <c r="O2841" s="2">
        <f>INDEX(Маршруты,MATCH(N2841,$B$3:$B$498,0),1)</f>
        <v>123</v>
      </c>
      <c r="P2841" s="28">
        <v>3</v>
      </c>
      <c r="Q2841" s="2">
        <f>INDEX(Остановки,MATCH(R2841,ИД_Остановки!$B$3:$B$467,0),1)</f>
        <v>57</v>
      </c>
      <c r="R2841" s="24" t="s">
        <v>47</v>
      </c>
      <c r="S2841" s="20">
        <v>0.83</v>
      </c>
    </row>
    <row r="2842" spans="8:19" x14ac:dyDescent="0.25">
      <c r="H2842">
        <v>18</v>
      </c>
      <c r="I2842">
        <v>36</v>
      </c>
      <c r="J2842">
        <v>110</v>
      </c>
      <c r="K2842" t="b">
        <v>1</v>
      </c>
      <c r="N2842" s="30" t="s">
        <v>592</v>
      </c>
      <c r="O2842" s="2">
        <f>INDEX(Маршруты,MATCH(N2842,$B$3:$B$498,0),1)</f>
        <v>123</v>
      </c>
      <c r="P2842" s="28">
        <v>4</v>
      </c>
      <c r="Q2842" s="2">
        <f>INDEX(Остановки,MATCH(R2842,ИД_Остановки!$B$3:$B$467,0),1)</f>
        <v>56</v>
      </c>
      <c r="R2842" s="24" t="s">
        <v>264</v>
      </c>
      <c r="S2842" s="20">
        <v>0.48</v>
      </c>
    </row>
    <row r="2843" spans="8:19" x14ac:dyDescent="0.25">
      <c r="H2843">
        <v>18</v>
      </c>
      <c r="I2843">
        <v>48</v>
      </c>
      <c r="J2843">
        <v>110</v>
      </c>
      <c r="K2843" t="b">
        <v>1</v>
      </c>
      <c r="N2843" s="30" t="s">
        <v>592</v>
      </c>
      <c r="O2843" s="2">
        <f>INDEX(Маршруты,MATCH(N2843,$B$3:$B$498,0),1)</f>
        <v>123</v>
      </c>
      <c r="P2843" s="27">
        <v>5</v>
      </c>
      <c r="Q2843" s="2">
        <f>INDEX(Остановки,MATCH(R2843,ИД_Остановки!$B$3:$B$467,0),1)</f>
        <v>55</v>
      </c>
      <c r="R2843" s="45" t="s">
        <v>263</v>
      </c>
      <c r="S2843" s="20">
        <v>0.86</v>
      </c>
    </row>
    <row r="2844" spans="8:19" x14ac:dyDescent="0.25">
      <c r="H2844">
        <v>18</v>
      </c>
      <c r="I2844">
        <v>60</v>
      </c>
      <c r="J2844">
        <v>110</v>
      </c>
      <c r="K2844" t="b">
        <v>1</v>
      </c>
      <c r="N2844" s="25" t="s">
        <v>592</v>
      </c>
      <c r="O2844" s="2">
        <f>INDEX(Маршруты,MATCH(N2844,$B$3:$B$498,0),1)</f>
        <v>123</v>
      </c>
      <c r="P2844" s="27">
        <v>6</v>
      </c>
      <c r="Q2844" s="2">
        <f>INDEX(Остановки,MATCH(R2844,ИД_Остановки!$B$3:$B$467,0),1)</f>
        <v>54</v>
      </c>
      <c r="R2844" s="45" t="s">
        <v>45</v>
      </c>
      <c r="S2844" s="20">
        <v>0.37</v>
      </c>
    </row>
    <row r="2845" spans="8:19" x14ac:dyDescent="0.25">
      <c r="H2845">
        <v>18</v>
      </c>
      <c r="I2845">
        <v>72</v>
      </c>
      <c r="J2845">
        <v>110</v>
      </c>
      <c r="K2845" t="b">
        <v>1</v>
      </c>
      <c r="N2845" s="25" t="s">
        <v>592</v>
      </c>
      <c r="O2845" s="2">
        <f>INDEX(Маршруты,MATCH(N2845,$B$3:$B$498,0),1)</f>
        <v>123</v>
      </c>
      <c r="P2845" s="27">
        <v>7</v>
      </c>
      <c r="Q2845" s="2">
        <f>INDEX(Остановки,MATCH(R2845,ИД_Остановки!$B$3:$B$467,0),1)</f>
        <v>176</v>
      </c>
      <c r="R2845" s="45" t="s">
        <v>111</v>
      </c>
      <c r="S2845" s="20">
        <v>0.65</v>
      </c>
    </row>
    <row r="2846" spans="8:19" x14ac:dyDescent="0.25">
      <c r="H2846">
        <v>18</v>
      </c>
      <c r="I2846">
        <v>84</v>
      </c>
      <c r="J2846">
        <v>110</v>
      </c>
      <c r="K2846" t="b">
        <v>1</v>
      </c>
      <c r="N2846" s="30" t="s">
        <v>592</v>
      </c>
      <c r="O2846" s="2">
        <f>INDEX(Маршруты,MATCH(N2846,$B$3:$B$498,0),1)</f>
        <v>123</v>
      </c>
      <c r="P2846" s="27">
        <v>8</v>
      </c>
      <c r="Q2846" s="2">
        <f>INDEX(Остановки,MATCH(R2846,ИД_Остановки!$B$3:$B$467,0),1)</f>
        <v>53</v>
      </c>
      <c r="R2846" s="45" t="s">
        <v>44</v>
      </c>
      <c r="S2846" s="20">
        <v>0.64</v>
      </c>
    </row>
    <row r="2847" spans="8:19" x14ac:dyDescent="0.25">
      <c r="H2847">
        <v>18</v>
      </c>
      <c r="I2847">
        <v>96</v>
      </c>
      <c r="J2847">
        <v>110</v>
      </c>
      <c r="K2847" t="b">
        <v>1</v>
      </c>
      <c r="N2847" s="30" t="s">
        <v>592</v>
      </c>
      <c r="O2847" s="2">
        <f>INDEX(Маршруты,MATCH(N2847,$B$3:$B$498,0),1)</f>
        <v>123</v>
      </c>
      <c r="P2847" s="27">
        <v>9</v>
      </c>
      <c r="Q2847" s="2">
        <f>INDEX(Остановки,MATCH(R2847,ИД_Остановки!$B$3:$B$467,0),1)</f>
        <v>175</v>
      </c>
      <c r="R2847" s="45" t="s">
        <v>327</v>
      </c>
      <c r="S2847" s="20">
        <v>1.44</v>
      </c>
    </row>
    <row r="2848" spans="8:19" x14ac:dyDescent="0.25">
      <c r="H2848">
        <v>18</v>
      </c>
      <c r="I2848">
        <v>108</v>
      </c>
      <c r="J2848">
        <v>110</v>
      </c>
      <c r="K2848" t="b">
        <v>1</v>
      </c>
      <c r="N2848" s="30" t="s">
        <v>592</v>
      </c>
      <c r="O2848" s="2">
        <f>INDEX(Маршруты,MATCH(N2848,$B$3:$B$498,0),1)</f>
        <v>123</v>
      </c>
      <c r="P2848" s="27">
        <v>10</v>
      </c>
      <c r="Q2848" s="2">
        <f>INDEX(Остановки,MATCH(R2848,ИД_Остановки!$B$3:$B$467,0),1)</f>
        <v>174</v>
      </c>
      <c r="R2848" s="45" t="s">
        <v>326</v>
      </c>
      <c r="S2848" s="20">
        <v>0.89</v>
      </c>
    </row>
    <row r="2849" spans="8:19" x14ac:dyDescent="0.25">
      <c r="H2849">
        <v>18</v>
      </c>
      <c r="I2849">
        <v>120</v>
      </c>
      <c r="J2849">
        <v>110</v>
      </c>
      <c r="K2849" t="b">
        <v>1</v>
      </c>
      <c r="N2849" s="30" t="s">
        <v>592</v>
      </c>
      <c r="O2849" s="2">
        <f>INDEX(Маршруты,MATCH(N2849,$B$3:$B$498,0),1)</f>
        <v>123</v>
      </c>
      <c r="P2849" s="27">
        <v>11</v>
      </c>
      <c r="Q2849" s="2">
        <f>INDEX(Остановки,MATCH(R2849,ИД_Остановки!$B$3:$B$467,0),1)</f>
        <v>173</v>
      </c>
      <c r="R2849" s="45" t="s">
        <v>325</v>
      </c>
      <c r="S2849" s="20">
        <v>0.79</v>
      </c>
    </row>
    <row r="2850" spans="8:19" x14ac:dyDescent="0.25">
      <c r="H2850">
        <v>18</v>
      </c>
      <c r="I2850">
        <v>132</v>
      </c>
      <c r="J2850">
        <v>110</v>
      </c>
      <c r="K2850" t="b">
        <v>1</v>
      </c>
      <c r="N2850" s="32" t="s">
        <v>592</v>
      </c>
      <c r="O2850" s="2">
        <f>INDEX(Маршруты,MATCH(N2850,$B$3:$B$498,0),1)</f>
        <v>123</v>
      </c>
      <c r="P2850" s="27">
        <v>12</v>
      </c>
      <c r="Q2850" s="2">
        <f>INDEX(Остановки,MATCH(R2850,ИД_Остановки!$B$3:$B$467,0),1)</f>
        <v>172</v>
      </c>
      <c r="R2850" s="45" t="s">
        <v>109</v>
      </c>
      <c r="S2850" s="20">
        <v>0.79</v>
      </c>
    </row>
    <row r="2851" spans="8:19" x14ac:dyDescent="0.25">
      <c r="H2851">
        <v>18</v>
      </c>
      <c r="I2851">
        <v>144</v>
      </c>
      <c r="J2851">
        <v>110</v>
      </c>
      <c r="K2851" t="b">
        <v>1</v>
      </c>
      <c r="N2851" s="25" t="s">
        <v>592</v>
      </c>
      <c r="O2851" s="2">
        <f>INDEX(Маршруты,MATCH(N2851,$B$3:$B$498,0),1)</f>
        <v>123</v>
      </c>
      <c r="P2851" s="27">
        <v>13</v>
      </c>
      <c r="Q2851" s="2">
        <f>INDEX(Остановки,MATCH(R2851,ИД_Остановки!$B$3:$B$467,0),1)</f>
        <v>171</v>
      </c>
      <c r="R2851" s="45" t="s">
        <v>108</v>
      </c>
      <c r="S2851" s="20">
        <v>0.75</v>
      </c>
    </row>
    <row r="2852" spans="8:19" x14ac:dyDescent="0.25">
      <c r="H2852">
        <v>18</v>
      </c>
      <c r="I2852">
        <v>156</v>
      </c>
      <c r="J2852">
        <v>110</v>
      </c>
      <c r="K2852" t="b">
        <v>1</v>
      </c>
      <c r="N2852" s="25" t="s">
        <v>592</v>
      </c>
      <c r="O2852" s="2">
        <f>INDEX(Маршруты,MATCH(N2852,$B$3:$B$498,0),1)</f>
        <v>123</v>
      </c>
      <c r="P2852" s="27">
        <v>14</v>
      </c>
      <c r="Q2852" s="2">
        <f>INDEX(Остановки,MATCH(R2852,ИД_Остановки!$B$3:$B$467,0),1)</f>
        <v>170</v>
      </c>
      <c r="R2852" s="45" t="s">
        <v>107</v>
      </c>
      <c r="S2852" s="20">
        <v>0.68</v>
      </c>
    </row>
    <row r="2853" spans="8:19" x14ac:dyDescent="0.25">
      <c r="H2853">
        <v>18</v>
      </c>
      <c r="I2853">
        <v>168</v>
      </c>
      <c r="J2853">
        <v>110</v>
      </c>
      <c r="K2853" t="b">
        <v>1</v>
      </c>
      <c r="N2853" s="26" t="s">
        <v>592</v>
      </c>
      <c r="O2853" s="2">
        <f>INDEX(Маршруты,MATCH(N2853,$B$3:$B$498,0),1)</f>
        <v>123</v>
      </c>
      <c r="P2853" s="27">
        <v>15</v>
      </c>
      <c r="Q2853" s="2">
        <f>INDEX(Остановки,MATCH(R2853,ИД_Остановки!$B$3:$B$467,0),1)</f>
        <v>169</v>
      </c>
      <c r="R2853" s="45" t="s">
        <v>106</v>
      </c>
      <c r="S2853" s="20">
        <v>1.84</v>
      </c>
    </row>
    <row r="2854" spans="8:19" x14ac:dyDescent="0.25">
      <c r="H2854">
        <v>18</v>
      </c>
      <c r="I2854">
        <v>180</v>
      </c>
      <c r="J2854">
        <v>110</v>
      </c>
      <c r="K2854" t="b">
        <v>1</v>
      </c>
      <c r="N2854" s="25" t="s">
        <v>592</v>
      </c>
      <c r="O2854" s="2">
        <f>INDEX(Маршруты,MATCH(N2854,$B$3:$B$498,0),1)</f>
        <v>123</v>
      </c>
      <c r="P2854" s="28">
        <v>16</v>
      </c>
      <c r="Q2854" s="2">
        <f>INDEX(Остановки,MATCH(R2854,ИД_Остановки!$B$3:$B$467,0),1)</f>
        <v>168</v>
      </c>
      <c r="R2854" s="24" t="s">
        <v>105</v>
      </c>
      <c r="S2854" s="20">
        <v>0.63</v>
      </c>
    </row>
    <row r="2855" spans="8:19" x14ac:dyDescent="0.25">
      <c r="H2855">
        <v>18</v>
      </c>
      <c r="I2855">
        <v>192</v>
      </c>
      <c r="J2855">
        <v>110</v>
      </c>
      <c r="K2855" t="b">
        <v>1</v>
      </c>
      <c r="N2855" s="25" t="s">
        <v>592</v>
      </c>
      <c r="O2855" s="2">
        <f>INDEX(Маршруты,MATCH(N2855,$B$3:$B$498,0),1)</f>
        <v>123</v>
      </c>
      <c r="P2855" s="27">
        <v>17</v>
      </c>
      <c r="Q2855" s="2">
        <f>INDEX(Остановки,MATCH(R2855,ИД_Остановки!$B$3:$B$467,0),1)</f>
        <v>221</v>
      </c>
      <c r="R2855" s="45" t="s">
        <v>353</v>
      </c>
      <c r="S2855" s="20">
        <v>0.97</v>
      </c>
    </row>
    <row r="2856" spans="8:19" x14ac:dyDescent="0.25">
      <c r="H2856">
        <v>18</v>
      </c>
      <c r="I2856">
        <v>204</v>
      </c>
      <c r="J2856">
        <v>110</v>
      </c>
      <c r="K2856" t="b">
        <v>1</v>
      </c>
      <c r="N2856" s="25" t="s">
        <v>592</v>
      </c>
      <c r="O2856" s="2">
        <f>INDEX(Маршруты,MATCH(N2856,$B$3:$B$498,0),1)</f>
        <v>123</v>
      </c>
      <c r="P2856" s="27">
        <v>18</v>
      </c>
      <c r="Q2856" s="2">
        <f>INDEX(Остановки,MATCH(R2856,ИД_Остановки!$B$3:$B$467,0),1)</f>
        <v>293</v>
      </c>
      <c r="R2856" s="45" t="s">
        <v>163</v>
      </c>
      <c r="S2856" s="20">
        <v>0.95</v>
      </c>
    </row>
    <row r="2857" spans="8:19" x14ac:dyDescent="0.25">
      <c r="H2857">
        <v>18</v>
      </c>
      <c r="I2857">
        <v>216</v>
      </c>
      <c r="J2857">
        <v>110</v>
      </c>
      <c r="K2857" t="b">
        <v>1</v>
      </c>
      <c r="N2857" s="25" t="s">
        <v>592</v>
      </c>
      <c r="O2857" s="2">
        <f>INDEX(Маршруты,MATCH(N2857,$B$3:$B$498,0),1)</f>
        <v>123</v>
      </c>
      <c r="P2857" s="27">
        <v>19</v>
      </c>
      <c r="Q2857" s="2">
        <f>INDEX(Остановки,MATCH(R2857,ИД_Остановки!$B$3:$B$467,0),1)</f>
        <v>292</v>
      </c>
      <c r="R2857" s="45" t="s">
        <v>162</v>
      </c>
      <c r="S2857" s="20">
        <v>0.49</v>
      </c>
    </row>
    <row r="2858" spans="8:19" x14ac:dyDescent="0.25">
      <c r="H2858">
        <v>18</v>
      </c>
      <c r="I2858">
        <v>228</v>
      </c>
      <c r="J2858">
        <v>110</v>
      </c>
      <c r="K2858" t="b">
        <v>1</v>
      </c>
      <c r="N2858" s="30" t="s">
        <v>592</v>
      </c>
      <c r="O2858" s="2">
        <f>INDEX(Маршруты,MATCH(N2858,$B$3:$B$498,0),1)</f>
        <v>123</v>
      </c>
      <c r="P2858" s="27">
        <v>20</v>
      </c>
      <c r="Q2858" s="2">
        <f>INDEX(Остановки,MATCH(R2858,ИД_Остановки!$B$3:$B$467,0),1)</f>
        <v>294</v>
      </c>
      <c r="R2858" s="45" t="s">
        <v>389</v>
      </c>
      <c r="S2858" s="20">
        <v>0.43</v>
      </c>
    </row>
    <row r="2859" spans="8:19" x14ac:dyDescent="0.25">
      <c r="H2859">
        <v>18</v>
      </c>
      <c r="I2859">
        <v>240</v>
      </c>
      <c r="J2859">
        <v>110</v>
      </c>
      <c r="K2859" t="b">
        <v>1</v>
      </c>
      <c r="N2859" s="30" t="s">
        <v>592</v>
      </c>
      <c r="O2859" s="2">
        <f>INDEX(Маршруты,MATCH(N2859,$B$3:$B$498,0),1)</f>
        <v>123</v>
      </c>
      <c r="P2859" s="27">
        <v>21</v>
      </c>
      <c r="Q2859" s="2">
        <f>INDEX(Остановки,MATCH(R2859,ИД_Остановки!$B$3:$B$467,0),1)</f>
        <v>248</v>
      </c>
      <c r="R2859" s="45" t="s">
        <v>617</v>
      </c>
      <c r="S2859" s="20">
        <v>0.61</v>
      </c>
    </row>
    <row r="2860" spans="8:19" x14ac:dyDescent="0.25">
      <c r="H2860">
        <v>18</v>
      </c>
      <c r="I2860">
        <v>252</v>
      </c>
      <c r="J2860">
        <v>110</v>
      </c>
      <c r="K2860" t="b">
        <v>1</v>
      </c>
      <c r="N2860" s="30" t="s">
        <v>592</v>
      </c>
      <c r="O2860" s="2">
        <f>INDEX(Маршруты,MATCH(N2860,$B$3:$B$498,0),1)</f>
        <v>123</v>
      </c>
      <c r="P2860" s="27">
        <v>22</v>
      </c>
      <c r="Q2860" s="2">
        <f>INDEX(Остановки,MATCH(R2860,ИД_Остановки!$B$3:$B$467,0),1)</f>
        <v>249</v>
      </c>
      <c r="R2860" s="45" t="s">
        <v>372</v>
      </c>
      <c r="S2860" s="20">
        <v>0.77</v>
      </c>
    </row>
    <row r="2861" spans="8:19" x14ac:dyDescent="0.25">
      <c r="H2861">
        <v>18</v>
      </c>
      <c r="I2861">
        <v>264</v>
      </c>
      <c r="J2861">
        <v>110</v>
      </c>
      <c r="K2861" t="b">
        <v>1</v>
      </c>
      <c r="N2861" s="30" t="s">
        <v>592</v>
      </c>
      <c r="O2861" s="2">
        <f>INDEX(Маршруты,MATCH(N2861,$B$3:$B$498,0),1)</f>
        <v>123</v>
      </c>
      <c r="P2861" s="27">
        <v>23</v>
      </c>
      <c r="Q2861" s="2">
        <f>INDEX(Остановки,MATCH(R2861,ИД_Остановки!$B$3:$B$467,0),1)</f>
        <v>250</v>
      </c>
      <c r="R2861" s="45" t="s">
        <v>373</v>
      </c>
      <c r="S2861" s="20">
        <v>0.32</v>
      </c>
    </row>
    <row r="2862" spans="8:19" x14ac:dyDescent="0.25">
      <c r="H2862">
        <v>18</v>
      </c>
      <c r="I2862">
        <v>276</v>
      </c>
      <c r="J2862">
        <v>110</v>
      </c>
      <c r="K2862" t="b">
        <v>1</v>
      </c>
      <c r="N2862" s="25" t="s">
        <v>592</v>
      </c>
      <c r="O2862" s="2">
        <f>INDEX(Маршруты,MATCH(N2862,$B$3:$B$498,0),1)</f>
        <v>123</v>
      </c>
      <c r="P2862" s="28">
        <v>24</v>
      </c>
      <c r="Q2862" s="2">
        <f>INDEX(Остановки,MATCH(R2862,ИД_Остановки!$B$3:$B$467,0),1)</f>
        <v>222</v>
      </c>
      <c r="R2862" s="24" t="s">
        <v>354</v>
      </c>
      <c r="S2862" s="20">
        <v>0.64</v>
      </c>
    </row>
    <row r="2863" spans="8:19" x14ac:dyDescent="0.25">
      <c r="H2863">
        <v>18</v>
      </c>
      <c r="I2863">
        <v>288</v>
      </c>
      <c r="J2863">
        <v>110</v>
      </c>
      <c r="K2863" t="b">
        <v>1</v>
      </c>
      <c r="N2863" s="25" t="s">
        <v>592</v>
      </c>
      <c r="O2863" s="2">
        <f>INDEX(Маршруты,MATCH(N2863,$B$3:$B$498,0),1)</f>
        <v>123</v>
      </c>
      <c r="P2863" s="27">
        <v>25</v>
      </c>
      <c r="Q2863" s="2">
        <f>INDEX(Остановки,MATCH(R2863,ИД_Остановки!$B$3:$B$467,0),1)</f>
        <v>243</v>
      </c>
      <c r="R2863" s="45" t="s">
        <v>368</v>
      </c>
      <c r="S2863" s="20">
        <v>0.36</v>
      </c>
    </row>
    <row r="2864" spans="8:19" x14ac:dyDescent="0.25">
      <c r="H2864">
        <v>18</v>
      </c>
      <c r="I2864">
        <v>300</v>
      </c>
      <c r="J2864">
        <v>110</v>
      </c>
      <c r="K2864" t="b">
        <v>1</v>
      </c>
      <c r="N2864" s="26" t="s">
        <v>592</v>
      </c>
      <c r="O2864" s="2">
        <f>INDEX(Маршруты,MATCH(N2864,$B$3:$B$498,0),1)</f>
        <v>123</v>
      </c>
      <c r="P2864" s="27">
        <v>26</v>
      </c>
      <c r="Q2864" s="2">
        <f>INDEX(Остановки,MATCH(R2864,ИД_Остановки!$B$3:$B$467,0),1)</f>
        <v>251</v>
      </c>
      <c r="R2864" s="45" t="s">
        <v>164</v>
      </c>
      <c r="S2864" s="20">
        <v>0.7</v>
      </c>
    </row>
    <row r="2865" spans="8:19" x14ac:dyDescent="0.25">
      <c r="H2865">
        <v>18</v>
      </c>
      <c r="I2865">
        <v>312</v>
      </c>
      <c r="J2865">
        <v>110</v>
      </c>
      <c r="K2865" t="b">
        <v>1</v>
      </c>
      <c r="N2865" s="30" t="s">
        <v>592</v>
      </c>
      <c r="O2865" s="2">
        <f>INDEX(Маршруты,MATCH(N2865,$B$3:$B$498,0),1)</f>
        <v>123</v>
      </c>
      <c r="P2865" s="27">
        <v>27</v>
      </c>
      <c r="Q2865" s="2">
        <f>INDEX(Остановки,MATCH(R2865,ИД_Остановки!$B$3:$B$467,0),1)</f>
        <v>244</v>
      </c>
      <c r="R2865" s="45" t="s">
        <v>133</v>
      </c>
      <c r="S2865" s="20">
        <v>0.64</v>
      </c>
    </row>
    <row r="2866" spans="8:19" x14ac:dyDescent="0.25">
      <c r="H2866">
        <v>18</v>
      </c>
      <c r="I2866">
        <v>324</v>
      </c>
      <c r="J2866">
        <v>110</v>
      </c>
      <c r="K2866" t="b">
        <v>1</v>
      </c>
      <c r="N2866" s="26" t="s">
        <v>592</v>
      </c>
      <c r="O2866" s="2">
        <f>INDEX(Маршруты,MATCH(N2866,$B$3:$B$498,0),1)</f>
        <v>123</v>
      </c>
      <c r="P2866" s="27">
        <v>28</v>
      </c>
      <c r="Q2866" s="2">
        <f>INDEX(Остановки,MATCH(R2866,ИД_Остановки!$B$3:$B$467,0),1)</f>
        <v>258</v>
      </c>
      <c r="R2866" s="45" t="s">
        <v>378</v>
      </c>
      <c r="S2866" s="20">
        <v>0.215</v>
      </c>
    </row>
    <row r="2867" spans="8:19" x14ac:dyDescent="0.25">
      <c r="H2867">
        <v>18</v>
      </c>
      <c r="I2867">
        <v>336</v>
      </c>
      <c r="J2867">
        <v>110</v>
      </c>
      <c r="K2867" t="b">
        <v>1</v>
      </c>
      <c r="N2867" s="25" t="s">
        <v>592</v>
      </c>
      <c r="O2867" s="2">
        <f>INDEX(Маршруты,MATCH(N2867,$B$3:$B$498,0),1)</f>
        <v>123</v>
      </c>
      <c r="P2867" s="28">
        <v>29</v>
      </c>
      <c r="Q2867" s="2">
        <f>INDEX(Остановки,MATCH(R2867,ИД_Остановки!$B$3:$B$467,0),1)</f>
        <v>245</v>
      </c>
      <c r="R2867" s="24" t="s">
        <v>369</v>
      </c>
      <c r="S2867" s="20">
        <v>0.3</v>
      </c>
    </row>
    <row r="2868" spans="8:19" x14ac:dyDescent="0.25">
      <c r="H2868">
        <v>18</v>
      </c>
      <c r="I2868">
        <v>348</v>
      </c>
      <c r="J2868">
        <v>110</v>
      </c>
      <c r="K2868" t="b">
        <v>1</v>
      </c>
      <c r="N2868" s="25" t="s">
        <v>592</v>
      </c>
      <c r="O2868" s="2">
        <f>INDEX(Маршруты,MATCH(N2868,$B$3:$B$498,0),1)</f>
        <v>123</v>
      </c>
      <c r="P2868" s="27">
        <v>30</v>
      </c>
      <c r="Q2868" s="2">
        <f>INDEX(Остановки,MATCH(R2868,ИД_Остановки!$B$3:$B$467,0),1)</f>
        <v>236</v>
      </c>
      <c r="R2868" s="45" t="s">
        <v>130</v>
      </c>
      <c r="S2868" s="20">
        <v>0.38</v>
      </c>
    </row>
    <row r="2869" spans="8:19" x14ac:dyDescent="0.25">
      <c r="H2869">
        <v>18</v>
      </c>
      <c r="I2869">
        <v>360</v>
      </c>
      <c r="J2869">
        <v>110</v>
      </c>
      <c r="K2869" t="b">
        <v>1</v>
      </c>
      <c r="N2869" s="25" t="s">
        <v>592</v>
      </c>
      <c r="O2869" s="2">
        <f>INDEX(Маршруты,MATCH(N2869,$B$3:$B$498,0),1)</f>
        <v>123</v>
      </c>
      <c r="P2869" s="27">
        <v>31</v>
      </c>
      <c r="Q2869" s="2">
        <f>INDEX(Остановки,MATCH(R2869,ИД_Остановки!$B$3:$B$467,0),1)</f>
        <v>252</v>
      </c>
      <c r="R2869" s="45" t="s">
        <v>135</v>
      </c>
      <c r="S2869" s="20">
        <v>0.59</v>
      </c>
    </row>
    <row r="2870" spans="8:19" x14ac:dyDescent="0.25">
      <c r="H2870">
        <v>18</v>
      </c>
      <c r="I2870">
        <v>372</v>
      </c>
      <c r="J2870">
        <v>110</v>
      </c>
      <c r="K2870" t="b">
        <v>1</v>
      </c>
      <c r="N2870" s="30" t="s">
        <v>592</v>
      </c>
      <c r="O2870" s="2">
        <f>INDEX(Маршруты,MATCH(N2870,$B$3:$B$498,0),1)</f>
        <v>123</v>
      </c>
      <c r="P2870" s="27">
        <v>32</v>
      </c>
      <c r="Q2870" s="2">
        <f>INDEX(Остановки,MATCH(R2870,ИД_Остановки!$B$3:$B$467,0),1)</f>
        <v>288</v>
      </c>
      <c r="R2870" s="45" t="s">
        <v>388</v>
      </c>
      <c r="S2870" s="20">
        <v>0.28999999999999998</v>
      </c>
    </row>
    <row r="2871" spans="8:19" x14ac:dyDescent="0.25">
      <c r="H2871">
        <v>18</v>
      </c>
      <c r="I2871">
        <v>384</v>
      </c>
      <c r="J2871">
        <v>110</v>
      </c>
      <c r="K2871" t="b">
        <v>1</v>
      </c>
      <c r="N2871" s="25" t="s">
        <v>592</v>
      </c>
      <c r="O2871" s="2">
        <f>INDEX(Маршруты,MATCH(N2871,$B$3:$B$498,0),1)</f>
        <v>123</v>
      </c>
      <c r="P2871" s="28">
        <v>33</v>
      </c>
      <c r="Q2871" s="2">
        <f>INDEX(Остановки,MATCH(R2871,ИД_Остановки!$B$3:$B$467,0),1)</f>
        <v>254</v>
      </c>
      <c r="R2871" s="24" t="s">
        <v>136</v>
      </c>
      <c r="S2871" s="21">
        <v>0.79</v>
      </c>
    </row>
    <row r="2872" spans="8:19" x14ac:dyDescent="0.25">
      <c r="H2872">
        <v>18</v>
      </c>
      <c r="I2872">
        <v>396</v>
      </c>
      <c r="J2872">
        <v>110</v>
      </c>
      <c r="K2872" t="b">
        <v>1</v>
      </c>
      <c r="N2872" s="25" t="s">
        <v>592</v>
      </c>
      <c r="O2872" s="2">
        <f>INDEX(Маршруты,MATCH(N2872,$B$3:$B$498,0),1)</f>
        <v>123</v>
      </c>
      <c r="P2872" s="27">
        <v>34</v>
      </c>
      <c r="Q2872" s="2">
        <f>INDEX(Остановки,MATCH(R2872,ИД_Остановки!$B$3:$B$467,0),1)</f>
        <v>299</v>
      </c>
      <c r="R2872" s="45" t="s">
        <v>392</v>
      </c>
      <c r="S2872" s="20">
        <v>0.39</v>
      </c>
    </row>
    <row r="2873" spans="8:19" x14ac:dyDescent="0.25">
      <c r="H2873">
        <v>18</v>
      </c>
      <c r="I2873">
        <v>408</v>
      </c>
      <c r="J2873">
        <v>110</v>
      </c>
      <c r="K2873" t="b">
        <v>1</v>
      </c>
      <c r="N2873" s="25" t="s">
        <v>592</v>
      </c>
      <c r="O2873" s="2">
        <f>INDEX(Маршруты,MATCH(N2873,$B$3:$B$498,0),1)</f>
        <v>123</v>
      </c>
      <c r="P2873" s="27">
        <v>35</v>
      </c>
      <c r="Q2873" s="2">
        <f>INDEX(Остановки,MATCH(R2873,ИД_Остановки!$B$3:$B$467,0),1)</f>
        <v>160</v>
      </c>
      <c r="R2873" s="45" t="s">
        <v>323</v>
      </c>
      <c r="S2873" s="20">
        <v>0.79</v>
      </c>
    </row>
    <row r="2874" spans="8:19" x14ac:dyDescent="0.25">
      <c r="H2874">
        <v>18</v>
      </c>
      <c r="I2874">
        <v>420</v>
      </c>
      <c r="J2874">
        <v>110</v>
      </c>
      <c r="K2874" t="b">
        <v>1</v>
      </c>
      <c r="N2874" s="30" t="s">
        <v>592</v>
      </c>
      <c r="O2874" s="2">
        <f>INDEX(Маршруты,MATCH(N2874,$B$3:$B$498,0),1)</f>
        <v>123</v>
      </c>
      <c r="P2874" s="27">
        <v>36</v>
      </c>
      <c r="Q2874" s="2">
        <f>INDEX(Остановки,MATCH(R2874,ИД_Остановки!$B$3:$B$467,0),1)</f>
        <v>337</v>
      </c>
      <c r="R2874" s="45" t="s">
        <v>407</v>
      </c>
      <c r="S2874" s="20">
        <v>0.6</v>
      </c>
    </row>
    <row r="2875" spans="8:19" x14ac:dyDescent="0.25">
      <c r="H2875">
        <v>18</v>
      </c>
      <c r="I2875">
        <v>432</v>
      </c>
      <c r="J2875">
        <v>110</v>
      </c>
      <c r="K2875" t="b">
        <v>1</v>
      </c>
      <c r="N2875" s="26" t="s">
        <v>592</v>
      </c>
      <c r="O2875" s="2">
        <f>INDEX(Маршруты,MATCH(N2875,$B$3:$B$498,0),1)</f>
        <v>123</v>
      </c>
      <c r="P2875" s="27">
        <v>37</v>
      </c>
      <c r="Q2875" s="2">
        <f>INDEX(Остановки,MATCH(R2875,ИД_Остановки!$B$3:$B$467,0),1)</f>
        <v>22</v>
      </c>
      <c r="R2875" s="45" t="s">
        <v>22</v>
      </c>
      <c r="S2875" s="20">
        <v>0.39</v>
      </c>
    </row>
    <row r="2876" spans="8:19" x14ac:dyDescent="0.25">
      <c r="H2876">
        <v>18</v>
      </c>
      <c r="I2876">
        <v>444</v>
      </c>
      <c r="J2876">
        <v>110</v>
      </c>
      <c r="K2876" t="b">
        <v>1</v>
      </c>
      <c r="N2876" s="30" t="s">
        <v>592</v>
      </c>
      <c r="O2876" s="2">
        <f>INDEX(Маршруты,MATCH(N2876,$B$3:$B$498,0),1)</f>
        <v>123</v>
      </c>
      <c r="P2876" s="27">
        <v>38</v>
      </c>
      <c r="Q2876" s="2">
        <f>INDEX(Остановки,MATCH(R2876,ИД_Остановки!$B$3:$B$467,0),1)</f>
        <v>199</v>
      </c>
      <c r="R2876" s="45" t="s">
        <v>118</v>
      </c>
      <c r="S2876" s="20">
        <v>0.42</v>
      </c>
    </row>
    <row r="2877" spans="8:19" x14ac:dyDescent="0.25">
      <c r="H2877">
        <v>18</v>
      </c>
      <c r="I2877">
        <v>456</v>
      </c>
      <c r="J2877">
        <v>110</v>
      </c>
      <c r="K2877" t="b">
        <v>1</v>
      </c>
      <c r="N2877" s="25" t="s">
        <v>592</v>
      </c>
      <c r="O2877" s="2">
        <f>INDEX(Маршруты,MATCH(N2877,$B$3:$B$498,0),1)</f>
        <v>123</v>
      </c>
      <c r="P2877" s="27">
        <v>39</v>
      </c>
      <c r="Q2877" s="2">
        <f>INDEX(Остановки,MATCH(R2877,ИД_Остановки!$B$3:$B$467,0),1)</f>
        <v>200</v>
      </c>
      <c r="R2877" s="45" t="s">
        <v>119</v>
      </c>
      <c r="S2877" s="20">
        <v>0.75</v>
      </c>
    </row>
    <row r="2878" spans="8:19" x14ac:dyDescent="0.25">
      <c r="H2878">
        <v>18</v>
      </c>
      <c r="I2878">
        <v>468</v>
      </c>
      <c r="J2878">
        <v>110</v>
      </c>
      <c r="K2878" t="b">
        <v>1</v>
      </c>
      <c r="N2878" s="30" t="s">
        <v>592</v>
      </c>
      <c r="O2878" s="2">
        <f>INDEX(Маршруты,MATCH(N2878,$B$3:$B$498,0),1)</f>
        <v>123</v>
      </c>
      <c r="P2878" s="28">
        <v>40</v>
      </c>
      <c r="Q2878" s="2">
        <f>INDEX(Остановки,MATCH(R2878,ИД_Остановки!$B$3:$B$467,0),1)</f>
        <v>255</v>
      </c>
      <c r="R2878" s="24" t="s">
        <v>137</v>
      </c>
      <c r="S2878" s="20">
        <v>0.67</v>
      </c>
    </row>
    <row r="2879" spans="8:19" x14ac:dyDescent="0.25">
      <c r="H2879">
        <v>18</v>
      </c>
      <c r="I2879">
        <v>480</v>
      </c>
      <c r="J2879">
        <v>110</v>
      </c>
      <c r="K2879" t="b">
        <v>1</v>
      </c>
      <c r="N2879" s="26" t="s">
        <v>592</v>
      </c>
      <c r="O2879" s="2">
        <f>INDEX(Маршруты,MATCH(N2879,$B$3:$B$498,0),1)</f>
        <v>123</v>
      </c>
      <c r="P2879" s="27">
        <v>41</v>
      </c>
      <c r="Q2879" s="2">
        <f>INDEX(Остановки,MATCH(R2879,ИД_Остановки!$B$3:$B$467,0),1)</f>
        <v>257</v>
      </c>
      <c r="R2879" s="45" t="s">
        <v>377</v>
      </c>
      <c r="S2879" s="20">
        <v>0.61</v>
      </c>
    </row>
    <row r="2880" spans="8:19" x14ac:dyDescent="0.25">
      <c r="H2880">
        <v>18</v>
      </c>
      <c r="I2880">
        <v>492</v>
      </c>
      <c r="J2880">
        <v>110</v>
      </c>
      <c r="K2880" t="b">
        <v>1</v>
      </c>
      <c r="N2880" s="25" t="s">
        <v>592</v>
      </c>
      <c r="O2880" s="2">
        <f>INDEX(Маршруты,MATCH(N2880,$B$3:$B$498,0),1)</f>
        <v>123</v>
      </c>
      <c r="P2880" s="28">
        <v>42</v>
      </c>
      <c r="Q2880" s="2">
        <f>INDEX(Остановки,MATCH(R2880,ИД_Остановки!$B$3:$B$467,0),1)</f>
        <v>238</v>
      </c>
      <c r="R2880" s="24" t="s">
        <v>131</v>
      </c>
      <c r="S2880" s="20">
        <v>0.56000000000000005</v>
      </c>
    </row>
    <row r="2881" spans="8:19" x14ac:dyDescent="0.25">
      <c r="H2881">
        <v>18</v>
      </c>
      <c r="I2881">
        <v>504</v>
      </c>
      <c r="J2881">
        <v>110</v>
      </c>
      <c r="K2881" t="b">
        <v>1</v>
      </c>
      <c r="N2881" s="25" t="s">
        <v>592</v>
      </c>
      <c r="O2881" s="2">
        <f>INDEX(Маршруты,MATCH(N2881,$B$3:$B$498,0),1)</f>
        <v>123</v>
      </c>
      <c r="P2881" s="28">
        <v>43</v>
      </c>
      <c r="Q2881" s="2">
        <f>INDEX(Остановки,MATCH(R2881,ИД_Остановки!$B$3:$B$467,0),1)</f>
        <v>228</v>
      </c>
      <c r="R2881" s="24" t="s">
        <v>127</v>
      </c>
      <c r="S2881" s="21">
        <v>0.94</v>
      </c>
    </row>
    <row r="2882" spans="8:19" x14ac:dyDescent="0.25">
      <c r="H2882">
        <v>18</v>
      </c>
      <c r="I2882">
        <v>516</v>
      </c>
      <c r="J2882">
        <v>110</v>
      </c>
      <c r="K2882" t="b">
        <v>1</v>
      </c>
      <c r="N2882" s="25" t="s">
        <v>592</v>
      </c>
      <c r="O2882" s="2">
        <f>INDEX(Маршруты,MATCH(N2882,$B$3:$B$498,0),1)</f>
        <v>123</v>
      </c>
      <c r="P2882" s="27">
        <v>44</v>
      </c>
      <c r="Q2882" s="2">
        <f>INDEX(Остановки,MATCH(R2882,ИД_Остановки!$B$3:$B$467,0),1)</f>
        <v>3</v>
      </c>
      <c r="R2882" s="45" t="s">
        <v>243</v>
      </c>
      <c r="S2882" s="20">
        <v>1.18</v>
      </c>
    </row>
    <row r="2883" spans="8:19" x14ac:dyDescent="0.25">
      <c r="H2883">
        <v>18</v>
      </c>
      <c r="I2883">
        <v>528</v>
      </c>
      <c r="J2883">
        <v>110</v>
      </c>
      <c r="K2883" t="b">
        <v>1</v>
      </c>
      <c r="N2883" s="25" t="s">
        <v>592</v>
      </c>
      <c r="O2883" s="2">
        <f>INDEX(Маршруты,MATCH(N2883,$B$3:$B$498,0),1)</f>
        <v>123</v>
      </c>
      <c r="P2883" s="27">
        <v>45</v>
      </c>
      <c r="Q2883" s="2">
        <f>INDEX(Остановки,MATCH(R2883,ИД_Остановки!$B$3:$B$467,0),1)</f>
        <v>208</v>
      </c>
      <c r="R2883" s="24" t="s">
        <v>121</v>
      </c>
      <c r="S2883" s="20">
        <v>0.9</v>
      </c>
    </row>
    <row r="2884" spans="8:19" x14ac:dyDescent="0.25">
      <c r="H2884">
        <v>18</v>
      </c>
      <c r="I2884">
        <v>540</v>
      </c>
      <c r="J2884">
        <v>110</v>
      </c>
      <c r="K2884" t="b">
        <v>1</v>
      </c>
      <c r="N2884" s="30" t="s">
        <v>592</v>
      </c>
      <c r="O2884" s="2">
        <f>INDEX(Маршруты,MATCH(N2884,$B$3:$B$498,0),1)</f>
        <v>123</v>
      </c>
      <c r="P2884" s="27">
        <v>46</v>
      </c>
      <c r="Q2884" s="2">
        <f>INDEX(Остановки,MATCH(R2884,ИД_Остановки!$B$3:$B$467,0),1)</f>
        <v>207</v>
      </c>
      <c r="R2884" s="45" t="s">
        <v>345</v>
      </c>
      <c r="S2884" s="20">
        <v>0.56999999999999995</v>
      </c>
    </row>
    <row r="2885" spans="8:19" x14ac:dyDescent="0.25">
      <c r="H2885">
        <v>18</v>
      </c>
      <c r="I2885">
        <v>552</v>
      </c>
      <c r="J2885">
        <v>110</v>
      </c>
      <c r="K2885" t="b">
        <v>1</v>
      </c>
      <c r="N2885" s="25" t="s">
        <v>592</v>
      </c>
      <c r="O2885" s="2">
        <f>INDEX(Маршруты,MATCH(N2885,$B$3:$B$498,0),1)</f>
        <v>123</v>
      </c>
      <c r="P2885" s="27">
        <v>47</v>
      </c>
      <c r="Q2885" s="2">
        <f>INDEX(Остановки,MATCH(R2885,ИД_Остановки!$B$3:$B$467,0),1)</f>
        <v>241</v>
      </c>
      <c r="R2885" s="45" t="s">
        <v>132</v>
      </c>
      <c r="S2885" s="20">
        <v>0.74</v>
      </c>
    </row>
    <row r="2886" spans="8:19" x14ac:dyDescent="0.25">
      <c r="H2886">
        <v>18</v>
      </c>
      <c r="I2886">
        <v>564</v>
      </c>
      <c r="J2886">
        <v>110</v>
      </c>
      <c r="K2886" t="b">
        <v>1</v>
      </c>
      <c r="N2886" s="25" t="s">
        <v>592</v>
      </c>
      <c r="O2886" s="2">
        <f>INDEX(Маршруты,MATCH(N2886,$B$3:$B$498,0),1)</f>
        <v>123</v>
      </c>
      <c r="P2886" s="27">
        <v>48</v>
      </c>
      <c r="Q2886" s="2">
        <f>INDEX(Остановки,MATCH(R2886,ИД_Остановки!$B$3:$B$467,0),1)</f>
        <v>21</v>
      </c>
      <c r="R2886" s="24" t="s">
        <v>21</v>
      </c>
      <c r="S2886" s="20">
        <v>1.56</v>
      </c>
    </row>
    <row r="2887" spans="8:19" x14ac:dyDescent="0.25">
      <c r="H2887">
        <v>18</v>
      </c>
      <c r="I2887">
        <v>576</v>
      </c>
      <c r="J2887">
        <v>110</v>
      </c>
      <c r="K2887" t="b">
        <v>1</v>
      </c>
      <c r="N2887" s="25" t="s">
        <v>592</v>
      </c>
      <c r="O2887" s="2">
        <f>INDEX(Маршруты,MATCH(N2887,$B$3:$B$498,0),1)</f>
        <v>123</v>
      </c>
      <c r="P2887" s="27">
        <v>49</v>
      </c>
      <c r="Q2887" s="2">
        <f>INDEX(Остановки,MATCH(R2887,ИД_Остановки!$B$3:$B$467,0),1)</f>
        <v>133</v>
      </c>
      <c r="R2887" s="45" t="s">
        <v>82</v>
      </c>
      <c r="S2887" s="20">
        <v>1</v>
      </c>
    </row>
    <row r="2888" spans="8:19" x14ac:dyDescent="0.25">
      <c r="H2888">
        <v>18</v>
      </c>
      <c r="I2888">
        <v>588</v>
      </c>
      <c r="J2888">
        <v>110</v>
      </c>
      <c r="K2888" t="b">
        <v>1</v>
      </c>
      <c r="N2888" s="30" t="s">
        <v>592</v>
      </c>
      <c r="O2888" s="2">
        <f>INDEX(Маршруты,MATCH(N2888,$B$3:$B$498,0),1)</f>
        <v>123</v>
      </c>
      <c r="P2888" s="27">
        <v>50</v>
      </c>
      <c r="Q2888" s="2">
        <f>INDEX(Остановки,MATCH(R2888,ИД_Остановки!$B$3:$B$467,0),1)</f>
        <v>134</v>
      </c>
      <c r="R2888" s="45" t="s">
        <v>308</v>
      </c>
      <c r="S2888" s="20">
        <v>0.3</v>
      </c>
    </row>
    <row r="2889" spans="8:19" x14ac:dyDescent="0.25">
      <c r="H2889">
        <v>18</v>
      </c>
      <c r="I2889">
        <v>600</v>
      </c>
      <c r="J2889">
        <v>110</v>
      </c>
      <c r="K2889" t="b">
        <v>1</v>
      </c>
      <c r="N2889" s="25" t="s">
        <v>592</v>
      </c>
      <c r="O2889" s="2">
        <f>INDEX(Маршруты,MATCH(N2889,$B$3:$B$498,0),1)</f>
        <v>123</v>
      </c>
      <c r="P2889" s="27">
        <v>51</v>
      </c>
      <c r="Q2889" s="2">
        <f>INDEX(Остановки,MATCH(R2889,ИД_Остановки!$B$3:$B$467,0),1)</f>
        <v>391</v>
      </c>
      <c r="R2889" s="45" t="s">
        <v>448</v>
      </c>
      <c r="S2889" s="20">
        <v>0.26</v>
      </c>
    </row>
    <row r="2890" spans="8:19" x14ac:dyDescent="0.25">
      <c r="H2890">
        <v>18</v>
      </c>
      <c r="I2890">
        <v>612</v>
      </c>
      <c r="J2890">
        <v>110</v>
      </c>
      <c r="K2890" t="b">
        <v>1</v>
      </c>
      <c r="N2890" s="30" t="s">
        <v>592</v>
      </c>
      <c r="O2890" s="2">
        <f>INDEX(Маршруты,MATCH(N2890,$B$3:$B$498,0),1)</f>
        <v>123</v>
      </c>
      <c r="P2890" s="27">
        <v>52</v>
      </c>
      <c r="Q2890" s="2">
        <f>INDEX(Остановки,MATCH(R2890,ИД_Остановки!$B$3:$B$467,0),1)</f>
        <v>103</v>
      </c>
      <c r="R2890" s="45" t="s">
        <v>288</v>
      </c>
      <c r="S2890" s="20">
        <v>1.1399999999999999</v>
      </c>
    </row>
    <row r="2891" spans="8:19" x14ac:dyDescent="0.25">
      <c r="H2891">
        <v>18</v>
      </c>
      <c r="I2891">
        <v>624</v>
      </c>
      <c r="J2891">
        <v>110</v>
      </c>
      <c r="K2891" t="b">
        <v>1</v>
      </c>
      <c r="N2891" s="30" t="s">
        <v>592</v>
      </c>
      <c r="O2891" s="2">
        <f>INDEX(Маршруты,MATCH(N2891,$B$3:$B$498,0),1)</f>
        <v>123</v>
      </c>
      <c r="P2891" s="27">
        <v>53</v>
      </c>
      <c r="Q2891" s="2">
        <f>INDEX(Остановки,MATCH(R2891,ИД_Остановки!$B$3:$B$467,0),1)</f>
        <v>380</v>
      </c>
      <c r="R2891" s="45" t="s">
        <v>438</v>
      </c>
      <c r="S2891" s="20">
        <v>0.5</v>
      </c>
    </row>
    <row r="2892" spans="8:19" x14ac:dyDescent="0.25">
      <c r="H2892">
        <v>18</v>
      </c>
      <c r="I2892">
        <v>636</v>
      </c>
      <c r="J2892">
        <v>110</v>
      </c>
      <c r="K2892" t="b">
        <v>1</v>
      </c>
      <c r="N2892" s="25" t="s">
        <v>592</v>
      </c>
      <c r="O2892" s="2">
        <f>INDEX(Маршруты,MATCH(N2892,$B$3:$B$498,0),1)</f>
        <v>123</v>
      </c>
      <c r="P2892" s="27">
        <v>54</v>
      </c>
      <c r="Q2892" s="2">
        <f>INDEX(Остановки,MATCH(R2892,ИД_Остановки!$B$3:$B$467,0),1)</f>
        <v>84</v>
      </c>
      <c r="R2892" s="45" t="s">
        <v>281</v>
      </c>
      <c r="S2892" s="20">
        <v>0.39</v>
      </c>
    </row>
    <row r="2893" spans="8:19" x14ac:dyDescent="0.25">
      <c r="H2893">
        <v>18</v>
      </c>
      <c r="I2893">
        <v>648</v>
      </c>
      <c r="J2893">
        <v>110</v>
      </c>
      <c r="K2893" t="b">
        <v>1</v>
      </c>
      <c r="N2893" s="30" t="s">
        <v>593</v>
      </c>
      <c r="O2893" s="2">
        <f>INDEX(Маршруты,MATCH(N2893,$B$3:$B$498,0),1)</f>
        <v>124</v>
      </c>
      <c r="P2893" s="27">
        <v>1</v>
      </c>
      <c r="Q2893" s="2">
        <f>INDEX(Остановки,MATCH(R2893,ИД_Остановки!$B$3:$B$467,0),1)</f>
        <v>84</v>
      </c>
      <c r="R2893" s="45" t="s">
        <v>281</v>
      </c>
      <c r="S2893" s="20"/>
    </row>
    <row r="2894" spans="8:19" x14ac:dyDescent="0.25">
      <c r="H2894">
        <v>18</v>
      </c>
      <c r="I2894">
        <v>660</v>
      </c>
      <c r="J2894">
        <v>110</v>
      </c>
      <c r="K2894" t="b">
        <v>1</v>
      </c>
      <c r="N2894" s="30" t="s">
        <v>593</v>
      </c>
      <c r="O2894" s="2">
        <f>INDEX(Маршруты,MATCH(N2894,$B$3:$B$498,0),1)</f>
        <v>124</v>
      </c>
      <c r="P2894" s="28">
        <v>2</v>
      </c>
      <c r="Q2894" s="2">
        <f>INDEX(Остановки,MATCH(R2894,ИД_Остановки!$B$3:$B$467,0),1)</f>
        <v>380</v>
      </c>
      <c r="R2894" s="24" t="s">
        <v>438</v>
      </c>
      <c r="S2894" s="20">
        <v>0.39</v>
      </c>
    </row>
    <row r="2895" spans="8:19" x14ac:dyDescent="0.25">
      <c r="H2895">
        <v>18</v>
      </c>
      <c r="I2895">
        <v>672</v>
      </c>
      <c r="J2895">
        <v>110</v>
      </c>
      <c r="K2895" t="b">
        <v>1</v>
      </c>
      <c r="N2895" s="30" t="s">
        <v>593</v>
      </c>
      <c r="O2895" s="2">
        <f>INDEX(Маршруты,MATCH(N2895,$B$3:$B$498,0),1)</f>
        <v>124</v>
      </c>
      <c r="P2895" s="27">
        <v>3</v>
      </c>
      <c r="Q2895" s="2">
        <f>INDEX(Остановки,MATCH(R2895,ИД_Остановки!$B$3:$B$467,0),1)</f>
        <v>103</v>
      </c>
      <c r="R2895" s="45" t="s">
        <v>288</v>
      </c>
      <c r="S2895" s="20">
        <v>0.5</v>
      </c>
    </row>
    <row r="2896" spans="8:19" x14ac:dyDescent="0.25">
      <c r="H2896">
        <v>18</v>
      </c>
      <c r="I2896">
        <v>684</v>
      </c>
      <c r="J2896">
        <v>110</v>
      </c>
      <c r="K2896" t="b">
        <v>1</v>
      </c>
      <c r="N2896" s="30" t="s">
        <v>593</v>
      </c>
      <c r="O2896" s="2">
        <f>INDEX(Маршруты,MATCH(N2896,$B$3:$B$498,0),1)</f>
        <v>124</v>
      </c>
      <c r="P2896" s="27">
        <v>4</v>
      </c>
      <c r="Q2896" s="2">
        <f>INDEX(Остановки,MATCH(R2896,ИД_Остановки!$B$3:$B$467,0),1)</f>
        <v>391</v>
      </c>
      <c r="R2896" s="45" t="s">
        <v>448</v>
      </c>
      <c r="S2896" s="20">
        <v>1.1399999999999999</v>
      </c>
    </row>
    <row r="2897" spans="8:19" x14ac:dyDescent="0.25">
      <c r="H2897">
        <v>18</v>
      </c>
      <c r="I2897">
        <v>696</v>
      </c>
      <c r="J2897">
        <v>110</v>
      </c>
      <c r="K2897" t="b">
        <v>1</v>
      </c>
      <c r="N2897" s="30" t="s">
        <v>593</v>
      </c>
      <c r="O2897" s="2">
        <f>INDEX(Маршруты,MATCH(N2897,$B$3:$B$498,0),1)</f>
        <v>124</v>
      </c>
      <c r="P2897" s="27">
        <v>5</v>
      </c>
      <c r="Q2897" s="2">
        <f>INDEX(Остановки,MATCH(R2897,ИД_Остановки!$B$3:$B$467,0),1)</f>
        <v>134</v>
      </c>
      <c r="R2897" s="24" t="s">
        <v>308</v>
      </c>
      <c r="S2897" s="20">
        <v>0.26</v>
      </c>
    </row>
    <row r="2898" spans="8:19" x14ac:dyDescent="0.25">
      <c r="H2898">
        <v>18</v>
      </c>
      <c r="I2898">
        <v>708</v>
      </c>
      <c r="J2898">
        <v>110</v>
      </c>
      <c r="K2898" t="b">
        <v>1</v>
      </c>
      <c r="N2898" s="30" t="s">
        <v>593</v>
      </c>
      <c r="O2898" s="2">
        <f>INDEX(Маршруты,MATCH(N2898,$B$3:$B$498,0),1)</f>
        <v>124</v>
      </c>
      <c r="P2898" s="27">
        <v>6</v>
      </c>
      <c r="Q2898" s="2">
        <f>INDEX(Остановки,MATCH(R2898,ИД_Остановки!$B$3:$B$467,0),1)</f>
        <v>133</v>
      </c>
      <c r="R2898" s="45" t="s">
        <v>82</v>
      </c>
      <c r="S2898" s="20">
        <v>0.3</v>
      </c>
    </row>
    <row r="2899" spans="8:19" x14ac:dyDescent="0.25">
      <c r="H2899">
        <v>18</v>
      </c>
      <c r="I2899">
        <v>720</v>
      </c>
      <c r="J2899">
        <v>110</v>
      </c>
      <c r="K2899" t="b">
        <v>1</v>
      </c>
      <c r="N2899" s="26" t="s">
        <v>593</v>
      </c>
      <c r="O2899" s="2">
        <f>INDEX(Маршруты,MATCH(N2899,$B$3:$B$498,0),1)</f>
        <v>124</v>
      </c>
      <c r="P2899" s="27">
        <v>7</v>
      </c>
      <c r="Q2899" s="2">
        <f>INDEX(Остановки,MATCH(R2899,ИД_Остановки!$B$3:$B$467,0),1)</f>
        <v>21</v>
      </c>
      <c r="R2899" s="45" t="s">
        <v>21</v>
      </c>
      <c r="S2899" s="20">
        <v>1</v>
      </c>
    </row>
    <row r="2900" spans="8:19" x14ac:dyDescent="0.25">
      <c r="H2900">
        <v>18</v>
      </c>
      <c r="I2900">
        <v>732</v>
      </c>
      <c r="J2900">
        <v>110</v>
      </c>
      <c r="K2900" t="b">
        <v>1</v>
      </c>
      <c r="N2900" s="30" t="s">
        <v>593</v>
      </c>
      <c r="O2900" s="2">
        <f>INDEX(Маршруты,MATCH(N2900,$B$3:$B$498,0),1)</f>
        <v>124</v>
      </c>
      <c r="P2900" s="27">
        <v>8</v>
      </c>
      <c r="Q2900" s="2">
        <f>INDEX(Остановки,MATCH(R2900,ИД_Остановки!$B$3:$B$467,0),1)</f>
        <v>241</v>
      </c>
      <c r="R2900" s="45" t="s">
        <v>132</v>
      </c>
      <c r="S2900" s="20">
        <v>1.56</v>
      </c>
    </row>
    <row r="2901" spans="8:19" x14ac:dyDescent="0.25">
      <c r="H2901">
        <v>18</v>
      </c>
      <c r="I2901">
        <v>744</v>
      </c>
      <c r="J2901">
        <v>110</v>
      </c>
      <c r="K2901" t="b">
        <v>1</v>
      </c>
      <c r="N2901" s="30" t="s">
        <v>593</v>
      </c>
      <c r="O2901" s="2">
        <f>INDEX(Маршруты,MATCH(N2901,$B$3:$B$498,0),1)</f>
        <v>124</v>
      </c>
      <c r="P2901" s="27">
        <v>9</v>
      </c>
      <c r="Q2901" s="2">
        <f>INDEX(Остановки,MATCH(R2901,ИД_Остановки!$B$3:$B$467,0),1)</f>
        <v>207</v>
      </c>
      <c r="R2901" s="45" t="s">
        <v>345</v>
      </c>
      <c r="S2901" s="20">
        <v>0.74</v>
      </c>
    </row>
    <row r="2902" spans="8:19" x14ac:dyDescent="0.25">
      <c r="H2902">
        <v>18</v>
      </c>
      <c r="I2902">
        <v>756</v>
      </c>
      <c r="J2902">
        <v>110</v>
      </c>
      <c r="K2902" t="b">
        <v>1</v>
      </c>
      <c r="N2902" s="26" t="s">
        <v>593</v>
      </c>
      <c r="O2902" s="2">
        <f>INDEX(Маршруты,MATCH(N2902,$B$3:$B$498,0),1)</f>
        <v>124</v>
      </c>
      <c r="P2902" s="27">
        <v>10</v>
      </c>
      <c r="Q2902" s="2">
        <f>INDEX(Остановки,MATCH(R2902,ИД_Остановки!$B$3:$B$467,0),1)</f>
        <v>208</v>
      </c>
      <c r="R2902" s="45" t="s">
        <v>121</v>
      </c>
      <c r="S2902" s="20">
        <v>0.56999999999999995</v>
      </c>
    </row>
    <row r="2903" spans="8:19" x14ac:dyDescent="0.25">
      <c r="H2903">
        <v>18</v>
      </c>
      <c r="I2903">
        <v>768</v>
      </c>
      <c r="J2903">
        <v>110</v>
      </c>
      <c r="K2903" t="b">
        <v>1</v>
      </c>
      <c r="N2903" s="25" t="s">
        <v>593</v>
      </c>
      <c r="O2903" s="2">
        <f>INDEX(Маршруты,MATCH(N2903,$B$3:$B$498,0),1)</f>
        <v>124</v>
      </c>
      <c r="P2903" s="27">
        <v>11</v>
      </c>
      <c r="Q2903" s="2">
        <f>INDEX(Остановки,MATCH(R2903,ИД_Остановки!$B$3:$B$467,0),1)</f>
        <v>3</v>
      </c>
      <c r="R2903" s="24" t="s">
        <v>243</v>
      </c>
      <c r="S2903" s="20">
        <v>0.9</v>
      </c>
    </row>
    <row r="2904" spans="8:19" x14ac:dyDescent="0.25">
      <c r="H2904">
        <v>18</v>
      </c>
      <c r="I2904">
        <v>780</v>
      </c>
      <c r="J2904">
        <v>110</v>
      </c>
      <c r="K2904" t="b">
        <v>1</v>
      </c>
      <c r="N2904" s="30" t="s">
        <v>593</v>
      </c>
      <c r="O2904" s="2">
        <f>INDEX(Маршруты,MATCH(N2904,$B$3:$B$498,0),1)</f>
        <v>124</v>
      </c>
      <c r="P2904" s="27">
        <v>12</v>
      </c>
      <c r="Q2904" s="2">
        <f>INDEX(Остановки,MATCH(R2904,ИД_Остановки!$B$3:$B$467,0),1)</f>
        <v>228</v>
      </c>
      <c r="R2904" s="45" t="s">
        <v>127</v>
      </c>
      <c r="S2904" s="20">
        <v>1.18</v>
      </c>
    </row>
    <row r="2905" spans="8:19" x14ac:dyDescent="0.25">
      <c r="H2905">
        <v>18</v>
      </c>
      <c r="I2905">
        <v>792</v>
      </c>
      <c r="J2905">
        <v>110</v>
      </c>
      <c r="K2905" t="b">
        <v>1</v>
      </c>
      <c r="N2905" s="25" t="s">
        <v>593</v>
      </c>
      <c r="O2905" s="2">
        <f>INDEX(Маршруты,MATCH(N2905,$B$3:$B$498,0),1)</f>
        <v>124</v>
      </c>
      <c r="P2905" s="27">
        <v>13</v>
      </c>
      <c r="Q2905" s="2">
        <f>INDEX(Остановки,MATCH(R2905,ИД_Остановки!$B$3:$B$467,0),1)</f>
        <v>238</v>
      </c>
      <c r="R2905" s="45" t="s">
        <v>131</v>
      </c>
      <c r="S2905" s="20">
        <v>0.94</v>
      </c>
    </row>
    <row r="2906" spans="8:19" x14ac:dyDescent="0.25">
      <c r="H2906">
        <v>18</v>
      </c>
      <c r="I2906">
        <v>804</v>
      </c>
      <c r="J2906">
        <v>110</v>
      </c>
      <c r="K2906" t="b">
        <v>1</v>
      </c>
      <c r="N2906" s="30" t="s">
        <v>593</v>
      </c>
      <c r="O2906" s="2">
        <f>INDEX(Маршруты,MATCH(N2906,$B$3:$B$498,0),1)</f>
        <v>124</v>
      </c>
      <c r="P2906" s="27">
        <v>14</v>
      </c>
      <c r="Q2906" s="2">
        <f>INDEX(Остановки,MATCH(R2906,ИД_Остановки!$B$3:$B$467,0),1)</f>
        <v>257</v>
      </c>
      <c r="R2906" s="45" t="s">
        <v>377</v>
      </c>
      <c r="S2906" s="20">
        <v>0.56000000000000005</v>
      </c>
    </row>
    <row r="2907" spans="8:19" x14ac:dyDescent="0.25">
      <c r="H2907">
        <v>18</v>
      </c>
      <c r="I2907">
        <v>816</v>
      </c>
      <c r="J2907">
        <v>110</v>
      </c>
      <c r="K2907" t="b">
        <v>1</v>
      </c>
      <c r="N2907" s="25" t="s">
        <v>593</v>
      </c>
      <c r="O2907" s="2">
        <f>INDEX(Маршруты,MATCH(N2907,$B$3:$B$498,0),1)</f>
        <v>124</v>
      </c>
      <c r="P2907" s="27">
        <v>15</v>
      </c>
      <c r="Q2907" s="2">
        <f>INDEX(Остановки,MATCH(R2907,ИД_Остановки!$B$3:$B$467,0),1)</f>
        <v>255</v>
      </c>
      <c r="R2907" s="45" t="s">
        <v>137</v>
      </c>
      <c r="S2907" s="20">
        <v>0.61</v>
      </c>
    </row>
    <row r="2908" spans="8:19" x14ac:dyDescent="0.25">
      <c r="H2908">
        <v>18</v>
      </c>
      <c r="I2908">
        <v>828</v>
      </c>
      <c r="J2908">
        <v>110</v>
      </c>
      <c r="K2908" t="b">
        <v>1</v>
      </c>
      <c r="N2908" s="25" t="s">
        <v>593</v>
      </c>
      <c r="O2908" s="2">
        <f>INDEX(Маршруты,MATCH(N2908,$B$3:$B$498,0),1)</f>
        <v>124</v>
      </c>
      <c r="P2908" s="27">
        <v>16</v>
      </c>
      <c r="Q2908" s="2">
        <f>INDEX(Остановки,MATCH(R2908,ИД_Остановки!$B$3:$B$467,0),1)</f>
        <v>200</v>
      </c>
      <c r="R2908" s="45" t="s">
        <v>119</v>
      </c>
      <c r="S2908" s="20">
        <v>0.67</v>
      </c>
    </row>
    <row r="2909" spans="8:19" x14ac:dyDescent="0.25">
      <c r="H2909">
        <v>18</v>
      </c>
      <c r="I2909">
        <v>840</v>
      </c>
      <c r="J2909">
        <v>110</v>
      </c>
      <c r="K2909" t="b">
        <v>1</v>
      </c>
      <c r="N2909" s="30" t="s">
        <v>593</v>
      </c>
      <c r="O2909" s="2">
        <f>INDEX(Маршруты,MATCH(N2909,$B$3:$B$498,0),1)</f>
        <v>124</v>
      </c>
      <c r="P2909" s="27">
        <v>17</v>
      </c>
      <c r="Q2909" s="2">
        <f>INDEX(Остановки,MATCH(R2909,ИД_Остановки!$B$3:$B$467,0),1)</f>
        <v>199</v>
      </c>
      <c r="R2909" s="45" t="s">
        <v>118</v>
      </c>
      <c r="S2909" s="20">
        <v>0.75</v>
      </c>
    </row>
    <row r="2910" spans="8:19" x14ac:dyDescent="0.25">
      <c r="H2910">
        <v>18</v>
      </c>
      <c r="I2910">
        <v>852</v>
      </c>
      <c r="J2910">
        <v>110</v>
      </c>
      <c r="K2910" t="b">
        <v>1</v>
      </c>
      <c r="N2910" s="25" t="s">
        <v>593</v>
      </c>
      <c r="O2910" s="2">
        <f>INDEX(Маршруты,MATCH(N2910,$B$3:$B$498,0),1)</f>
        <v>124</v>
      </c>
      <c r="P2910" s="27">
        <v>18</v>
      </c>
      <c r="Q2910" s="2">
        <f>INDEX(Остановки,MATCH(R2910,ИД_Остановки!$B$3:$B$467,0),1)</f>
        <v>22</v>
      </c>
      <c r="R2910" s="45" t="s">
        <v>22</v>
      </c>
      <c r="S2910" s="20">
        <v>0.42</v>
      </c>
    </row>
    <row r="2911" spans="8:19" x14ac:dyDescent="0.25">
      <c r="H2911">
        <v>18</v>
      </c>
      <c r="I2911">
        <v>864</v>
      </c>
      <c r="J2911">
        <v>110</v>
      </c>
      <c r="K2911" t="b">
        <v>1</v>
      </c>
      <c r="N2911" s="25" t="s">
        <v>593</v>
      </c>
      <c r="O2911" s="2">
        <f>INDEX(Маршруты,MATCH(N2911,$B$3:$B$498,0),1)</f>
        <v>124</v>
      </c>
      <c r="P2911" s="27">
        <v>19</v>
      </c>
      <c r="Q2911" s="2">
        <f>INDEX(Остановки,MATCH(R2911,ИД_Остановки!$B$3:$B$467,0),1)</f>
        <v>337</v>
      </c>
      <c r="R2911" s="45" t="s">
        <v>407</v>
      </c>
      <c r="S2911" s="20">
        <v>0.39</v>
      </c>
    </row>
    <row r="2912" spans="8:19" x14ac:dyDescent="0.25">
      <c r="H2912">
        <v>18</v>
      </c>
      <c r="I2912">
        <v>876</v>
      </c>
      <c r="J2912">
        <v>110</v>
      </c>
      <c r="K2912" t="b">
        <v>1</v>
      </c>
      <c r="N2912" s="25" t="s">
        <v>593</v>
      </c>
      <c r="O2912" s="2">
        <f>INDEX(Маршруты,MATCH(N2912,$B$3:$B$498,0),1)</f>
        <v>124</v>
      </c>
      <c r="P2912" s="27">
        <v>20</v>
      </c>
      <c r="Q2912" s="2">
        <f>INDEX(Остановки,MATCH(R2912,ИД_Остановки!$B$3:$B$467,0),1)</f>
        <v>160</v>
      </c>
      <c r="R2912" s="45" t="s">
        <v>323</v>
      </c>
      <c r="S2912" s="20">
        <v>0.6</v>
      </c>
    </row>
    <row r="2913" spans="8:19" x14ac:dyDescent="0.25">
      <c r="H2913">
        <v>18</v>
      </c>
      <c r="I2913">
        <v>888</v>
      </c>
      <c r="J2913">
        <v>110</v>
      </c>
      <c r="K2913" t="b">
        <v>1</v>
      </c>
      <c r="N2913" s="25" t="s">
        <v>593</v>
      </c>
      <c r="O2913" s="2">
        <f>INDEX(Маршруты,MATCH(N2913,$B$3:$B$498,0),1)</f>
        <v>124</v>
      </c>
      <c r="P2913" s="28">
        <v>21</v>
      </c>
      <c r="Q2913" s="2">
        <f>INDEX(Остановки,MATCH(R2913,ИД_Остановки!$B$3:$B$467,0),1)</f>
        <v>299</v>
      </c>
      <c r="R2913" s="24" t="s">
        <v>392</v>
      </c>
      <c r="S2913" s="20">
        <v>0.79</v>
      </c>
    </row>
    <row r="2914" spans="8:19" x14ac:dyDescent="0.25">
      <c r="H2914">
        <v>18</v>
      </c>
      <c r="I2914">
        <v>900</v>
      </c>
      <c r="J2914">
        <v>110</v>
      </c>
      <c r="K2914" t="b">
        <v>1</v>
      </c>
      <c r="N2914" s="25" t="s">
        <v>593</v>
      </c>
      <c r="O2914" s="2">
        <f>INDEX(Маршруты,MATCH(N2914,$B$3:$B$498,0),1)</f>
        <v>124</v>
      </c>
      <c r="P2914" s="27">
        <v>22</v>
      </c>
      <c r="Q2914" s="2">
        <f>INDEX(Остановки,MATCH(R2914,ИД_Остановки!$B$3:$B$467,0),1)</f>
        <v>254</v>
      </c>
      <c r="R2914" s="45" t="s">
        <v>136</v>
      </c>
      <c r="S2914" s="20">
        <v>0.39</v>
      </c>
    </row>
    <row r="2915" spans="8:19" x14ac:dyDescent="0.25">
      <c r="H2915">
        <v>18</v>
      </c>
      <c r="I2915">
        <v>912</v>
      </c>
      <c r="J2915">
        <v>110</v>
      </c>
      <c r="K2915" t="b">
        <v>1</v>
      </c>
      <c r="N2915" s="30" t="s">
        <v>593</v>
      </c>
      <c r="O2915" s="2">
        <f>INDEX(Маршруты,MATCH(N2915,$B$3:$B$498,0),1)</f>
        <v>124</v>
      </c>
      <c r="P2915" s="27">
        <v>23</v>
      </c>
      <c r="Q2915" s="2">
        <f>INDEX(Остановки,MATCH(R2915,ИД_Остановки!$B$3:$B$467,0),1)</f>
        <v>288</v>
      </c>
      <c r="R2915" s="45" t="s">
        <v>388</v>
      </c>
      <c r="S2915" s="20">
        <v>0.79</v>
      </c>
    </row>
    <row r="2916" spans="8:19" x14ac:dyDescent="0.25">
      <c r="H2916">
        <v>18</v>
      </c>
      <c r="I2916">
        <v>924</v>
      </c>
      <c r="J2916">
        <v>110</v>
      </c>
      <c r="K2916" t="b">
        <v>1</v>
      </c>
      <c r="N2916" s="30" t="s">
        <v>593</v>
      </c>
      <c r="O2916" s="2">
        <f>INDEX(Маршруты,MATCH(N2916,$B$3:$B$498,0),1)</f>
        <v>124</v>
      </c>
      <c r="P2916" s="27">
        <v>24</v>
      </c>
      <c r="Q2916" s="2">
        <f>INDEX(Остановки,MATCH(R2916,ИД_Остановки!$B$3:$B$467,0),1)</f>
        <v>252</v>
      </c>
      <c r="R2916" s="45" t="s">
        <v>135</v>
      </c>
      <c r="S2916" s="20">
        <v>0.28999999999999998</v>
      </c>
    </row>
    <row r="2917" spans="8:19" x14ac:dyDescent="0.25">
      <c r="H2917">
        <v>18</v>
      </c>
      <c r="I2917">
        <v>936</v>
      </c>
      <c r="J2917">
        <v>110</v>
      </c>
      <c r="K2917" t="b">
        <v>1</v>
      </c>
      <c r="N2917" s="30" t="s">
        <v>593</v>
      </c>
      <c r="O2917" s="2">
        <f>INDEX(Маршруты,MATCH(N2917,$B$3:$B$498,0),1)</f>
        <v>124</v>
      </c>
      <c r="P2917" s="27">
        <v>25</v>
      </c>
      <c r="Q2917" s="2">
        <f>INDEX(Остановки,MATCH(R2917,ИД_Остановки!$B$3:$B$467,0),1)</f>
        <v>236</v>
      </c>
      <c r="R2917" s="45" t="s">
        <v>130</v>
      </c>
      <c r="S2917" s="20">
        <v>0.59</v>
      </c>
    </row>
    <row r="2918" spans="8:19" x14ac:dyDescent="0.25">
      <c r="H2918">
        <v>18</v>
      </c>
      <c r="I2918">
        <v>948</v>
      </c>
      <c r="J2918">
        <v>110</v>
      </c>
      <c r="K2918" t="b">
        <v>1</v>
      </c>
      <c r="N2918" s="25" t="s">
        <v>593</v>
      </c>
      <c r="O2918" s="2">
        <f>INDEX(Маршруты,MATCH(N2918,$B$3:$B$498,0),1)</f>
        <v>124</v>
      </c>
      <c r="P2918" s="28">
        <v>26</v>
      </c>
      <c r="Q2918" s="2">
        <f>INDEX(Остановки,MATCH(R2918,ИД_Остановки!$B$3:$B$467,0),1)</f>
        <v>245</v>
      </c>
      <c r="R2918" s="24" t="s">
        <v>369</v>
      </c>
      <c r="S2918" s="20">
        <v>0.38</v>
      </c>
    </row>
    <row r="2919" spans="8:19" x14ac:dyDescent="0.25">
      <c r="H2919">
        <v>19</v>
      </c>
      <c r="I2919">
        <v>0</v>
      </c>
      <c r="J2919">
        <v>110</v>
      </c>
      <c r="K2919" t="b">
        <v>1</v>
      </c>
      <c r="N2919" s="25" t="s">
        <v>593</v>
      </c>
      <c r="O2919" s="2">
        <f>INDEX(Маршруты,MATCH(N2919,$B$3:$B$498,0),1)</f>
        <v>124</v>
      </c>
      <c r="P2919" s="27">
        <v>27</v>
      </c>
      <c r="Q2919" s="2">
        <f>INDEX(Остановки,MATCH(R2919,ИД_Остановки!$B$3:$B$467,0),1)</f>
        <v>258</v>
      </c>
      <c r="R2919" s="45" t="s">
        <v>378</v>
      </c>
      <c r="S2919" s="20">
        <v>0.3</v>
      </c>
    </row>
    <row r="2920" spans="8:19" x14ac:dyDescent="0.25">
      <c r="H2920">
        <v>19</v>
      </c>
      <c r="I2920">
        <v>9</v>
      </c>
      <c r="J2920">
        <v>110</v>
      </c>
      <c r="K2920" t="b">
        <v>1</v>
      </c>
      <c r="N2920" s="30" t="s">
        <v>593</v>
      </c>
      <c r="O2920" s="2">
        <f>INDEX(Маршруты,MATCH(N2920,$B$3:$B$498,0),1)</f>
        <v>124</v>
      </c>
      <c r="P2920" s="27">
        <v>28</v>
      </c>
      <c r="Q2920" s="2">
        <f>INDEX(Остановки,MATCH(R2920,ИД_Остановки!$B$3:$B$467,0),1)</f>
        <v>244</v>
      </c>
      <c r="R2920" s="45" t="s">
        <v>133</v>
      </c>
      <c r="S2920" s="20">
        <v>0.215</v>
      </c>
    </row>
    <row r="2921" spans="8:19" x14ac:dyDescent="0.25">
      <c r="H2921">
        <v>19</v>
      </c>
      <c r="I2921">
        <v>18</v>
      </c>
      <c r="J2921">
        <v>110</v>
      </c>
      <c r="K2921" t="b">
        <v>1</v>
      </c>
      <c r="N2921" s="30" t="s">
        <v>593</v>
      </c>
      <c r="O2921" s="2">
        <f>INDEX(Маршруты,MATCH(N2921,$B$3:$B$498,0),1)</f>
        <v>124</v>
      </c>
      <c r="P2921" s="27">
        <v>29</v>
      </c>
      <c r="Q2921" s="2">
        <f>INDEX(Остановки,MATCH(R2921,ИД_Остановки!$B$3:$B$467,0),1)</f>
        <v>251</v>
      </c>
      <c r="R2921" s="45" t="s">
        <v>164</v>
      </c>
      <c r="S2921" s="20">
        <v>0.64</v>
      </c>
    </row>
    <row r="2922" spans="8:19" x14ac:dyDescent="0.25">
      <c r="H2922">
        <v>19</v>
      </c>
      <c r="I2922">
        <v>27</v>
      </c>
      <c r="J2922">
        <v>110</v>
      </c>
      <c r="K2922" t="b">
        <v>1</v>
      </c>
      <c r="N2922" s="25" t="s">
        <v>593</v>
      </c>
      <c r="O2922" s="2">
        <f>INDEX(Маршруты,MATCH(N2922,$B$3:$B$498,0),1)</f>
        <v>124</v>
      </c>
      <c r="P2922" s="27">
        <v>30</v>
      </c>
      <c r="Q2922" s="2">
        <f>INDEX(Остановки,MATCH(R2922,ИД_Остановки!$B$3:$B$467,0),1)</f>
        <v>243</v>
      </c>
      <c r="R2922" s="45" t="s">
        <v>368</v>
      </c>
      <c r="S2922" s="20">
        <v>0.7</v>
      </c>
    </row>
    <row r="2923" spans="8:19" x14ac:dyDescent="0.25">
      <c r="H2923">
        <v>19</v>
      </c>
      <c r="I2923">
        <v>36</v>
      </c>
      <c r="J2923">
        <v>110</v>
      </c>
      <c r="K2923" t="b">
        <v>1</v>
      </c>
      <c r="N2923" s="25" t="s">
        <v>593</v>
      </c>
      <c r="O2923" s="2">
        <f>INDEX(Маршруты,MATCH(N2923,$B$3:$B$498,0),1)</f>
        <v>124</v>
      </c>
      <c r="P2923" s="27">
        <v>31</v>
      </c>
      <c r="Q2923" s="2">
        <f>INDEX(Остановки,MATCH(R2923,ИД_Остановки!$B$3:$B$467,0),1)</f>
        <v>222</v>
      </c>
      <c r="R2923" s="24" t="s">
        <v>354</v>
      </c>
      <c r="S2923" s="20">
        <v>0.36</v>
      </c>
    </row>
    <row r="2924" spans="8:19" x14ac:dyDescent="0.25">
      <c r="H2924">
        <v>19</v>
      </c>
      <c r="I2924">
        <v>45</v>
      </c>
      <c r="J2924">
        <v>110</v>
      </c>
      <c r="K2924" t="b">
        <v>1</v>
      </c>
      <c r="N2924" s="30" t="s">
        <v>593</v>
      </c>
      <c r="O2924" s="2">
        <f>INDEX(Маршруты,MATCH(N2924,$B$3:$B$498,0),1)</f>
        <v>124</v>
      </c>
      <c r="P2924" s="27">
        <v>32</v>
      </c>
      <c r="Q2924" s="2">
        <f>INDEX(Остановки,MATCH(R2924,ИД_Остановки!$B$3:$B$467,0),1)</f>
        <v>250</v>
      </c>
      <c r="R2924" s="45" t="s">
        <v>373</v>
      </c>
      <c r="S2924" s="20">
        <v>0.64</v>
      </c>
    </row>
    <row r="2925" spans="8:19" x14ac:dyDescent="0.25">
      <c r="H2925">
        <v>19</v>
      </c>
      <c r="I2925">
        <v>54</v>
      </c>
      <c r="J2925">
        <v>110</v>
      </c>
      <c r="K2925" t="b">
        <v>1</v>
      </c>
      <c r="N2925" s="25" t="s">
        <v>593</v>
      </c>
      <c r="O2925" s="2">
        <f>INDEX(Маршруты,MATCH(N2925,$B$3:$B$498,0),1)</f>
        <v>124</v>
      </c>
      <c r="P2925" s="27">
        <v>33</v>
      </c>
      <c r="Q2925" s="2">
        <f>INDEX(Остановки,MATCH(R2925,ИД_Остановки!$B$3:$B$467,0),1)</f>
        <v>249</v>
      </c>
      <c r="R2925" s="45" t="s">
        <v>372</v>
      </c>
      <c r="S2925" s="20">
        <v>0.32</v>
      </c>
    </row>
    <row r="2926" spans="8:19" x14ac:dyDescent="0.25">
      <c r="H2926">
        <v>19</v>
      </c>
      <c r="I2926">
        <v>63</v>
      </c>
      <c r="J2926">
        <v>110</v>
      </c>
      <c r="K2926" t="b">
        <v>1</v>
      </c>
      <c r="N2926" s="25" t="s">
        <v>593</v>
      </c>
      <c r="O2926" s="2">
        <f>INDEX(Маршруты,MATCH(N2926,$B$3:$B$498,0),1)</f>
        <v>124</v>
      </c>
      <c r="P2926" s="27">
        <v>34</v>
      </c>
      <c r="Q2926" s="2">
        <f>INDEX(Остановки,MATCH(R2926,ИД_Остановки!$B$3:$B$467,0),1)</f>
        <v>248</v>
      </c>
      <c r="R2926" s="45" t="s">
        <v>617</v>
      </c>
      <c r="S2926" s="20">
        <v>0.77</v>
      </c>
    </row>
    <row r="2927" spans="8:19" x14ac:dyDescent="0.25">
      <c r="H2927">
        <v>19</v>
      </c>
      <c r="I2927">
        <v>72</v>
      </c>
      <c r="J2927">
        <v>110</v>
      </c>
      <c r="K2927" t="b">
        <v>1</v>
      </c>
      <c r="N2927" s="30" t="s">
        <v>593</v>
      </c>
      <c r="O2927" s="2">
        <f>INDEX(Маршруты,MATCH(N2927,$B$3:$B$498,0),1)</f>
        <v>124</v>
      </c>
      <c r="P2927" s="27">
        <v>35</v>
      </c>
      <c r="Q2927" s="2">
        <f>INDEX(Остановки,MATCH(R2927,ИД_Остановки!$B$3:$B$467,0),1)</f>
        <v>294</v>
      </c>
      <c r="R2927" s="45" t="s">
        <v>389</v>
      </c>
      <c r="S2927" s="20">
        <v>0.61</v>
      </c>
    </row>
    <row r="2928" spans="8:19" x14ac:dyDescent="0.25">
      <c r="H2928">
        <v>19</v>
      </c>
      <c r="I2928">
        <v>81</v>
      </c>
      <c r="J2928">
        <v>110</v>
      </c>
      <c r="K2928" t="b">
        <v>1</v>
      </c>
      <c r="N2928" s="25" t="s">
        <v>593</v>
      </c>
      <c r="O2928" s="2">
        <f>INDEX(Маршруты,MATCH(N2928,$B$3:$B$498,0),1)</f>
        <v>124</v>
      </c>
      <c r="P2928" s="27">
        <v>36</v>
      </c>
      <c r="Q2928" s="2">
        <f>INDEX(Остановки,MATCH(R2928,ИД_Остановки!$B$3:$B$467,0),1)</f>
        <v>292</v>
      </c>
      <c r="R2928" s="45" t="s">
        <v>162</v>
      </c>
      <c r="S2928" s="20">
        <v>0.43</v>
      </c>
    </row>
    <row r="2929" spans="8:19" x14ac:dyDescent="0.25">
      <c r="H2929">
        <v>19</v>
      </c>
      <c r="I2929">
        <v>90</v>
      </c>
      <c r="J2929">
        <v>110</v>
      </c>
      <c r="K2929" t="b">
        <v>1</v>
      </c>
      <c r="N2929" s="30" t="s">
        <v>593</v>
      </c>
      <c r="O2929" s="2">
        <f>INDEX(Маршруты,MATCH(N2929,$B$3:$B$498,0),1)</f>
        <v>124</v>
      </c>
      <c r="P2929" s="27">
        <v>37</v>
      </c>
      <c r="Q2929" s="2">
        <f>INDEX(Остановки,MATCH(R2929,ИД_Остановки!$B$3:$B$467,0),1)</f>
        <v>293</v>
      </c>
      <c r="R2929" s="45" t="s">
        <v>163</v>
      </c>
      <c r="S2929" s="20">
        <v>0.49</v>
      </c>
    </row>
    <row r="2930" spans="8:19" x14ac:dyDescent="0.25">
      <c r="H2930">
        <v>19</v>
      </c>
      <c r="I2930">
        <v>99</v>
      </c>
      <c r="J2930">
        <v>110</v>
      </c>
      <c r="K2930" t="b">
        <v>1</v>
      </c>
      <c r="N2930" s="25" t="s">
        <v>593</v>
      </c>
      <c r="O2930" s="2">
        <f>INDEX(Маршруты,MATCH(N2930,$B$3:$B$498,0),1)</f>
        <v>124</v>
      </c>
      <c r="P2930" s="27">
        <v>38</v>
      </c>
      <c r="Q2930" s="2">
        <f>INDEX(Остановки,MATCH(R2930,ИД_Остановки!$B$3:$B$467,0),1)</f>
        <v>221</v>
      </c>
      <c r="R2930" s="45" t="s">
        <v>353</v>
      </c>
      <c r="S2930" s="20">
        <v>0.95</v>
      </c>
    </row>
    <row r="2931" spans="8:19" x14ac:dyDescent="0.25">
      <c r="H2931">
        <v>19</v>
      </c>
      <c r="I2931">
        <v>108</v>
      </c>
      <c r="J2931">
        <v>110</v>
      </c>
      <c r="K2931" t="b">
        <v>1</v>
      </c>
      <c r="N2931" s="26" t="s">
        <v>593</v>
      </c>
      <c r="O2931" s="2">
        <f>INDEX(Маршруты,MATCH(N2931,$B$3:$B$498,0),1)</f>
        <v>124</v>
      </c>
      <c r="P2931" s="27">
        <v>39</v>
      </c>
      <c r="Q2931" s="2">
        <f>INDEX(Остановки,MATCH(R2931,ИД_Остановки!$B$3:$B$467,0),1)</f>
        <v>168</v>
      </c>
      <c r="R2931" s="45" t="s">
        <v>105</v>
      </c>
      <c r="S2931" s="20">
        <v>0.97</v>
      </c>
    </row>
    <row r="2932" spans="8:19" x14ac:dyDescent="0.25">
      <c r="H2932">
        <v>19</v>
      </c>
      <c r="I2932">
        <v>117</v>
      </c>
      <c r="J2932">
        <v>110</v>
      </c>
      <c r="K2932" t="b">
        <v>1</v>
      </c>
      <c r="N2932" s="30" t="s">
        <v>593</v>
      </c>
      <c r="O2932" s="2">
        <f>INDEX(Маршруты,MATCH(N2932,$B$3:$B$498,0),1)</f>
        <v>124</v>
      </c>
      <c r="P2932" s="27">
        <v>40</v>
      </c>
      <c r="Q2932" s="2">
        <f>INDEX(Остановки,MATCH(R2932,ИД_Остановки!$B$3:$B$467,0),1)</f>
        <v>169</v>
      </c>
      <c r="R2932" s="45" t="s">
        <v>106</v>
      </c>
      <c r="S2932" s="20">
        <v>0.63</v>
      </c>
    </row>
    <row r="2933" spans="8:19" x14ac:dyDescent="0.25">
      <c r="H2933">
        <v>19</v>
      </c>
      <c r="I2933">
        <v>126</v>
      </c>
      <c r="J2933">
        <v>110</v>
      </c>
      <c r="K2933" t="b">
        <v>1</v>
      </c>
      <c r="N2933" s="25" t="s">
        <v>593</v>
      </c>
      <c r="O2933" s="2">
        <f>INDEX(Маршруты,MATCH(N2933,$B$3:$B$498,0),1)</f>
        <v>124</v>
      </c>
      <c r="P2933" s="27">
        <v>41</v>
      </c>
      <c r="Q2933" s="2">
        <f>INDEX(Остановки,MATCH(R2933,ИД_Остановки!$B$3:$B$467,0),1)</f>
        <v>170</v>
      </c>
      <c r="R2933" s="45" t="s">
        <v>107</v>
      </c>
      <c r="S2933" s="20">
        <v>1.84</v>
      </c>
    </row>
    <row r="2934" spans="8:19" x14ac:dyDescent="0.25">
      <c r="H2934">
        <v>19</v>
      </c>
      <c r="I2934">
        <v>135</v>
      </c>
      <c r="J2934">
        <v>110</v>
      </c>
      <c r="K2934" t="b">
        <v>1</v>
      </c>
      <c r="N2934" s="30" t="s">
        <v>593</v>
      </c>
      <c r="O2934" s="2">
        <f>INDEX(Маршруты,MATCH(N2934,$B$3:$B$498,0),1)</f>
        <v>124</v>
      </c>
      <c r="P2934" s="27">
        <v>42</v>
      </c>
      <c r="Q2934" s="2">
        <f>INDEX(Остановки,MATCH(R2934,ИД_Остановки!$B$3:$B$467,0),1)</f>
        <v>171</v>
      </c>
      <c r="R2934" s="45" t="s">
        <v>108</v>
      </c>
      <c r="S2934" s="20">
        <v>0.68</v>
      </c>
    </row>
    <row r="2935" spans="8:19" x14ac:dyDescent="0.25">
      <c r="H2935">
        <v>19</v>
      </c>
      <c r="I2935">
        <v>144</v>
      </c>
      <c r="J2935">
        <v>110</v>
      </c>
      <c r="K2935" t="b">
        <v>1</v>
      </c>
      <c r="N2935" s="25" t="s">
        <v>593</v>
      </c>
      <c r="O2935" s="2">
        <f>INDEX(Маршруты,MATCH(N2935,$B$3:$B$498,0),1)</f>
        <v>124</v>
      </c>
      <c r="P2935" s="27">
        <v>43</v>
      </c>
      <c r="Q2935" s="2">
        <f>INDEX(Остановки,MATCH(R2935,ИД_Остановки!$B$3:$B$467,0),1)</f>
        <v>172</v>
      </c>
      <c r="R2935" s="24" t="s">
        <v>109</v>
      </c>
      <c r="S2935" s="20">
        <v>0.75</v>
      </c>
    </row>
    <row r="2936" spans="8:19" x14ac:dyDescent="0.25">
      <c r="H2936">
        <v>19</v>
      </c>
      <c r="I2936">
        <v>153</v>
      </c>
      <c r="J2936">
        <v>110</v>
      </c>
      <c r="K2936" t="b">
        <v>1</v>
      </c>
      <c r="N2936" s="30" t="s">
        <v>593</v>
      </c>
      <c r="O2936" s="2">
        <f>INDEX(Маршруты,MATCH(N2936,$B$3:$B$498,0),1)</f>
        <v>124</v>
      </c>
      <c r="P2936" s="27">
        <v>44</v>
      </c>
      <c r="Q2936" s="2">
        <f>INDEX(Остановки,MATCH(R2936,ИД_Остановки!$B$3:$B$467,0),1)</f>
        <v>173</v>
      </c>
      <c r="R2936" s="45" t="s">
        <v>325</v>
      </c>
      <c r="S2936" s="20">
        <v>0.79</v>
      </c>
    </row>
    <row r="2937" spans="8:19" x14ac:dyDescent="0.25">
      <c r="H2937">
        <v>19</v>
      </c>
      <c r="I2937">
        <v>162</v>
      </c>
      <c r="J2937">
        <v>110</v>
      </c>
      <c r="K2937" t="b">
        <v>1</v>
      </c>
      <c r="N2937" s="25" t="s">
        <v>593</v>
      </c>
      <c r="O2937" s="2">
        <f>INDEX(Маршруты,MATCH(N2937,$B$3:$B$498,0),1)</f>
        <v>124</v>
      </c>
      <c r="P2937" s="27">
        <v>45</v>
      </c>
      <c r="Q2937" s="2">
        <f>INDEX(Остановки,MATCH(R2937,ИД_Остановки!$B$3:$B$467,0),1)</f>
        <v>174</v>
      </c>
      <c r="R2937" s="45" t="s">
        <v>326</v>
      </c>
      <c r="S2937" s="20">
        <v>0.79</v>
      </c>
    </row>
    <row r="2938" spans="8:19" x14ac:dyDescent="0.25">
      <c r="H2938">
        <v>19</v>
      </c>
      <c r="I2938">
        <v>171</v>
      </c>
      <c r="J2938">
        <v>110</v>
      </c>
      <c r="K2938" t="b">
        <v>1</v>
      </c>
      <c r="N2938" s="25" t="s">
        <v>593</v>
      </c>
      <c r="O2938" s="2">
        <f>INDEX(Маршруты,MATCH(N2938,$B$3:$B$498,0),1)</f>
        <v>124</v>
      </c>
      <c r="P2938" s="27">
        <v>46</v>
      </c>
      <c r="Q2938" s="2">
        <f>INDEX(Остановки,MATCH(R2938,ИД_Остановки!$B$3:$B$467,0),1)</f>
        <v>175</v>
      </c>
      <c r="R2938" s="45" t="s">
        <v>327</v>
      </c>
      <c r="S2938" s="20">
        <v>0.89</v>
      </c>
    </row>
    <row r="2939" spans="8:19" x14ac:dyDescent="0.25">
      <c r="H2939">
        <v>19</v>
      </c>
      <c r="I2939">
        <v>180</v>
      </c>
      <c r="J2939">
        <v>110</v>
      </c>
      <c r="K2939" t="b">
        <v>1</v>
      </c>
      <c r="N2939" s="25" t="s">
        <v>593</v>
      </c>
      <c r="O2939" s="2">
        <f>INDEX(Маршруты,MATCH(N2939,$B$3:$B$498,0),1)</f>
        <v>124</v>
      </c>
      <c r="P2939" s="27">
        <v>47</v>
      </c>
      <c r="Q2939" s="2">
        <f>INDEX(Остановки,MATCH(R2939,ИД_Остановки!$B$3:$B$467,0),1)</f>
        <v>53</v>
      </c>
      <c r="R2939" s="45" t="s">
        <v>44</v>
      </c>
      <c r="S2939" s="20">
        <v>1.44</v>
      </c>
    </row>
    <row r="2940" spans="8:19" x14ac:dyDescent="0.25">
      <c r="H2940">
        <v>19</v>
      </c>
      <c r="I2940">
        <v>189</v>
      </c>
      <c r="J2940">
        <v>110</v>
      </c>
      <c r="K2940" t="b">
        <v>1</v>
      </c>
      <c r="N2940" s="25" t="s">
        <v>593</v>
      </c>
      <c r="O2940" s="2">
        <f>INDEX(Маршруты,MATCH(N2940,$B$3:$B$498,0),1)</f>
        <v>124</v>
      </c>
      <c r="P2940" s="27">
        <v>48</v>
      </c>
      <c r="Q2940" s="2">
        <f>INDEX(Остановки,MATCH(R2940,ИД_Остановки!$B$3:$B$467,0),1)</f>
        <v>176</v>
      </c>
      <c r="R2940" s="45" t="s">
        <v>111</v>
      </c>
      <c r="S2940" s="20">
        <v>0.64</v>
      </c>
    </row>
    <row r="2941" spans="8:19" x14ac:dyDescent="0.25">
      <c r="H2941">
        <v>19</v>
      </c>
      <c r="I2941">
        <v>198</v>
      </c>
      <c r="J2941">
        <v>110</v>
      </c>
      <c r="K2941" t="b">
        <v>1</v>
      </c>
      <c r="N2941" s="25" t="s">
        <v>593</v>
      </c>
      <c r="O2941" s="2">
        <f>INDEX(Маршруты,MATCH(N2941,$B$3:$B$498,0),1)</f>
        <v>124</v>
      </c>
      <c r="P2941" s="27">
        <v>49</v>
      </c>
      <c r="Q2941" s="2">
        <f>INDEX(Остановки,MATCH(R2941,ИД_Остановки!$B$3:$B$467,0),1)</f>
        <v>54</v>
      </c>
      <c r="R2941" s="45" t="s">
        <v>45</v>
      </c>
      <c r="S2941" s="20">
        <v>0.65</v>
      </c>
    </row>
    <row r="2942" spans="8:19" x14ac:dyDescent="0.25">
      <c r="H2942">
        <v>19</v>
      </c>
      <c r="I2942">
        <v>207</v>
      </c>
      <c r="J2942">
        <v>110</v>
      </c>
      <c r="K2942" t="b">
        <v>1</v>
      </c>
      <c r="N2942" s="25" t="s">
        <v>593</v>
      </c>
      <c r="O2942" s="2">
        <f>INDEX(Маршруты,MATCH(N2942,$B$3:$B$498,0),1)</f>
        <v>124</v>
      </c>
      <c r="P2942" s="27">
        <v>50</v>
      </c>
      <c r="Q2942" s="2">
        <f>INDEX(Остановки,MATCH(R2942,ИД_Остановки!$B$3:$B$467,0),1)</f>
        <v>55</v>
      </c>
      <c r="R2942" s="45" t="s">
        <v>263</v>
      </c>
      <c r="S2942" s="20">
        <v>0.37</v>
      </c>
    </row>
    <row r="2943" spans="8:19" x14ac:dyDescent="0.25">
      <c r="H2943">
        <v>19</v>
      </c>
      <c r="I2943">
        <v>216</v>
      </c>
      <c r="J2943">
        <v>110</v>
      </c>
      <c r="K2943" t="b">
        <v>1</v>
      </c>
      <c r="N2943" s="30" t="s">
        <v>593</v>
      </c>
      <c r="O2943" s="2">
        <f>INDEX(Маршруты,MATCH(N2943,$B$3:$B$498,0),1)</f>
        <v>124</v>
      </c>
      <c r="P2943" s="27">
        <v>51</v>
      </c>
      <c r="Q2943" s="2">
        <f>INDEX(Остановки,MATCH(R2943,ИД_Остановки!$B$3:$B$467,0),1)</f>
        <v>56</v>
      </c>
      <c r="R2943" s="45" t="s">
        <v>264</v>
      </c>
      <c r="S2943" s="20">
        <v>0.86</v>
      </c>
    </row>
    <row r="2944" spans="8:19" x14ac:dyDescent="0.25">
      <c r="H2944">
        <v>19</v>
      </c>
      <c r="I2944">
        <v>225</v>
      </c>
      <c r="J2944">
        <v>110</v>
      </c>
      <c r="K2944" t="b">
        <v>1</v>
      </c>
      <c r="N2944" s="26" t="s">
        <v>593</v>
      </c>
      <c r="O2944" s="2">
        <f>INDEX(Маршруты,MATCH(N2944,$B$3:$B$498,0),1)</f>
        <v>124</v>
      </c>
      <c r="P2944" s="27">
        <v>52</v>
      </c>
      <c r="Q2944" s="2">
        <f>INDEX(Остановки,MATCH(R2944,ИД_Остановки!$B$3:$B$467,0),1)</f>
        <v>57</v>
      </c>
      <c r="R2944" s="45" t="s">
        <v>47</v>
      </c>
      <c r="S2944" s="20">
        <v>0.48</v>
      </c>
    </row>
    <row r="2945" spans="8:19" x14ac:dyDescent="0.25">
      <c r="H2945">
        <v>19</v>
      </c>
      <c r="I2945">
        <v>234</v>
      </c>
      <c r="J2945">
        <v>110</v>
      </c>
      <c r="K2945" t="b">
        <v>1</v>
      </c>
      <c r="N2945" s="30" t="s">
        <v>593</v>
      </c>
      <c r="O2945" s="2">
        <f>INDEX(Маршруты,MATCH(N2945,$B$3:$B$498,0),1)</f>
        <v>124</v>
      </c>
      <c r="P2945" s="27">
        <v>53</v>
      </c>
      <c r="Q2945" s="2">
        <f>INDEX(Остановки,MATCH(R2945,ИД_Остановки!$B$3:$B$467,0),1)</f>
        <v>116</v>
      </c>
      <c r="R2945" s="45" t="s">
        <v>75</v>
      </c>
      <c r="S2945" s="20">
        <v>0.83</v>
      </c>
    </row>
    <row r="2946" spans="8:19" x14ac:dyDescent="0.25">
      <c r="H2946">
        <v>19</v>
      </c>
      <c r="I2946">
        <v>243</v>
      </c>
      <c r="J2946">
        <v>110</v>
      </c>
      <c r="K2946" t="b">
        <v>1</v>
      </c>
      <c r="N2946" s="25" t="s">
        <v>593</v>
      </c>
      <c r="O2946" s="2">
        <f>INDEX(Маршруты,MATCH(N2946,$B$3:$B$498,0),1)</f>
        <v>124</v>
      </c>
      <c r="P2946" s="27">
        <v>54</v>
      </c>
      <c r="Q2946" s="2">
        <f>INDEX(Остановки,MATCH(R2946,ИД_Остановки!$B$3:$B$467,0),1)</f>
        <v>59</v>
      </c>
      <c r="R2946" s="45" t="s">
        <v>48</v>
      </c>
      <c r="S2946" s="20">
        <v>0.3</v>
      </c>
    </row>
    <row r="2947" spans="8:19" x14ac:dyDescent="0.25">
      <c r="H2947">
        <v>19</v>
      </c>
      <c r="I2947">
        <v>252</v>
      </c>
      <c r="J2947">
        <v>110</v>
      </c>
      <c r="K2947" t="b">
        <v>1</v>
      </c>
      <c r="N2947" s="26" t="s">
        <v>623</v>
      </c>
      <c r="O2947" s="2">
        <f>INDEX(Маршруты,MATCH(N2947,$B$3:$B$498,0),1)</f>
        <v>125</v>
      </c>
      <c r="P2947" s="27">
        <v>1</v>
      </c>
      <c r="Q2947" s="2">
        <f>INDEX(Остановки,MATCH(R2947,ИД_Остановки!$B$3:$B$467,0),1)</f>
        <v>69</v>
      </c>
      <c r="R2947" s="45" t="s">
        <v>269</v>
      </c>
      <c r="S2947" s="20"/>
    </row>
    <row r="2948" spans="8:19" x14ac:dyDescent="0.25">
      <c r="H2948">
        <v>19</v>
      </c>
      <c r="I2948">
        <v>261</v>
      </c>
      <c r="J2948">
        <v>110</v>
      </c>
      <c r="K2948" t="b">
        <v>1</v>
      </c>
      <c r="N2948" s="30" t="s">
        <v>623</v>
      </c>
      <c r="O2948" s="2">
        <f>INDEX(Маршруты,MATCH(N2948,$B$3:$B$498,0),1)</f>
        <v>125</v>
      </c>
      <c r="P2948" s="27">
        <v>2</v>
      </c>
      <c r="Q2948" s="2">
        <f>INDEX(Остановки,MATCH(R2948,ИД_Остановки!$B$3:$B$467,0),1)</f>
        <v>68</v>
      </c>
      <c r="R2948" s="45" t="s">
        <v>55</v>
      </c>
      <c r="S2948" s="20">
        <v>0.64</v>
      </c>
    </row>
    <row r="2949" spans="8:19" x14ac:dyDescent="0.25">
      <c r="H2949">
        <v>19</v>
      </c>
      <c r="I2949">
        <v>270</v>
      </c>
      <c r="J2949">
        <v>110</v>
      </c>
      <c r="K2949" t="b">
        <v>1</v>
      </c>
      <c r="N2949" s="30" t="s">
        <v>623</v>
      </c>
      <c r="O2949" s="2">
        <f>INDEX(Маршруты,MATCH(N2949,$B$3:$B$498,0),1)</f>
        <v>125</v>
      </c>
      <c r="P2949" s="27">
        <v>3</v>
      </c>
      <c r="Q2949" s="2">
        <f>INDEX(Остановки,MATCH(R2949,ИД_Остановки!$B$3:$B$467,0),1)</f>
        <v>67</v>
      </c>
      <c r="R2949" s="45" t="s">
        <v>54</v>
      </c>
      <c r="S2949" s="20">
        <v>0.93</v>
      </c>
    </row>
    <row r="2950" spans="8:19" x14ac:dyDescent="0.25">
      <c r="H2950">
        <v>19</v>
      </c>
      <c r="I2950">
        <v>279</v>
      </c>
      <c r="J2950">
        <v>110</v>
      </c>
      <c r="K2950" t="b">
        <v>1</v>
      </c>
      <c r="N2950" s="26" t="s">
        <v>623</v>
      </c>
      <c r="O2950" s="2">
        <f>INDEX(Маршруты,MATCH(N2950,$B$3:$B$498,0),1)</f>
        <v>125</v>
      </c>
      <c r="P2950" s="27">
        <v>4</v>
      </c>
      <c r="Q2950" s="2">
        <f>INDEX(Остановки,MATCH(R2950,ИД_Остановки!$B$3:$B$467,0),1)</f>
        <v>65</v>
      </c>
      <c r="R2950" s="45" t="s">
        <v>52</v>
      </c>
      <c r="S2950" s="20">
        <v>0.73</v>
      </c>
    </row>
    <row r="2951" spans="8:19" x14ac:dyDescent="0.25">
      <c r="H2951">
        <v>19</v>
      </c>
      <c r="I2951">
        <v>288</v>
      </c>
      <c r="J2951">
        <v>110</v>
      </c>
      <c r="K2951" t="b">
        <v>1</v>
      </c>
      <c r="N2951" s="25" t="s">
        <v>623</v>
      </c>
      <c r="O2951" s="2">
        <f>INDEX(Маршруты,MATCH(N2951,$B$3:$B$498,0),1)</f>
        <v>125</v>
      </c>
      <c r="P2951" s="28">
        <v>5</v>
      </c>
      <c r="Q2951" s="2">
        <f>INDEX(Остановки,MATCH(R2951,ИД_Остановки!$B$3:$B$467,0),1)</f>
        <v>64</v>
      </c>
      <c r="R2951" s="24" t="s">
        <v>50</v>
      </c>
      <c r="S2951" s="20">
        <v>0.77</v>
      </c>
    </row>
    <row r="2952" spans="8:19" x14ac:dyDescent="0.25">
      <c r="H2952">
        <v>19</v>
      </c>
      <c r="I2952">
        <v>297</v>
      </c>
      <c r="J2952">
        <v>110</v>
      </c>
      <c r="K2952" t="b">
        <v>1</v>
      </c>
      <c r="N2952" s="30" t="s">
        <v>623</v>
      </c>
      <c r="O2952" s="2">
        <f>INDEX(Маршруты,MATCH(N2952,$B$3:$B$498,0),1)</f>
        <v>125</v>
      </c>
      <c r="P2952" s="27">
        <v>6</v>
      </c>
      <c r="Q2952" s="2">
        <f>INDEX(Остановки,MATCH(R2952,ИД_Остановки!$B$3:$B$467,0),1)</f>
        <v>63</v>
      </c>
      <c r="R2952" s="45" t="s">
        <v>268</v>
      </c>
      <c r="S2952" s="20">
        <v>0.5</v>
      </c>
    </row>
    <row r="2953" spans="8:19" x14ac:dyDescent="0.25">
      <c r="H2953">
        <v>19</v>
      </c>
      <c r="I2953">
        <v>306</v>
      </c>
      <c r="J2953">
        <v>110</v>
      </c>
      <c r="K2953" t="b">
        <v>1</v>
      </c>
      <c r="N2953" s="30" t="s">
        <v>623</v>
      </c>
      <c r="O2953" s="2">
        <f>INDEX(Маршруты,MATCH(N2953,$B$3:$B$498,0),1)</f>
        <v>125</v>
      </c>
      <c r="P2953" s="27">
        <v>7</v>
      </c>
      <c r="Q2953" s="2">
        <f>INDEX(Остановки,MATCH(R2953,ИД_Остановки!$B$3:$B$467,0),1)</f>
        <v>62</v>
      </c>
      <c r="R2953" s="45" t="s">
        <v>49</v>
      </c>
      <c r="S2953" s="20">
        <v>0.56999999999999995</v>
      </c>
    </row>
    <row r="2954" spans="8:19" x14ac:dyDescent="0.25">
      <c r="H2954">
        <v>19</v>
      </c>
      <c r="I2954">
        <v>315</v>
      </c>
      <c r="J2954">
        <v>110</v>
      </c>
      <c r="K2954" t="b">
        <v>1</v>
      </c>
      <c r="N2954" s="30" t="s">
        <v>623</v>
      </c>
      <c r="O2954" s="2">
        <f>INDEX(Маршруты,MATCH(N2954,$B$3:$B$498,0),1)</f>
        <v>125</v>
      </c>
      <c r="P2954" s="27">
        <v>8</v>
      </c>
      <c r="Q2954" s="2">
        <f>INDEX(Остановки,MATCH(R2954,ИД_Остановки!$B$3:$B$467,0),1)</f>
        <v>61</v>
      </c>
      <c r="R2954" s="45" t="s">
        <v>267</v>
      </c>
      <c r="S2954" s="20">
        <v>0.49</v>
      </c>
    </row>
    <row r="2955" spans="8:19" x14ac:dyDescent="0.25">
      <c r="H2955">
        <v>19</v>
      </c>
      <c r="I2955">
        <v>324</v>
      </c>
      <c r="J2955">
        <v>110</v>
      </c>
      <c r="K2955" t="b">
        <v>1</v>
      </c>
      <c r="N2955" s="30" t="s">
        <v>623</v>
      </c>
      <c r="O2955" s="2">
        <f>INDEX(Маршруты,MATCH(N2955,$B$3:$B$498,0),1)</f>
        <v>125</v>
      </c>
      <c r="P2955" s="27">
        <v>9</v>
      </c>
      <c r="Q2955" s="2">
        <f>INDEX(Остановки,MATCH(R2955,ИД_Остановки!$B$3:$B$467,0),1)</f>
        <v>60</v>
      </c>
      <c r="R2955" s="45" t="s">
        <v>266</v>
      </c>
      <c r="S2955" s="20">
        <v>0.42</v>
      </c>
    </row>
    <row r="2956" spans="8:19" x14ac:dyDescent="0.25">
      <c r="H2956">
        <v>19</v>
      </c>
      <c r="I2956">
        <v>333</v>
      </c>
      <c r="J2956">
        <v>110</v>
      </c>
      <c r="K2956" t="b">
        <v>1</v>
      </c>
      <c r="N2956" s="30" t="s">
        <v>623</v>
      </c>
      <c r="O2956" s="2">
        <f>INDEX(Маршруты,MATCH(N2956,$B$3:$B$498,0),1)</f>
        <v>125</v>
      </c>
      <c r="P2956" s="27">
        <v>10</v>
      </c>
      <c r="Q2956" s="2">
        <f>INDEX(Остановки,MATCH(R2956,ИД_Остановки!$B$3:$B$467,0),1)</f>
        <v>59</v>
      </c>
      <c r="R2956" s="45" t="s">
        <v>48</v>
      </c>
      <c r="S2956" s="20">
        <v>0.56999999999999995</v>
      </c>
    </row>
    <row r="2957" spans="8:19" x14ac:dyDescent="0.25">
      <c r="H2957">
        <v>19</v>
      </c>
      <c r="I2957">
        <v>342</v>
      </c>
      <c r="J2957">
        <v>110</v>
      </c>
      <c r="K2957" t="b">
        <v>1</v>
      </c>
      <c r="N2957" s="26" t="s">
        <v>623</v>
      </c>
      <c r="O2957" s="2">
        <f>INDEX(Маршруты,MATCH(N2957,$B$3:$B$498,0),1)</f>
        <v>125</v>
      </c>
      <c r="P2957" s="27">
        <v>11</v>
      </c>
      <c r="Q2957" s="2">
        <f>INDEX(Остановки,MATCH(R2957,ИД_Остановки!$B$3:$B$467,0),1)</f>
        <v>116</v>
      </c>
      <c r="R2957" s="45" t="s">
        <v>75</v>
      </c>
      <c r="S2957" s="20">
        <v>0.3</v>
      </c>
    </row>
    <row r="2958" spans="8:19" x14ac:dyDescent="0.25">
      <c r="H2958">
        <v>19</v>
      </c>
      <c r="I2958">
        <v>351</v>
      </c>
      <c r="J2958">
        <v>110</v>
      </c>
      <c r="K2958" t="b">
        <v>1</v>
      </c>
      <c r="N2958" s="25" t="s">
        <v>623</v>
      </c>
      <c r="O2958" s="2">
        <f>INDEX(Маршруты,MATCH(N2958,$B$3:$B$498,0),1)</f>
        <v>125</v>
      </c>
      <c r="P2958" s="27">
        <v>12</v>
      </c>
      <c r="Q2958" s="2">
        <f>INDEX(Остановки,MATCH(R2958,ИД_Остановки!$B$3:$B$467,0),1)</f>
        <v>57</v>
      </c>
      <c r="R2958" s="45" t="s">
        <v>47</v>
      </c>
      <c r="S2958" s="20">
        <v>0.83</v>
      </c>
    </row>
    <row r="2959" spans="8:19" x14ac:dyDescent="0.25">
      <c r="H2959">
        <v>19</v>
      </c>
      <c r="I2959">
        <v>360</v>
      </c>
      <c r="J2959">
        <v>110</v>
      </c>
      <c r="K2959" t="b">
        <v>1</v>
      </c>
      <c r="N2959" s="30" t="s">
        <v>623</v>
      </c>
      <c r="O2959" s="2">
        <f>INDEX(Маршруты,MATCH(N2959,$B$3:$B$498,0),1)</f>
        <v>125</v>
      </c>
      <c r="P2959" s="27">
        <v>13</v>
      </c>
      <c r="Q2959" s="2">
        <f>INDEX(Остановки,MATCH(R2959,ИД_Остановки!$B$3:$B$467,0),1)</f>
        <v>56</v>
      </c>
      <c r="R2959" s="45" t="s">
        <v>264</v>
      </c>
      <c r="S2959" s="20">
        <v>0.48</v>
      </c>
    </row>
    <row r="2960" spans="8:19" x14ac:dyDescent="0.25">
      <c r="H2960">
        <v>19</v>
      </c>
      <c r="I2960">
        <v>369</v>
      </c>
      <c r="J2960">
        <v>110</v>
      </c>
      <c r="K2960" t="b">
        <v>1</v>
      </c>
      <c r="N2960" s="26" t="s">
        <v>623</v>
      </c>
      <c r="O2960" s="2">
        <f>INDEX(Маршруты,MATCH(N2960,$B$3:$B$498,0),1)</f>
        <v>125</v>
      </c>
      <c r="P2960" s="27">
        <v>14</v>
      </c>
      <c r="Q2960" s="2">
        <f>INDEX(Остановки,MATCH(R2960,ИД_Остановки!$B$3:$B$467,0),1)</f>
        <v>55</v>
      </c>
      <c r="R2960" s="45" t="s">
        <v>263</v>
      </c>
      <c r="S2960" s="20">
        <v>0.86</v>
      </c>
    </row>
    <row r="2961" spans="8:19" x14ac:dyDescent="0.25">
      <c r="H2961">
        <v>19</v>
      </c>
      <c r="I2961">
        <v>378</v>
      </c>
      <c r="J2961">
        <v>110</v>
      </c>
      <c r="K2961" t="b">
        <v>1</v>
      </c>
      <c r="N2961" s="30" t="s">
        <v>623</v>
      </c>
      <c r="O2961" s="2">
        <f>INDEX(Маршруты,MATCH(N2961,$B$3:$B$498,0),1)</f>
        <v>125</v>
      </c>
      <c r="P2961" s="27">
        <v>15</v>
      </c>
      <c r="Q2961" s="2">
        <f>INDEX(Остановки,MATCH(R2961,ИД_Остановки!$B$3:$B$467,0),1)</f>
        <v>54</v>
      </c>
      <c r="R2961" s="45" t="s">
        <v>45</v>
      </c>
      <c r="S2961" s="20">
        <v>0.37</v>
      </c>
    </row>
    <row r="2962" spans="8:19" x14ac:dyDescent="0.25">
      <c r="H2962">
        <v>19</v>
      </c>
      <c r="I2962">
        <v>387</v>
      </c>
      <c r="J2962">
        <v>110</v>
      </c>
      <c r="K2962" t="b">
        <v>1</v>
      </c>
      <c r="N2962" s="25" t="s">
        <v>623</v>
      </c>
      <c r="O2962" s="2">
        <f>INDEX(Маршруты,MATCH(N2962,$B$3:$B$498,0),1)</f>
        <v>125</v>
      </c>
      <c r="P2962" s="28">
        <v>16</v>
      </c>
      <c r="Q2962" s="2">
        <f>INDEX(Остановки,MATCH(R2962,ИД_Остановки!$B$3:$B$467,0),1)</f>
        <v>176</v>
      </c>
      <c r="R2962" s="24" t="s">
        <v>111</v>
      </c>
      <c r="S2962" s="20">
        <v>0.65</v>
      </c>
    </row>
    <row r="2963" spans="8:19" x14ac:dyDescent="0.25">
      <c r="H2963">
        <v>19</v>
      </c>
      <c r="I2963">
        <v>396</v>
      </c>
      <c r="J2963">
        <v>110</v>
      </c>
      <c r="K2963" t="b">
        <v>1</v>
      </c>
      <c r="N2963" s="25" t="s">
        <v>623</v>
      </c>
      <c r="O2963" s="2">
        <f>INDEX(Маршруты,MATCH(N2963,$B$3:$B$498,0),1)</f>
        <v>125</v>
      </c>
      <c r="P2963" s="28">
        <v>17</v>
      </c>
      <c r="Q2963" s="2">
        <f>INDEX(Остановки,MATCH(R2963,ИД_Остановки!$B$3:$B$467,0),1)</f>
        <v>53</v>
      </c>
      <c r="R2963" s="24" t="s">
        <v>44</v>
      </c>
      <c r="S2963" s="21">
        <v>0.64</v>
      </c>
    </row>
    <row r="2964" spans="8:19" x14ac:dyDescent="0.25">
      <c r="H2964">
        <v>19</v>
      </c>
      <c r="I2964">
        <v>405</v>
      </c>
      <c r="J2964">
        <v>110</v>
      </c>
      <c r="K2964" t="b">
        <v>1</v>
      </c>
      <c r="N2964" s="25" t="s">
        <v>623</v>
      </c>
      <c r="O2964" s="2">
        <f>INDEX(Маршруты,MATCH(N2964,$B$3:$B$498,0),1)</f>
        <v>125</v>
      </c>
      <c r="P2964" s="27">
        <v>18</v>
      </c>
      <c r="Q2964" s="2">
        <f>INDEX(Остановки,MATCH(R2964,ИД_Остановки!$B$3:$B$467,0),1)</f>
        <v>175</v>
      </c>
      <c r="R2964" s="45" t="s">
        <v>327</v>
      </c>
      <c r="S2964" s="20">
        <v>1.44</v>
      </c>
    </row>
    <row r="2965" spans="8:19" x14ac:dyDescent="0.25">
      <c r="H2965">
        <v>19</v>
      </c>
      <c r="I2965">
        <v>414</v>
      </c>
      <c r="J2965">
        <v>110</v>
      </c>
      <c r="K2965" t="b">
        <v>1</v>
      </c>
      <c r="N2965" s="30" t="s">
        <v>623</v>
      </c>
      <c r="O2965" s="2">
        <f>INDEX(Маршруты,MATCH(N2965,$B$3:$B$498,0),1)</f>
        <v>125</v>
      </c>
      <c r="P2965" s="27">
        <v>19</v>
      </c>
      <c r="Q2965" s="2">
        <f>INDEX(Остановки,MATCH(R2965,ИД_Остановки!$B$3:$B$467,0),1)</f>
        <v>174</v>
      </c>
      <c r="R2965" s="45" t="s">
        <v>326</v>
      </c>
      <c r="S2965" s="20">
        <v>0.89</v>
      </c>
    </row>
    <row r="2966" spans="8:19" x14ac:dyDescent="0.25">
      <c r="H2966">
        <v>19</v>
      </c>
      <c r="I2966">
        <v>423</v>
      </c>
      <c r="J2966">
        <v>110</v>
      </c>
      <c r="K2966" t="b">
        <v>1</v>
      </c>
      <c r="N2966" s="30" t="s">
        <v>623</v>
      </c>
      <c r="O2966" s="2">
        <f>INDEX(Маршруты,MATCH(N2966,$B$3:$B$498,0),1)</f>
        <v>125</v>
      </c>
      <c r="P2966" s="27">
        <v>20</v>
      </c>
      <c r="Q2966" s="2">
        <f>INDEX(Остановки,MATCH(R2966,ИД_Остановки!$B$3:$B$467,0),1)</f>
        <v>173</v>
      </c>
      <c r="R2966" s="45" t="s">
        <v>110</v>
      </c>
      <c r="S2966" s="20">
        <v>0.79</v>
      </c>
    </row>
    <row r="2967" spans="8:19" x14ac:dyDescent="0.25">
      <c r="H2967">
        <v>19</v>
      </c>
      <c r="I2967">
        <v>432</v>
      </c>
      <c r="J2967">
        <v>110</v>
      </c>
      <c r="K2967" t="b">
        <v>1</v>
      </c>
      <c r="N2967" s="30" t="s">
        <v>623</v>
      </c>
      <c r="O2967" s="2">
        <f>INDEX(Маршруты,MATCH(N2967,$B$3:$B$498,0),1)</f>
        <v>125</v>
      </c>
      <c r="P2967" s="27">
        <v>21</v>
      </c>
      <c r="Q2967" s="2">
        <f>INDEX(Остановки,MATCH(R2967,ИД_Остановки!$B$3:$B$467,0),1)</f>
        <v>172</v>
      </c>
      <c r="R2967" s="45" t="s">
        <v>109</v>
      </c>
      <c r="S2967" s="20">
        <v>0.79</v>
      </c>
    </row>
    <row r="2968" spans="8:19" x14ac:dyDescent="0.25">
      <c r="H2968">
        <v>19</v>
      </c>
      <c r="I2968">
        <v>441</v>
      </c>
      <c r="J2968">
        <v>110</v>
      </c>
      <c r="K2968" t="b">
        <v>1</v>
      </c>
      <c r="N2968" s="30" t="s">
        <v>623</v>
      </c>
      <c r="O2968" s="2">
        <f>INDEX(Маршруты,MATCH(N2968,$B$3:$B$498,0),1)</f>
        <v>125</v>
      </c>
      <c r="P2968" s="27">
        <v>22</v>
      </c>
      <c r="Q2968" s="2">
        <f>INDEX(Остановки,MATCH(R2968,ИД_Остановки!$B$3:$B$467,0),1)</f>
        <v>171</v>
      </c>
      <c r="R2968" s="45" t="s">
        <v>108</v>
      </c>
      <c r="S2968" s="20">
        <v>0.75</v>
      </c>
    </row>
    <row r="2969" spans="8:19" x14ac:dyDescent="0.25">
      <c r="H2969">
        <v>19</v>
      </c>
      <c r="I2969">
        <v>450</v>
      </c>
      <c r="J2969">
        <v>110</v>
      </c>
      <c r="K2969" t="b">
        <v>1</v>
      </c>
      <c r="N2969" s="30" t="s">
        <v>623</v>
      </c>
      <c r="O2969" s="2">
        <f>INDEX(Маршруты,MATCH(N2969,$B$3:$B$498,0),1)</f>
        <v>125</v>
      </c>
      <c r="P2969" s="27">
        <v>23</v>
      </c>
      <c r="Q2969" s="2">
        <f>INDEX(Остановки,MATCH(R2969,ИД_Остановки!$B$3:$B$467,0),1)</f>
        <v>170</v>
      </c>
      <c r="R2969" s="45" t="s">
        <v>107</v>
      </c>
      <c r="S2969" s="20">
        <v>0.68</v>
      </c>
    </row>
    <row r="2970" spans="8:19" x14ac:dyDescent="0.25">
      <c r="H2970">
        <v>19</v>
      </c>
      <c r="I2970">
        <v>459</v>
      </c>
      <c r="J2970">
        <v>110</v>
      </c>
      <c r="K2970" t="b">
        <v>1</v>
      </c>
      <c r="N2970" s="30" t="s">
        <v>623</v>
      </c>
      <c r="O2970" s="2">
        <f>INDEX(Маршруты,MATCH(N2970,$B$3:$B$498,0),1)</f>
        <v>125</v>
      </c>
      <c r="P2970" s="27">
        <v>24</v>
      </c>
      <c r="Q2970" s="2">
        <f>INDEX(Остановки,MATCH(R2970,ИД_Остановки!$B$3:$B$467,0),1)</f>
        <v>169</v>
      </c>
      <c r="R2970" s="45" t="s">
        <v>106</v>
      </c>
      <c r="S2970" s="20">
        <v>1.84</v>
      </c>
    </row>
    <row r="2971" spans="8:19" x14ac:dyDescent="0.25">
      <c r="H2971">
        <v>19</v>
      </c>
      <c r="I2971">
        <v>468</v>
      </c>
      <c r="J2971">
        <v>110</v>
      </c>
      <c r="K2971" t="b">
        <v>1</v>
      </c>
      <c r="N2971" s="30" t="s">
        <v>623</v>
      </c>
      <c r="O2971" s="2">
        <f>INDEX(Маршруты,MATCH(N2971,$B$3:$B$498,0),1)</f>
        <v>125</v>
      </c>
      <c r="P2971" s="27">
        <v>25</v>
      </c>
      <c r="Q2971" s="2">
        <f>INDEX(Остановки,MATCH(R2971,ИД_Остановки!$B$3:$B$467,0),1)</f>
        <v>168</v>
      </c>
      <c r="R2971" s="45" t="s">
        <v>105</v>
      </c>
      <c r="S2971" s="20">
        <v>0.63</v>
      </c>
    </row>
    <row r="2972" spans="8:19" x14ac:dyDescent="0.25">
      <c r="H2972">
        <v>19</v>
      </c>
      <c r="I2972">
        <v>477</v>
      </c>
      <c r="J2972">
        <v>110</v>
      </c>
      <c r="K2972" t="b">
        <v>1</v>
      </c>
      <c r="N2972" s="30" t="s">
        <v>623</v>
      </c>
      <c r="O2972" s="2">
        <f>INDEX(Маршруты,MATCH(N2972,$B$3:$B$498,0),1)</f>
        <v>125</v>
      </c>
      <c r="P2972" s="27">
        <v>26</v>
      </c>
      <c r="Q2972" s="2">
        <f>INDEX(Остановки,MATCH(R2972,ИД_Остановки!$B$3:$B$467,0),1)</f>
        <v>221</v>
      </c>
      <c r="R2972" s="45" t="s">
        <v>353</v>
      </c>
      <c r="S2972" s="20">
        <v>0.97</v>
      </c>
    </row>
    <row r="2973" spans="8:19" x14ac:dyDescent="0.25">
      <c r="H2973">
        <v>19</v>
      </c>
      <c r="I2973">
        <v>486</v>
      </c>
      <c r="J2973">
        <v>110</v>
      </c>
      <c r="K2973" t="b">
        <v>1</v>
      </c>
      <c r="N2973" s="30" t="s">
        <v>623</v>
      </c>
      <c r="O2973" s="2">
        <f>INDEX(Маршруты,MATCH(N2973,$B$3:$B$498,0),1)</f>
        <v>125</v>
      </c>
      <c r="P2973" s="27">
        <v>27</v>
      </c>
      <c r="Q2973" s="2">
        <f>INDEX(Остановки,MATCH(R2973,ИД_Остановки!$B$3:$B$467,0),1)</f>
        <v>293</v>
      </c>
      <c r="R2973" s="45" t="s">
        <v>163</v>
      </c>
      <c r="S2973" s="20">
        <v>0.95</v>
      </c>
    </row>
    <row r="2974" spans="8:19" x14ac:dyDescent="0.25">
      <c r="H2974">
        <v>19</v>
      </c>
      <c r="I2974">
        <v>495</v>
      </c>
      <c r="J2974">
        <v>110</v>
      </c>
      <c r="K2974" t="b">
        <v>1</v>
      </c>
      <c r="N2974" s="30" t="s">
        <v>623</v>
      </c>
      <c r="O2974" s="2">
        <f>INDEX(Маршруты,MATCH(N2974,$B$3:$B$498,0),1)</f>
        <v>125</v>
      </c>
      <c r="P2974" s="27">
        <v>28</v>
      </c>
      <c r="Q2974" s="2">
        <f>INDEX(Остановки,MATCH(R2974,ИД_Остановки!$B$3:$B$467,0),1)</f>
        <v>292</v>
      </c>
      <c r="R2974" s="45" t="s">
        <v>162</v>
      </c>
      <c r="S2974" s="20">
        <v>0.49</v>
      </c>
    </row>
    <row r="2975" spans="8:19" x14ac:dyDescent="0.25">
      <c r="H2975">
        <v>19</v>
      </c>
      <c r="I2975">
        <v>504</v>
      </c>
      <c r="J2975">
        <v>110</v>
      </c>
      <c r="K2975" t="b">
        <v>1</v>
      </c>
      <c r="N2975" s="30" t="s">
        <v>623</v>
      </c>
      <c r="O2975" s="2">
        <f>INDEX(Маршруты,MATCH(N2975,$B$3:$B$498,0),1)</f>
        <v>125</v>
      </c>
      <c r="P2975" s="27">
        <v>29</v>
      </c>
      <c r="Q2975" s="2">
        <f>INDEX(Остановки,MATCH(R2975,ИД_Остановки!$B$3:$B$467,0),1)</f>
        <v>294</v>
      </c>
      <c r="R2975" s="45" t="s">
        <v>389</v>
      </c>
      <c r="S2975" s="20">
        <v>0.43</v>
      </c>
    </row>
    <row r="2976" spans="8:19" x14ac:dyDescent="0.25">
      <c r="H2976">
        <v>19</v>
      </c>
      <c r="I2976">
        <v>513</v>
      </c>
      <c r="J2976">
        <v>110</v>
      </c>
      <c r="K2976" t="b">
        <v>1</v>
      </c>
      <c r="N2976" s="30" t="s">
        <v>623</v>
      </c>
      <c r="O2976" s="2">
        <f>INDEX(Маршруты,MATCH(N2976,$B$3:$B$498,0),1)</f>
        <v>125</v>
      </c>
      <c r="P2976" s="27">
        <v>30</v>
      </c>
      <c r="Q2976" s="2">
        <f>INDEX(Остановки,MATCH(R2976,ИД_Остановки!$B$3:$B$467,0),1)</f>
        <v>248</v>
      </c>
      <c r="R2976" s="45" t="s">
        <v>617</v>
      </c>
      <c r="S2976" s="20">
        <v>0.61</v>
      </c>
    </row>
    <row r="2977" spans="8:19" x14ac:dyDescent="0.25">
      <c r="H2977">
        <v>19</v>
      </c>
      <c r="I2977">
        <v>522</v>
      </c>
      <c r="J2977">
        <v>110</v>
      </c>
      <c r="K2977" t="b">
        <v>1</v>
      </c>
      <c r="N2977" s="30" t="s">
        <v>623</v>
      </c>
      <c r="O2977" s="2">
        <f>INDEX(Маршруты,MATCH(N2977,$B$3:$B$498,0),1)</f>
        <v>125</v>
      </c>
      <c r="P2977" s="27">
        <v>31</v>
      </c>
      <c r="Q2977" s="2">
        <f>INDEX(Остановки,MATCH(R2977,ИД_Остановки!$B$3:$B$467,0),1)</f>
        <v>249</v>
      </c>
      <c r="R2977" s="45" t="s">
        <v>372</v>
      </c>
      <c r="S2977" s="20">
        <v>0.77</v>
      </c>
    </row>
    <row r="2978" spans="8:19" x14ac:dyDescent="0.25">
      <c r="H2978">
        <v>19</v>
      </c>
      <c r="I2978">
        <v>531</v>
      </c>
      <c r="J2978">
        <v>110</v>
      </c>
      <c r="K2978" t="b">
        <v>1</v>
      </c>
      <c r="N2978" s="30" t="s">
        <v>623</v>
      </c>
      <c r="O2978" s="2">
        <f>INDEX(Маршруты,MATCH(N2978,$B$3:$B$498,0),1)</f>
        <v>125</v>
      </c>
      <c r="P2978" s="27">
        <v>32</v>
      </c>
      <c r="Q2978" s="2">
        <f>INDEX(Остановки,MATCH(R2978,ИД_Остановки!$B$3:$B$467,0),1)</f>
        <v>250</v>
      </c>
      <c r="R2978" s="45" t="s">
        <v>373</v>
      </c>
      <c r="S2978" s="20">
        <v>0.32</v>
      </c>
    </row>
    <row r="2979" spans="8:19" x14ac:dyDescent="0.25">
      <c r="H2979">
        <v>19</v>
      </c>
      <c r="I2979">
        <v>540</v>
      </c>
      <c r="J2979">
        <v>110</v>
      </c>
      <c r="K2979" t="b">
        <v>1</v>
      </c>
      <c r="N2979" s="30" t="s">
        <v>623</v>
      </c>
      <c r="O2979" s="2">
        <f>INDEX(Маршруты,MATCH(N2979,$B$3:$B$498,0),1)</f>
        <v>125</v>
      </c>
      <c r="P2979" s="27">
        <v>33</v>
      </c>
      <c r="Q2979" s="2">
        <f>INDEX(Остановки,MATCH(R2979,ИД_Остановки!$B$3:$B$467,0),1)</f>
        <v>222</v>
      </c>
      <c r="R2979" s="45" t="s">
        <v>354</v>
      </c>
      <c r="S2979" s="20">
        <v>0.64</v>
      </c>
    </row>
    <row r="2980" spans="8:19" x14ac:dyDescent="0.25">
      <c r="H2980">
        <v>19</v>
      </c>
      <c r="I2980">
        <v>549</v>
      </c>
      <c r="J2980">
        <v>110</v>
      </c>
      <c r="K2980" t="b">
        <v>1</v>
      </c>
      <c r="N2980" s="25" t="s">
        <v>623</v>
      </c>
      <c r="O2980" s="2">
        <f>INDEX(Маршруты,MATCH(N2980,$B$3:$B$498,0),1)</f>
        <v>125</v>
      </c>
      <c r="P2980" s="27">
        <v>34</v>
      </c>
      <c r="Q2980" s="2">
        <f>INDEX(Остановки,MATCH(R2980,ИД_Остановки!$B$3:$B$467,0),1)</f>
        <v>243</v>
      </c>
      <c r="R2980" s="45" t="s">
        <v>368</v>
      </c>
      <c r="S2980" s="20">
        <v>0.36</v>
      </c>
    </row>
    <row r="2981" spans="8:19" x14ac:dyDescent="0.25">
      <c r="H2981">
        <v>19</v>
      </c>
      <c r="I2981">
        <v>558</v>
      </c>
      <c r="J2981">
        <v>110</v>
      </c>
      <c r="K2981" t="b">
        <v>1</v>
      </c>
      <c r="N2981" s="25" t="s">
        <v>623</v>
      </c>
      <c r="O2981" s="2">
        <f>INDEX(Маршруты,MATCH(N2981,$B$3:$B$498,0),1)</f>
        <v>125</v>
      </c>
      <c r="P2981" s="27">
        <v>35</v>
      </c>
      <c r="Q2981" s="2">
        <f>INDEX(Остановки,MATCH(R2981,ИД_Остановки!$B$3:$B$467,0),1)</f>
        <v>251</v>
      </c>
      <c r="R2981" s="24" t="s">
        <v>164</v>
      </c>
      <c r="S2981" s="20">
        <v>0.7</v>
      </c>
    </row>
    <row r="2982" spans="8:19" x14ac:dyDescent="0.25">
      <c r="H2982">
        <v>19</v>
      </c>
      <c r="I2982">
        <v>567</v>
      </c>
      <c r="J2982">
        <v>110</v>
      </c>
      <c r="K2982" t="b">
        <v>1</v>
      </c>
      <c r="N2982" s="25" t="s">
        <v>623</v>
      </c>
      <c r="O2982" s="2">
        <f>INDEX(Маршруты,MATCH(N2982,$B$3:$B$498,0),1)</f>
        <v>125</v>
      </c>
      <c r="P2982" s="27">
        <v>36</v>
      </c>
      <c r="Q2982" s="2">
        <f>INDEX(Остановки,MATCH(R2982,ИД_Остановки!$B$3:$B$467,0),1)</f>
        <v>244</v>
      </c>
      <c r="R2982" s="45" t="s">
        <v>133</v>
      </c>
      <c r="S2982" s="20">
        <v>0.64</v>
      </c>
    </row>
    <row r="2983" spans="8:19" x14ac:dyDescent="0.25">
      <c r="H2983">
        <v>19</v>
      </c>
      <c r="I2983">
        <v>576</v>
      </c>
      <c r="J2983">
        <v>110</v>
      </c>
      <c r="K2983" t="b">
        <v>1</v>
      </c>
      <c r="N2983" s="30" t="s">
        <v>623</v>
      </c>
      <c r="O2983" s="2">
        <f>INDEX(Маршруты,MATCH(N2983,$B$3:$B$498,0),1)</f>
        <v>125</v>
      </c>
      <c r="P2983" s="27">
        <v>37</v>
      </c>
      <c r="Q2983" s="2">
        <f>INDEX(Остановки,MATCH(R2983,ИД_Остановки!$B$3:$B$467,0),1)</f>
        <v>245</v>
      </c>
      <c r="R2983" s="45" t="s">
        <v>369</v>
      </c>
      <c r="S2983" s="20">
        <v>0.5</v>
      </c>
    </row>
    <row r="2984" spans="8:19" x14ac:dyDescent="0.25">
      <c r="H2984">
        <v>19</v>
      </c>
      <c r="I2984">
        <v>585</v>
      </c>
      <c r="J2984">
        <v>110</v>
      </c>
      <c r="K2984" t="b">
        <v>1</v>
      </c>
      <c r="N2984" s="30" t="s">
        <v>623</v>
      </c>
      <c r="O2984" s="2">
        <f>INDEX(Маршруты,MATCH(N2984,$B$3:$B$498,0),1)</f>
        <v>125</v>
      </c>
      <c r="P2984" s="27">
        <v>38</v>
      </c>
      <c r="Q2984" s="2">
        <f>INDEX(Остановки,MATCH(R2984,ИД_Остановки!$B$3:$B$467,0),1)</f>
        <v>236</v>
      </c>
      <c r="R2984" s="45" t="s">
        <v>130</v>
      </c>
      <c r="S2984" s="20">
        <v>0.38</v>
      </c>
    </row>
    <row r="2985" spans="8:19" x14ac:dyDescent="0.25">
      <c r="H2985">
        <v>19</v>
      </c>
      <c r="I2985">
        <v>594</v>
      </c>
      <c r="J2985">
        <v>110</v>
      </c>
      <c r="K2985" t="b">
        <v>1</v>
      </c>
      <c r="N2985" s="30" t="s">
        <v>623</v>
      </c>
      <c r="O2985" s="2">
        <f>INDEX(Маршруты,MATCH(N2985,$B$3:$B$498,0),1)</f>
        <v>125</v>
      </c>
      <c r="P2985" s="27">
        <v>39</v>
      </c>
      <c r="Q2985" s="2">
        <f>INDEX(Остановки,MATCH(R2985,ИД_Остановки!$B$3:$B$467,0),1)</f>
        <v>252</v>
      </c>
      <c r="R2985" s="45" t="s">
        <v>135</v>
      </c>
      <c r="S2985" s="20">
        <v>0.59</v>
      </c>
    </row>
    <row r="2986" spans="8:19" x14ac:dyDescent="0.25">
      <c r="H2986">
        <v>19</v>
      </c>
      <c r="I2986">
        <v>603</v>
      </c>
      <c r="J2986">
        <v>110</v>
      </c>
      <c r="K2986" t="b">
        <v>1</v>
      </c>
      <c r="N2986" s="30" t="s">
        <v>623</v>
      </c>
      <c r="O2986" s="2">
        <f>INDEX(Маршруты,MATCH(N2986,$B$3:$B$498,0),1)</f>
        <v>125</v>
      </c>
      <c r="P2986" s="27">
        <v>40</v>
      </c>
      <c r="Q2986" s="2">
        <f>INDEX(Остановки,MATCH(R2986,ИД_Остановки!$B$3:$B$467,0),1)</f>
        <v>288</v>
      </c>
      <c r="R2986" s="45" t="s">
        <v>388</v>
      </c>
      <c r="S2986" s="20">
        <v>0.28999999999999998</v>
      </c>
    </row>
    <row r="2987" spans="8:19" x14ac:dyDescent="0.25">
      <c r="H2987">
        <v>19</v>
      </c>
      <c r="I2987">
        <v>612</v>
      </c>
      <c r="J2987">
        <v>110</v>
      </c>
      <c r="K2987" t="b">
        <v>1</v>
      </c>
      <c r="N2987" s="25" t="s">
        <v>623</v>
      </c>
      <c r="O2987" s="2">
        <f>INDEX(Маршруты,MATCH(N2987,$B$3:$B$498,0),1)</f>
        <v>125</v>
      </c>
      <c r="P2987" s="27">
        <v>41</v>
      </c>
      <c r="Q2987" s="2">
        <f>INDEX(Остановки,MATCH(R2987,ИД_Остановки!$B$3:$B$467,0),1)</f>
        <v>254</v>
      </c>
      <c r="R2987" s="45" t="s">
        <v>136</v>
      </c>
      <c r="S2987" s="20">
        <v>0.79</v>
      </c>
    </row>
    <row r="2988" spans="8:19" x14ac:dyDescent="0.25">
      <c r="H2988">
        <v>19</v>
      </c>
      <c r="I2988">
        <v>621</v>
      </c>
      <c r="J2988">
        <v>110</v>
      </c>
      <c r="K2988" t="b">
        <v>1</v>
      </c>
      <c r="N2988" s="30" t="s">
        <v>623</v>
      </c>
      <c r="O2988" s="2">
        <f>INDEX(Маршруты,MATCH(N2988,$B$3:$B$498,0),1)</f>
        <v>125</v>
      </c>
      <c r="P2988" s="28">
        <v>42</v>
      </c>
      <c r="Q2988" s="2">
        <f>INDEX(Остановки,MATCH(R2988,ИД_Остановки!$B$3:$B$467,0),1)</f>
        <v>299</v>
      </c>
      <c r="R2988" s="24" t="s">
        <v>392</v>
      </c>
      <c r="S2988" s="21">
        <v>0.39</v>
      </c>
    </row>
    <row r="2989" spans="8:19" x14ac:dyDescent="0.25">
      <c r="H2989">
        <v>19</v>
      </c>
      <c r="I2989">
        <v>630</v>
      </c>
      <c r="J2989">
        <v>110</v>
      </c>
      <c r="K2989" t="b">
        <v>1</v>
      </c>
      <c r="N2989" s="25" t="s">
        <v>623</v>
      </c>
      <c r="O2989" s="2">
        <f>INDEX(Маршруты,MATCH(N2989,$B$3:$B$498,0),1)</f>
        <v>125</v>
      </c>
      <c r="P2989" s="27">
        <v>43</v>
      </c>
      <c r="Q2989" s="2">
        <f>INDEX(Остановки,MATCH(R2989,ИД_Остановки!$B$3:$B$467,0),1)</f>
        <v>403</v>
      </c>
      <c r="R2989" s="45" t="s">
        <v>99</v>
      </c>
      <c r="S2989" s="20">
        <v>1.35</v>
      </c>
    </row>
    <row r="2990" spans="8:19" x14ac:dyDescent="0.25">
      <c r="H2990">
        <v>19</v>
      </c>
      <c r="I2990">
        <v>639</v>
      </c>
      <c r="J2990">
        <v>110</v>
      </c>
      <c r="K2990" t="b">
        <v>1</v>
      </c>
      <c r="N2990" s="25" t="s">
        <v>623</v>
      </c>
      <c r="O2990" s="2">
        <f>INDEX(Маршруты,MATCH(N2990,$B$3:$B$498,0),1)</f>
        <v>125</v>
      </c>
      <c r="P2990" s="28">
        <v>44</v>
      </c>
      <c r="Q2990" s="2">
        <f>INDEX(Остановки,MATCH(R2990,ИД_Остановки!$B$3:$B$467,0),1)</f>
        <v>337</v>
      </c>
      <c r="R2990" s="24" t="s">
        <v>407</v>
      </c>
      <c r="S2990" s="20">
        <v>0.59</v>
      </c>
    </row>
    <row r="2991" spans="8:19" x14ac:dyDescent="0.25">
      <c r="H2991">
        <v>19</v>
      </c>
      <c r="I2991">
        <v>648</v>
      </c>
      <c r="J2991">
        <v>110</v>
      </c>
      <c r="K2991" t="b">
        <v>1</v>
      </c>
      <c r="N2991" s="25" t="s">
        <v>623</v>
      </c>
      <c r="O2991" s="2">
        <f>INDEX(Маршруты,MATCH(N2991,$B$3:$B$498,0),1)</f>
        <v>125</v>
      </c>
      <c r="P2991" s="27">
        <v>45</v>
      </c>
      <c r="Q2991" s="2">
        <f>INDEX(Остановки,MATCH(R2991,ИД_Остановки!$B$3:$B$467,0),1)</f>
        <v>22</v>
      </c>
      <c r="R2991" s="45" t="s">
        <v>22</v>
      </c>
      <c r="S2991" s="20">
        <v>0.39</v>
      </c>
    </row>
    <row r="2992" spans="8:19" x14ac:dyDescent="0.25">
      <c r="H2992">
        <v>19</v>
      </c>
      <c r="I2992">
        <v>657</v>
      </c>
      <c r="J2992">
        <v>110</v>
      </c>
      <c r="K2992" t="b">
        <v>1</v>
      </c>
      <c r="N2992" s="26" t="s">
        <v>623</v>
      </c>
      <c r="O2992" s="2">
        <f>INDEX(Маршруты,MATCH(N2992,$B$3:$B$498,0),1)</f>
        <v>125</v>
      </c>
      <c r="P2992" s="27">
        <v>46</v>
      </c>
      <c r="Q2992" s="2">
        <f>INDEX(Остановки,MATCH(R2992,ИД_Остановки!$B$3:$B$467,0),1)</f>
        <v>199</v>
      </c>
      <c r="R2992" s="45" t="s">
        <v>118</v>
      </c>
      <c r="S2992" s="20">
        <v>0.42</v>
      </c>
    </row>
    <row r="2993" spans="8:19" x14ac:dyDescent="0.25">
      <c r="H2993">
        <v>19</v>
      </c>
      <c r="I2993">
        <v>666</v>
      </c>
      <c r="J2993">
        <v>110</v>
      </c>
      <c r="K2993" t="b">
        <v>1</v>
      </c>
      <c r="N2993" s="25" t="s">
        <v>623</v>
      </c>
      <c r="O2993" s="2">
        <f>INDEX(Маршруты,MATCH(N2993,$B$3:$B$498,0),1)</f>
        <v>125</v>
      </c>
      <c r="P2993" s="27">
        <v>47</v>
      </c>
      <c r="Q2993" s="2">
        <f>INDEX(Остановки,MATCH(R2993,ИД_Остановки!$B$3:$B$467,0),1)</f>
        <v>200</v>
      </c>
      <c r="R2993" s="45" t="s">
        <v>119</v>
      </c>
      <c r="S2993" s="20">
        <v>0.75</v>
      </c>
    </row>
    <row r="2994" spans="8:19" x14ac:dyDescent="0.25">
      <c r="H2994">
        <v>19</v>
      </c>
      <c r="I2994">
        <v>675</v>
      </c>
      <c r="J2994">
        <v>110</v>
      </c>
      <c r="K2994" t="b">
        <v>1</v>
      </c>
      <c r="N2994" s="30" t="s">
        <v>623</v>
      </c>
      <c r="O2994" s="2">
        <f>INDEX(Маршруты,MATCH(N2994,$B$3:$B$498,0),1)</f>
        <v>125</v>
      </c>
      <c r="P2994" s="27">
        <v>48</v>
      </c>
      <c r="Q2994" s="2">
        <f>INDEX(Остановки,MATCH(R2994,ИД_Остановки!$B$3:$B$467,0),1)</f>
        <v>255</v>
      </c>
      <c r="R2994" s="45" t="s">
        <v>137</v>
      </c>
      <c r="S2994" s="20">
        <v>0.67</v>
      </c>
    </row>
    <row r="2995" spans="8:19" x14ac:dyDescent="0.25">
      <c r="H2995">
        <v>19</v>
      </c>
      <c r="I2995">
        <v>684</v>
      </c>
      <c r="J2995">
        <v>110</v>
      </c>
      <c r="K2995" t="b">
        <v>1</v>
      </c>
      <c r="N2995" s="26" t="s">
        <v>623</v>
      </c>
      <c r="O2995" s="2">
        <f>INDEX(Маршруты,MATCH(N2995,$B$3:$B$498,0),1)</f>
        <v>125</v>
      </c>
      <c r="P2995" s="27">
        <v>49</v>
      </c>
      <c r="Q2995" s="2">
        <f>INDEX(Остановки,MATCH(R2995,ИД_Остановки!$B$3:$B$467,0),1)</f>
        <v>257</v>
      </c>
      <c r="R2995" s="45" t="s">
        <v>377</v>
      </c>
      <c r="S2995" s="20">
        <v>0.61</v>
      </c>
    </row>
    <row r="2996" spans="8:19" x14ac:dyDescent="0.25">
      <c r="H2996">
        <v>19</v>
      </c>
      <c r="I2996">
        <v>693</v>
      </c>
      <c r="J2996">
        <v>110</v>
      </c>
      <c r="K2996" t="b">
        <v>1</v>
      </c>
      <c r="N2996" s="25" t="s">
        <v>623</v>
      </c>
      <c r="O2996" s="2">
        <f>INDEX(Маршруты,MATCH(N2996,$B$3:$B$498,0),1)</f>
        <v>125</v>
      </c>
      <c r="P2996" s="27">
        <v>50</v>
      </c>
      <c r="Q2996" s="2">
        <f>INDEX(Остановки,MATCH(R2996,ИД_Остановки!$B$3:$B$467,0),1)</f>
        <v>238</v>
      </c>
      <c r="R2996" s="45" t="s">
        <v>131</v>
      </c>
      <c r="S2996" s="20">
        <v>0.56000000000000005</v>
      </c>
    </row>
    <row r="2997" spans="8:19" x14ac:dyDescent="0.25">
      <c r="H2997">
        <v>19</v>
      </c>
      <c r="I2997">
        <v>702</v>
      </c>
      <c r="J2997">
        <v>110</v>
      </c>
      <c r="K2997" t="b">
        <v>1</v>
      </c>
      <c r="N2997" s="30" t="s">
        <v>623</v>
      </c>
      <c r="O2997" s="2">
        <f>INDEX(Маршруты,MATCH(N2997,$B$3:$B$498,0),1)</f>
        <v>125</v>
      </c>
      <c r="P2997" s="27">
        <v>51</v>
      </c>
      <c r="Q2997" s="2">
        <f>INDEX(Остановки,MATCH(R2997,ИД_Остановки!$B$3:$B$467,0),1)</f>
        <v>28</v>
      </c>
      <c r="R2997" s="45" t="s">
        <v>26</v>
      </c>
      <c r="S2997" s="20">
        <v>1.06</v>
      </c>
    </row>
    <row r="2998" spans="8:19" x14ac:dyDescent="0.25">
      <c r="H2998">
        <v>19</v>
      </c>
      <c r="I2998">
        <v>711</v>
      </c>
      <c r="J2998">
        <v>110</v>
      </c>
      <c r="K2998" t="b">
        <v>1</v>
      </c>
      <c r="N2998" s="25" t="s">
        <v>623</v>
      </c>
      <c r="O2998" s="2">
        <f>INDEX(Маршруты,MATCH(N2998,$B$3:$B$498,0),1)</f>
        <v>125</v>
      </c>
      <c r="P2998" s="27">
        <v>52</v>
      </c>
      <c r="Q2998" s="2">
        <f>INDEX(Остановки,MATCH(R2998,ИД_Остановки!$B$3:$B$467,0),1)</f>
        <v>99</v>
      </c>
      <c r="R2998" s="45" t="s">
        <v>287</v>
      </c>
      <c r="S2998" s="20">
        <v>2.93</v>
      </c>
    </row>
    <row r="2999" spans="8:19" x14ac:dyDescent="0.25">
      <c r="H2999">
        <v>19</v>
      </c>
      <c r="I2999">
        <v>720</v>
      </c>
      <c r="J2999">
        <v>110</v>
      </c>
      <c r="K2999" t="b">
        <v>1</v>
      </c>
      <c r="N2999" s="26" t="s">
        <v>623</v>
      </c>
      <c r="O2999" s="2">
        <f>INDEX(Маршруты,MATCH(N2999,$B$3:$B$498,0),1)</f>
        <v>125</v>
      </c>
      <c r="P2999" s="27">
        <v>53</v>
      </c>
      <c r="Q2999" s="2">
        <f>INDEX(Остановки,MATCH(R2999,ИД_Остановки!$B$3:$B$467,0),1)</f>
        <v>98</v>
      </c>
      <c r="R2999" s="45" t="s">
        <v>286</v>
      </c>
      <c r="S2999" s="20">
        <v>0.16</v>
      </c>
    </row>
    <row r="3000" spans="8:19" x14ac:dyDescent="0.25">
      <c r="H3000">
        <v>19</v>
      </c>
      <c r="I3000">
        <v>729</v>
      </c>
      <c r="J3000">
        <v>110</v>
      </c>
      <c r="K3000" t="b">
        <v>1</v>
      </c>
      <c r="N3000" s="30" t="s">
        <v>623</v>
      </c>
      <c r="O3000" s="2">
        <f>INDEX(Маршруты,MATCH(N3000,$B$3:$B$498,0),1)</f>
        <v>125</v>
      </c>
      <c r="P3000" s="27">
        <v>54</v>
      </c>
      <c r="Q3000" s="2">
        <f>INDEX(Остановки,MATCH(R3000,ИД_Остановки!$B$3:$B$467,0),1)</f>
        <v>231</v>
      </c>
      <c r="R3000" s="45" t="s">
        <v>360</v>
      </c>
      <c r="S3000" s="20">
        <v>0.42</v>
      </c>
    </row>
    <row r="3001" spans="8:19" x14ac:dyDescent="0.25">
      <c r="H3001">
        <v>19</v>
      </c>
      <c r="I3001">
        <v>738</v>
      </c>
      <c r="J3001">
        <v>110</v>
      </c>
      <c r="K3001" t="b">
        <v>1</v>
      </c>
      <c r="N3001" s="30" t="s">
        <v>624</v>
      </c>
      <c r="O3001" s="2">
        <f>INDEX(Маршруты,MATCH(N3001,$B$3:$B$498,0),1)</f>
        <v>126</v>
      </c>
      <c r="P3001" s="27">
        <v>1</v>
      </c>
      <c r="Q3001" s="2">
        <f>INDEX(Остановки,MATCH(R3001,ИД_Остановки!$B$3:$B$467,0),1)</f>
        <v>231</v>
      </c>
      <c r="R3001" s="45" t="s">
        <v>360</v>
      </c>
      <c r="S3001" s="20"/>
    </row>
    <row r="3002" spans="8:19" x14ac:dyDescent="0.25">
      <c r="H3002">
        <v>19</v>
      </c>
      <c r="I3002">
        <v>747</v>
      </c>
      <c r="J3002">
        <v>110</v>
      </c>
      <c r="K3002" t="b">
        <v>1</v>
      </c>
      <c r="N3002" s="30" t="s">
        <v>624</v>
      </c>
      <c r="O3002" s="2">
        <f>INDEX(Маршруты,MATCH(N3002,$B$3:$B$498,0),1)</f>
        <v>126</v>
      </c>
      <c r="P3002" s="27">
        <v>2</v>
      </c>
      <c r="Q3002" s="2">
        <f>INDEX(Остановки,MATCH(R3002,ИД_Остановки!$B$3:$B$467,0),1)</f>
        <v>98</v>
      </c>
      <c r="R3002" s="24" t="s">
        <v>286</v>
      </c>
      <c r="S3002" s="20">
        <v>0.42</v>
      </c>
    </row>
    <row r="3003" spans="8:19" x14ac:dyDescent="0.25">
      <c r="H3003">
        <v>19</v>
      </c>
      <c r="I3003">
        <v>756</v>
      </c>
      <c r="J3003">
        <v>110</v>
      </c>
      <c r="K3003" t="b">
        <v>1</v>
      </c>
      <c r="N3003" s="26" t="s">
        <v>624</v>
      </c>
      <c r="O3003" s="2">
        <f>INDEX(Маршруты,MATCH(N3003,$B$3:$B$498,0),1)</f>
        <v>126</v>
      </c>
      <c r="P3003" s="27">
        <v>3</v>
      </c>
      <c r="Q3003" s="2">
        <f>INDEX(Остановки,MATCH(R3003,ИД_Остановки!$B$3:$B$467,0),1)</f>
        <v>99</v>
      </c>
      <c r="R3003" s="45" t="s">
        <v>287</v>
      </c>
      <c r="S3003" s="20">
        <v>0.16</v>
      </c>
    </row>
    <row r="3004" spans="8:19" x14ac:dyDescent="0.25">
      <c r="H3004">
        <v>19</v>
      </c>
      <c r="I3004">
        <v>765</v>
      </c>
      <c r="J3004">
        <v>110</v>
      </c>
      <c r="K3004" t="b">
        <v>1</v>
      </c>
      <c r="N3004" s="30" t="s">
        <v>624</v>
      </c>
      <c r="O3004" s="2">
        <f>INDEX(Маршруты,MATCH(N3004,$B$3:$B$498,0),1)</f>
        <v>126</v>
      </c>
      <c r="P3004" s="27">
        <v>4</v>
      </c>
      <c r="Q3004" s="2">
        <f>INDEX(Остановки,MATCH(R3004,ИД_Остановки!$B$3:$B$467,0),1)</f>
        <v>28</v>
      </c>
      <c r="R3004" s="45" t="s">
        <v>26</v>
      </c>
      <c r="S3004" s="20">
        <v>2.93</v>
      </c>
    </row>
    <row r="3005" spans="8:19" x14ac:dyDescent="0.25">
      <c r="H3005">
        <v>19</v>
      </c>
      <c r="I3005">
        <v>774</v>
      </c>
      <c r="J3005">
        <v>110</v>
      </c>
      <c r="K3005" t="b">
        <v>1</v>
      </c>
      <c r="N3005" s="25" t="s">
        <v>624</v>
      </c>
      <c r="O3005" s="2">
        <f>INDEX(Маршруты,MATCH(N3005,$B$3:$B$498,0),1)</f>
        <v>126</v>
      </c>
      <c r="P3005" s="27">
        <v>5</v>
      </c>
      <c r="Q3005" s="2">
        <f>INDEX(Остановки,MATCH(R3005,ИД_Остановки!$B$3:$B$467,0),1)</f>
        <v>238</v>
      </c>
      <c r="R3005" s="45" t="s">
        <v>131</v>
      </c>
      <c r="S3005" s="20">
        <v>1.06</v>
      </c>
    </row>
    <row r="3006" spans="8:19" x14ac:dyDescent="0.25">
      <c r="H3006">
        <v>19</v>
      </c>
      <c r="I3006">
        <v>783</v>
      </c>
      <c r="J3006">
        <v>110</v>
      </c>
      <c r="K3006" t="b">
        <v>1</v>
      </c>
      <c r="N3006" s="26" t="s">
        <v>624</v>
      </c>
      <c r="O3006" s="2">
        <f>INDEX(Маршруты,MATCH(N3006,$B$3:$B$498,0),1)</f>
        <v>126</v>
      </c>
      <c r="P3006" s="27">
        <v>6</v>
      </c>
      <c r="Q3006" s="2">
        <f>INDEX(Остановки,MATCH(R3006,ИД_Остановки!$B$3:$B$467,0),1)</f>
        <v>257</v>
      </c>
      <c r="R3006" s="45" t="s">
        <v>377</v>
      </c>
      <c r="S3006" s="20">
        <v>0.56000000000000005</v>
      </c>
    </row>
    <row r="3007" spans="8:19" x14ac:dyDescent="0.25">
      <c r="H3007">
        <v>19</v>
      </c>
      <c r="I3007">
        <v>792</v>
      </c>
      <c r="J3007">
        <v>110</v>
      </c>
      <c r="K3007" t="b">
        <v>1</v>
      </c>
      <c r="N3007" s="26" t="s">
        <v>624</v>
      </c>
      <c r="O3007" s="2">
        <f>INDEX(Маршруты,MATCH(N3007,$B$3:$B$498,0),1)</f>
        <v>126</v>
      </c>
      <c r="P3007" s="27">
        <v>7</v>
      </c>
      <c r="Q3007" s="2">
        <f>INDEX(Остановки,MATCH(R3007,ИД_Остановки!$B$3:$B$467,0),1)</f>
        <v>255</v>
      </c>
      <c r="R3007" s="45" t="s">
        <v>137</v>
      </c>
      <c r="S3007" s="20">
        <v>0.61</v>
      </c>
    </row>
    <row r="3008" spans="8:19" x14ac:dyDescent="0.25">
      <c r="H3008">
        <v>19</v>
      </c>
      <c r="I3008">
        <v>801</v>
      </c>
      <c r="J3008">
        <v>110</v>
      </c>
      <c r="K3008" t="b">
        <v>1</v>
      </c>
      <c r="N3008" s="25" t="s">
        <v>624</v>
      </c>
      <c r="O3008" s="2">
        <f>INDEX(Маршруты,MATCH(N3008,$B$3:$B$498,0),1)</f>
        <v>126</v>
      </c>
      <c r="P3008" s="27">
        <v>8</v>
      </c>
      <c r="Q3008" s="2">
        <f>INDEX(Остановки,MATCH(R3008,ИД_Остановки!$B$3:$B$467,0),1)</f>
        <v>200</v>
      </c>
      <c r="R3008" s="45" t="s">
        <v>119</v>
      </c>
      <c r="S3008" s="20">
        <v>0.67</v>
      </c>
    </row>
    <row r="3009" spans="8:19" x14ac:dyDescent="0.25">
      <c r="H3009">
        <v>19</v>
      </c>
      <c r="I3009">
        <v>810</v>
      </c>
      <c r="J3009">
        <v>110</v>
      </c>
      <c r="K3009" t="b">
        <v>1</v>
      </c>
      <c r="N3009" s="26" t="s">
        <v>624</v>
      </c>
      <c r="O3009" s="2">
        <f>INDEX(Маршруты,MATCH(N3009,$B$3:$B$498,0),1)</f>
        <v>126</v>
      </c>
      <c r="P3009" s="27">
        <v>9</v>
      </c>
      <c r="Q3009" s="2">
        <f>INDEX(Остановки,MATCH(R3009,ИД_Остановки!$B$3:$B$467,0),1)</f>
        <v>199</v>
      </c>
      <c r="R3009" s="45" t="s">
        <v>118</v>
      </c>
      <c r="S3009" s="20">
        <v>0.75</v>
      </c>
    </row>
    <row r="3010" spans="8:19" x14ac:dyDescent="0.25">
      <c r="H3010">
        <v>19</v>
      </c>
      <c r="I3010">
        <v>819</v>
      </c>
      <c r="J3010">
        <v>110</v>
      </c>
      <c r="K3010" t="b">
        <v>1</v>
      </c>
      <c r="N3010" s="25" t="s">
        <v>624</v>
      </c>
      <c r="O3010" s="2">
        <f>INDEX(Маршруты,MATCH(N3010,$B$3:$B$498,0),1)</f>
        <v>126</v>
      </c>
      <c r="P3010" s="27">
        <v>10</v>
      </c>
      <c r="Q3010" s="2">
        <f>INDEX(Остановки,MATCH(R3010,ИД_Остановки!$B$3:$B$467,0),1)</f>
        <v>22</v>
      </c>
      <c r="R3010" s="45" t="s">
        <v>22</v>
      </c>
      <c r="S3010" s="20">
        <v>0.42</v>
      </c>
    </row>
    <row r="3011" spans="8:19" x14ac:dyDescent="0.25">
      <c r="H3011">
        <v>19</v>
      </c>
      <c r="I3011">
        <v>828</v>
      </c>
      <c r="J3011">
        <v>110</v>
      </c>
      <c r="K3011" t="b">
        <v>1</v>
      </c>
      <c r="N3011" s="25" t="s">
        <v>624</v>
      </c>
      <c r="O3011" s="2">
        <f>INDEX(Маршруты,MATCH(N3011,$B$3:$B$498,0),1)</f>
        <v>126</v>
      </c>
      <c r="P3011" s="27">
        <v>11</v>
      </c>
      <c r="Q3011" s="2">
        <f>INDEX(Остановки,MATCH(R3011,ИД_Остановки!$B$3:$B$467,0),1)</f>
        <v>337</v>
      </c>
      <c r="R3011" s="45" t="s">
        <v>407</v>
      </c>
      <c r="S3011" s="20">
        <v>0.39</v>
      </c>
    </row>
    <row r="3012" spans="8:19" x14ac:dyDescent="0.25">
      <c r="H3012">
        <v>19</v>
      </c>
      <c r="I3012">
        <v>837</v>
      </c>
      <c r="J3012">
        <v>110</v>
      </c>
      <c r="K3012" t="b">
        <v>1</v>
      </c>
      <c r="N3012" s="26" t="s">
        <v>624</v>
      </c>
      <c r="O3012" s="2">
        <f>INDEX(Маршруты,MATCH(N3012,$B$3:$B$498,0),1)</f>
        <v>126</v>
      </c>
      <c r="P3012" s="27">
        <v>12</v>
      </c>
      <c r="Q3012" s="2">
        <f>INDEX(Остановки,MATCH(R3012,ИД_Остановки!$B$3:$B$467,0),1)</f>
        <v>403</v>
      </c>
      <c r="R3012" s="45" t="s">
        <v>99</v>
      </c>
      <c r="S3012" s="20">
        <v>0.59</v>
      </c>
    </row>
    <row r="3013" spans="8:19" x14ac:dyDescent="0.25">
      <c r="H3013">
        <v>19</v>
      </c>
      <c r="I3013">
        <v>846</v>
      </c>
      <c r="J3013">
        <v>110</v>
      </c>
      <c r="K3013" t="b">
        <v>1</v>
      </c>
      <c r="N3013" s="30" t="s">
        <v>624</v>
      </c>
      <c r="O3013" s="2">
        <f>INDEX(Маршруты,MATCH(N3013,$B$3:$B$498,0),1)</f>
        <v>126</v>
      </c>
      <c r="P3013" s="27">
        <v>13</v>
      </c>
      <c r="Q3013" s="2">
        <f>INDEX(Остановки,MATCH(R3013,ИД_Остановки!$B$3:$B$467,0),1)</f>
        <v>299</v>
      </c>
      <c r="R3013" s="45" t="s">
        <v>392</v>
      </c>
      <c r="S3013" s="20">
        <v>1.35</v>
      </c>
    </row>
    <row r="3014" spans="8:19" x14ac:dyDescent="0.25">
      <c r="H3014">
        <v>19</v>
      </c>
      <c r="I3014">
        <v>855</v>
      </c>
      <c r="J3014">
        <v>110</v>
      </c>
      <c r="K3014" t="b">
        <v>1</v>
      </c>
      <c r="N3014" s="25" t="s">
        <v>624</v>
      </c>
      <c r="O3014" s="2">
        <f>INDEX(Маршруты,MATCH(N3014,$B$3:$B$498,0),1)</f>
        <v>126</v>
      </c>
      <c r="P3014" s="27">
        <v>14</v>
      </c>
      <c r="Q3014" s="2">
        <f>INDEX(Остановки,MATCH(R3014,ИД_Остановки!$B$3:$B$467,0),1)</f>
        <v>254</v>
      </c>
      <c r="R3014" s="45" t="s">
        <v>136</v>
      </c>
      <c r="S3014" s="20">
        <v>0.39</v>
      </c>
    </row>
    <row r="3015" spans="8:19" x14ac:dyDescent="0.25">
      <c r="H3015">
        <v>19</v>
      </c>
      <c r="I3015">
        <v>864</v>
      </c>
      <c r="J3015">
        <v>110</v>
      </c>
      <c r="K3015" t="b">
        <v>1</v>
      </c>
      <c r="N3015" s="30" t="s">
        <v>624</v>
      </c>
      <c r="O3015" s="2">
        <f>INDEX(Маршруты,MATCH(N3015,$B$3:$B$498,0),1)</f>
        <v>126</v>
      </c>
      <c r="P3015" s="27">
        <v>15</v>
      </c>
      <c r="Q3015" s="2">
        <f>INDEX(Остановки,MATCH(R3015,ИД_Остановки!$B$3:$B$467,0),1)</f>
        <v>288</v>
      </c>
      <c r="R3015" s="45" t="s">
        <v>388</v>
      </c>
      <c r="S3015" s="20">
        <v>0.79</v>
      </c>
    </row>
    <row r="3016" spans="8:19" x14ac:dyDescent="0.25">
      <c r="H3016">
        <v>19</v>
      </c>
      <c r="I3016">
        <v>873</v>
      </c>
      <c r="J3016">
        <v>110</v>
      </c>
      <c r="K3016" t="b">
        <v>1</v>
      </c>
      <c r="N3016" s="25" t="s">
        <v>624</v>
      </c>
      <c r="O3016" s="2">
        <f>INDEX(Маршруты,MATCH(N3016,$B$3:$B$498,0),1)</f>
        <v>126</v>
      </c>
      <c r="P3016" s="27">
        <v>16</v>
      </c>
      <c r="Q3016" s="2">
        <f>INDEX(Остановки,MATCH(R3016,ИД_Остановки!$B$3:$B$467,0),1)</f>
        <v>252</v>
      </c>
      <c r="R3016" s="45" t="s">
        <v>135</v>
      </c>
      <c r="S3016" s="20">
        <v>0.28999999999999998</v>
      </c>
    </row>
    <row r="3017" spans="8:19" x14ac:dyDescent="0.25">
      <c r="H3017">
        <v>19</v>
      </c>
      <c r="I3017">
        <v>882</v>
      </c>
      <c r="J3017">
        <v>110</v>
      </c>
      <c r="K3017" t="b">
        <v>1</v>
      </c>
      <c r="N3017" s="30" t="s">
        <v>624</v>
      </c>
      <c r="O3017" s="2">
        <f>INDEX(Маршруты,MATCH(N3017,$B$3:$B$498,0),1)</f>
        <v>126</v>
      </c>
      <c r="P3017" s="27">
        <v>17</v>
      </c>
      <c r="Q3017" s="2">
        <f>INDEX(Остановки,MATCH(R3017,ИД_Остановки!$B$3:$B$467,0),1)</f>
        <v>236</v>
      </c>
      <c r="R3017" s="45" t="s">
        <v>130</v>
      </c>
      <c r="S3017" s="20">
        <v>0.59</v>
      </c>
    </row>
    <row r="3018" spans="8:19" x14ac:dyDescent="0.25">
      <c r="H3018">
        <v>19</v>
      </c>
      <c r="I3018">
        <v>891</v>
      </c>
      <c r="J3018">
        <v>110</v>
      </c>
      <c r="K3018" t="b">
        <v>1</v>
      </c>
      <c r="N3018" s="25" t="s">
        <v>624</v>
      </c>
      <c r="O3018" s="2">
        <f>INDEX(Маршруты,MATCH(N3018,$B$3:$B$498,0),1)</f>
        <v>126</v>
      </c>
      <c r="P3018" s="27">
        <v>18</v>
      </c>
      <c r="Q3018" s="2">
        <f>INDEX(Остановки,MATCH(R3018,ИД_Остановки!$B$3:$B$467,0),1)</f>
        <v>245</v>
      </c>
      <c r="R3018" s="45" t="s">
        <v>369</v>
      </c>
      <c r="S3018" s="20">
        <v>0.38</v>
      </c>
    </row>
    <row r="3019" spans="8:19" x14ac:dyDescent="0.25">
      <c r="H3019">
        <v>19</v>
      </c>
      <c r="I3019">
        <v>900</v>
      </c>
      <c r="J3019">
        <v>110</v>
      </c>
      <c r="K3019" t="b">
        <v>1</v>
      </c>
      <c r="N3019" s="30" t="s">
        <v>624</v>
      </c>
      <c r="O3019" s="2">
        <f>INDEX(Маршруты,MATCH(N3019,$B$3:$B$498,0),1)</f>
        <v>126</v>
      </c>
      <c r="P3019" s="27">
        <v>19</v>
      </c>
      <c r="Q3019" s="2">
        <f>INDEX(Остановки,MATCH(R3019,ИД_Остановки!$B$3:$B$467,0),1)</f>
        <v>244</v>
      </c>
      <c r="R3019" s="45" t="s">
        <v>133</v>
      </c>
      <c r="S3019" s="20">
        <v>0.5</v>
      </c>
    </row>
    <row r="3020" spans="8:19" x14ac:dyDescent="0.25">
      <c r="H3020">
        <v>19</v>
      </c>
      <c r="I3020">
        <v>909</v>
      </c>
      <c r="J3020">
        <v>110</v>
      </c>
      <c r="K3020" t="b">
        <v>1</v>
      </c>
      <c r="N3020" s="30" t="s">
        <v>624</v>
      </c>
      <c r="O3020" s="2">
        <f>INDEX(Маршруты,MATCH(N3020,$B$3:$B$498,0),1)</f>
        <v>126</v>
      </c>
      <c r="P3020" s="28">
        <v>20</v>
      </c>
      <c r="Q3020" s="2">
        <f>INDEX(Остановки,MATCH(R3020,ИД_Остановки!$B$3:$B$467,0),1)</f>
        <v>251</v>
      </c>
      <c r="R3020" s="24" t="s">
        <v>164</v>
      </c>
      <c r="S3020" s="20">
        <v>0.64</v>
      </c>
    </row>
    <row r="3021" spans="8:19" x14ac:dyDescent="0.25">
      <c r="H3021">
        <v>19</v>
      </c>
      <c r="I3021">
        <v>918</v>
      </c>
      <c r="J3021">
        <v>110</v>
      </c>
      <c r="K3021" t="b">
        <v>1</v>
      </c>
      <c r="N3021" s="30" t="s">
        <v>624</v>
      </c>
      <c r="O3021" s="2">
        <f>INDEX(Маршруты,MATCH(N3021,$B$3:$B$498,0),1)</f>
        <v>126</v>
      </c>
      <c r="P3021" s="27">
        <v>21</v>
      </c>
      <c r="Q3021" s="2">
        <f>INDEX(Остановки,MATCH(R3021,ИД_Остановки!$B$3:$B$467,0),1)</f>
        <v>243</v>
      </c>
      <c r="R3021" s="45" t="s">
        <v>368</v>
      </c>
      <c r="S3021" s="20">
        <v>0.7</v>
      </c>
    </row>
    <row r="3022" spans="8:19" x14ac:dyDescent="0.25">
      <c r="H3022">
        <v>19</v>
      </c>
      <c r="I3022">
        <v>927</v>
      </c>
      <c r="J3022">
        <v>110</v>
      </c>
      <c r="K3022" t="b">
        <v>1</v>
      </c>
      <c r="N3022" s="25" t="s">
        <v>624</v>
      </c>
      <c r="O3022" s="2">
        <f>INDEX(Маршруты,MATCH(N3022,$B$3:$B$498,0),1)</f>
        <v>126</v>
      </c>
      <c r="P3022" s="28">
        <v>22</v>
      </c>
      <c r="Q3022" s="2">
        <f>INDEX(Остановки,MATCH(R3022,ИД_Остановки!$B$3:$B$467,0),1)</f>
        <v>222</v>
      </c>
      <c r="R3022" s="24" t="s">
        <v>354</v>
      </c>
      <c r="S3022" s="20">
        <v>0.36</v>
      </c>
    </row>
    <row r="3023" spans="8:19" x14ac:dyDescent="0.25">
      <c r="H3023">
        <v>19</v>
      </c>
      <c r="I3023">
        <v>936</v>
      </c>
      <c r="J3023">
        <v>110</v>
      </c>
      <c r="K3023" t="b">
        <v>1</v>
      </c>
      <c r="N3023" s="25" t="s">
        <v>624</v>
      </c>
      <c r="O3023" s="2">
        <f>INDEX(Маршруты,MATCH(N3023,$B$3:$B$498,0),1)</f>
        <v>126</v>
      </c>
      <c r="P3023" s="27">
        <v>23</v>
      </c>
      <c r="Q3023" s="2">
        <f>INDEX(Остановки,MATCH(R3023,ИД_Остановки!$B$3:$B$467,0),1)</f>
        <v>250</v>
      </c>
      <c r="R3023" s="45" t="s">
        <v>373</v>
      </c>
      <c r="S3023" s="20">
        <v>0.64</v>
      </c>
    </row>
    <row r="3024" spans="8:19" x14ac:dyDescent="0.25">
      <c r="H3024">
        <v>19</v>
      </c>
      <c r="I3024">
        <v>945</v>
      </c>
      <c r="J3024">
        <v>110</v>
      </c>
      <c r="K3024" t="b">
        <v>1</v>
      </c>
      <c r="N3024" s="25" t="s">
        <v>624</v>
      </c>
      <c r="O3024" s="2">
        <f>INDEX(Маршруты,MATCH(N3024,$B$3:$B$498,0),1)</f>
        <v>126</v>
      </c>
      <c r="P3024" s="28">
        <v>24</v>
      </c>
      <c r="Q3024" s="2">
        <f>INDEX(Остановки,MATCH(R3024,ИД_Остановки!$B$3:$B$467,0),1)</f>
        <v>249</v>
      </c>
      <c r="R3024" s="24" t="s">
        <v>372</v>
      </c>
      <c r="S3024" s="20">
        <v>0.32</v>
      </c>
    </row>
    <row r="3025" spans="8:19" x14ac:dyDescent="0.25">
      <c r="H3025">
        <v>20</v>
      </c>
      <c r="I3025">
        <v>0</v>
      </c>
      <c r="J3025">
        <v>110</v>
      </c>
      <c r="K3025" t="b">
        <v>1</v>
      </c>
      <c r="N3025" s="30" t="s">
        <v>624</v>
      </c>
      <c r="O3025" s="2">
        <f>INDEX(Маршруты,MATCH(N3025,$B$3:$B$498,0),1)</f>
        <v>126</v>
      </c>
      <c r="P3025" s="27">
        <v>25</v>
      </c>
      <c r="Q3025" s="2">
        <f>INDEX(Остановки,MATCH(R3025,ИД_Остановки!$B$3:$B$467,0),1)</f>
        <v>248</v>
      </c>
      <c r="R3025" s="45" t="s">
        <v>617</v>
      </c>
      <c r="S3025" s="20">
        <v>0.77</v>
      </c>
    </row>
    <row r="3026" spans="8:19" x14ac:dyDescent="0.25">
      <c r="H3026">
        <v>20</v>
      </c>
      <c r="I3026">
        <v>9</v>
      </c>
      <c r="J3026">
        <v>110</v>
      </c>
      <c r="K3026" t="b">
        <v>1</v>
      </c>
      <c r="N3026" s="25" t="s">
        <v>624</v>
      </c>
      <c r="O3026" s="2">
        <f>INDEX(Маршруты,MATCH(N3026,$B$3:$B$498,0),1)</f>
        <v>126</v>
      </c>
      <c r="P3026" s="27">
        <v>26</v>
      </c>
      <c r="Q3026" s="2">
        <f>INDEX(Остановки,MATCH(R3026,ИД_Остановки!$B$3:$B$467,0),1)</f>
        <v>294</v>
      </c>
      <c r="R3026" s="45" t="s">
        <v>389</v>
      </c>
      <c r="S3026" s="20">
        <v>0.61</v>
      </c>
    </row>
    <row r="3027" spans="8:19" x14ac:dyDescent="0.25">
      <c r="H3027">
        <v>20</v>
      </c>
      <c r="I3027">
        <v>18</v>
      </c>
      <c r="J3027">
        <v>110</v>
      </c>
      <c r="K3027" t="b">
        <v>1</v>
      </c>
      <c r="N3027" s="25" t="s">
        <v>624</v>
      </c>
      <c r="O3027" s="2">
        <f>INDEX(Маршруты,MATCH(N3027,$B$3:$B$498,0),1)</f>
        <v>126</v>
      </c>
      <c r="P3027" s="27">
        <v>27</v>
      </c>
      <c r="Q3027" s="2">
        <f>INDEX(Остановки,MATCH(R3027,ИД_Остановки!$B$3:$B$467,0),1)</f>
        <v>292</v>
      </c>
      <c r="R3027" s="45" t="s">
        <v>162</v>
      </c>
      <c r="S3027" s="20">
        <v>0.43</v>
      </c>
    </row>
    <row r="3028" spans="8:19" x14ac:dyDescent="0.25">
      <c r="H3028">
        <v>20</v>
      </c>
      <c r="I3028">
        <v>27</v>
      </c>
      <c r="J3028">
        <v>110</v>
      </c>
      <c r="K3028" t="b">
        <v>1</v>
      </c>
      <c r="N3028" s="30" t="s">
        <v>624</v>
      </c>
      <c r="O3028" s="2">
        <f>INDEX(Маршруты,MATCH(N3028,$B$3:$B$498,0),1)</f>
        <v>126</v>
      </c>
      <c r="P3028" s="27">
        <v>28</v>
      </c>
      <c r="Q3028" s="2">
        <f>INDEX(Остановки,MATCH(R3028,ИД_Остановки!$B$3:$B$467,0),1)</f>
        <v>293</v>
      </c>
      <c r="R3028" s="45" t="s">
        <v>163</v>
      </c>
      <c r="S3028" s="20">
        <v>0.49</v>
      </c>
    </row>
    <row r="3029" spans="8:19" x14ac:dyDescent="0.25">
      <c r="H3029">
        <v>20</v>
      </c>
      <c r="I3029">
        <v>36</v>
      </c>
      <c r="J3029">
        <v>110</v>
      </c>
      <c r="K3029" t="b">
        <v>1</v>
      </c>
      <c r="N3029" s="25" t="s">
        <v>624</v>
      </c>
      <c r="O3029" s="2">
        <f>INDEX(Маршруты,MATCH(N3029,$B$3:$B$498,0),1)</f>
        <v>126</v>
      </c>
      <c r="P3029" s="27">
        <v>29</v>
      </c>
      <c r="Q3029" s="2">
        <f>INDEX(Остановки,MATCH(R3029,ИД_Остановки!$B$3:$B$467,0),1)</f>
        <v>221</v>
      </c>
      <c r="R3029" s="45" t="s">
        <v>353</v>
      </c>
      <c r="S3029" s="20">
        <v>0.95</v>
      </c>
    </row>
    <row r="3030" spans="8:19" x14ac:dyDescent="0.25">
      <c r="H3030">
        <v>20</v>
      </c>
      <c r="I3030">
        <v>45</v>
      </c>
      <c r="J3030">
        <v>110</v>
      </c>
      <c r="K3030" t="b">
        <v>1</v>
      </c>
      <c r="N3030" s="25" t="s">
        <v>624</v>
      </c>
      <c r="O3030" s="2">
        <f>INDEX(Маршруты,MATCH(N3030,$B$3:$B$498,0),1)</f>
        <v>126</v>
      </c>
      <c r="P3030" s="27">
        <v>30</v>
      </c>
      <c r="Q3030" s="2">
        <f>INDEX(Остановки,MATCH(R3030,ИД_Остановки!$B$3:$B$467,0),1)</f>
        <v>168</v>
      </c>
      <c r="R3030" s="45" t="s">
        <v>105</v>
      </c>
      <c r="S3030" s="20">
        <v>0.97</v>
      </c>
    </row>
    <row r="3031" spans="8:19" x14ac:dyDescent="0.25">
      <c r="H3031">
        <v>20</v>
      </c>
      <c r="I3031">
        <v>54</v>
      </c>
      <c r="J3031">
        <v>110</v>
      </c>
      <c r="K3031" t="b">
        <v>1</v>
      </c>
      <c r="N3031" s="25" t="s">
        <v>624</v>
      </c>
      <c r="O3031" s="2">
        <f>INDEX(Маршруты,MATCH(N3031,$B$3:$B$498,0),1)</f>
        <v>126</v>
      </c>
      <c r="P3031" s="27">
        <v>31</v>
      </c>
      <c r="Q3031" s="2">
        <f>INDEX(Остановки,MATCH(R3031,ИД_Остановки!$B$3:$B$467,0),1)</f>
        <v>169</v>
      </c>
      <c r="R3031" s="45" t="s">
        <v>106</v>
      </c>
      <c r="S3031" s="20">
        <v>0.63</v>
      </c>
    </row>
    <row r="3032" spans="8:19" x14ac:dyDescent="0.25">
      <c r="H3032">
        <v>20</v>
      </c>
      <c r="I3032">
        <v>63</v>
      </c>
      <c r="J3032">
        <v>110</v>
      </c>
      <c r="K3032" t="b">
        <v>1</v>
      </c>
      <c r="N3032" s="25" t="s">
        <v>624</v>
      </c>
      <c r="O3032" s="2">
        <f>INDEX(Маршруты,MATCH(N3032,$B$3:$B$498,0),1)</f>
        <v>126</v>
      </c>
      <c r="P3032" s="27">
        <v>32</v>
      </c>
      <c r="Q3032" s="2">
        <f>INDEX(Остановки,MATCH(R3032,ИД_Остановки!$B$3:$B$467,0),1)</f>
        <v>170</v>
      </c>
      <c r="R3032" s="45" t="s">
        <v>107</v>
      </c>
      <c r="S3032" s="20">
        <v>1.84</v>
      </c>
    </row>
    <row r="3033" spans="8:19" x14ac:dyDescent="0.25">
      <c r="H3033">
        <v>20</v>
      </c>
      <c r="I3033">
        <v>72</v>
      </c>
      <c r="J3033">
        <v>110</v>
      </c>
      <c r="K3033" t="b">
        <v>1</v>
      </c>
      <c r="N3033" s="30" t="s">
        <v>624</v>
      </c>
      <c r="O3033" s="2">
        <f>INDEX(Маршруты,MATCH(N3033,$B$3:$B$498,0),1)</f>
        <v>126</v>
      </c>
      <c r="P3033" s="27">
        <v>33</v>
      </c>
      <c r="Q3033" s="2">
        <f>INDEX(Остановки,MATCH(R3033,ИД_Остановки!$B$3:$B$467,0),1)</f>
        <v>171</v>
      </c>
      <c r="R3033" s="45" t="s">
        <v>108</v>
      </c>
      <c r="S3033" s="20">
        <v>0.68</v>
      </c>
    </row>
    <row r="3034" spans="8:19" x14ac:dyDescent="0.25">
      <c r="H3034">
        <v>20</v>
      </c>
      <c r="I3034">
        <v>81</v>
      </c>
      <c r="J3034">
        <v>110</v>
      </c>
      <c r="K3034" t="b">
        <v>1</v>
      </c>
      <c r="N3034" s="25" t="s">
        <v>624</v>
      </c>
      <c r="O3034" s="2">
        <f>INDEX(Маршруты,MATCH(N3034,$B$3:$B$498,0),1)</f>
        <v>126</v>
      </c>
      <c r="P3034" s="27">
        <v>34</v>
      </c>
      <c r="Q3034" s="2">
        <f>INDEX(Остановки,MATCH(R3034,ИД_Остановки!$B$3:$B$467,0),1)</f>
        <v>172</v>
      </c>
      <c r="R3034" s="45" t="s">
        <v>109</v>
      </c>
      <c r="S3034" s="20">
        <v>0.75</v>
      </c>
    </row>
    <row r="3035" spans="8:19" x14ac:dyDescent="0.25">
      <c r="H3035">
        <v>20</v>
      </c>
      <c r="I3035">
        <v>90</v>
      </c>
      <c r="J3035">
        <v>110</v>
      </c>
      <c r="K3035" t="b">
        <v>1</v>
      </c>
      <c r="N3035" s="25" t="s">
        <v>624</v>
      </c>
      <c r="O3035" s="2">
        <f>INDEX(Маршруты,MATCH(N3035,$B$3:$B$498,0),1)</f>
        <v>126</v>
      </c>
      <c r="P3035" s="27">
        <v>35</v>
      </c>
      <c r="Q3035" s="2">
        <f>INDEX(Остановки,MATCH(R3035,ИД_Остановки!$B$3:$B$467,0),1)</f>
        <v>173</v>
      </c>
      <c r="R3035" s="45" t="s">
        <v>110</v>
      </c>
      <c r="S3035" s="20">
        <v>0.79</v>
      </c>
    </row>
    <row r="3036" spans="8:19" x14ac:dyDescent="0.25">
      <c r="H3036">
        <v>20</v>
      </c>
      <c r="I3036">
        <v>99</v>
      </c>
      <c r="J3036">
        <v>110</v>
      </c>
      <c r="K3036" t="b">
        <v>1</v>
      </c>
      <c r="N3036" s="30" t="s">
        <v>624</v>
      </c>
      <c r="O3036" s="2">
        <f>INDEX(Маршруты,MATCH(N3036,$B$3:$B$498,0),1)</f>
        <v>126</v>
      </c>
      <c r="P3036" s="27">
        <v>36</v>
      </c>
      <c r="Q3036" s="2">
        <f>INDEX(Остановки,MATCH(R3036,ИД_Остановки!$B$3:$B$467,0),1)</f>
        <v>174</v>
      </c>
      <c r="R3036" s="45" t="s">
        <v>326</v>
      </c>
      <c r="S3036" s="20">
        <v>0.79</v>
      </c>
    </row>
    <row r="3037" spans="8:19" x14ac:dyDescent="0.25">
      <c r="H3037">
        <v>20</v>
      </c>
      <c r="I3037">
        <v>108</v>
      </c>
      <c r="J3037">
        <v>110</v>
      </c>
      <c r="K3037" t="b">
        <v>1</v>
      </c>
      <c r="N3037" s="25" t="s">
        <v>624</v>
      </c>
      <c r="O3037" s="2">
        <f>INDEX(Маршруты,MATCH(N3037,$B$3:$B$498,0),1)</f>
        <v>126</v>
      </c>
      <c r="P3037" s="27">
        <v>37</v>
      </c>
      <c r="Q3037" s="2">
        <f>INDEX(Остановки,MATCH(R3037,ИД_Остановки!$B$3:$B$467,0),1)</f>
        <v>175</v>
      </c>
      <c r="R3037" s="45" t="s">
        <v>327</v>
      </c>
      <c r="S3037" s="20">
        <v>0.89</v>
      </c>
    </row>
    <row r="3038" spans="8:19" x14ac:dyDescent="0.25">
      <c r="H3038">
        <v>20</v>
      </c>
      <c r="I3038">
        <v>117</v>
      </c>
      <c r="J3038">
        <v>110</v>
      </c>
      <c r="K3038" t="b">
        <v>1</v>
      </c>
      <c r="N3038" s="30" t="s">
        <v>624</v>
      </c>
      <c r="O3038" s="2">
        <f>INDEX(Маршруты,MATCH(N3038,$B$3:$B$498,0),1)</f>
        <v>126</v>
      </c>
      <c r="P3038" s="27">
        <v>38</v>
      </c>
      <c r="Q3038" s="2">
        <f>INDEX(Остановки,MATCH(R3038,ИД_Остановки!$B$3:$B$467,0),1)</f>
        <v>53</v>
      </c>
      <c r="R3038" s="45" t="s">
        <v>44</v>
      </c>
      <c r="S3038" s="20">
        <v>1.44</v>
      </c>
    </row>
    <row r="3039" spans="8:19" x14ac:dyDescent="0.25">
      <c r="H3039">
        <v>20</v>
      </c>
      <c r="I3039">
        <v>126</v>
      </c>
      <c r="J3039">
        <v>110</v>
      </c>
      <c r="K3039" t="b">
        <v>1</v>
      </c>
      <c r="N3039" s="26" t="s">
        <v>624</v>
      </c>
      <c r="O3039" s="2">
        <f>INDEX(Маршруты,MATCH(N3039,$B$3:$B$498,0),1)</f>
        <v>126</v>
      </c>
      <c r="P3039" s="27">
        <v>39</v>
      </c>
      <c r="Q3039" s="2">
        <f>INDEX(Остановки,MATCH(R3039,ИД_Остановки!$B$3:$B$467,0),1)</f>
        <v>176</v>
      </c>
      <c r="R3039" s="45" t="s">
        <v>111</v>
      </c>
      <c r="S3039" s="20">
        <v>0.64</v>
      </c>
    </row>
    <row r="3040" spans="8:19" x14ac:dyDescent="0.25">
      <c r="H3040">
        <v>20</v>
      </c>
      <c r="I3040">
        <v>135</v>
      </c>
      <c r="J3040">
        <v>110</v>
      </c>
      <c r="K3040" t="b">
        <v>1</v>
      </c>
      <c r="N3040" s="30" t="s">
        <v>624</v>
      </c>
      <c r="O3040" s="2">
        <f>INDEX(Маршруты,MATCH(N3040,$B$3:$B$498,0),1)</f>
        <v>126</v>
      </c>
      <c r="P3040" s="27">
        <v>40</v>
      </c>
      <c r="Q3040" s="2">
        <f>INDEX(Остановки,MATCH(R3040,ИД_Остановки!$B$3:$B$467,0),1)</f>
        <v>54</v>
      </c>
      <c r="R3040" s="45" t="s">
        <v>45</v>
      </c>
      <c r="S3040" s="20">
        <v>0.65</v>
      </c>
    </row>
    <row r="3041" spans="8:19" x14ac:dyDescent="0.25">
      <c r="H3041">
        <v>20</v>
      </c>
      <c r="I3041">
        <v>144</v>
      </c>
      <c r="J3041">
        <v>110</v>
      </c>
      <c r="K3041" t="b">
        <v>1</v>
      </c>
      <c r="N3041" s="30" t="s">
        <v>624</v>
      </c>
      <c r="O3041" s="2">
        <f>INDEX(Маршруты,MATCH(N3041,$B$3:$B$498,0),1)</f>
        <v>126</v>
      </c>
      <c r="P3041" s="27">
        <v>41</v>
      </c>
      <c r="Q3041" s="2">
        <f>INDEX(Остановки,MATCH(R3041,ИД_Остановки!$B$3:$B$467,0),1)</f>
        <v>55</v>
      </c>
      <c r="R3041" s="45" t="s">
        <v>263</v>
      </c>
      <c r="S3041" s="20">
        <v>0.37</v>
      </c>
    </row>
    <row r="3042" spans="8:19" x14ac:dyDescent="0.25">
      <c r="H3042">
        <v>20</v>
      </c>
      <c r="I3042">
        <v>153</v>
      </c>
      <c r="J3042">
        <v>110</v>
      </c>
      <c r="K3042" t="b">
        <v>1</v>
      </c>
      <c r="N3042" s="30" t="s">
        <v>624</v>
      </c>
      <c r="O3042" s="2">
        <f>INDEX(Маршруты,MATCH(N3042,$B$3:$B$498,0),1)</f>
        <v>126</v>
      </c>
      <c r="P3042" s="27">
        <v>42</v>
      </c>
      <c r="Q3042" s="2">
        <f>INDEX(Остановки,MATCH(R3042,ИД_Остановки!$B$3:$B$467,0),1)</f>
        <v>56</v>
      </c>
      <c r="R3042" s="45" t="s">
        <v>264</v>
      </c>
      <c r="S3042" s="20">
        <v>0.86</v>
      </c>
    </row>
    <row r="3043" spans="8:19" x14ac:dyDescent="0.25">
      <c r="H3043">
        <v>20</v>
      </c>
      <c r="I3043">
        <v>162</v>
      </c>
      <c r="J3043">
        <v>110</v>
      </c>
      <c r="K3043" t="b">
        <v>1</v>
      </c>
      <c r="N3043" s="25" t="s">
        <v>624</v>
      </c>
      <c r="O3043" s="2">
        <f>INDEX(Маршруты,MATCH(N3043,$B$3:$B$498,0),1)</f>
        <v>126</v>
      </c>
      <c r="P3043" s="28">
        <v>43</v>
      </c>
      <c r="Q3043" s="2">
        <f>INDEX(Остановки,MATCH(R3043,ИД_Остановки!$B$3:$B$467,0),1)</f>
        <v>57</v>
      </c>
      <c r="R3043" s="24" t="s">
        <v>47</v>
      </c>
      <c r="S3043" s="20">
        <v>0.48</v>
      </c>
    </row>
    <row r="3044" spans="8:19" x14ac:dyDescent="0.25">
      <c r="H3044">
        <v>20</v>
      </c>
      <c r="I3044">
        <v>171</v>
      </c>
      <c r="J3044">
        <v>110</v>
      </c>
      <c r="K3044" t="b">
        <v>1</v>
      </c>
      <c r="N3044" s="25" t="s">
        <v>624</v>
      </c>
      <c r="O3044" s="2">
        <f>INDEX(Маршруты,MATCH(N3044,$B$3:$B$498,0),1)</f>
        <v>126</v>
      </c>
      <c r="P3044" s="28">
        <v>44</v>
      </c>
      <c r="Q3044" s="2">
        <f>INDEX(Остановки,MATCH(R3044,ИД_Остановки!$B$3:$B$467,0),1)</f>
        <v>116</v>
      </c>
      <c r="R3044" s="24" t="s">
        <v>75</v>
      </c>
      <c r="S3044" s="20">
        <v>0.83</v>
      </c>
    </row>
    <row r="3045" spans="8:19" x14ac:dyDescent="0.25">
      <c r="H3045">
        <v>20</v>
      </c>
      <c r="I3045">
        <v>180</v>
      </c>
      <c r="J3045">
        <v>110</v>
      </c>
      <c r="K3045" t="b">
        <v>1</v>
      </c>
      <c r="N3045" s="14" t="s">
        <v>624</v>
      </c>
      <c r="O3045" s="2">
        <f>INDEX(Маршруты,MATCH(N3045,$B$3:$B$498,0),1)</f>
        <v>126</v>
      </c>
      <c r="P3045" s="27">
        <v>45</v>
      </c>
      <c r="Q3045" s="2">
        <f>INDEX(Остановки,MATCH(R3045,ИД_Остановки!$B$3:$B$467,0),1)</f>
        <v>59</v>
      </c>
      <c r="R3045" s="45" t="s">
        <v>48</v>
      </c>
      <c r="S3045" s="20">
        <v>0.3</v>
      </c>
    </row>
    <row r="3046" spans="8:19" x14ac:dyDescent="0.25">
      <c r="H3046">
        <v>20</v>
      </c>
      <c r="I3046">
        <v>189</v>
      </c>
      <c r="J3046">
        <v>110</v>
      </c>
      <c r="K3046" t="b">
        <v>1</v>
      </c>
      <c r="N3046" s="26" t="s">
        <v>624</v>
      </c>
      <c r="O3046" s="2">
        <f>INDEX(Маршруты,MATCH(N3046,$B$3:$B$498,0),1)</f>
        <v>126</v>
      </c>
      <c r="P3046" s="27">
        <v>46</v>
      </c>
      <c r="Q3046" s="2">
        <f>INDEX(Остановки,MATCH(R3046,ИД_Остановки!$B$3:$B$467,0),1)</f>
        <v>60</v>
      </c>
      <c r="R3046" s="45" t="s">
        <v>266</v>
      </c>
      <c r="S3046" s="20">
        <v>0.56999999999999995</v>
      </c>
    </row>
    <row r="3047" spans="8:19" x14ac:dyDescent="0.25">
      <c r="H3047">
        <v>20</v>
      </c>
      <c r="I3047">
        <v>198</v>
      </c>
      <c r="J3047">
        <v>110</v>
      </c>
      <c r="K3047" t="b">
        <v>1</v>
      </c>
      <c r="N3047" s="30" t="s">
        <v>624</v>
      </c>
      <c r="O3047" s="2">
        <f>INDEX(Маршруты,MATCH(N3047,$B$3:$B$498,0),1)</f>
        <v>126</v>
      </c>
      <c r="P3047" s="27">
        <v>47</v>
      </c>
      <c r="Q3047" s="2">
        <f>INDEX(Остановки,MATCH(R3047,ИД_Остановки!$B$3:$B$467,0),1)</f>
        <v>61</v>
      </c>
      <c r="R3047" s="45" t="s">
        <v>267</v>
      </c>
      <c r="S3047" s="20">
        <v>0.42</v>
      </c>
    </row>
    <row r="3048" spans="8:19" x14ac:dyDescent="0.25">
      <c r="H3048">
        <v>20</v>
      </c>
      <c r="I3048">
        <v>207</v>
      </c>
      <c r="J3048">
        <v>110</v>
      </c>
      <c r="K3048" t="b">
        <v>1</v>
      </c>
      <c r="N3048" s="26" t="s">
        <v>624</v>
      </c>
      <c r="O3048" s="2">
        <f>INDEX(Маршруты,MATCH(N3048,$B$3:$B$498,0),1)</f>
        <v>126</v>
      </c>
      <c r="P3048" s="27">
        <v>48</v>
      </c>
      <c r="Q3048" s="2">
        <f>INDEX(Остановки,MATCH(R3048,ИД_Остановки!$B$3:$B$467,0),1)</f>
        <v>62</v>
      </c>
      <c r="R3048" s="45" t="s">
        <v>49</v>
      </c>
      <c r="S3048" s="20">
        <v>0.49</v>
      </c>
    </row>
    <row r="3049" spans="8:19" x14ac:dyDescent="0.25">
      <c r="H3049">
        <v>20</v>
      </c>
      <c r="I3049">
        <v>216</v>
      </c>
      <c r="J3049">
        <v>110</v>
      </c>
      <c r="K3049" t="b">
        <v>1</v>
      </c>
      <c r="N3049" s="25" t="s">
        <v>624</v>
      </c>
      <c r="O3049" s="2">
        <f>INDEX(Маршруты,MATCH(N3049,$B$3:$B$498,0),1)</f>
        <v>126</v>
      </c>
      <c r="P3049" s="27">
        <v>49</v>
      </c>
      <c r="Q3049" s="2">
        <f>INDEX(Остановки,MATCH(R3049,ИД_Остановки!$B$3:$B$467,0),1)</f>
        <v>63</v>
      </c>
      <c r="R3049" s="45" t="s">
        <v>268</v>
      </c>
      <c r="S3049" s="20">
        <v>0.56999999999999995</v>
      </c>
    </row>
    <row r="3050" spans="8:19" x14ac:dyDescent="0.25">
      <c r="H3050">
        <v>20</v>
      </c>
      <c r="I3050">
        <v>225</v>
      </c>
      <c r="J3050">
        <v>110</v>
      </c>
      <c r="K3050" t="b">
        <v>1</v>
      </c>
      <c r="N3050" s="25" t="s">
        <v>624</v>
      </c>
      <c r="O3050" s="2">
        <f>INDEX(Маршруты,MATCH(N3050,$B$3:$B$498,0),1)</f>
        <v>126</v>
      </c>
      <c r="P3050" s="28">
        <v>50</v>
      </c>
      <c r="Q3050" s="2">
        <f>INDEX(Остановки,MATCH(R3050,ИД_Остановки!$B$3:$B$467,0),1)</f>
        <v>64</v>
      </c>
      <c r="R3050" s="24" t="s">
        <v>50</v>
      </c>
      <c r="S3050" s="20">
        <v>0.5</v>
      </c>
    </row>
    <row r="3051" spans="8:19" x14ac:dyDescent="0.25">
      <c r="H3051">
        <v>20</v>
      </c>
      <c r="I3051">
        <v>234</v>
      </c>
      <c r="J3051">
        <v>110</v>
      </c>
      <c r="K3051" t="b">
        <v>1</v>
      </c>
      <c r="N3051" s="25" t="s">
        <v>624</v>
      </c>
      <c r="O3051" s="2">
        <f>INDEX(Маршруты,MATCH(N3051,$B$3:$B$498,0),1)</f>
        <v>126</v>
      </c>
      <c r="P3051" s="27">
        <v>51</v>
      </c>
      <c r="Q3051" s="2">
        <f>INDEX(Остановки,MATCH(R3051,ИД_Остановки!$B$3:$B$467,0),1)</f>
        <v>65</v>
      </c>
      <c r="R3051" s="45" t="s">
        <v>52</v>
      </c>
      <c r="S3051" s="20">
        <v>0.77</v>
      </c>
    </row>
    <row r="3052" spans="8:19" x14ac:dyDescent="0.25">
      <c r="H3052">
        <v>20</v>
      </c>
      <c r="I3052">
        <v>243</v>
      </c>
      <c r="J3052">
        <v>110</v>
      </c>
      <c r="K3052" t="b">
        <v>1</v>
      </c>
      <c r="N3052" s="25" t="s">
        <v>624</v>
      </c>
      <c r="O3052" s="2">
        <f>INDEX(Маршруты,MATCH(N3052,$B$3:$B$498,0),1)</f>
        <v>126</v>
      </c>
      <c r="P3052" s="27">
        <v>52</v>
      </c>
      <c r="Q3052" s="2">
        <f>INDEX(Остановки,MATCH(R3052,ИД_Остановки!$B$3:$B$467,0),1)</f>
        <v>67</v>
      </c>
      <c r="R3052" s="45" t="s">
        <v>54</v>
      </c>
      <c r="S3052" s="20">
        <v>0.73</v>
      </c>
    </row>
    <row r="3053" spans="8:19" x14ac:dyDescent="0.25">
      <c r="H3053">
        <v>20</v>
      </c>
      <c r="I3053">
        <v>252</v>
      </c>
      <c r="J3053">
        <v>110</v>
      </c>
      <c r="K3053" t="b">
        <v>1</v>
      </c>
      <c r="N3053" s="25" t="s">
        <v>624</v>
      </c>
      <c r="O3053" s="2">
        <f>INDEX(Маршруты,MATCH(N3053,$B$3:$B$498,0),1)</f>
        <v>126</v>
      </c>
      <c r="P3053" s="28">
        <v>53</v>
      </c>
      <c r="Q3053" s="2">
        <f>INDEX(Остановки,MATCH(R3053,ИД_Остановки!$B$3:$B$467,0),1)</f>
        <v>68</v>
      </c>
      <c r="R3053" s="24" t="s">
        <v>55</v>
      </c>
      <c r="S3053" s="20">
        <v>0.93</v>
      </c>
    </row>
    <row r="3054" spans="8:19" x14ac:dyDescent="0.25">
      <c r="H3054">
        <v>20</v>
      </c>
      <c r="I3054">
        <v>261</v>
      </c>
      <c r="J3054">
        <v>110</v>
      </c>
      <c r="K3054" t="b">
        <v>1</v>
      </c>
      <c r="N3054" s="30" t="s">
        <v>624</v>
      </c>
      <c r="O3054" s="2">
        <f>INDEX(Маршруты,MATCH(N3054,$B$3:$B$498,0),1)</f>
        <v>126</v>
      </c>
      <c r="P3054" s="27">
        <v>54</v>
      </c>
      <c r="Q3054" s="2">
        <f>INDEX(Остановки,MATCH(R3054,ИД_Остановки!$B$3:$B$467,0),1)</f>
        <v>69</v>
      </c>
      <c r="R3054" s="45" t="s">
        <v>269</v>
      </c>
      <c r="S3054" s="20">
        <v>0.64</v>
      </c>
    </row>
    <row r="3055" spans="8:19" x14ac:dyDescent="0.25">
      <c r="H3055">
        <v>20</v>
      </c>
      <c r="I3055">
        <v>270</v>
      </c>
      <c r="J3055">
        <v>110</v>
      </c>
      <c r="K3055" t="b">
        <v>1</v>
      </c>
      <c r="N3055" s="30" t="s">
        <v>594</v>
      </c>
      <c r="O3055" s="2">
        <f>INDEX(Маршруты,MATCH(N3055,$B$3:$B$498,0),1)</f>
        <v>127</v>
      </c>
      <c r="P3055" s="28">
        <v>1</v>
      </c>
      <c r="Q3055" s="2">
        <f>INDEX(Остановки,MATCH(R3055,ИД_Остановки!$B$3:$B$467,0),1)</f>
        <v>123</v>
      </c>
      <c r="R3055" s="24" t="s">
        <v>301</v>
      </c>
      <c r="S3055" s="20"/>
    </row>
    <row r="3056" spans="8:19" x14ac:dyDescent="0.25">
      <c r="H3056">
        <v>20</v>
      </c>
      <c r="I3056">
        <v>279</v>
      </c>
      <c r="J3056">
        <v>110</v>
      </c>
      <c r="K3056" t="b">
        <v>1</v>
      </c>
      <c r="N3056" s="30" t="s">
        <v>594</v>
      </c>
      <c r="O3056" s="2">
        <f>INDEX(Маршруты,MATCH(N3056,$B$3:$B$498,0),1)</f>
        <v>127</v>
      </c>
      <c r="P3056" s="27">
        <v>2</v>
      </c>
      <c r="Q3056" s="2">
        <f>INDEX(Остановки,MATCH(R3056,ИД_Остановки!$B$3:$B$467,0),1)</f>
        <v>96</v>
      </c>
      <c r="R3056" s="45" t="s">
        <v>285</v>
      </c>
      <c r="S3056" s="20">
        <v>0.6</v>
      </c>
    </row>
    <row r="3057" spans="8:19" x14ac:dyDescent="0.25">
      <c r="H3057">
        <v>20</v>
      </c>
      <c r="I3057">
        <v>288</v>
      </c>
      <c r="J3057">
        <v>110</v>
      </c>
      <c r="K3057" t="b">
        <v>1</v>
      </c>
      <c r="N3057" s="30" t="s">
        <v>594</v>
      </c>
      <c r="O3057" s="2">
        <f>INDEX(Маршруты,MATCH(N3057,$B$3:$B$498,0),1)</f>
        <v>127</v>
      </c>
      <c r="P3057" s="28">
        <v>3</v>
      </c>
      <c r="Q3057" s="2">
        <f>INDEX(Остановки,MATCH(R3057,ИД_Остановки!$B$3:$B$467,0),1)</f>
        <v>122</v>
      </c>
      <c r="R3057" s="24" t="s">
        <v>77</v>
      </c>
      <c r="S3057" s="20">
        <v>0.52</v>
      </c>
    </row>
    <row r="3058" spans="8:19" x14ac:dyDescent="0.25">
      <c r="H3058">
        <v>20</v>
      </c>
      <c r="I3058">
        <v>297</v>
      </c>
      <c r="J3058">
        <v>110</v>
      </c>
      <c r="K3058" t="b">
        <v>1</v>
      </c>
      <c r="N3058" s="30" t="s">
        <v>594</v>
      </c>
      <c r="O3058" s="2">
        <f>INDEX(Маршруты,MATCH(N3058,$B$3:$B$498,0),1)</f>
        <v>127</v>
      </c>
      <c r="P3058" s="27">
        <v>4</v>
      </c>
      <c r="Q3058" s="2">
        <f>INDEX(Остановки,MATCH(R3058,ИД_Остановки!$B$3:$B$467,0),1)</f>
        <v>121</v>
      </c>
      <c r="R3058" s="45" t="s">
        <v>76</v>
      </c>
      <c r="S3058" s="20">
        <v>0.32</v>
      </c>
    </row>
    <row r="3059" spans="8:19" x14ac:dyDescent="0.25">
      <c r="H3059">
        <v>20</v>
      </c>
      <c r="I3059">
        <v>306</v>
      </c>
      <c r="J3059">
        <v>110</v>
      </c>
      <c r="K3059" t="b">
        <v>1</v>
      </c>
      <c r="N3059" s="25" t="s">
        <v>594</v>
      </c>
      <c r="O3059" s="2">
        <f>INDEX(Маршруты,MATCH(N3059,$B$3:$B$498,0),1)</f>
        <v>127</v>
      </c>
      <c r="P3059" s="27">
        <v>5</v>
      </c>
      <c r="Q3059" s="2">
        <f>INDEX(Остановки,MATCH(R3059,ИД_Остановки!$B$3:$B$467,0),1)</f>
        <v>120</v>
      </c>
      <c r="R3059" s="24" t="s">
        <v>300</v>
      </c>
      <c r="S3059" s="20">
        <v>0.31</v>
      </c>
    </row>
    <row r="3060" spans="8:19" x14ac:dyDescent="0.25">
      <c r="H3060">
        <v>20</v>
      </c>
      <c r="I3060">
        <v>315</v>
      </c>
      <c r="J3060">
        <v>110</v>
      </c>
      <c r="K3060" t="b">
        <v>1</v>
      </c>
      <c r="N3060" s="25" t="s">
        <v>594</v>
      </c>
      <c r="O3060" s="2">
        <f>INDEX(Маршруты,MATCH(N3060,$B$3:$B$498,0),1)</f>
        <v>127</v>
      </c>
      <c r="P3060" s="27">
        <v>6</v>
      </c>
      <c r="Q3060" s="2">
        <f>INDEX(Остановки,MATCH(R3060,ИД_Остановки!$B$3:$B$467,0),1)</f>
        <v>119</v>
      </c>
      <c r="R3060" s="45" t="s">
        <v>165</v>
      </c>
      <c r="S3060" s="20">
        <v>1.1200000000000001</v>
      </c>
    </row>
    <row r="3061" spans="8:19" x14ac:dyDescent="0.25">
      <c r="H3061">
        <v>20</v>
      </c>
      <c r="I3061">
        <v>324</v>
      </c>
      <c r="J3061">
        <v>110</v>
      </c>
      <c r="K3061" t="b">
        <v>1</v>
      </c>
      <c r="N3061" s="25" t="s">
        <v>594</v>
      </c>
      <c r="O3061" s="2">
        <f>INDEX(Маршруты,MATCH(N3061,$B$3:$B$498,0),1)</f>
        <v>127</v>
      </c>
      <c r="P3061" s="27">
        <v>7</v>
      </c>
      <c r="Q3061" s="2">
        <f>INDEX(Остановки,MATCH(R3061,ИД_Остановки!$B$3:$B$467,0),1)</f>
        <v>117</v>
      </c>
      <c r="R3061" s="45" t="s">
        <v>298</v>
      </c>
      <c r="S3061" s="20">
        <v>0.79</v>
      </c>
    </row>
    <row r="3062" spans="8:19" x14ac:dyDescent="0.25">
      <c r="H3062">
        <v>20</v>
      </c>
      <c r="I3062">
        <v>333</v>
      </c>
      <c r="J3062">
        <v>110</v>
      </c>
      <c r="K3062" t="b">
        <v>1</v>
      </c>
      <c r="N3062" s="25" t="s">
        <v>594</v>
      </c>
      <c r="O3062" s="2">
        <f>INDEX(Маршруты,MATCH(N3062,$B$3:$B$498,0),1)</f>
        <v>127</v>
      </c>
      <c r="P3062" s="27">
        <v>8</v>
      </c>
      <c r="Q3062" s="2">
        <f>INDEX(Остановки,MATCH(R3062,ИД_Остановки!$B$3:$B$467,0),1)</f>
        <v>335</v>
      </c>
      <c r="R3062" s="45" t="s">
        <v>191</v>
      </c>
      <c r="S3062" s="20">
        <v>0.41</v>
      </c>
    </row>
    <row r="3063" spans="8:19" x14ac:dyDescent="0.25">
      <c r="H3063">
        <v>20</v>
      </c>
      <c r="I3063">
        <v>342</v>
      </c>
      <c r="J3063">
        <v>110</v>
      </c>
      <c r="K3063" t="b">
        <v>1</v>
      </c>
      <c r="N3063" s="25" t="s">
        <v>594</v>
      </c>
      <c r="O3063" s="2">
        <f>INDEX(Маршруты,MATCH(N3063,$B$3:$B$498,0),1)</f>
        <v>127</v>
      </c>
      <c r="P3063" s="27">
        <v>9</v>
      </c>
      <c r="Q3063" s="2">
        <f>INDEX(Остановки,MATCH(R3063,ИД_Остановки!$B$3:$B$467,0),1)</f>
        <v>115</v>
      </c>
      <c r="R3063" s="24" t="s">
        <v>74</v>
      </c>
      <c r="S3063" s="20">
        <v>0.67</v>
      </c>
    </row>
    <row r="3064" spans="8:19" x14ac:dyDescent="0.25">
      <c r="H3064">
        <v>20</v>
      </c>
      <c r="I3064">
        <v>351</v>
      </c>
      <c r="J3064">
        <v>110</v>
      </c>
      <c r="K3064" t="b">
        <v>1</v>
      </c>
      <c r="N3064" s="25" t="s">
        <v>594</v>
      </c>
      <c r="O3064" s="2">
        <f>INDEX(Маршруты,MATCH(N3064,$B$3:$B$498,0),1)</f>
        <v>127</v>
      </c>
      <c r="P3064" s="27">
        <v>10</v>
      </c>
      <c r="Q3064" s="2">
        <f>INDEX(Остановки,MATCH(R3064,ИД_Остановки!$B$3:$B$467,0),1)</f>
        <v>114</v>
      </c>
      <c r="R3064" s="45" t="s">
        <v>297</v>
      </c>
      <c r="S3064" s="20">
        <v>0.37</v>
      </c>
    </row>
    <row r="3065" spans="8:19" x14ac:dyDescent="0.25">
      <c r="H3065">
        <v>20</v>
      </c>
      <c r="I3065">
        <v>360</v>
      </c>
      <c r="J3065">
        <v>110</v>
      </c>
      <c r="K3065" t="b">
        <v>1</v>
      </c>
      <c r="N3065" s="25" t="s">
        <v>594</v>
      </c>
      <c r="O3065" s="2">
        <f>INDEX(Маршруты,MATCH(N3065,$B$3:$B$498,0),1)</f>
        <v>127</v>
      </c>
      <c r="P3065" s="27">
        <v>11</v>
      </c>
      <c r="Q3065" s="2">
        <f>INDEX(Остановки,MATCH(R3065,ИД_Остановки!$B$3:$B$467,0),1)</f>
        <v>126</v>
      </c>
      <c r="R3065" s="45" t="s">
        <v>303</v>
      </c>
      <c r="S3065" s="20">
        <v>0.53</v>
      </c>
    </row>
    <row r="3066" spans="8:19" x14ac:dyDescent="0.25">
      <c r="H3066">
        <v>20</v>
      </c>
      <c r="I3066">
        <v>369</v>
      </c>
      <c r="J3066">
        <v>110</v>
      </c>
      <c r="K3066" t="b">
        <v>1</v>
      </c>
      <c r="N3066" s="30" t="s">
        <v>594</v>
      </c>
      <c r="O3066" s="2">
        <f>INDEX(Маршруты,MATCH(N3066,$B$3:$B$498,0),1)</f>
        <v>127</v>
      </c>
      <c r="P3066" s="27">
        <v>12</v>
      </c>
      <c r="Q3066" s="2">
        <f>INDEX(Остановки,MATCH(R3066,ИД_Остановки!$B$3:$B$467,0),1)</f>
        <v>112</v>
      </c>
      <c r="R3066" s="45" t="s">
        <v>295</v>
      </c>
      <c r="S3066" s="20">
        <v>0.49</v>
      </c>
    </row>
    <row r="3067" spans="8:19" x14ac:dyDescent="0.25">
      <c r="H3067">
        <v>20</v>
      </c>
      <c r="I3067">
        <v>378</v>
      </c>
      <c r="J3067">
        <v>110</v>
      </c>
      <c r="K3067" t="b">
        <v>1</v>
      </c>
      <c r="N3067" s="30" t="s">
        <v>594</v>
      </c>
      <c r="O3067" s="2">
        <f>INDEX(Маршруты,MATCH(N3067,$B$3:$B$498,0),1)</f>
        <v>127</v>
      </c>
      <c r="P3067" s="27">
        <v>13</v>
      </c>
      <c r="Q3067" s="2">
        <f>INDEX(Остановки,MATCH(R3067,ИД_Остановки!$B$3:$B$467,0),1)</f>
        <v>111</v>
      </c>
      <c r="R3067" s="45" t="s">
        <v>73</v>
      </c>
      <c r="S3067" s="20">
        <v>0.38</v>
      </c>
    </row>
    <row r="3068" spans="8:19" x14ac:dyDescent="0.25">
      <c r="H3068">
        <v>20</v>
      </c>
      <c r="I3068">
        <v>387</v>
      </c>
      <c r="J3068">
        <v>110</v>
      </c>
      <c r="K3068" t="b">
        <v>1</v>
      </c>
      <c r="N3068" s="26" t="s">
        <v>594</v>
      </c>
      <c r="O3068" s="2">
        <f>INDEX(Маршруты,MATCH(N3068,$B$3:$B$498,0),1)</f>
        <v>127</v>
      </c>
      <c r="P3068" s="27">
        <v>14</v>
      </c>
      <c r="Q3068" s="2">
        <f>INDEX(Остановки,MATCH(R3068,ИД_Остановки!$B$3:$B$467,0),1)</f>
        <v>110</v>
      </c>
      <c r="R3068" s="45" t="s">
        <v>294</v>
      </c>
      <c r="S3068" s="20">
        <v>0.54</v>
      </c>
    </row>
    <row r="3069" spans="8:19" x14ac:dyDescent="0.25">
      <c r="H3069">
        <v>20</v>
      </c>
      <c r="I3069">
        <v>396</v>
      </c>
      <c r="J3069">
        <v>110</v>
      </c>
      <c r="K3069" t="b">
        <v>1</v>
      </c>
      <c r="N3069" s="25" t="s">
        <v>594</v>
      </c>
      <c r="O3069" s="2">
        <f>INDEX(Маршруты,MATCH(N3069,$B$3:$B$498,0),1)</f>
        <v>127</v>
      </c>
      <c r="P3069" s="28">
        <v>15</v>
      </c>
      <c r="Q3069" s="2">
        <f>INDEX(Остановки,MATCH(R3069,ИД_Остановки!$B$3:$B$467,0),1)</f>
        <v>109</v>
      </c>
      <c r="R3069" s="24" t="s">
        <v>293</v>
      </c>
      <c r="S3069" s="20">
        <v>0.73</v>
      </c>
    </row>
    <row r="3070" spans="8:19" x14ac:dyDescent="0.25">
      <c r="H3070">
        <v>20</v>
      </c>
      <c r="I3070">
        <v>405</v>
      </c>
      <c r="J3070">
        <v>110</v>
      </c>
      <c r="K3070" t="b">
        <v>1</v>
      </c>
      <c r="N3070" s="25" t="s">
        <v>594</v>
      </c>
      <c r="O3070" s="2">
        <f>INDEX(Маршруты,MATCH(N3070,$B$3:$B$498,0),1)</f>
        <v>127</v>
      </c>
      <c r="P3070" s="27">
        <v>16</v>
      </c>
      <c r="Q3070" s="2">
        <f>INDEX(Остановки,MATCH(R3070,ИД_Остановки!$B$3:$B$467,0),1)</f>
        <v>129</v>
      </c>
      <c r="R3070" s="45" t="s">
        <v>81</v>
      </c>
      <c r="S3070" s="20">
        <v>0.44</v>
      </c>
    </row>
    <row r="3071" spans="8:19" x14ac:dyDescent="0.25">
      <c r="H3071">
        <v>20</v>
      </c>
      <c r="I3071">
        <v>414</v>
      </c>
      <c r="J3071">
        <v>110</v>
      </c>
      <c r="K3071" t="b">
        <v>1</v>
      </c>
      <c r="N3071" s="25" t="s">
        <v>594</v>
      </c>
      <c r="O3071" s="2">
        <f>INDEX(Маршруты,MATCH(N3071,$B$3:$B$498,0),1)</f>
        <v>127</v>
      </c>
      <c r="P3071" s="27">
        <v>17</v>
      </c>
      <c r="Q3071" s="2">
        <f>INDEX(Остановки,MATCH(R3071,ИД_Остановки!$B$3:$B$467,0),1)</f>
        <v>78</v>
      </c>
      <c r="R3071" s="45" t="s">
        <v>277</v>
      </c>
      <c r="S3071" s="20">
        <v>0.47</v>
      </c>
    </row>
    <row r="3072" spans="8:19" x14ac:dyDescent="0.25">
      <c r="H3072">
        <v>20</v>
      </c>
      <c r="I3072">
        <v>423</v>
      </c>
      <c r="J3072">
        <v>110</v>
      </c>
      <c r="K3072" t="b">
        <v>1</v>
      </c>
      <c r="N3072" s="25" t="s">
        <v>594</v>
      </c>
      <c r="O3072" s="2">
        <f>INDEX(Маршруты,MATCH(N3072,$B$3:$B$498,0),1)</f>
        <v>127</v>
      </c>
      <c r="P3072" s="27">
        <v>18</v>
      </c>
      <c r="Q3072" s="2">
        <f>INDEX(Остановки,MATCH(R3072,ИД_Остановки!$B$3:$B$467,0),1)</f>
        <v>77</v>
      </c>
      <c r="R3072" s="45" t="s">
        <v>276</v>
      </c>
      <c r="S3072" s="20">
        <v>0.39</v>
      </c>
    </row>
    <row r="3073" spans="8:19" x14ac:dyDescent="0.25">
      <c r="H3073">
        <v>20</v>
      </c>
      <c r="I3073">
        <v>432</v>
      </c>
      <c r="J3073">
        <v>110</v>
      </c>
      <c r="K3073" t="b">
        <v>1</v>
      </c>
      <c r="N3073" s="30" t="s">
        <v>594</v>
      </c>
      <c r="O3073" s="2">
        <f>INDEX(Маршруты,MATCH(N3073,$B$3:$B$498,0),1)</f>
        <v>127</v>
      </c>
      <c r="P3073" s="27">
        <v>19</v>
      </c>
      <c r="Q3073" s="2">
        <f>INDEX(Остановки,MATCH(R3073,ИД_Остановки!$B$3:$B$467,0),1)</f>
        <v>178</v>
      </c>
      <c r="R3073" s="30" t="s">
        <v>93</v>
      </c>
      <c r="S3073" s="20">
        <v>0.59</v>
      </c>
    </row>
    <row r="3074" spans="8:19" x14ac:dyDescent="0.25">
      <c r="H3074">
        <v>20</v>
      </c>
      <c r="I3074">
        <v>441</v>
      </c>
      <c r="J3074">
        <v>110</v>
      </c>
      <c r="K3074" t="b">
        <v>1</v>
      </c>
      <c r="N3074" s="25" t="s">
        <v>594</v>
      </c>
      <c r="O3074" s="2">
        <f>INDEX(Маршруты,MATCH(N3074,$B$3:$B$498,0),1)</f>
        <v>127</v>
      </c>
      <c r="P3074" s="27">
        <v>20</v>
      </c>
      <c r="Q3074" s="2">
        <f>INDEX(Остановки,MATCH(R3074,ИД_Остановки!$B$3:$B$467,0),1)</f>
        <v>444</v>
      </c>
      <c r="R3074" s="47" t="s">
        <v>650</v>
      </c>
      <c r="S3074" s="20">
        <v>0.34</v>
      </c>
    </row>
    <row r="3075" spans="8:19" x14ac:dyDescent="0.25">
      <c r="H3075">
        <v>20</v>
      </c>
      <c r="I3075">
        <v>450</v>
      </c>
      <c r="J3075">
        <v>110</v>
      </c>
      <c r="K3075" t="b">
        <v>1</v>
      </c>
      <c r="N3075" s="30" t="s">
        <v>594</v>
      </c>
      <c r="O3075" s="2">
        <f>INDEX(Маршруты,MATCH(N3075,$B$3:$B$498,0),1)</f>
        <v>127</v>
      </c>
      <c r="P3075" s="27">
        <v>21</v>
      </c>
      <c r="Q3075" s="2">
        <f>INDEX(Остановки,MATCH(R3075,ИД_Остановки!$B$3:$B$467,0),1)</f>
        <v>177</v>
      </c>
      <c r="R3075" s="47" t="s">
        <v>92</v>
      </c>
      <c r="S3075" s="20">
        <v>0.37</v>
      </c>
    </row>
    <row r="3076" spans="8:19" x14ac:dyDescent="0.25">
      <c r="H3076">
        <v>20</v>
      </c>
      <c r="I3076">
        <v>459</v>
      </c>
      <c r="J3076">
        <v>110</v>
      </c>
      <c r="K3076" t="b">
        <v>1</v>
      </c>
      <c r="N3076" s="30" t="s">
        <v>594</v>
      </c>
      <c r="O3076" s="2">
        <f>INDEX(Маршруты,MATCH(N3076,$B$3:$B$498,0),1)</f>
        <v>127</v>
      </c>
      <c r="P3076" s="27">
        <v>22</v>
      </c>
      <c r="Q3076" s="2">
        <f>INDEX(Остановки,MATCH(R3076,ИД_Остановки!$B$3:$B$467,0),1)</f>
        <v>382</v>
      </c>
      <c r="R3076" s="47" t="s">
        <v>440</v>
      </c>
      <c r="S3076" s="20">
        <v>0.71</v>
      </c>
    </row>
    <row r="3077" spans="8:19" x14ac:dyDescent="0.25">
      <c r="H3077">
        <v>20</v>
      </c>
      <c r="I3077">
        <v>468</v>
      </c>
      <c r="J3077">
        <v>110</v>
      </c>
      <c r="K3077" t="b">
        <v>1</v>
      </c>
      <c r="N3077" s="30" t="s">
        <v>594</v>
      </c>
      <c r="O3077" s="2">
        <f>INDEX(Маршруты,MATCH(N3077,$B$3:$B$498,0),1)</f>
        <v>127</v>
      </c>
      <c r="P3077" s="27">
        <v>23</v>
      </c>
      <c r="Q3077" s="2">
        <f>INDEX(Остановки,MATCH(R3077,ИД_Остановки!$B$3:$B$467,0),1)</f>
        <v>147</v>
      </c>
      <c r="R3077" s="47" t="s">
        <v>316</v>
      </c>
      <c r="S3077" s="20">
        <v>0.39</v>
      </c>
    </row>
    <row r="3078" spans="8:19" x14ac:dyDescent="0.25">
      <c r="H3078">
        <v>20</v>
      </c>
      <c r="I3078">
        <v>477</v>
      </c>
      <c r="J3078">
        <v>110</v>
      </c>
      <c r="K3078" t="b">
        <v>1</v>
      </c>
      <c r="N3078" s="30" t="s">
        <v>594</v>
      </c>
      <c r="O3078" s="2">
        <f>INDEX(Маршруты,MATCH(N3078,$B$3:$B$498,0),1)</f>
        <v>127</v>
      </c>
      <c r="P3078" s="27">
        <v>24</v>
      </c>
      <c r="Q3078" s="2">
        <f>INDEX(Остановки,MATCH(R3078,ИД_Остановки!$B$3:$B$467,0),1)</f>
        <v>383</v>
      </c>
      <c r="R3078" s="47" t="s">
        <v>441</v>
      </c>
      <c r="S3078" s="20">
        <v>0.47</v>
      </c>
    </row>
    <row r="3079" spans="8:19" x14ac:dyDescent="0.25">
      <c r="H3079">
        <v>20</v>
      </c>
      <c r="I3079">
        <v>486</v>
      </c>
      <c r="J3079">
        <v>110</v>
      </c>
      <c r="K3079" t="b">
        <v>1</v>
      </c>
      <c r="N3079" s="30" t="s">
        <v>594</v>
      </c>
      <c r="O3079" s="2">
        <f>INDEX(Маршруты,MATCH(N3079,$B$3:$B$498,0),1)</f>
        <v>127</v>
      </c>
      <c r="P3079" s="27">
        <v>25</v>
      </c>
      <c r="Q3079" s="2">
        <f>INDEX(Остановки,MATCH(R3079,ИД_Остановки!$B$3:$B$467,0),1)</f>
        <v>187</v>
      </c>
      <c r="R3079" s="47" t="s">
        <v>113</v>
      </c>
      <c r="S3079" s="20">
        <v>0.49</v>
      </c>
    </row>
    <row r="3080" spans="8:19" x14ac:dyDescent="0.25">
      <c r="H3080">
        <v>20</v>
      </c>
      <c r="I3080">
        <v>495</v>
      </c>
      <c r="J3080">
        <v>110</v>
      </c>
      <c r="K3080" t="b">
        <v>1</v>
      </c>
      <c r="N3080" s="25" t="s">
        <v>594</v>
      </c>
      <c r="O3080" s="2">
        <f>INDEX(Маршруты,MATCH(N3080,$B$3:$B$498,0),1)</f>
        <v>127</v>
      </c>
      <c r="P3080" s="27">
        <v>26</v>
      </c>
      <c r="Q3080" s="2">
        <f>INDEX(Остановки,MATCH(R3080,ИД_Остановки!$B$3:$B$467,0),1)</f>
        <v>390</v>
      </c>
      <c r="R3080" s="47" t="s">
        <v>447</v>
      </c>
      <c r="S3080" s="20">
        <v>2.3199999999999998</v>
      </c>
    </row>
    <row r="3081" spans="8:19" x14ac:dyDescent="0.25">
      <c r="H3081">
        <v>20</v>
      </c>
      <c r="I3081">
        <v>504</v>
      </c>
      <c r="J3081">
        <v>110</v>
      </c>
      <c r="K3081" t="b">
        <v>1</v>
      </c>
      <c r="N3081" s="26" t="s">
        <v>594</v>
      </c>
      <c r="O3081" s="2">
        <f>INDEX(Маршруты,MATCH(N3081,$B$3:$B$498,0),1)</f>
        <v>127</v>
      </c>
      <c r="P3081" s="27">
        <v>27</v>
      </c>
      <c r="Q3081" s="2">
        <f>INDEX(Остановки,MATCH(R3081,ИД_Остановки!$B$3:$B$467,0),1)</f>
        <v>142</v>
      </c>
      <c r="R3081" s="47" t="s">
        <v>314</v>
      </c>
      <c r="S3081" s="20">
        <v>0.82</v>
      </c>
    </row>
    <row r="3082" spans="8:19" x14ac:dyDescent="0.25">
      <c r="H3082">
        <v>20</v>
      </c>
      <c r="I3082">
        <v>513</v>
      </c>
      <c r="J3082">
        <v>110</v>
      </c>
      <c r="K3082" t="b">
        <v>1</v>
      </c>
      <c r="N3082" s="25" t="s">
        <v>594</v>
      </c>
      <c r="O3082" s="2">
        <f>INDEX(Маршруты,MATCH(N3082,$B$3:$B$498,0),1)</f>
        <v>127</v>
      </c>
      <c r="P3082" s="27">
        <v>28</v>
      </c>
      <c r="Q3082" s="2">
        <f>INDEX(Остановки,MATCH(R3082,ИД_Остановки!$B$3:$B$467,0),1)</f>
        <v>300</v>
      </c>
      <c r="R3082" s="47" t="s">
        <v>169</v>
      </c>
      <c r="S3082" s="20">
        <v>0.37</v>
      </c>
    </row>
    <row r="3083" spans="8:19" x14ac:dyDescent="0.25">
      <c r="H3083">
        <v>20</v>
      </c>
      <c r="I3083">
        <v>522</v>
      </c>
      <c r="J3083">
        <v>110</v>
      </c>
      <c r="K3083" t="b">
        <v>1</v>
      </c>
      <c r="N3083" s="25" t="s">
        <v>594</v>
      </c>
      <c r="O3083" s="2">
        <f>INDEX(Маршруты,MATCH(N3083,$B$3:$B$498,0),1)</f>
        <v>127</v>
      </c>
      <c r="P3083" s="27">
        <v>29</v>
      </c>
      <c r="Q3083" s="2">
        <f>INDEX(Остановки,MATCH(R3083,ИД_Остановки!$B$3:$B$467,0),1)</f>
        <v>301</v>
      </c>
      <c r="R3083" s="30" t="s">
        <v>393</v>
      </c>
      <c r="S3083" s="20">
        <v>0.69</v>
      </c>
    </row>
    <row r="3084" spans="8:19" x14ac:dyDescent="0.25">
      <c r="H3084">
        <v>20</v>
      </c>
      <c r="I3084">
        <v>531</v>
      </c>
      <c r="J3084">
        <v>110</v>
      </c>
      <c r="K3084" t="b">
        <v>1</v>
      </c>
      <c r="N3084" s="25" t="s">
        <v>594</v>
      </c>
      <c r="O3084" s="2">
        <f>INDEX(Маршруты,MATCH(N3084,$B$3:$B$498,0),1)</f>
        <v>127</v>
      </c>
      <c r="P3084" s="27">
        <v>30</v>
      </c>
      <c r="Q3084" s="2">
        <f>INDEX(Остановки,MATCH(R3084,ИД_Остановки!$B$3:$B$467,0),1)</f>
        <v>44</v>
      </c>
      <c r="R3084" s="47" t="s">
        <v>258</v>
      </c>
      <c r="S3084" s="20">
        <v>0.62</v>
      </c>
    </row>
    <row r="3085" spans="8:19" x14ac:dyDescent="0.25">
      <c r="H3085">
        <v>20</v>
      </c>
      <c r="I3085">
        <v>540</v>
      </c>
      <c r="J3085">
        <v>110</v>
      </c>
      <c r="K3085" t="b">
        <v>1</v>
      </c>
      <c r="N3085" s="30" t="s">
        <v>595</v>
      </c>
      <c r="O3085" s="2">
        <f>INDEX(Маршруты,MATCH(N3085,$B$3:$B$498,0),1)</f>
        <v>128</v>
      </c>
      <c r="P3085" s="27">
        <v>1</v>
      </c>
      <c r="Q3085" s="2">
        <f>INDEX(Остановки,MATCH(R3085,ИД_Остановки!$B$3:$B$467,0),1)</f>
        <v>44</v>
      </c>
      <c r="R3085" s="47" t="s">
        <v>258</v>
      </c>
      <c r="S3085" s="20"/>
    </row>
    <row r="3086" spans="8:19" x14ac:dyDescent="0.25">
      <c r="H3086">
        <v>20</v>
      </c>
      <c r="I3086">
        <v>549</v>
      </c>
      <c r="J3086">
        <v>110</v>
      </c>
      <c r="K3086" t="b">
        <v>1</v>
      </c>
      <c r="N3086" s="30" t="s">
        <v>595</v>
      </c>
      <c r="O3086" s="2">
        <f>INDEX(Маршруты,MATCH(N3086,$B$3:$B$498,0),1)</f>
        <v>128</v>
      </c>
      <c r="P3086" s="27">
        <v>2</v>
      </c>
      <c r="Q3086" s="2">
        <f>INDEX(Остановки,MATCH(R3086,ИД_Остановки!$B$3:$B$467,0),1)</f>
        <v>301</v>
      </c>
      <c r="R3086" s="47" t="s">
        <v>393</v>
      </c>
      <c r="S3086" s="20">
        <v>0.62</v>
      </c>
    </row>
    <row r="3087" spans="8:19" x14ac:dyDescent="0.25">
      <c r="H3087">
        <v>20</v>
      </c>
      <c r="I3087">
        <v>558</v>
      </c>
      <c r="J3087">
        <v>110</v>
      </c>
      <c r="K3087" t="b">
        <v>1</v>
      </c>
      <c r="N3087" s="30" t="s">
        <v>595</v>
      </c>
      <c r="O3087" s="2">
        <f>INDEX(Маршруты,MATCH(N3087,$B$3:$B$498,0),1)</f>
        <v>128</v>
      </c>
      <c r="P3087" s="27">
        <v>3</v>
      </c>
      <c r="Q3087" s="2">
        <f>INDEX(Остановки,MATCH(R3087,ИД_Остановки!$B$3:$B$467,0),1)</f>
        <v>300</v>
      </c>
      <c r="R3087" s="47" t="s">
        <v>169</v>
      </c>
      <c r="S3087" s="20">
        <v>0.69</v>
      </c>
    </row>
    <row r="3088" spans="8:19" x14ac:dyDescent="0.25">
      <c r="H3088">
        <v>20</v>
      </c>
      <c r="I3088">
        <v>567</v>
      </c>
      <c r="J3088">
        <v>110</v>
      </c>
      <c r="K3088" t="b">
        <v>1</v>
      </c>
      <c r="N3088" s="25" t="s">
        <v>595</v>
      </c>
      <c r="O3088" s="2">
        <f>INDEX(Маршруты,MATCH(N3088,$B$3:$B$498,0),1)</f>
        <v>128</v>
      </c>
      <c r="P3088" s="27">
        <v>4</v>
      </c>
      <c r="Q3088" s="2">
        <f>INDEX(Остановки,MATCH(R3088,ИД_Остановки!$B$3:$B$467,0),1)</f>
        <v>142</v>
      </c>
      <c r="R3088" s="47" t="s">
        <v>314</v>
      </c>
      <c r="S3088" s="20">
        <v>0.37</v>
      </c>
    </row>
    <row r="3089" spans="8:19" x14ac:dyDescent="0.25">
      <c r="H3089">
        <v>20</v>
      </c>
      <c r="I3089">
        <v>576</v>
      </c>
      <c r="J3089">
        <v>110</v>
      </c>
      <c r="K3089" t="b">
        <v>1</v>
      </c>
      <c r="N3089" s="26" t="s">
        <v>595</v>
      </c>
      <c r="O3089" s="2">
        <f>INDEX(Маршруты,MATCH(N3089,$B$3:$B$498,0),1)</f>
        <v>128</v>
      </c>
      <c r="P3089" s="27">
        <v>5</v>
      </c>
      <c r="Q3089" s="2">
        <f>INDEX(Остановки,MATCH(R3089,ИД_Остановки!$B$3:$B$467,0),1)</f>
        <v>390</v>
      </c>
      <c r="R3089" s="47" t="s">
        <v>447</v>
      </c>
      <c r="S3089" s="20">
        <v>0.82</v>
      </c>
    </row>
    <row r="3090" spans="8:19" x14ac:dyDescent="0.25">
      <c r="H3090">
        <v>20</v>
      </c>
      <c r="I3090">
        <v>585</v>
      </c>
      <c r="J3090">
        <v>110</v>
      </c>
      <c r="K3090" t="b">
        <v>1</v>
      </c>
      <c r="N3090" s="30" t="s">
        <v>595</v>
      </c>
      <c r="O3090" s="2">
        <f>INDEX(Маршруты,MATCH(N3090,$B$3:$B$498,0),1)</f>
        <v>128</v>
      </c>
      <c r="P3090" s="27">
        <v>6</v>
      </c>
      <c r="Q3090" s="2">
        <f>INDEX(Остановки,MATCH(R3090,ИД_Остановки!$B$3:$B$467,0),1)</f>
        <v>187</v>
      </c>
      <c r="R3090" s="47" t="s">
        <v>113</v>
      </c>
      <c r="S3090" s="20">
        <v>2.3199999999999998</v>
      </c>
    </row>
    <row r="3091" spans="8:19" x14ac:dyDescent="0.25">
      <c r="H3091">
        <v>20</v>
      </c>
      <c r="I3091">
        <v>594</v>
      </c>
      <c r="J3091">
        <v>110</v>
      </c>
      <c r="K3091" t="b">
        <v>1</v>
      </c>
      <c r="N3091" s="30" t="s">
        <v>595</v>
      </c>
      <c r="O3091" s="2">
        <f>INDEX(Маршруты,MATCH(N3091,$B$3:$B$498,0),1)</f>
        <v>128</v>
      </c>
      <c r="P3091" s="27">
        <v>7</v>
      </c>
      <c r="Q3091" s="2">
        <f>INDEX(Остановки,MATCH(R3091,ИД_Остановки!$B$3:$B$467,0),1)</f>
        <v>383</v>
      </c>
      <c r="R3091" s="47" t="s">
        <v>441</v>
      </c>
      <c r="S3091" s="20">
        <v>0.49</v>
      </c>
    </row>
    <row r="3092" spans="8:19" x14ac:dyDescent="0.25">
      <c r="H3092">
        <v>20</v>
      </c>
      <c r="I3092">
        <v>603</v>
      </c>
      <c r="J3092">
        <v>110</v>
      </c>
      <c r="K3092" t="b">
        <v>1</v>
      </c>
      <c r="N3092" s="25" t="s">
        <v>595</v>
      </c>
      <c r="O3092" s="2">
        <f>INDEX(Маршруты,MATCH(N3092,$B$3:$B$498,0),1)</f>
        <v>128</v>
      </c>
      <c r="P3092" s="27">
        <v>8</v>
      </c>
      <c r="Q3092" s="2">
        <f>INDEX(Остановки,MATCH(R3092,ИД_Остановки!$B$3:$B$467,0),1)</f>
        <v>147</v>
      </c>
      <c r="R3092" s="47" t="s">
        <v>316</v>
      </c>
      <c r="S3092" s="20">
        <v>0.47</v>
      </c>
    </row>
    <row r="3093" spans="8:19" x14ac:dyDescent="0.25">
      <c r="H3093">
        <v>20</v>
      </c>
      <c r="I3093">
        <v>612</v>
      </c>
      <c r="J3093">
        <v>110</v>
      </c>
      <c r="K3093" t="b">
        <v>1</v>
      </c>
      <c r="N3093" s="25" t="s">
        <v>595</v>
      </c>
      <c r="O3093" s="2">
        <f>INDEX(Маршруты,MATCH(N3093,$B$3:$B$498,0),1)</f>
        <v>128</v>
      </c>
      <c r="P3093" s="27">
        <v>9</v>
      </c>
      <c r="Q3093" s="2">
        <f>INDEX(Остановки,MATCH(R3093,ИД_Остановки!$B$3:$B$467,0),1)</f>
        <v>382</v>
      </c>
      <c r="R3093" s="47" t="s">
        <v>440</v>
      </c>
      <c r="S3093" s="20">
        <v>0.39</v>
      </c>
    </row>
    <row r="3094" spans="8:19" x14ac:dyDescent="0.25">
      <c r="H3094">
        <v>20</v>
      </c>
      <c r="I3094">
        <v>621</v>
      </c>
      <c r="J3094">
        <v>110</v>
      </c>
      <c r="K3094" t="b">
        <v>1</v>
      </c>
      <c r="N3094" s="25" t="s">
        <v>595</v>
      </c>
      <c r="O3094" s="2">
        <f>INDEX(Маршруты,MATCH(N3094,$B$3:$B$498,0),1)</f>
        <v>128</v>
      </c>
      <c r="P3094" s="27">
        <v>10</v>
      </c>
      <c r="Q3094" s="2">
        <f>INDEX(Остановки,MATCH(R3094,ИД_Остановки!$B$3:$B$467,0),1)</f>
        <v>177</v>
      </c>
      <c r="R3094" s="47" t="s">
        <v>92</v>
      </c>
      <c r="S3094" s="20">
        <v>0.71</v>
      </c>
    </row>
    <row r="3095" spans="8:19" x14ac:dyDescent="0.25">
      <c r="H3095">
        <v>20</v>
      </c>
      <c r="I3095">
        <v>630</v>
      </c>
      <c r="J3095">
        <v>110</v>
      </c>
      <c r="K3095" t="b">
        <v>1</v>
      </c>
      <c r="N3095" s="25" t="s">
        <v>595</v>
      </c>
      <c r="O3095" s="2">
        <f>INDEX(Маршруты,MATCH(N3095,$B$3:$B$498,0),1)</f>
        <v>128</v>
      </c>
      <c r="P3095" s="27">
        <v>11</v>
      </c>
      <c r="Q3095" s="2">
        <f>INDEX(Остановки,MATCH(R3095,ИД_Остановки!$B$3:$B$467,0),1)</f>
        <v>444</v>
      </c>
      <c r="R3095" s="47" t="s">
        <v>650</v>
      </c>
      <c r="S3095" s="20">
        <v>0.37</v>
      </c>
    </row>
    <row r="3096" spans="8:19" x14ac:dyDescent="0.25">
      <c r="H3096">
        <v>20</v>
      </c>
      <c r="I3096">
        <v>639</v>
      </c>
      <c r="J3096">
        <v>110</v>
      </c>
      <c r="K3096" t="b">
        <v>1</v>
      </c>
      <c r="N3096" s="25" t="s">
        <v>595</v>
      </c>
      <c r="O3096" s="2">
        <f>INDEX(Маршруты,MATCH(N3096,$B$3:$B$498,0),1)</f>
        <v>128</v>
      </c>
      <c r="P3096" s="27">
        <v>12</v>
      </c>
      <c r="Q3096" s="2">
        <f>INDEX(Остановки,MATCH(R3096,ИД_Остановки!$B$3:$B$467,0),1)</f>
        <v>178</v>
      </c>
      <c r="R3096" s="47" t="s">
        <v>93</v>
      </c>
      <c r="S3096" s="20">
        <v>0.34</v>
      </c>
    </row>
    <row r="3097" spans="8:19" x14ac:dyDescent="0.25">
      <c r="H3097">
        <v>20</v>
      </c>
      <c r="I3097">
        <v>648</v>
      </c>
      <c r="J3097">
        <v>110</v>
      </c>
      <c r="K3097" t="b">
        <v>1</v>
      </c>
      <c r="N3097" s="26" t="s">
        <v>595</v>
      </c>
      <c r="O3097" s="2">
        <f>INDEX(Маршруты,MATCH(N3097,$B$3:$B$498,0),1)</f>
        <v>128</v>
      </c>
      <c r="P3097" s="27">
        <v>13</v>
      </c>
      <c r="Q3097" s="2">
        <f>INDEX(Остановки,MATCH(R3097,ИД_Остановки!$B$3:$B$467,0),1)</f>
        <v>77</v>
      </c>
      <c r="R3097" s="47" t="s">
        <v>276</v>
      </c>
      <c r="S3097" s="20">
        <v>0.59</v>
      </c>
    </row>
    <row r="3098" spans="8:19" x14ac:dyDescent="0.25">
      <c r="H3098">
        <v>20</v>
      </c>
      <c r="I3098">
        <v>657</v>
      </c>
      <c r="J3098">
        <v>110</v>
      </c>
      <c r="K3098" t="b">
        <v>1</v>
      </c>
      <c r="N3098" s="30" t="s">
        <v>595</v>
      </c>
      <c r="O3098" s="2">
        <f>INDEX(Маршруты,MATCH(N3098,$B$3:$B$498,0),1)</f>
        <v>128</v>
      </c>
      <c r="P3098" s="27">
        <v>14</v>
      </c>
      <c r="Q3098" s="2">
        <f>INDEX(Остановки,MATCH(R3098,ИД_Остановки!$B$3:$B$467,0),1)</f>
        <v>78</v>
      </c>
      <c r="R3098" s="47" t="s">
        <v>277</v>
      </c>
      <c r="S3098" s="20">
        <v>0.39</v>
      </c>
    </row>
    <row r="3099" spans="8:19" x14ac:dyDescent="0.25">
      <c r="H3099">
        <v>20</v>
      </c>
      <c r="I3099">
        <v>666</v>
      </c>
      <c r="J3099">
        <v>110</v>
      </c>
      <c r="K3099" t="b">
        <v>1</v>
      </c>
      <c r="N3099" s="30" t="s">
        <v>595</v>
      </c>
      <c r="O3099" s="2">
        <f>INDEX(Маршруты,MATCH(N3099,$B$3:$B$498,0),1)</f>
        <v>128</v>
      </c>
      <c r="P3099" s="27">
        <v>15</v>
      </c>
      <c r="Q3099" s="2">
        <f>INDEX(Остановки,MATCH(R3099,ИД_Остановки!$B$3:$B$467,0),1)</f>
        <v>129</v>
      </c>
      <c r="R3099" s="47" t="s">
        <v>81</v>
      </c>
      <c r="S3099" s="20">
        <v>0.47</v>
      </c>
    </row>
    <row r="3100" spans="8:19" x14ac:dyDescent="0.25">
      <c r="H3100">
        <v>20</v>
      </c>
      <c r="I3100">
        <v>675</v>
      </c>
      <c r="J3100">
        <v>110</v>
      </c>
      <c r="K3100" t="b">
        <v>1</v>
      </c>
      <c r="N3100" s="30" t="s">
        <v>595</v>
      </c>
      <c r="O3100" s="2">
        <f>INDEX(Маршруты,MATCH(N3100,$B$3:$B$498,0),1)</f>
        <v>128</v>
      </c>
      <c r="P3100" s="28">
        <v>16</v>
      </c>
      <c r="Q3100" s="2">
        <f>INDEX(Остановки,MATCH(R3100,ИД_Остановки!$B$3:$B$467,0),1)</f>
        <v>109</v>
      </c>
      <c r="R3100" s="30" t="s">
        <v>293</v>
      </c>
      <c r="S3100" s="20">
        <v>0.44</v>
      </c>
    </row>
    <row r="3101" spans="8:19" x14ac:dyDescent="0.25">
      <c r="H3101">
        <v>20</v>
      </c>
      <c r="I3101">
        <v>684</v>
      </c>
      <c r="J3101">
        <v>110</v>
      </c>
      <c r="K3101" t="b">
        <v>1</v>
      </c>
      <c r="N3101" s="30" t="s">
        <v>595</v>
      </c>
      <c r="O3101" s="2">
        <f>INDEX(Маршруты,MATCH(N3101,$B$3:$B$498,0),1)</f>
        <v>128</v>
      </c>
      <c r="P3101" s="27">
        <v>17</v>
      </c>
      <c r="Q3101" s="2">
        <f>INDEX(Остановки,MATCH(R3101,ИД_Остановки!$B$3:$B$467,0),1)</f>
        <v>110</v>
      </c>
      <c r="R3101" s="47" t="s">
        <v>294</v>
      </c>
      <c r="S3101" s="20">
        <v>0.73</v>
      </c>
    </row>
    <row r="3102" spans="8:19" x14ac:dyDescent="0.25">
      <c r="H3102">
        <v>20</v>
      </c>
      <c r="I3102">
        <v>693</v>
      </c>
      <c r="J3102">
        <v>110</v>
      </c>
      <c r="K3102" t="b">
        <v>1</v>
      </c>
      <c r="N3102" s="26" t="s">
        <v>595</v>
      </c>
      <c r="O3102" s="2">
        <f>INDEX(Маршруты,MATCH(N3102,$B$3:$B$498,0),1)</f>
        <v>128</v>
      </c>
      <c r="P3102" s="27">
        <v>18</v>
      </c>
      <c r="Q3102" s="2">
        <f>INDEX(Остановки,MATCH(R3102,ИД_Остановки!$B$3:$B$467,0),1)</f>
        <v>111</v>
      </c>
      <c r="R3102" s="47" t="s">
        <v>73</v>
      </c>
      <c r="S3102" s="20">
        <v>0.54</v>
      </c>
    </row>
    <row r="3103" spans="8:19" x14ac:dyDescent="0.25">
      <c r="H3103">
        <v>20</v>
      </c>
      <c r="I3103">
        <v>702</v>
      </c>
      <c r="J3103">
        <v>110</v>
      </c>
      <c r="K3103" t="b">
        <v>1</v>
      </c>
      <c r="N3103" s="30" t="s">
        <v>595</v>
      </c>
      <c r="O3103" s="2">
        <f>INDEX(Маршруты,MATCH(N3103,$B$3:$B$498,0),1)</f>
        <v>128</v>
      </c>
      <c r="P3103" s="27">
        <v>19</v>
      </c>
      <c r="Q3103" s="2">
        <f>INDEX(Остановки,MATCH(R3103,ИД_Остановки!$B$3:$B$467,0),1)</f>
        <v>112</v>
      </c>
      <c r="R3103" s="47" t="s">
        <v>295</v>
      </c>
      <c r="S3103" s="20">
        <v>0.38</v>
      </c>
    </row>
    <row r="3104" spans="8:19" x14ac:dyDescent="0.25">
      <c r="H3104">
        <v>20</v>
      </c>
      <c r="I3104">
        <v>711</v>
      </c>
      <c r="J3104">
        <v>110</v>
      </c>
      <c r="K3104" t="b">
        <v>1</v>
      </c>
      <c r="N3104" s="30" t="s">
        <v>595</v>
      </c>
      <c r="O3104" s="2">
        <f>INDEX(Маршруты,MATCH(N3104,$B$3:$B$498,0),1)</f>
        <v>128</v>
      </c>
      <c r="P3104" s="27">
        <v>20</v>
      </c>
      <c r="Q3104" s="2">
        <f>INDEX(Остановки,MATCH(R3104,ИД_Остановки!$B$3:$B$467,0),1)</f>
        <v>126</v>
      </c>
      <c r="R3104" s="47" t="s">
        <v>303</v>
      </c>
      <c r="S3104" s="20">
        <v>0.49</v>
      </c>
    </row>
    <row r="3105" spans="8:19" x14ac:dyDescent="0.25">
      <c r="H3105">
        <v>20</v>
      </c>
      <c r="I3105">
        <v>720</v>
      </c>
      <c r="J3105">
        <v>110</v>
      </c>
      <c r="K3105" t="b">
        <v>1</v>
      </c>
      <c r="N3105" s="30" t="s">
        <v>595</v>
      </c>
      <c r="O3105" s="2">
        <f>INDEX(Маршруты,MATCH(N3105,$B$3:$B$498,0),1)</f>
        <v>128</v>
      </c>
      <c r="P3105" s="28">
        <v>21</v>
      </c>
      <c r="Q3105" s="2">
        <f>INDEX(Остановки,MATCH(R3105,ИД_Остановки!$B$3:$B$467,0),1)</f>
        <v>114</v>
      </c>
      <c r="R3105" s="30" t="s">
        <v>297</v>
      </c>
      <c r="S3105" s="20">
        <v>0.53</v>
      </c>
    </row>
    <row r="3106" spans="8:19" x14ac:dyDescent="0.25">
      <c r="H3106">
        <v>20</v>
      </c>
      <c r="I3106">
        <v>729</v>
      </c>
      <c r="J3106">
        <v>110</v>
      </c>
      <c r="K3106" t="b">
        <v>1</v>
      </c>
      <c r="N3106" s="26" t="s">
        <v>595</v>
      </c>
      <c r="O3106" s="2">
        <f>INDEX(Маршруты,MATCH(N3106,$B$3:$B$498,0),1)</f>
        <v>128</v>
      </c>
      <c r="P3106" s="27">
        <v>22</v>
      </c>
      <c r="Q3106" s="2">
        <f>INDEX(Остановки,MATCH(R3106,ИД_Остановки!$B$3:$B$467,0),1)</f>
        <v>115</v>
      </c>
      <c r="R3106" s="47" t="s">
        <v>74</v>
      </c>
      <c r="S3106" s="20">
        <v>0.37</v>
      </c>
    </row>
    <row r="3107" spans="8:19" x14ac:dyDescent="0.25">
      <c r="H3107">
        <v>20</v>
      </c>
      <c r="I3107">
        <v>738</v>
      </c>
      <c r="J3107">
        <v>110</v>
      </c>
      <c r="K3107" t="b">
        <v>1</v>
      </c>
      <c r="N3107" s="30" t="s">
        <v>595</v>
      </c>
      <c r="O3107" s="2">
        <f>INDEX(Маршруты,MATCH(N3107,$B$3:$B$498,0),1)</f>
        <v>128</v>
      </c>
      <c r="P3107" s="27">
        <v>23</v>
      </c>
      <c r="Q3107" s="2">
        <f>INDEX(Остановки,MATCH(R3107,ИД_Остановки!$B$3:$B$467,0),1)</f>
        <v>335</v>
      </c>
      <c r="R3107" s="47" t="s">
        <v>191</v>
      </c>
      <c r="S3107" s="20">
        <v>0.67</v>
      </c>
    </row>
    <row r="3108" spans="8:19" x14ac:dyDescent="0.25">
      <c r="H3108">
        <v>20</v>
      </c>
      <c r="I3108">
        <v>747</v>
      </c>
      <c r="J3108">
        <v>110</v>
      </c>
      <c r="K3108" t="b">
        <v>1</v>
      </c>
      <c r="N3108" s="30" t="s">
        <v>595</v>
      </c>
      <c r="O3108" s="2">
        <f>INDEX(Маршруты,MATCH(N3108,$B$3:$B$498,0),1)</f>
        <v>128</v>
      </c>
      <c r="P3108" s="27">
        <v>24</v>
      </c>
      <c r="Q3108" s="2">
        <f>INDEX(Остановки,MATCH(R3108,ИД_Остановки!$B$3:$B$467,0),1)</f>
        <v>117</v>
      </c>
      <c r="R3108" s="47" t="s">
        <v>298</v>
      </c>
      <c r="S3108" s="20">
        <v>0.41</v>
      </c>
    </row>
    <row r="3109" spans="8:19" x14ac:dyDescent="0.25">
      <c r="H3109">
        <v>20</v>
      </c>
      <c r="I3109">
        <v>756</v>
      </c>
      <c r="J3109">
        <v>110</v>
      </c>
      <c r="K3109" t="b">
        <v>1</v>
      </c>
      <c r="N3109" s="30" t="s">
        <v>595</v>
      </c>
      <c r="O3109" s="2">
        <f>INDEX(Маршруты,MATCH(N3109,$B$3:$B$498,0),1)</f>
        <v>128</v>
      </c>
      <c r="P3109" s="28">
        <v>25</v>
      </c>
      <c r="Q3109" s="2">
        <f>INDEX(Остановки,MATCH(R3109,ИД_Остановки!$B$3:$B$467,0),1)</f>
        <v>119</v>
      </c>
      <c r="R3109" s="30" t="s">
        <v>165</v>
      </c>
      <c r="S3109" s="20">
        <v>0.79</v>
      </c>
    </row>
    <row r="3110" spans="8:19" x14ac:dyDescent="0.25">
      <c r="H3110">
        <v>20</v>
      </c>
      <c r="I3110">
        <v>765</v>
      </c>
      <c r="J3110">
        <v>110</v>
      </c>
      <c r="K3110" t="b">
        <v>1</v>
      </c>
      <c r="N3110" s="30" t="s">
        <v>595</v>
      </c>
      <c r="O3110" s="2">
        <f>INDEX(Маршруты,MATCH(N3110,$B$3:$B$498,0),1)</f>
        <v>128</v>
      </c>
      <c r="P3110" s="27">
        <v>26</v>
      </c>
      <c r="Q3110" s="2">
        <f>INDEX(Остановки,MATCH(R3110,ИД_Остановки!$B$3:$B$467,0),1)</f>
        <v>120</v>
      </c>
      <c r="R3110" s="47" t="s">
        <v>300</v>
      </c>
      <c r="S3110" s="20">
        <v>1.1200000000000001</v>
      </c>
    </row>
    <row r="3111" spans="8:19" x14ac:dyDescent="0.25">
      <c r="H3111">
        <v>20</v>
      </c>
      <c r="I3111">
        <v>774</v>
      </c>
      <c r="J3111">
        <v>110</v>
      </c>
      <c r="K3111" t="b">
        <v>1</v>
      </c>
      <c r="N3111" s="30" t="s">
        <v>595</v>
      </c>
      <c r="O3111" s="2">
        <f>INDEX(Маршруты,MATCH(N3111,$B$3:$B$498,0),1)</f>
        <v>128</v>
      </c>
      <c r="P3111" s="27">
        <v>27</v>
      </c>
      <c r="Q3111" s="2">
        <f>INDEX(Остановки,MATCH(R3111,ИД_Остановки!$B$3:$B$467,0),1)</f>
        <v>121</v>
      </c>
      <c r="R3111" s="30" t="s">
        <v>76</v>
      </c>
      <c r="S3111" s="20">
        <v>0.31</v>
      </c>
    </row>
    <row r="3112" spans="8:19" x14ac:dyDescent="0.25">
      <c r="H3112">
        <v>20</v>
      </c>
      <c r="I3112">
        <v>783</v>
      </c>
      <c r="J3112">
        <v>110</v>
      </c>
      <c r="K3112" t="b">
        <v>1</v>
      </c>
      <c r="N3112" s="25" t="s">
        <v>595</v>
      </c>
      <c r="O3112" s="2">
        <f>INDEX(Маршруты,MATCH(N3112,$B$3:$B$498,0),1)</f>
        <v>128</v>
      </c>
      <c r="P3112" s="27">
        <v>28</v>
      </c>
      <c r="Q3112" s="2">
        <f>INDEX(Остановки,MATCH(R3112,ИД_Остановки!$B$3:$B$467,0),1)</f>
        <v>122</v>
      </c>
      <c r="R3112" s="47" t="s">
        <v>77</v>
      </c>
      <c r="S3112" s="20">
        <v>0.32</v>
      </c>
    </row>
    <row r="3113" spans="8:19" x14ac:dyDescent="0.25">
      <c r="H3113">
        <v>20</v>
      </c>
      <c r="I3113">
        <v>792</v>
      </c>
      <c r="J3113">
        <v>110</v>
      </c>
      <c r="K3113" t="b">
        <v>1</v>
      </c>
      <c r="N3113" s="25" t="s">
        <v>595</v>
      </c>
      <c r="O3113" s="2">
        <f>INDEX(Маршруты,MATCH(N3113,$B$3:$B$498,0),1)</f>
        <v>128</v>
      </c>
      <c r="P3113" s="27">
        <v>29</v>
      </c>
      <c r="Q3113" s="2">
        <f>INDEX(Остановки,MATCH(R3113,ИД_Остановки!$B$3:$B$467,0),1)</f>
        <v>96</v>
      </c>
      <c r="R3113" s="47" t="s">
        <v>285</v>
      </c>
      <c r="S3113" s="20">
        <v>0.52</v>
      </c>
    </row>
    <row r="3114" spans="8:19" x14ac:dyDescent="0.25">
      <c r="H3114">
        <v>20</v>
      </c>
      <c r="I3114">
        <v>801</v>
      </c>
      <c r="J3114">
        <v>110</v>
      </c>
      <c r="K3114" t="b">
        <v>1</v>
      </c>
      <c r="N3114" s="30" t="s">
        <v>595</v>
      </c>
      <c r="O3114" s="2">
        <f>INDEX(Маршруты,MATCH(N3114,$B$3:$B$498,0),1)</f>
        <v>128</v>
      </c>
      <c r="P3114" s="27">
        <v>30</v>
      </c>
      <c r="Q3114" s="2">
        <f>INDEX(Остановки,MATCH(R3114,ИД_Остановки!$B$3:$B$467,0),1)</f>
        <v>123</v>
      </c>
      <c r="R3114" s="47" t="s">
        <v>301</v>
      </c>
      <c r="S3114" s="20">
        <v>0.6</v>
      </c>
    </row>
    <row r="3115" spans="8:19" x14ac:dyDescent="0.25">
      <c r="H3115">
        <v>20</v>
      </c>
      <c r="I3115">
        <v>810</v>
      </c>
      <c r="J3115">
        <v>110</v>
      </c>
      <c r="K3115" t="b">
        <v>1</v>
      </c>
      <c r="N3115" s="30" t="s">
        <v>596</v>
      </c>
      <c r="O3115" s="2">
        <f>INDEX(Маршруты,MATCH(N3115,$B$3:$B$498,0),1)</f>
        <v>129</v>
      </c>
      <c r="P3115" s="27">
        <v>1</v>
      </c>
      <c r="Q3115" s="2">
        <f>INDEX(Остановки,MATCH(R3115,ИД_Остановки!$B$3:$B$467,0),1)</f>
        <v>117</v>
      </c>
      <c r="R3115" s="47" t="s">
        <v>298</v>
      </c>
      <c r="S3115" s="20"/>
    </row>
    <row r="3116" spans="8:19" x14ac:dyDescent="0.25">
      <c r="H3116">
        <v>20</v>
      </c>
      <c r="I3116">
        <v>819</v>
      </c>
      <c r="J3116">
        <v>110</v>
      </c>
      <c r="K3116" t="b">
        <v>1</v>
      </c>
      <c r="N3116" s="30" t="s">
        <v>596</v>
      </c>
      <c r="O3116" s="2">
        <f>INDEX(Маршруты,MATCH(N3116,$B$3:$B$498,0),1)</f>
        <v>129</v>
      </c>
      <c r="P3116" s="27">
        <v>2</v>
      </c>
      <c r="Q3116" s="2">
        <f>INDEX(Остановки,MATCH(R3116,ИД_Остановки!$B$3:$B$467,0),1)</f>
        <v>335</v>
      </c>
      <c r="R3116" s="47" t="s">
        <v>620</v>
      </c>
      <c r="S3116" s="20">
        <v>0.41</v>
      </c>
    </row>
    <row r="3117" spans="8:19" x14ac:dyDescent="0.25">
      <c r="H3117">
        <v>20</v>
      </c>
      <c r="I3117">
        <v>828</v>
      </c>
      <c r="J3117">
        <v>110</v>
      </c>
      <c r="K3117" t="b">
        <v>1</v>
      </c>
      <c r="N3117" s="30" t="s">
        <v>596</v>
      </c>
      <c r="O3117" s="2">
        <f>INDEX(Маршруты,MATCH(N3117,$B$3:$B$498,0),1)</f>
        <v>129</v>
      </c>
      <c r="P3117" s="28">
        <v>3</v>
      </c>
      <c r="Q3117" s="2">
        <f>INDEX(Остановки,MATCH(R3117,ИД_Остановки!$B$3:$B$467,0),1)</f>
        <v>104</v>
      </c>
      <c r="R3117" s="30" t="s">
        <v>289</v>
      </c>
      <c r="S3117" s="20">
        <v>0.57999999999999996</v>
      </c>
    </row>
    <row r="3118" spans="8:19" x14ac:dyDescent="0.25">
      <c r="H3118">
        <v>20</v>
      </c>
      <c r="I3118">
        <v>837</v>
      </c>
      <c r="J3118">
        <v>110</v>
      </c>
      <c r="K3118" t="b">
        <v>1</v>
      </c>
      <c r="N3118" s="25" t="s">
        <v>596</v>
      </c>
      <c r="O3118" s="2">
        <f>INDEX(Маршруты,MATCH(N3118,$B$3:$B$498,0),1)</f>
        <v>129</v>
      </c>
      <c r="P3118" s="27">
        <v>4</v>
      </c>
      <c r="Q3118" s="2">
        <f>INDEX(Остановки,MATCH(R3118,ИД_Остановки!$B$3:$B$467,0),1)</f>
        <v>81</v>
      </c>
      <c r="R3118" s="47" t="s">
        <v>279</v>
      </c>
      <c r="S3118" s="20">
        <v>0.34</v>
      </c>
    </row>
    <row r="3119" spans="8:19" x14ac:dyDescent="0.25">
      <c r="H3119">
        <v>20</v>
      </c>
      <c r="I3119">
        <v>846</v>
      </c>
      <c r="J3119">
        <v>110</v>
      </c>
      <c r="K3119" t="b">
        <v>1</v>
      </c>
      <c r="N3119" s="30" t="s">
        <v>596</v>
      </c>
      <c r="O3119" s="2">
        <f>INDEX(Маршруты,MATCH(N3119,$B$3:$B$498,0),1)</f>
        <v>129</v>
      </c>
      <c r="P3119" s="27">
        <v>5</v>
      </c>
      <c r="Q3119" s="2">
        <f>INDEX(Остановки,MATCH(R3119,ИД_Остановки!$B$3:$B$467,0),1)</f>
        <v>413</v>
      </c>
      <c r="R3119" s="47" t="s">
        <v>469</v>
      </c>
      <c r="S3119" s="20">
        <v>0.6</v>
      </c>
    </row>
    <row r="3120" spans="8:19" x14ac:dyDescent="0.25">
      <c r="H3120">
        <v>20</v>
      </c>
      <c r="I3120">
        <v>855</v>
      </c>
      <c r="J3120">
        <v>110</v>
      </c>
      <c r="K3120" t="b">
        <v>1</v>
      </c>
      <c r="N3120" s="30" t="s">
        <v>596</v>
      </c>
      <c r="O3120" s="2">
        <f>INDEX(Маршруты,MATCH(N3120,$B$3:$B$498,0),1)</f>
        <v>129</v>
      </c>
      <c r="P3120" s="27">
        <v>6</v>
      </c>
      <c r="Q3120" s="2">
        <f>INDEX(Остановки,MATCH(R3120,ИД_Остановки!$B$3:$B$467,0),1)</f>
        <v>412</v>
      </c>
      <c r="R3120" s="47" t="s">
        <v>468</v>
      </c>
      <c r="S3120" s="20">
        <v>0.57999999999999996</v>
      </c>
    </row>
    <row r="3121" spans="8:19" x14ac:dyDescent="0.25">
      <c r="H3121">
        <v>20</v>
      </c>
      <c r="I3121">
        <v>864</v>
      </c>
      <c r="J3121">
        <v>110</v>
      </c>
      <c r="K3121" t="b">
        <v>1</v>
      </c>
      <c r="N3121" s="30" t="s">
        <v>596</v>
      </c>
      <c r="O3121" s="2">
        <f>INDEX(Маршруты,MATCH(N3121,$B$3:$B$498,0),1)</f>
        <v>129</v>
      </c>
      <c r="P3121" s="28">
        <v>7</v>
      </c>
      <c r="Q3121" s="2">
        <f>INDEX(Остановки,MATCH(R3121,ИД_Остановки!$B$3:$B$467,0),1)</f>
        <v>191</v>
      </c>
      <c r="R3121" s="30" t="s">
        <v>334</v>
      </c>
      <c r="S3121" s="20">
        <v>0.88</v>
      </c>
    </row>
    <row r="3122" spans="8:19" x14ac:dyDescent="0.25">
      <c r="H3122">
        <v>20</v>
      </c>
      <c r="I3122">
        <v>873</v>
      </c>
      <c r="J3122">
        <v>110</v>
      </c>
      <c r="K3122" t="b">
        <v>1</v>
      </c>
      <c r="N3122" s="25" t="s">
        <v>596</v>
      </c>
      <c r="O3122" s="2">
        <f>INDEX(Маршруты,MATCH(N3122,$B$3:$B$498,0),1)</f>
        <v>129</v>
      </c>
      <c r="P3122" s="27">
        <v>8</v>
      </c>
      <c r="Q3122" s="2">
        <f>INDEX(Остановки,MATCH(R3122,ИД_Остановки!$B$3:$B$467,0),1)</f>
        <v>150</v>
      </c>
      <c r="R3122" s="47" t="s">
        <v>317</v>
      </c>
      <c r="S3122" s="20">
        <v>0.34</v>
      </c>
    </row>
    <row r="3123" spans="8:19" x14ac:dyDescent="0.25">
      <c r="H3123">
        <v>20</v>
      </c>
      <c r="I3123">
        <v>882</v>
      </c>
      <c r="J3123">
        <v>110</v>
      </c>
      <c r="K3123" t="b">
        <v>1</v>
      </c>
      <c r="N3123" s="25" t="s">
        <v>596</v>
      </c>
      <c r="O3123" s="2">
        <f>INDEX(Маршруты,MATCH(N3123,$B$3:$B$498,0),1)</f>
        <v>129</v>
      </c>
      <c r="P3123" s="27">
        <v>9</v>
      </c>
      <c r="Q3123" s="2">
        <f>INDEX(Остановки,MATCH(R3123,ИД_Остановки!$B$3:$B$467,0),1)</f>
        <v>180</v>
      </c>
      <c r="R3123" s="47" t="s">
        <v>329</v>
      </c>
      <c r="S3123" s="20">
        <v>0.31</v>
      </c>
    </row>
    <row r="3124" spans="8:19" x14ac:dyDescent="0.25">
      <c r="H3124">
        <v>20</v>
      </c>
      <c r="I3124">
        <v>891</v>
      </c>
      <c r="J3124">
        <v>110</v>
      </c>
      <c r="K3124" t="b">
        <v>1</v>
      </c>
      <c r="N3124" s="30" t="s">
        <v>596</v>
      </c>
      <c r="O3124" s="2">
        <f>INDEX(Маршруты,MATCH(N3124,$B$3:$B$498,0),1)</f>
        <v>129</v>
      </c>
      <c r="P3124" s="27">
        <v>10</v>
      </c>
      <c r="Q3124" s="2">
        <f>INDEX(Остановки,MATCH(R3124,ИД_Остановки!$B$3:$B$467,0),1)</f>
        <v>424</v>
      </c>
      <c r="R3124" s="47" t="s">
        <v>480</v>
      </c>
      <c r="S3124" s="20">
        <v>0.65</v>
      </c>
    </row>
    <row r="3125" spans="8:19" x14ac:dyDescent="0.25">
      <c r="H3125">
        <v>20</v>
      </c>
      <c r="I3125">
        <v>900</v>
      </c>
      <c r="J3125">
        <v>110</v>
      </c>
      <c r="K3125" t="b">
        <v>1</v>
      </c>
      <c r="N3125" s="30" t="s">
        <v>596</v>
      </c>
      <c r="O3125" s="2">
        <f>INDEX(Маршруты,MATCH(N3125,$B$3:$B$498,0),1)</f>
        <v>129</v>
      </c>
      <c r="P3125" s="27">
        <v>11</v>
      </c>
      <c r="Q3125" s="2">
        <f>INDEX(Остановки,MATCH(R3125,ИД_Остановки!$B$3:$B$467,0),1)</f>
        <v>398</v>
      </c>
      <c r="R3125" s="47" t="s">
        <v>455</v>
      </c>
      <c r="S3125" s="20">
        <v>0.51</v>
      </c>
    </row>
    <row r="3126" spans="8:19" x14ac:dyDescent="0.25">
      <c r="H3126">
        <v>20</v>
      </c>
      <c r="I3126">
        <v>909</v>
      </c>
      <c r="J3126">
        <v>110</v>
      </c>
      <c r="K3126" t="b">
        <v>1</v>
      </c>
      <c r="N3126" s="30" t="s">
        <v>596</v>
      </c>
      <c r="O3126" s="2">
        <f>INDEX(Маршруты,MATCH(N3126,$B$3:$B$498,0),1)</f>
        <v>129</v>
      </c>
      <c r="P3126" s="28">
        <v>12</v>
      </c>
      <c r="Q3126" s="2">
        <f>INDEX(Остановки,MATCH(R3126,ИД_Остановки!$B$3:$B$467,0),1)</f>
        <v>360</v>
      </c>
      <c r="R3126" s="30" t="s">
        <v>199</v>
      </c>
      <c r="S3126" s="20">
        <v>0.81</v>
      </c>
    </row>
    <row r="3127" spans="8:19" x14ac:dyDescent="0.25">
      <c r="H3127">
        <v>20</v>
      </c>
      <c r="I3127">
        <v>918</v>
      </c>
      <c r="J3127">
        <v>110</v>
      </c>
      <c r="K3127" t="b">
        <v>1</v>
      </c>
      <c r="N3127" s="30" t="s">
        <v>597</v>
      </c>
      <c r="O3127" s="2">
        <f>INDEX(Маршруты,MATCH(N3127,$B$3:$B$498,0),1)</f>
        <v>130</v>
      </c>
      <c r="P3127" s="27">
        <v>1</v>
      </c>
      <c r="Q3127" s="2">
        <f>INDEX(Остановки,MATCH(R3127,ИД_Остановки!$B$3:$B$467,0),1)</f>
        <v>360</v>
      </c>
      <c r="R3127" s="47" t="s">
        <v>199</v>
      </c>
      <c r="S3127" s="20"/>
    </row>
    <row r="3128" spans="8:19" x14ac:dyDescent="0.25">
      <c r="H3128">
        <v>20</v>
      </c>
      <c r="I3128">
        <v>927</v>
      </c>
      <c r="J3128">
        <v>110</v>
      </c>
      <c r="K3128" t="b">
        <v>1</v>
      </c>
      <c r="N3128" s="30" t="s">
        <v>597</v>
      </c>
      <c r="O3128" s="2">
        <f>INDEX(Маршруты,MATCH(N3128,$B$3:$B$498,0),1)</f>
        <v>130</v>
      </c>
      <c r="P3128" s="27">
        <v>2</v>
      </c>
      <c r="Q3128" s="2">
        <f>INDEX(Остановки,MATCH(R3128,ИД_Остановки!$B$3:$B$467,0),1)</f>
        <v>398</v>
      </c>
      <c r="R3128" s="47" t="s">
        <v>455</v>
      </c>
      <c r="S3128" s="20">
        <v>0.81</v>
      </c>
    </row>
    <row r="3129" spans="8:19" x14ac:dyDescent="0.25">
      <c r="H3129">
        <v>20</v>
      </c>
      <c r="I3129">
        <v>936</v>
      </c>
      <c r="J3129">
        <v>110</v>
      </c>
      <c r="K3129" t="b">
        <v>1</v>
      </c>
      <c r="N3129" s="30" t="s">
        <v>597</v>
      </c>
      <c r="O3129" s="2">
        <f>INDEX(Маршруты,MATCH(N3129,$B$3:$B$498,0),1)</f>
        <v>130</v>
      </c>
      <c r="P3129" s="27">
        <v>3</v>
      </c>
      <c r="Q3129" s="2">
        <f>INDEX(Остановки,MATCH(R3129,ИД_Остановки!$B$3:$B$467,0),1)</f>
        <v>424</v>
      </c>
      <c r="R3129" s="47" t="s">
        <v>480</v>
      </c>
      <c r="S3129" s="20">
        <v>0.51</v>
      </c>
    </row>
    <row r="3130" spans="8:19" x14ac:dyDescent="0.25">
      <c r="H3130">
        <v>20</v>
      </c>
      <c r="I3130">
        <v>945</v>
      </c>
      <c r="J3130">
        <v>110</v>
      </c>
      <c r="K3130" t="b">
        <v>1</v>
      </c>
      <c r="N3130" s="25" t="s">
        <v>597</v>
      </c>
      <c r="O3130" s="2">
        <f>INDEX(Маршруты,MATCH(N3130,$B$3:$B$498,0),1)</f>
        <v>130</v>
      </c>
      <c r="P3130" s="28">
        <v>4</v>
      </c>
      <c r="Q3130" s="2">
        <f>INDEX(Остановки,MATCH(R3130,ИД_Остановки!$B$3:$B$467,0),1)</f>
        <v>180</v>
      </c>
      <c r="R3130" s="30" t="s">
        <v>329</v>
      </c>
      <c r="S3130" s="20">
        <v>0.65</v>
      </c>
    </row>
    <row r="3131" spans="8:19" x14ac:dyDescent="0.25">
      <c r="H3131">
        <v>21</v>
      </c>
      <c r="I3131">
        <v>0</v>
      </c>
      <c r="J3131">
        <v>110</v>
      </c>
      <c r="K3131" t="b">
        <v>1</v>
      </c>
      <c r="N3131" s="30" t="s">
        <v>597</v>
      </c>
      <c r="O3131" s="2">
        <f>INDEX(Маршруты,MATCH(N3131,$B$3:$B$498,0),1)</f>
        <v>130</v>
      </c>
      <c r="P3131" s="27">
        <v>5</v>
      </c>
      <c r="Q3131" s="2">
        <f>INDEX(Остановки,MATCH(R3131,ИД_Остановки!$B$3:$B$467,0),1)</f>
        <v>150</v>
      </c>
      <c r="R3131" s="47" t="s">
        <v>317</v>
      </c>
      <c r="S3131" s="20">
        <v>0.31</v>
      </c>
    </row>
    <row r="3132" spans="8:19" x14ac:dyDescent="0.25">
      <c r="H3132">
        <v>21</v>
      </c>
      <c r="I3132">
        <v>9</v>
      </c>
      <c r="J3132">
        <v>110</v>
      </c>
      <c r="K3132" t="b">
        <v>1</v>
      </c>
      <c r="N3132" s="30" t="s">
        <v>597</v>
      </c>
      <c r="O3132" s="2">
        <f>INDEX(Маршруты,MATCH(N3132,$B$3:$B$498,0),1)</f>
        <v>130</v>
      </c>
      <c r="P3132" s="27">
        <v>6</v>
      </c>
      <c r="Q3132" s="2">
        <f>INDEX(Остановки,MATCH(R3132,ИД_Остановки!$B$3:$B$467,0),1)</f>
        <v>191</v>
      </c>
      <c r="R3132" s="47" t="s">
        <v>334</v>
      </c>
      <c r="S3132" s="20">
        <v>0.34</v>
      </c>
    </row>
    <row r="3133" spans="8:19" x14ac:dyDescent="0.25">
      <c r="H3133">
        <v>21</v>
      </c>
      <c r="I3133">
        <v>18</v>
      </c>
      <c r="J3133">
        <v>110</v>
      </c>
      <c r="K3133" t="b">
        <v>1</v>
      </c>
      <c r="N3133" s="25" t="s">
        <v>597</v>
      </c>
      <c r="O3133" s="2">
        <f>INDEX(Маршруты,MATCH(N3133,$B$3:$B$498,0),1)</f>
        <v>130</v>
      </c>
      <c r="P3133" s="27">
        <v>7</v>
      </c>
      <c r="Q3133" s="2">
        <f>INDEX(Остановки,MATCH(R3133,ИД_Остановки!$B$3:$B$467,0),1)</f>
        <v>412</v>
      </c>
      <c r="R3133" s="47" t="s">
        <v>468</v>
      </c>
      <c r="S3133" s="20">
        <v>0.88</v>
      </c>
    </row>
    <row r="3134" spans="8:19" x14ac:dyDescent="0.25">
      <c r="H3134">
        <v>21</v>
      </c>
      <c r="I3134">
        <v>27</v>
      </c>
      <c r="J3134">
        <v>110</v>
      </c>
      <c r="K3134" t="b">
        <v>1</v>
      </c>
      <c r="N3134" s="25" t="s">
        <v>597</v>
      </c>
      <c r="O3134" s="2">
        <f>INDEX(Маршруты,MATCH(N3134,$B$3:$B$498,0),1)</f>
        <v>130</v>
      </c>
      <c r="P3134" s="27">
        <v>8</v>
      </c>
      <c r="Q3134" s="2">
        <f>INDEX(Остановки,MATCH(R3134,ИД_Остановки!$B$3:$B$467,0),1)</f>
        <v>413</v>
      </c>
      <c r="R3134" s="47" t="s">
        <v>469</v>
      </c>
      <c r="S3134" s="20">
        <v>0.57999999999999996</v>
      </c>
    </row>
    <row r="3135" spans="8:19" x14ac:dyDescent="0.25">
      <c r="H3135">
        <v>21</v>
      </c>
      <c r="I3135">
        <v>36</v>
      </c>
      <c r="J3135">
        <v>110</v>
      </c>
      <c r="K3135" t="b">
        <v>1</v>
      </c>
      <c r="N3135" s="25" t="s">
        <v>597</v>
      </c>
      <c r="O3135" s="2">
        <f>INDEX(Маршруты,MATCH(N3135,$B$3:$B$498,0),1)</f>
        <v>130</v>
      </c>
      <c r="P3135" s="27">
        <v>9</v>
      </c>
      <c r="Q3135" s="2">
        <f>INDEX(Остановки,MATCH(R3135,ИД_Остановки!$B$3:$B$467,0),1)</f>
        <v>81</v>
      </c>
      <c r="R3135" s="47" t="s">
        <v>279</v>
      </c>
      <c r="S3135" s="20">
        <v>0.6</v>
      </c>
    </row>
    <row r="3136" spans="8:19" x14ac:dyDescent="0.25">
      <c r="H3136">
        <v>21</v>
      </c>
      <c r="I3136">
        <v>45</v>
      </c>
      <c r="J3136">
        <v>110</v>
      </c>
      <c r="K3136" t="b">
        <v>1</v>
      </c>
      <c r="N3136" s="30" t="s">
        <v>597</v>
      </c>
      <c r="O3136" s="2">
        <f>INDEX(Маршруты,MATCH(N3136,$B$3:$B$498,0),1)</f>
        <v>130</v>
      </c>
      <c r="P3136" s="27">
        <v>10</v>
      </c>
      <c r="Q3136" s="2">
        <f>INDEX(Остановки,MATCH(R3136,ИД_Остановки!$B$3:$B$467,0),1)</f>
        <v>104</v>
      </c>
      <c r="R3136" s="47" t="s">
        <v>289</v>
      </c>
      <c r="S3136" s="20">
        <v>0.34</v>
      </c>
    </row>
    <row r="3137" spans="8:19" x14ac:dyDescent="0.25">
      <c r="H3137">
        <v>21</v>
      </c>
      <c r="I3137">
        <v>54</v>
      </c>
      <c r="J3137">
        <v>110</v>
      </c>
      <c r="K3137" t="b">
        <v>1</v>
      </c>
      <c r="N3137" s="30" t="s">
        <v>597</v>
      </c>
      <c r="O3137" s="2">
        <f>INDEX(Маршруты,MATCH(N3137,$B$3:$B$498,0),1)</f>
        <v>130</v>
      </c>
      <c r="P3137" s="27">
        <v>11</v>
      </c>
      <c r="Q3137" s="2">
        <f>INDEX(Остановки,MATCH(R3137,ИД_Остановки!$B$3:$B$467,0),1)</f>
        <v>335</v>
      </c>
      <c r="R3137" s="47" t="s">
        <v>620</v>
      </c>
      <c r="S3137" s="20">
        <v>0.57999999999999996</v>
      </c>
    </row>
    <row r="3138" spans="8:19" x14ac:dyDescent="0.25">
      <c r="H3138">
        <v>21</v>
      </c>
      <c r="I3138">
        <v>63</v>
      </c>
      <c r="J3138">
        <v>110</v>
      </c>
      <c r="K3138" t="b">
        <v>1</v>
      </c>
      <c r="N3138" s="30" t="s">
        <v>597</v>
      </c>
      <c r="O3138" s="2">
        <f>INDEX(Маршруты,MATCH(N3138,$B$3:$B$498,0),1)</f>
        <v>130</v>
      </c>
      <c r="P3138" s="28">
        <v>12</v>
      </c>
      <c r="Q3138" s="2">
        <f>INDEX(Остановки,MATCH(R3138,ИД_Остановки!$B$3:$B$467,0),1)</f>
        <v>117</v>
      </c>
      <c r="R3138" s="30" t="s">
        <v>298</v>
      </c>
      <c r="S3138" s="20">
        <v>0.41</v>
      </c>
    </row>
    <row r="3139" spans="8:19" x14ac:dyDescent="0.25">
      <c r="H3139">
        <v>21</v>
      </c>
      <c r="I3139">
        <v>72</v>
      </c>
      <c r="J3139">
        <v>110</v>
      </c>
      <c r="K3139" t="b">
        <v>1</v>
      </c>
      <c r="N3139" s="26" t="s">
        <v>598</v>
      </c>
      <c r="O3139" s="2">
        <f>INDEX(Маршруты,MATCH(N3139,$B$3:$B$498,0),1)</f>
        <v>131</v>
      </c>
      <c r="P3139" s="27">
        <v>1</v>
      </c>
      <c r="Q3139" s="2">
        <f>INDEX(Остановки,MATCH(R3139,ИД_Остановки!$B$3:$B$467,0),1)</f>
        <v>231</v>
      </c>
      <c r="R3139" s="47" t="s">
        <v>360</v>
      </c>
      <c r="S3139" s="20"/>
    </row>
    <row r="3140" spans="8:19" x14ac:dyDescent="0.25">
      <c r="H3140">
        <v>21</v>
      </c>
      <c r="I3140">
        <v>81</v>
      </c>
      <c r="J3140">
        <v>110</v>
      </c>
      <c r="K3140" t="b">
        <v>1</v>
      </c>
      <c r="N3140" s="30" t="s">
        <v>598</v>
      </c>
      <c r="O3140" s="2">
        <f>INDEX(Маршруты,MATCH(N3140,$B$3:$B$498,0),1)</f>
        <v>131</v>
      </c>
      <c r="P3140" s="27">
        <v>2</v>
      </c>
      <c r="Q3140" s="2">
        <f>INDEX(Остановки,MATCH(R3140,ИД_Остановки!$B$3:$B$467,0),1)</f>
        <v>232</v>
      </c>
      <c r="R3140" s="47" t="s">
        <v>129</v>
      </c>
      <c r="S3140" s="20">
        <v>0.49</v>
      </c>
    </row>
    <row r="3141" spans="8:19" x14ac:dyDescent="0.25">
      <c r="H3141">
        <v>21</v>
      </c>
      <c r="I3141">
        <v>90</v>
      </c>
      <c r="J3141">
        <v>110</v>
      </c>
      <c r="K3141" t="b">
        <v>1</v>
      </c>
      <c r="N3141" s="26" t="s">
        <v>598</v>
      </c>
      <c r="O3141" s="2">
        <f>INDEX(Маршруты,MATCH(N3141,$B$3:$B$498,0),1)</f>
        <v>131</v>
      </c>
      <c r="P3141" s="27">
        <v>3</v>
      </c>
      <c r="Q3141" s="2">
        <f>INDEX(Остановки,MATCH(R3141,ИД_Остановки!$B$3:$B$467,0),1)</f>
        <v>98</v>
      </c>
      <c r="R3141" s="47" t="s">
        <v>286</v>
      </c>
      <c r="S3141" s="20">
        <v>0.31</v>
      </c>
    </row>
    <row r="3142" spans="8:19" x14ac:dyDescent="0.25">
      <c r="H3142">
        <v>21</v>
      </c>
      <c r="I3142">
        <v>99</v>
      </c>
      <c r="J3142">
        <v>110</v>
      </c>
      <c r="K3142" t="b">
        <v>1</v>
      </c>
      <c r="N3142" s="30" t="s">
        <v>598</v>
      </c>
      <c r="O3142" s="2">
        <f>INDEX(Маршруты,MATCH(N3142,$B$3:$B$498,0),1)</f>
        <v>131</v>
      </c>
      <c r="P3142" s="27">
        <v>4</v>
      </c>
      <c r="Q3142" s="2">
        <f>INDEX(Остановки,MATCH(R3142,ИД_Остановки!$B$3:$B$467,0),1)</f>
        <v>100</v>
      </c>
      <c r="R3142" s="47" t="s">
        <v>70</v>
      </c>
      <c r="S3142" s="20">
        <v>1.01</v>
      </c>
    </row>
    <row r="3143" spans="8:19" x14ac:dyDescent="0.25">
      <c r="H3143">
        <v>21</v>
      </c>
      <c r="I3143">
        <v>108</v>
      </c>
      <c r="J3143">
        <v>110</v>
      </c>
      <c r="K3143" t="b">
        <v>1</v>
      </c>
      <c r="N3143" s="25" t="s">
        <v>598</v>
      </c>
      <c r="O3143" s="2">
        <f>INDEX(Маршруты,MATCH(N3143,$B$3:$B$498,0),1)</f>
        <v>131</v>
      </c>
      <c r="P3143" s="28">
        <v>5</v>
      </c>
      <c r="Q3143" s="2">
        <f>INDEX(Остановки,MATCH(R3143,ИД_Остановки!$B$3:$B$467,0),1)</f>
        <v>101</v>
      </c>
      <c r="R3143" s="30" t="s">
        <v>71</v>
      </c>
      <c r="S3143" s="20">
        <v>0.62</v>
      </c>
    </row>
    <row r="3144" spans="8:19" x14ac:dyDescent="0.25">
      <c r="H3144">
        <v>21</v>
      </c>
      <c r="I3144">
        <v>117</v>
      </c>
      <c r="J3144">
        <v>110</v>
      </c>
      <c r="K3144" t="b">
        <v>1</v>
      </c>
      <c r="N3144" s="25" t="s">
        <v>598</v>
      </c>
      <c r="O3144" s="2">
        <f>INDEX(Маршруты,MATCH(N3144,$B$3:$B$498,0),1)</f>
        <v>131</v>
      </c>
      <c r="P3144" s="27">
        <v>6</v>
      </c>
      <c r="Q3144" s="2">
        <f>INDEX(Остановки,MATCH(R3144,ИД_Остановки!$B$3:$B$467,0),1)</f>
        <v>349</v>
      </c>
      <c r="R3144" s="47" t="s">
        <v>58</v>
      </c>
      <c r="S3144" s="20">
        <v>0.28999999999999998</v>
      </c>
    </row>
    <row r="3145" spans="8:19" x14ac:dyDescent="0.25">
      <c r="H3145">
        <v>21</v>
      </c>
      <c r="I3145">
        <v>126</v>
      </c>
      <c r="J3145">
        <v>110</v>
      </c>
      <c r="K3145" t="b">
        <v>1</v>
      </c>
      <c r="N3145" s="25" t="s">
        <v>598</v>
      </c>
      <c r="O3145" s="2">
        <f>INDEX(Маршруты,MATCH(N3145,$B$3:$B$498,0),1)</f>
        <v>131</v>
      </c>
      <c r="P3145" s="27">
        <v>7</v>
      </c>
      <c r="Q3145" s="2">
        <f>INDEX(Остановки,MATCH(R3145,ИД_Остановки!$B$3:$B$467,0),1)</f>
        <v>102</v>
      </c>
      <c r="R3145" s="47" t="s">
        <v>72</v>
      </c>
      <c r="S3145" s="20">
        <v>0.47</v>
      </c>
    </row>
    <row r="3146" spans="8:19" x14ac:dyDescent="0.25">
      <c r="H3146">
        <v>21</v>
      </c>
      <c r="I3146">
        <v>135</v>
      </c>
      <c r="J3146">
        <v>110</v>
      </c>
      <c r="K3146" t="b">
        <v>1</v>
      </c>
      <c r="N3146" s="30" t="s">
        <v>598</v>
      </c>
      <c r="O3146" s="2">
        <f>INDEX(Маршруты,MATCH(N3146,$B$3:$B$498,0),1)</f>
        <v>131</v>
      </c>
      <c r="P3146" s="27">
        <v>8</v>
      </c>
      <c r="Q3146" s="2">
        <f>INDEX(Остановки,MATCH(R3146,ИД_Остановки!$B$3:$B$467,0),1)</f>
        <v>204</v>
      </c>
      <c r="R3146" s="47" t="s">
        <v>342</v>
      </c>
      <c r="S3146" s="20">
        <v>0.42</v>
      </c>
    </row>
    <row r="3147" spans="8:19" x14ac:dyDescent="0.25">
      <c r="H3147">
        <v>21</v>
      </c>
      <c r="I3147">
        <v>144</v>
      </c>
      <c r="J3147">
        <v>110</v>
      </c>
      <c r="K3147" t="b">
        <v>1</v>
      </c>
      <c r="N3147" s="25" t="s">
        <v>598</v>
      </c>
      <c r="O3147" s="2">
        <f>INDEX(Маршруты,MATCH(N3147,$B$3:$B$498,0),1)</f>
        <v>131</v>
      </c>
      <c r="P3147" s="27">
        <v>9</v>
      </c>
      <c r="Q3147" s="2">
        <f>INDEX(Остановки,MATCH(R3147,ИД_Остановки!$B$3:$B$467,0),1)</f>
        <v>33</v>
      </c>
      <c r="R3147" s="47" t="s">
        <v>29</v>
      </c>
      <c r="S3147" s="20">
        <v>0.3</v>
      </c>
    </row>
    <row r="3148" spans="8:19" x14ac:dyDescent="0.25">
      <c r="H3148">
        <v>21</v>
      </c>
      <c r="I3148">
        <v>153</v>
      </c>
      <c r="J3148">
        <v>110</v>
      </c>
      <c r="K3148" t="b">
        <v>1</v>
      </c>
      <c r="N3148" s="25" t="s">
        <v>598</v>
      </c>
      <c r="O3148" s="2">
        <f>INDEX(Маршруты,MATCH(N3148,$B$3:$B$498,0),1)</f>
        <v>131</v>
      </c>
      <c r="P3148" s="28">
        <v>10</v>
      </c>
      <c r="Q3148" s="2">
        <f>INDEX(Остановки,MATCH(R3148,ИД_Остановки!$B$3:$B$467,0),1)</f>
        <v>93</v>
      </c>
      <c r="R3148" s="30" t="s">
        <v>65</v>
      </c>
      <c r="S3148" s="20">
        <v>0.52</v>
      </c>
    </row>
    <row r="3149" spans="8:19" x14ac:dyDescent="0.25">
      <c r="H3149">
        <v>21</v>
      </c>
      <c r="I3149">
        <v>162</v>
      </c>
      <c r="J3149">
        <v>110</v>
      </c>
      <c r="K3149" t="b">
        <v>1</v>
      </c>
      <c r="N3149" s="25" t="s">
        <v>598</v>
      </c>
      <c r="O3149" s="2">
        <f>INDEX(Маршруты,MATCH(N3149,$B$3:$B$498,0),1)</f>
        <v>131</v>
      </c>
      <c r="P3149" s="27">
        <v>11</v>
      </c>
      <c r="Q3149" s="2">
        <f>INDEX(Остановки,MATCH(R3149,ИД_Остановки!$B$3:$B$467,0),1)</f>
        <v>82</v>
      </c>
      <c r="R3149" s="47" t="s">
        <v>59</v>
      </c>
      <c r="S3149" s="20">
        <v>0.52</v>
      </c>
    </row>
    <row r="3150" spans="8:19" x14ac:dyDescent="0.25">
      <c r="H3150">
        <v>21</v>
      </c>
      <c r="I3150">
        <v>171</v>
      </c>
      <c r="J3150">
        <v>110</v>
      </c>
      <c r="K3150" t="b">
        <v>1</v>
      </c>
      <c r="N3150" s="25" t="s">
        <v>598</v>
      </c>
      <c r="O3150" s="2">
        <f>INDEX(Маршруты,MATCH(N3150,$B$3:$B$498,0),1)</f>
        <v>131</v>
      </c>
      <c r="P3150" s="28">
        <v>12</v>
      </c>
      <c r="Q3150" s="2">
        <f>INDEX(Остановки,MATCH(R3150,ИД_Остановки!$B$3:$B$467,0),1)</f>
        <v>83</v>
      </c>
      <c r="R3150" s="30" t="s">
        <v>280</v>
      </c>
      <c r="S3150" s="20">
        <v>1</v>
      </c>
    </row>
    <row r="3151" spans="8:19" x14ac:dyDescent="0.25">
      <c r="H3151">
        <v>21</v>
      </c>
      <c r="I3151">
        <v>180</v>
      </c>
      <c r="J3151">
        <v>110</v>
      </c>
      <c r="K3151" t="b">
        <v>1</v>
      </c>
      <c r="N3151" s="25" t="s">
        <v>598</v>
      </c>
      <c r="O3151" s="2">
        <f>INDEX(Маршруты,MATCH(N3151,$B$3:$B$498,0),1)</f>
        <v>131</v>
      </c>
      <c r="P3151" s="27">
        <v>13</v>
      </c>
      <c r="Q3151" s="2">
        <f>INDEX(Остановки,MATCH(R3151,ИД_Остановки!$B$3:$B$467,0),1)</f>
        <v>391</v>
      </c>
      <c r="R3151" s="47" t="s">
        <v>448</v>
      </c>
      <c r="S3151" s="20">
        <v>0.85</v>
      </c>
    </row>
    <row r="3152" spans="8:19" x14ac:dyDescent="0.25">
      <c r="H3152">
        <v>21</v>
      </c>
      <c r="I3152">
        <v>189</v>
      </c>
      <c r="J3152">
        <v>110</v>
      </c>
      <c r="K3152" t="b">
        <v>1</v>
      </c>
      <c r="N3152" s="25" t="s">
        <v>598</v>
      </c>
      <c r="O3152" s="2">
        <f>INDEX(Маршруты,MATCH(N3152,$B$3:$B$498,0),1)</f>
        <v>131</v>
      </c>
      <c r="P3152" s="27">
        <v>14</v>
      </c>
      <c r="Q3152" s="2">
        <f>INDEX(Остановки,MATCH(R3152,ИД_Остановки!$B$3:$B$467,0),1)</f>
        <v>134</v>
      </c>
      <c r="R3152" s="47" t="s">
        <v>308</v>
      </c>
      <c r="S3152" s="20">
        <v>0.26</v>
      </c>
    </row>
    <row r="3153" spans="8:19" x14ac:dyDescent="0.25">
      <c r="H3153">
        <v>21</v>
      </c>
      <c r="I3153">
        <v>198</v>
      </c>
      <c r="J3153">
        <v>110</v>
      </c>
      <c r="K3153" t="b">
        <v>1</v>
      </c>
      <c r="N3153" s="30" t="s">
        <v>598</v>
      </c>
      <c r="O3153" s="2">
        <f>INDEX(Маршруты,MATCH(N3153,$B$3:$B$498,0),1)</f>
        <v>131</v>
      </c>
      <c r="P3153" s="27">
        <v>15</v>
      </c>
      <c r="Q3153" s="2">
        <f>INDEX(Остановки,MATCH(R3153,ИД_Остановки!$B$3:$B$467,0),1)</f>
        <v>133</v>
      </c>
      <c r="R3153" s="47" t="s">
        <v>82</v>
      </c>
      <c r="S3153" s="20">
        <v>0.3</v>
      </c>
    </row>
    <row r="3154" spans="8:19" x14ac:dyDescent="0.25">
      <c r="H3154">
        <v>21</v>
      </c>
      <c r="I3154">
        <v>207</v>
      </c>
      <c r="J3154">
        <v>110</v>
      </c>
      <c r="K3154" t="b">
        <v>1</v>
      </c>
      <c r="N3154" s="30" t="s">
        <v>598</v>
      </c>
      <c r="O3154" s="2">
        <f>INDEX(Маршруты,MATCH(N3154,$B$3:$B$498,0),1)</f>
        <v>131</v>
      </c>
      <c r="P3154" s="27">
        <v>16</v>
      </c>
      <c r="Q3154" s="2">
        <f>INDEX(Остановки,MATCH(R3154,ИД_Остановки!$B$3:$B$467,0),1)</f>
        <v>132</v>
      </c>
      <c r="R3154" s="47" t="s">
        <v>307</v>
      </c>
      <c r="S3154" s="20">
        <v>0.49</v>
      </c>
    </row>
    <row r="3155" spans="8:19" x14ac:dyDescent="0.25">
      <c r="H3155">
        <v>21</v>
      </c>
      <c r="I3155">
        <v>216</v>
      </c>
      <c r="J3155">
        <v>110</v>
      </c>
      <c r="K3155" t="b">
        <v>1</v>
      </c>
      <c r="N3155" s="30" t="s">
        <v>598</v>
      </c>
      <c r="O3155" s="2">
        <f>INDEX(Маршруты,MATCH(N3155,$B$3:$B$498,0),1)</f>
        <v>131</v>
      </c>
      <c r="P3155" s="27">
        <v>17</v>
      </c>
      <c r="Q3155" s="2">
        <f>INDEX(Остановки,MATCH(R3155,ИД_Остановки!$B$3:$B$467,0),1)</f>
        <v>131</v>
      </c>
      <c r="R3155" s="47" t="s">
        <v>306</v>
      </c>
      <c r="S3155" s="20">
        <v>0.56999999999999995</v>
      </c>
    </row>
    <row r="3156" spans="8:19" x14ac:dyDescent="0.25">
      <c r="H3156">
        <v>21</v>
      </c>
      <c r="I3156">
        <v>225</v>
      </c>
      <c r="J3156">
        <v>110</v>
      </c>
      <c r="K3156" t="b">
        <v>1</v>
      </c>
      <c r="N3156" s="25" t="s">
        <v>598</v>
      </c>
      <c r="O3156" s="2">
        <f>INDEX(Маршруты,MATCH(N3156,$B$3:$B$498,0),1)</f>
        <v>131</v>
      </c>
      <c r="P3156" s="27">
        <v>18</v>
      </c>
      <c r="Q3156" s="2">
        <f>INDEX(Остановки,MATCH(R3156,ИД_Остановки!$B$3:$B$467,0),1)</f>
        <v>130</v>
      </c>
      <c r="R3156" s="47" t="s">
        <v>305</v>
      </c>
      <c r="S3156" s="20">
        <v>0.39</v>
      </c>
    </row>
    <row r="3157" spans="8:19" x14ac:dyDescent="0.25">
      <c r="H3157">
        <v>21</v>
      </c>
      <c r="I3157">
        <v>234</v>
      </c>
      <c r="J3157">
        <v>110</v>
      </c>
      <c r="K3157" t="b">
        <v>1</v>
      </c>
      <c r="N3157" s="25" t="s">
        <v>598</v>
      </c>
      <c r="O3157" s="2">
        <f>INDEX(Маршруты,MATCH(N3157,$B$3:$B$498,0),1)</f>
        <v>131</v>
      </c>
      <c r="P3157" s="28">
        <v>19</v>
      </c>
      <c r="Q3157" s="2">
        <f>INDEX(Остановки,MATCH(R3157,ИД_Остановки!$B$3:$B$467,0),1)</f>
        <v>145</v>
      </c>
      <c r="R3157" s="30" t="s">
        <v>87</v>
      </c>
      <c r="S3157" s="20">
        <v>0.63</v>
      </c>
    </row>
    <row r="3158" spans="8:19" x14ac:dyDescent="0.25">
      <c r="H3158">
        <v>21</v>
      </c>
      <c r="I3158">
        <v>243</v>
      </c>
      <c r="J3158">
        <v>110</v>
      </c>
      <c r="K3158" t="b">
        <v>1</v>
      </c>
      <c r="N3158" s="30" t="s">
        <v>598</v>
      </c>
      <c r="O3158" s="2">
        <f>INDEX(Маршруты,MATCH(N3158,$B$3:$B$498,0),1)</f>
        <v>131</v>
      </c>
      <c r="P3158" s="27">
        <v>20</v>
      </c>
      <c r="Q3158" s="2">
        <f>INDEX(Остановки,MATCH(R3158,ИД_Остановки!$B$3:$B$467,0),1)</f>
        <v>47</v>
      </c>
      <c r="R3158" s="47" t="s">
        <v>259</v>
      </c>
      <c r="S3158" s="20">
        <v>0.77</v>
      </c>
    </row>
    <row r="3159" spans="8:19" x14ac:dyDescent="0.25">
      <c r="H3159">
        <v>21</v>
      </c>
      <c r="I3159">
        <v>252</v>
      </c>
      <c r="J3159">
        <v>110</v>
      </c>
      <c r="K3159" t="b">
        <v>1</v>
      </c>
      <c r="N3159" s="26" t="s">
        <v>598</v>
      </c>
      <c r="O3159" s="2">
        <f>INDEX(Маршруты,MATCH(N3159,$B$3:$B$498,0),1)</f>
        <v>131</v>
      </c>
      <c r="P3159" s="27">
        <v>21</v>
      </c>
      <c r="Q3159" s="2">
        <f>INDEX(Остановки,MATCH(R3159,ИД_Остановки!$B$3:$B$467,0),1)</f>
        <v>46</v>
      </c>
      <c r="R3159" s="47" t="s">
        <v>41</v>
      </c>
      <c r="S3159" s="20">
        <v>0.5</v>
      </c>
    </row>
    <row r="3160" spans="8:19" x14ac:dyDescent="0.25">
      <c r="H3160">
        <v>21</v>
      </c>
      <c r="I3160">
        <v>261</v>
      </c>
      <c r="J3160">
        <v>110</v>
      </c>
      <c r="K3160" t="b">
        <v>1</v>
      </c>
      <c r="N3160" s="25" t="s">
        <v>598</v>
      </c>
      <c r="O3160" s="2">
        <f>INDEX(Маршруты,MATCH(N3160,$B$3:$B$498,0),1)</f>
        <v>131</v>
      </c>
      <c r="P3160" s="28">
        <v>22</v>
      </c>
      <c r="Q3160" s="2">
        <f>INDEX(Остановки,MATCH(R3160,ИД_Остановки!$B$3:$B$467,0),1)</f>
        <v>45</v>
      </c>
      <c r="R3160" s="30" t="s">
        <v>40</v>
      </c>
      <c r="S3160" s="21">
        <v>0.45</v>
      </c>
    </row>
    <row r="3161" spans="8:19" x14ac:dyDescent="0.25">
      <c r="H3161">
        <v>21</v>
      </c>
      <c r="I3161">
        <v>270</v>
      </c>
      <c r="J3161">
        <v>110</v>
      </c>
      <c r="K3161" t="b">
        <v>1</v>
      </c>
      <c r="N3161" s="25" t="s">
        <v>598</v>
      </c>
      <c r="O3161" s="2">
        <f>INDEX(Маршруты,MATCH(N3161,$B$3:$B$498,0),1)</f>
        <v>131</v>
      </c>
      <c r="P3161" s="27">
        <v>23</v>
      </c>
      <c r="Q3161" s="2">
        <f>INDEX(Остановки,MATCH(R3161,ИД_Остановки!$B$3:$B$467,0),1)</f>
        <v>44</v>
      </c>
      <c r="R3161" s="47" t="s">
        <v>258</v>
      </c>
      <c r="S3161" s="20">
        <v>0.39</v>
      </c>
    </row>
    <row r="3162" spans="8:19" x14ac:dyDescent="0.25">
      <c r="H3162">
        <v>21</v>
      </c>
      <c r="I3162">
        <v>279</v>
      </c>
      <c r="J3162">
        <v>110</v>
      </c>
      <c r="K3162" t="b">
        <v>1</v>
      </c>
      <c r="N3162" s="25" t="s">
        <v>598</v>
      </c>
      <c r="O3162" s="2">
        <f>INDEX(Маршруты,MATCH(N3162,$B$3:$B$498,0),1)</f>
        <v>131</v>
      </c>
      <c r="P3162" s="27">
        <v>24</v>
      </c>
      <c r="Q3162" s="2">
        <f>INDEX(Остановки,MATCH(R3162,ИД_Остановки!$B$3:$B$467,0),1)</f>
        <v>43</v>
      </c>
      <c r="R3162" s="47" t="s">
        <v>39</v>
      </c>
      <c r="S3162" s="20">
        <v>0.69</v>
      </c>
    </row>
    <row r="3163" spans="8:19" x14ac:dyDescent="0.25">
      <c r="H3163">
        <v>21</v>
      </c>
      <c r="I3163">
        <v>288</v>
      </c>
      <c r="J3163">
        <v>110</v>
      </c>
      <c r="K3163" t="b">
        <v>1</v>
      </c>
      <c r="N3163" s="25" t="s">
        <v>598</v>
      </c>
      <c r="O3163" s="2">
        <f>INDEX(Маршруты,MATCH(N3163,$B$3:$B$498,0),1)</f>
        <v>131</v>
      </c>
      <c r="P3163" s="27">
        <v>25</v>
      </c>
      <c r="Q3163" s="2">
        <f>INDEX(Остановки,MATCH(R3163,ИД_Остановки!$B$3:$B$467,0),1)</f>
        <v>42</v>
      </c>
      <c r="R3163" s="47" t="s">
        <v>38</v>
      </c>
      <c r="S3163" s="20">
        <v>0.37</v>
      </c>
    </row>
    <row r="3164" spans="8:19" x14ac:dyDescent="0.25">
      <c r="H3164">
        <v>21</v>
      </c>
      <c r="I3164">
        <v>297</v>
      </c>
      <c r="J3164">
        <v>110</v>
      </c>
      <c r="K3164" t="b">
        <v>1</v>
      </c>
      <c r="N3164" s="25" t="s">
        <v>598</v>
      </c>
      <c r="O3164" s="2">
        <f>INDEX(Маршруты,MATCH(N3164,$B$3:$B$498,0),1)</f>
        <v>131</v>
      </c>
      <c r="P3164" s="27">
        <v>26</v>
      </c>
      <c r="Q3164" s="2">
        <f>INDEX(Остановки,MATCH(R3164,ИД_Остановки!$B$3:$B$467,0),1)</f>
        <v>40</v>
      </c>
      <c r="R3164" s="47" t="s">
        <v>36</v>
      </c>
      <c r="S3164" s="20">
        <v>0.7</v>
      </c>
    </row>
    <row r="3165" spans="8:19" x14ac:dyDescent="0.25">
      <c r="H3165">
        <v>21</v>
      </c>
      <c r="I3165">
        <v>306</v>
      </c>
      <c r="J3165">
        <v>110</v>
      </c>
      <c r="K3165" t="b">
        <v>1</v>
      </c>
      <c r="N3165" s="25" t="s">
        <v>598</v>
      </c>
      <c r="O3165" s="2">
        <f>INDEX(Маршруты,MATCH(N3165,$B$3:$B$498,0),1)</f>
        <v>131</v>
      </c>
      <c r="P3165" s="27">
        <v>27</v>
      </c>
      <c r="Q3165" s="2">
        <f>INDEX(Остановки,MATCH(R3165,ИД_Остановки!$B$3:$B$467,0),1)</f>
        <v>39</v>
      </c>
      <c r="R3165" s="47" t="s">
        <v>257</v>
      </c>
      <c r="S3165" s="20">
        <v>0.31</v>
      </c>
    </row>
    <row r="3166" spans="8:19" x14ac:dyDescent="0.25">
      <c r="H3166">
        <v>21</v>
      </c>
      <c r="I3166">
        <v>315</v>
      </c>
      <c r="J3166">
        <v>110</v>
      </c>
      <c r="K3166" t="b">
        <v>1</v>
      </c>
      <c r="N3166" s="30" t="s">
        <v>598</v>
      </c>
      <c r="O3166" s="2">
        <f>INDEX(Маршруты,MATCH(N3166,$B$3:$B$498,0),1)</f>
        <v>131</v>
      </c>
      <c r="P3166" s="27">
        <v>28</v>
      </c>
      <c r="Q3166" s="2">
        <f>INDEX(Остановки,MATCH(R3166,ИД_Остановки!$B$3:$B$467,0),1)</f>
        <v>38</v>
      </c>
      <c r="R3166" s="47" t="s">
        <v>35</v>
      </c>
      <c r="S3166" s="20">
        <v>0.49</v>
      </c>
    </row>
    <row r="3167" spans="8:19" x14ac:dyDescent="0.25">
      <c r="H3167">
        <v>21</v>
      </c>
      <c r="I3167">
        <v>324</v>
      </c>
      <c r="J3167">
        <v>110</v>
      </c>
      <c r="K3167" t="b">
        <v>1</v>
      </c>
      <c r="N3167" s="26" t="s">
        <v>598</v>
      </c>
      <c r="O3167" s="2">
        <f>INDEX(Маршруты,MATCH(N3167,$B$3:$B$498,0),1)</f>
        <v>131</v>
      </c>
      <c r="P3167" s="27">
        <v>29</v>
      </c>
      <c r="Q3167" s="2">
        <f>INDEX(Остановки,MATCH(R3167,ИД_Остановки!$B$3:$B$467,0),1)</f>
        <v>37</v>
      </c>
      <c r="R3167" s="47" t="s">
        <v>34</v>
      </c>
      <c r="S3167" s="20">
        <v>0.56999999999999995</v>
      </c>
    </row>
    <row r="3168" spans="8:19" x14ac:dyDescent="0.25">
      <c r="H3168">
        <v>21</v>
      </c>
      <c r="I3168">
        <v>333</v>
      </c>
      <c r="J3168">
        <v>110</v>
      </c>
      <c r="K3168" t="b">
        <v>1</v>
      </c>
      <c r="N3168" s="25" t="s">
        <v>598</v>
      </c>
      <c r="O3168" s="2">
        <f>INDEX(Маршруты,MATCH(N3168,$B$3:$B$498,0),1)</f>
        <v>131</v>
      </c>
      <c r="P3168" s="27">
        <v>30</v>
      </c>
      <c r="Q3168" s="2">
        <f>INDEX(Остановки,MATCH(R3168,ИД_Остановки!$B$3:$B$467,0),1)</f>
        <v>36</v>
      </c>
      <c r="R3168" s="47" t="s">
        <v>33</v>
      </c>
      <c r="S3168" s="20">
        <v>0.57999999999999996</v>
      </c>
    </row>
    <row r="3169" spans="8:19" x14ac:dyDescent="0.25">
      <c r="H3169">
        <v>21</v>
      </c>
      <c r="I3169">
        <v>342</v>
      </c>
      <c r="J3169">
        <v>110</v>
      </c>
      <c r="K3169" t="b">
        <v>1</v>
      </c>
      <c r="N3169" s="25" t="s">
        <v>598</v>
      </c>
      <c r="O3169" s="2">
        <f>INDEX(Маршруты,MATCH(N3169,$B$3:$B$498,0),1)</f>
        <v>131</v>
      </c>
      <c r="P3169" s="27">
        <v>31</v>
      </c>
      <c r="Q3169" s="2">
        <f>INDEX(Остановки,MATCH(R3169,ИД_Остановки!$B$3:$B$467,0),1)</f>
        <v>35</v>
      </c>
      <c r="R3169" s="47" t="s">
        <v>31</v>
      </c>
      <c r="S3169" s="20">
        <v>0.7</v>
      </c>
    </row>
    <row r="3170" spans="8:19" x14ac:dyDescent="0.25">
      <c r="H3170">
        <v>21</v>
      </c>
      <c r="I3170">
        <v>351</v>
      </c>
      <c r="J3170">
        <v>110</v>
      </c>
      <c r="K3170" t="b">
        <v>1</v>
      </c>
      <c r="N3170" s="30" t="s">
        <v>599</v>
      </c>
      <c r="O3170" s="2">
        <f>INDEX(Маршруты,MATCH(N3170,$B$3:$B$498,0),1)</f>
        <v>132</v>
      </c>
      <c r="P3170" s="27">
        <v>1</v>
      </c>
      <c r="Q3170" s="2">
        <f>INDEX(Остановки,MATCH(R3170,ИД_Остановки!$B$3:$B$467,0),1)</f>
        <v>35</v>
      </c>
      <c r="R3170" s="47" t="s">
        <v>31</v>
      </c>
      <c r="S3170" s="20"/>
    </row>
    <row r="3171" spans="8:19" x14ac:dyDescent="0.25">
      <c r="H3171">
        <v>21</v>
      </c>
      <c r="I3171">
        <v>360</v>
      </c>
      <c r="J3171">
        <v>110</v>
      </c>
      <c r="K3171" t="b">
        <v>1</v>
      </c>
      <c r="N3171" s="30" t="s">
        <v>599</v>
      </c>
      <c r="O3171" s="2">
        <f>INDEX(Маршруты,MATCH(N3171,$B$3:$B$498,0),1)</f>
        <v>132</v>
      </c>
      <c r="P3171" s="27">
        <v>2</v>
      </c>
      <c r="Q3171" s="2">
        <f>INDEX(Остановки,MATCH(R3171,ИД_Остановки!$B$3:$B$467,0),1)</f>
        <v>36</v>
      </c>
      <c r="R3171" s="47" t="s">
        <v>33</v>
      </c>
      <c r="S3171" s="20">
        <v>0.7</v>
      </c>
    </row>
    <row r="3172" spans="8:19" x14ac:dyDescent="0.25">
      <c r="H3172">
        <v>21</v>
      </c>
      <c r="I3172">
        <v>369</v>
      </c>
      <c r="J3172">
        <v>110</v>
      </c>
      <c r="K3172" t="b">
        <v>1</v>
      </c>
      <c r="N3172" s="30" t="s">
        <v>599</v>
      </c>
      <c r="O3172" s="2">
        <f>INDEX(Маршруты,MATCH(N3172,$B$3:$B$498,0),1)</f>
        <v>132</v>
      </c>
      <c r="P3172" s="27">
        <v>3</v>
      </c>
      <c r="Q3172" s="2">
        <f>INDEX(Остановки,MATCH(R3172,ИД_Остановки!$B$3:$B$467,0),1)</f>
        <v>37</v>
      </c>
      <c r="R3172" s="47" t="s">
        <v>34</v>
      </c>
      <c r="S3172" s="20">
        <v>0.57999999999999996</v>
      </c>
    </row>
    <row r="3173" spans="8:19" x14ac:dyDescent="0.25">
      <c r="H3173">
        <v>21</v>
      </c>
      <c r="I3173">
        <v>378</v>
      </c>
      <c r="J3173">
        <v>110</v>
      </c>
      <c r="K3173" t="b">
        <v>1</v>
      </c>
      <c r="N3173" s="30" t="s">
        <v>599</v>
      </c>
      <c r="O3173" s="2">
        <f>INDEX(Маршруты,MATCH(N3173,$B$3:$B$498,0),1)</f>
        <v>132</v>
      </c>
      <c r="P3173" s="27">
        <v>4</v>
      </c>
      <c r="Q3173" s="2">
        <f>INDEX(Остановки,MATCH(R3173,ИД_Остановки!$B$3:$B$467,0),1)</f>
        <v>38</v>
      </c>
      <c r="R3173" s="47" t="s">
        <v>35</v>
      </c>
      <c r="S3173" s="20">
        <v>0.56999999999999995</v>
      </c>
    </row>
    <row r="3174" spans="8:19" x14ac:dyDescent="0.25">
      <c r="H3174">
        <v>21</v>
      </c>
      <c r="I3174">
        <v>387</v>
      </c>
      <c r="J3174">
        <v>110</v>
      </c>
      <c r="K3174" t="b">
        <v>1</v>
      </c>
      <c r="N3174" s="25" t="s">
        <v>599</v>
      </c>
      <c r="O3174" s="2">
        <f>INDEX(Маршруты,MATCH(N3174,$B$3:$B$498,0),1)</f>
        <v>132</v>
      </c>
      <c r="P3174" s="27">
        <v>5</v>
      </c>
      <c r="Q3174" s="2">
        <f>INDEX(Остановки,MATCH(R3174,ИД_Остановки!$B$3:$B$467,0),1)</f>
        <v>39</v>
      </c>
      <c r="R3174" s="47" t="s">
        <v>257</v>
      </c>
      <c r="S3174" s="20">
        <v>0.49</v>
      </c>
    </row>
    <row r="3175" spans="8:19" x14ac:dyDescent="0.25">
      <c r="H3175">
        <v>21</v>
      </c>
      <c r="I3175">
        <v>396</v>
      </c>
      <c r="J3175">
        <v>110</v>
      </c>
      <c r="K3175" t="b">
        <v>1</v>
      </c>
      <c r="N3175" s="25" t="s">
        <v>599</v>
      </c>
      <c r="O3175" s="2">
        <f>INDEX(Маршруты,MATCH(N3175,$B$3:$B$498,0),1)</f>
        <v>132</v>
      </c>
      <c r="P3175" s="27">
        <v>6</v>
      </c>
      <c r="Q3175" s="2">
        <f>INDEX(Остановки,MATCH(R3175,ИД_Остановки!$B$3:$B$467,0),1)</f>
        <v>40</v>
      </c>
      <c r="R3175" s="47" t="s">
        <v>36</v>
      </c>
      <c r="S3175" s="20">
        <v>0.31</v>
      </c>
    </row>
    <row r="3176" spans="8:19" x14ac:dyDescent="0.25">
      <c r="H3176">
        <v>21</v>
      </c>
      <c r="I3176">
        <v>405</v>
      </c>
      <c r="J3176">
        <v>110</v>
      </c>
      <c r="K3176" t="b">
        <v>1</v>
      </c>
      <c r="N3176" s="26" t="s">
        <v>599</v>
      </c>
      <c r="O3176" s="2">
        <f>INDEX(Маршруты,MATCH(N3176,$B$3:$B$498,0),1)</f>
        <v>132</v>
      </c>
      <c r="P3176" s="27">
        <v>7</v>
      </c>
      <c r="Q3176" s="2">
        <f>INDEX(Остановки,MATCH(R3176,ИД_Остановки!$B$3:$B$467,0),1)</f>
        <v>42</v>
      </c>
      <c r="R3176" s="47" t="s">
        <v>38</v>
      </c>
      <c r="S3176" s="20">
        <v>0.7</v>
      </c>
    </row>
    <row r="3177" spans="8:19" x14ac:dyDescent="0.25">
      <c r="H3177">
        <v>21</v>
      </c>
      <c r="I3177">
        <v>414</v>
      </c>
      <c r="J3177">
        <v>110</v>
      </c>
      <c r="K3177" t="b">
        <v>1</v>
      </c>
      <c r="N3177" s="25" t="s">
        <v>599</v>
      </c>
      <c r="O3177" s="2">
        <f>INDEX(Маршруты,MATCH(N3177,$B$3:$B$498,0),1)</f>
        <v>132</v>
      </c>
      <c r="P3177" s="28">
        <v>8</v>
      </c>
      <c r="Q3177" s="2">
        <f>INDEX(Остановки,MATCH(R3177,ИД_Остановки!$B$3:$B$467,0),1)</f>
        <v>43</v>
      </c>
      <c r="R3177" s="30" t="s">
        <v>39</v>
      </c>
      <c r="S3177" s="21">
        <v>0.37</v>
      </c>
    </row>
    <row r="3178" spans="8:19" x14ac:dyDescent="0.25">
      <c r="H3178">
        <v>21</v>
      </c>
      <c r="I3178">
        <v>423</v>
      </c>
      <c r="J3178">
        <v>110</v>
      </c>
      <c r="K3178" t="b">
        <v>1</v>
      </c>
      <c r="N3178" s="25" t="s">
        <v>599</v>
      </c>
      <c r="O3178" s="2">
        <f>INDEX(Маршруты,MATCH(N3178,$B$3:$B$498,0),1)</f>
        <v>132</v>
      </c>
      <c r="P3178" s="28">
        <v>9</v>
      </c>
      <c r="Q3178" s="2">
        <f>INDEX(Остановки,MATCH(R3178,ИД_Остановки!$B$3:$B$467,0),1)</f>
        <v>44</v>
      </c>
      <c r="R3178" s="30" t="s">
        <v>258</v>
      </c>
      <c r="S3178" s="20">
        <v>0.69</v>
      </c>
    </row>
    <row r="3179" spans="8:19" x14ac:dyDescent="0.25">
      <c r="H3179">
        <v>21</v>
      </c>
      <c r="I3179">
        <v>432</v>
      </c>
      <c r="J3179">
        <v>110</v>
      </c>
      <c r="K3179" t="b">
        <v>1</v>
      </c>
      <c r="N3179" s="25" t="s">
        <v>599</v>
      </c>
      <c r="O3179" s="2">
        <f>INDEX(Маршруты,MATCH(N3179,$B$3:$B$498,0),1)</f>
        <v>132</v>
      </c>
      <c r="P3179" s="27">
        <v>10</v>
      </c>
      <c r="Q3179" s="2">
        <f>INDEX(Остановки,MATCH(R3179,ИД_Остановки!$B$3:$B$467,0),1)</f>
        <v>45</v>
      </c>
      <c r="R3179" s="47" t="s">
        <v>40</v>
      </c>
      <c r="S3179" s="20">
        <v>0.39</v>
      </c>
    </row>
    <row r="3180" spans="8:19" x14ac:dyDescent="0.25">
      <c r="H3180">
        <v>21</v>
      </c>
      <c r="I3180">
        <v>441</v>
      </c>
      <c r="J3180">
        <v>110</v>
      </c>
      <c r="K3180" t="b">
        <v>1</v>
      </c>
      <c r="N3180" s="30" t="s">
        <v>599</v>
      </c>
      <c r="O3180" s="2">
        <f>INDEX(Маршруты,MATCH(N3180,$B$3:$B$498,0),1)</f>
        <v>132</v>
      </c>
      <c r="P3180" s="27">
        <v>11</v>
      </c>
      <c r="Q3180" s="2">
        <f>INDEX(Остановки,MATCH(R3180,ИД_Остановки!$B$3:$B$467,0),1)</f>
        <v>46</v>
      </c>
      <c r="R3180" s="47" t="s">
        <v>41</v>
      </c>
      <c r="S3180" s="20">
        <v>0.45</v>
      </c>
    </row>
    <row r="3181" spans="8:19" x14ac:dyDescent="0.25">
      <c r="H3181">
        <v>21</v>
      </c>
      <c r="I3181">
        <v>450</v>
      </c>
      <c r="J3181">
        <v>110</v>
      </c>
      <c r="K3181" t="b">
        <v>1</v>
      </c>
      <c r="N3181" s="30" t="s">
        <v>599</v>
      </c>
      <c r="O3181" s="2">
        <f>INDEX(Маршруты,MATCH(N3181,$B$3:$B$498,0),1)</f>
        <v>132</v>
      </c>
      <c r="P3181" s="27">
        <v>12</v>
      </c>
      <c r="Q3181" s="2">
        <f>INDEX(Остановки,MATCH(R3181,ИД_Остановки!$B$3:$B$467,0),1)</f>
        <v>47</v>
      </c>
      <c r="R3181" s="47" t="s">
        <v>259</v>
      </c>
      <c r="S3181" s="20">
        <v>0.5</v>
      </c>
    </row>
    <row r="3182" spans="8:19" x14ac:dyDescent="0.25">
      <c r="H3182">
        <v>21</v>
      </c>
      <c r="I3182">
        <v>459</v>
      </c>
      <c r="J3182">
        <v>110</v>
      </c>
      <c r="K3182" t="b">
        <v>1</v>
      </c>
      <c r="N3182" s="30" t="s">
        <v>599</v>
      </c>
      <c r="O3182" s="2">
        <f>INDEX(Маршруты,MATCH(N3182,$B$3:$B$498,0),1)</f>
        <v>132</v>
      </c>
      <c r="P3182" s="27">
        <v>13</v>
      </c>
      <c r="Q3182" s="2">
        <f>INDEX(Остановки,MATCH(R3182,ИД_Остановки!$B$3:$B$467,0),1)</f>
        <v>145</v>
      </c>
      <c r="R3182" s="47" t="s">
        <v>87</v>
      </c>
      <c r="S3182" s="20">
        <v>0.77</v>
      </c>
    </row>
    <row r="3183" spans="8:19" x14ac:dyDescent="0.25">
      <c r="H3183">
        <v>21</v>
      </c>
      <c r="I3183">
        <v>468</v>
      </c>
      <c r="J3183">
        <v>110</v>
      </c>
      <c r="K3183" t="b">
        <v>1</v>
      </c>
      <c r="N3183" s="25" t="s">
        <v>599</v>
      </c>
      <c r="O3183" s="2">
        <f>INDEX(Маршруты,MATCH(N3183,$B$3:$B$498,0),1)</f>
        <v>132</v>
      </c>
      <c r="P3183" s="27">
        <v>14</v>
      </c>
      <c r="Q3183" s="2">
        <f>INDEX(Остановки,MATCH(R3183,ИД_Остановки!$B$3:$B$467,0),1)</f>
        <v>130</v>
      </c>
      <c r="R3183" s="47" t="s">
        <v>305</v>
      </c>
      <c r="S3183" s="20">
        <v>0.63</v>
      </c>
    </row>
    <row r="3184" spans="8:19" x14ac:dyDescent="0.25">
      <c r="H3184">
        <v>21</v>
      </c>
      <c r="I3184">
        <v>477</v>
      </c>
      <c r="J3184">
        <v>110</v>
      </c>
      <c r="K3184" t="b">
        <v>1</v>
      </c>
      <c r="N3184" s="30" t="s">
        <v>599</v>
      </c>
      <c r="O3184" s="2">
        <f>INDEX(Маршруты,MATCH(N3184,$B$3:$B$498,0),1)</f>
        <v>132</v>
      </c>
      <c r="P3184" s="27">
        <v>15</v>
      </c>
      <c r="Q3184" s="2">
        <f>INDEX(Остановки,MATCH(R3184,ИД_Остановки!$B$3:$B$467,0),1)</f>
        <v>131</v>
      </c>
      <c r="R3184" s="47" t="s">
        <v>306</v>
      </c>
      <c r="S3184" s="20">
        <v>0.39</v>
      </c>
    </row>
    <row r="3185" spans="8:19" x14ac:dyDescent="0.25">
      <c r="H3185">
        <v>21</v>
      </c>
      <c r="I3185">
        <v>486</v>
      </c>
      <c r="J3185">
        <v>110</v>
      </c>
      <c r="K3185" t="b">
        <v>1</v>
      </c>
      <c r="N3185" s="25" t="s">
        <v>599</v>
      </c>
      <c r="O3185" s="2">
        <f>INDEX(Маршруты,MATCH(N3185,$B$3:$B$498,0),1)</f>
        <v>132</v>
      </c>
      <c r="P3185" s="27">
        <v>16</v>
      </c>
      <c r="Q3185" s="2">
        <f>INDEX(Остановки,MATCH(R3185,ИД_Остановки!$B$3:$B$467,0),1)</f>
        <v>132</v>
      </c>
      <c r="R3185" s="47" t="s">
        <v>307</v>
      </c>
      <c r="S3185" s="20">
        <v>0.56999999999999995</v>
      </c>
    </row>
    <row r="3186" spans="8:19" x14ac:dyDescent="0.25">
      <c r="H3186">
        <v>21</v>
      </c>
      <c r="I3186">
        <v>495</v>
      </c>
      <c r="J3186">
        <v>110</v>
      </c>
      <c r="K3186" t="b">
        <v>1</v>
      </c>
      <c r="N3186" s="26" t="s">
        <v>599</v>
      </c>
      <c r="O3186" s="2">
        <f>INDEX(Маршруты,MATCH(N3186,$B$3:$B$498,0),1)</f>
        <v>132</v>
      </c>
      <c r="P3186" s="27">
        <v>17</v>
      </c>
      <c r="Q3186" s="2">
        <f>INDEX(Остановки,MATCH(R3186,ИД_Остановки!$B$3:$B$467,0),1)</f>
        <v>133</v>
      </c>
      <c r="R3186" s="47" t="s">
        <v>82</v>
      </c>
      <c r="S3186" s="20">
        <v>0.49</v>
      </c>
    </row>
    <row r="3187" spans="8:19" x14ac:dyDescent="0.25">
      <c r="H3187">
        <v>21</v>
      </c>
      <c r="I3187">
        <v>504</v>
      </c>
      <c r="J3187">
        <v>110</v>
      </c>
      <c r="K3187" t="b">
        <v>1</v>
      </c>
      <c r="N3187" s="25" t="s">
        <v>599</v>
      </c>
      <c r="O3187" s="2">
        <f>INDEX(Маршруты,MATCH(N3187,$B$3:$B$498,0),1)</f>
        <v>132</v>
      </c>
      <c r="P3187" s="28">
        <v>18</v>
      </c>
      <c r="Q3187" s="2">
        <f>INDEX(Остановки,MATCH(R3187,ИД_Остановки!$B$3:$B$467,0),1)</f>
        <v>134</v>
      </c>
      <c r="R3187" s="30" t="s">
        <v>308</v>
      </c>
      <c r="S3187" s="20">
        <v>0.3</v>
      </c>
    </row>
    <row r="3188" spans="8:19" x14ac:dyDescent="0.25">
      <c r="H3188">
        <v>21</v>
      </c>
      <c r="I3188">
        <v>513</v>
      </c>
      <c r="J3188">
        <v>110</v>
      </c>
      <c r="K3188" t="b">
        <v>1</v>
      </c>
      <c r="N3188" s="25" t="s">
        <v>599</v>
      </c>
      <c r="O3188" s="2">
        <f>INDEX(Маршруты,MATCH(N3188,$B$3:$B$498,0),1)</f>
        <v>132</v>
      </c>
      <c r="P3188" s="27">
        <v>19</v>
      </c>
      <c r="Q3188" s="2">
        <f>INDEX(Остановки,MATCH(R3188,ИД_Остановки!$B$3:$B$467,0),1)</f>
        <v>391</v>
      </c>
      <c r="R3188" s="47" t="s">
        <v>448</v>
      </c>
      <c r="S3188" s="20">
        <v>0.26</v>
      </c>
    </row>
    <row r="3189" spans="8:19" x14ac:dyDescent="0.25">
      <c r="H3189">
        <v>21</v>
      </c>
      <c r="I3189">
        <v>522</v>
      </c>
      <c r="J3189">
        <v>110</v>
      </c>
      <c r="K3189" t="b">
        <v>1</v>
      </c>
      <c r="N3189" s="25" t="s">
        <v>599</v>
      </c>
      <c r="O3189" s="2">
        <f>INDEX(Маршруты,MATCH(N3189,$B$3:$B$498,0),1)</f>
        <v>132</v>
      </c>
      <c r="P3189" s="28">
        <v>20</v>
      </c>
      <c r="Q3189" s="2">
        <f>INDEX(Остановки,MATCH(R3189,ИД_Остановки!$B$3:$B$467,0),1)</f>
        <v>83</v>
      </c>
      <c r="R3189" s="30" t="s">
        <v>280</v>
      </c>
      <c r="S3189" s="21">
        <v>0.85</v>
      </c>
    </row>
    <row r="3190" spans="8:19" x14ac:dyDescent="0.25">
      <c r="H3190">
        <v>21</v>
      </c>
      <c r="I3190">
        <v>531</v>
      </c>
      <c r="J3190">
        <v>110</v>
      </c>
      <c r="K3190" t="b">
        <v>1</v>
      </c>
      <c r="N3190" s="26" t="s">
        <v>599</v>
      </c>
      <c r="O3190" s="2">
        <f>INDEX(Маршруты,MATCH(N3190,$B$3:$B$498,0),1)</f>
        <v>132</v>
      </c>
      <c r="P3190" s="27">
        <v>21</v>
      </c>
      <c r="Q3190" s="2">
        <f>INDEX(Остановки,MATCH(R3190,ИД_Остановки!$B$3:$B$467,0),1)</f>
        <v>82</v>
      </c>
      <c r="R3190" s="47" t="s">
        <v>59</v>
      </c>
      <c r="S3190" s="20">
        <v>1</v>
      </c>
    </row>
    <row r="3191" spans="8:19" x14ac:dyDescent="0.25">
      <c r="H3191">
        <v>21</v>
      </c>
      <c r="I3191">
        <v>540</v>
      </c>
      <c r="J3191">
        <v>110</v>
      </c>
      <c r="K3191" t="b">
        <v>1</v>
      </c>
      <c r="N3191" s="30" t="s">
        <v>599</v>
      </c>
      <c r="O3191" s="2">
        <f>INDEX(Маршруты,MATCH(N3191,$B$3:$B$498,0),1)</f>
        <v>132</v>
      </c>
      <c r="P3191" s="27">
        <v>22</v>
      </c>
      <c r="Q3191" s="2">
        <f>INDEX(Остановки,MATCH(R3191,ИД_Остановки!$B$3:$B$467,0),1)</f>
        <v>93</v>
      </c>
      <c r="R3191" s="47" t="s">
        <v>65</v>
      </c>
      <c r="S3191" s="20">
        <v>0.52</v>
      </c>
    </row>
    <row r="3192" spans="8:19" x14ac:dyDescent="0.25">
      <c r="H3192">
        <v>21</v>
      </c>
      <c r="I3192">
        <v>549</v>
      </c>
      <c r="J3192">
        <v>110</v>
      </c>
      <c r="K3192" t="b">
        <v>1</v>
      </c>
      <c r="N3192" s="25" t="s">
        <v>599</v>
      </c>
      <c r="O3192" s="2">
        <f>INDEX(Маршруты,MATCH(N3192,$B$3:$B$498,0),1)</f>
        <v>132</v>
      </c>
      <c r="P3192" s="27">
        <v>23</v>
      </c>
      <c r="Q3192" s="2">
        <f>INDEX(Остановки,MATCH(R3192,ИД_Остановки!$B$3:$B$467,0),1)</f>
        <v>33</v>
      </c>
      <c r="R3192" s="47" t="s">
        <v>29</v>
      </c>
      <c r="S3192" s="20">
        <v>0.52</v>
      </c>
    </row>
    <row r="3193" spans="8:19" x14ac:dyDescent="0.25">
      <c r="H3193">
        <v>21</v>
      </c>
      <c r="I3193">
        <v>558</v>
      </c>
      <c r="J3193">
        <v>110</v>
      </c>
      <c r="K3193" t="b">
        <v>1</v>
      </c>
      <c r="N3193" s="25" t="s">
        <v>599</v>
      </c>
      <c r="O3193" s="2">
        <f>INDEX(Маршруты,MATCH(N3193,$B$3:$B$498,0),1)</f>
        <v>132</v>
      </c>
      <c r="P3193" s="27">
        <v>24</v>
      </c>
      <c r="Q3193" s="2">
        <f>INDEX(Остановки,MATCH(R3193,ИД_Остановки!$B$3:$B$467,0),1)</f>
        <v>204</v>
      </c>
      <c r="R3193" s="47" t="s">
        <v>342</v>
      </c>
      <c r="S3193" s="20">
        <v>0.3</v>
      </c>
    </row>
    <row r="3194" spans="8:19" x14ac:dyDescent="0.25">
      <c r="H3194">
        <v>21</v>
      </c>
      <c r="I3194">
        <v>567</v>
      </c>
      <c r="J3194">
        <v>110</v>
      </c>
      <c r="K3194" t="b">
        <v>1</v>
      </c>
      <c r="N3194" s="30" t="s">
        <v>599</v>
      </c>
      <c r="O3194" s="2">
        <f>INDEX(Маршруты,MATCH(N3194,$B$3:$B$498,0),1)</f>
        <v>132</v>
      </c>
      <c r="P3194" s="27">
        <v>25</v>
      </c>
      <c r="Q3194" s="2">
        <f>INDEX(Остановки,MATCH(R3194,ИД_Остановки!$B$3:$B$467,0),1)</f>
        <v>102</v>
      </c>
      <c r="R3194" s="47" t="s">
        <v>72</v>
      </c>
      <c r="S3194" s="20">
        <v>0.42</v>
      </c>
    </row>
    <row r="3195" spans="8:19" x14ac:dyDescent="0.25">
      <c r="H3195">
        <v>21</v>
      </c>
      <c r="I3195">
        <v>576</v>
      </c>
      <c r="J3195">
        <v>110</v>
      </c>
      <c r="K3195" t="b">
        <v>1</v>
      </c>
      <c r="N3195" s="30" t="s">
        <v>599</v>
      </c>
      <c r="O3195" s="2">
        <f>INDEX(Маршруты,MATCH(N3195,$B$3:$B$498,0),1)</f>
        <v>132</v>
      </c>
      <c r="P3195" s="27">
        <v>26</v>
      </c>
      <c r="Q3195" s="2">
        <f>INDEX(Остановки,MATCH(R3195,ИД_Остановки!$B$3:$B$467,0),1)</f>
        <v>349</v>
      </c>
      <c r="R3195" s="47" t="s">
        <v>58</v>
      </c>
      <c r="S3195" s="20">
        <v>0.47</v>
      </c>
    </row>
    <row r="3196" spans="8:19" x14ac:dyDescent="0.25">
      <c r="H3196">
        <v>21</v>
      </c>
      <c r="I3196">
        <v>585</v>
      </c>
      <c r="J3196">
        <v>110</v>
      </c>
      <c r="K3196" t="b">
        <v>1</v>
      </c>
      <c r="N3196" s="26" t="s">
        <v>599</v>
      </c>
      <c r="O3196" s="2">
        <f>INDEX(Маршруты,MATCH(N3196,$B$3:$B$498,0),1)</f>
        <v>132</v>
      </c>
      <c r="P3196" s="27">
        <v>27</v>
      </c>
      <c r="Q3196" s="2">
        <f>INDEX(Остановки,MATCH(R3196,ИД_Остановки!$B$3:$B$467,0),1)</f>
        <v>101</v>
      </c>
      <c r="R3196" s="47" t="s">
        <v>71</v>
      </c>
      <c r="S3196" s="20">
        <v>0.28999999999999998</v>
      </c>
    </row>
    <row r="3197" spans="8:19" x14ac:dyDescent="0.25">
      <c r="H3197">
        <v>21</v>
      </c>
      <c r="I3197">
        <v>594</v>
      </c>
      <c r="J3197">
        <v>110</v>
      </c>
      <c r="K3197" t="b">
        <v>1</v>
      </c>
      <c r="N3197" s="25" t="s">
        <v>599</v>
      </c>
      <c r="O3197" s="2">
        <f>INDEX(Маршруты,MATCH(N3197,$B$3:$B$498,0),1)</f>
        <v>132</v>
      </c>
      <c r="P3197" s="27">
        <v>28</v>
      </c>
      <c r="Q3197" s="2">
        <f>INDEX(Остановки,MATCH(R3197,ИД_Остановки!$B$3:$B$467,0),1)</f>
        <v>100</v>
      </c>
      <c r="R3197" s="47" t="s">
        <v>70</v>
      </c>
      <c r="S3197" s="20">
        <v>0.62</v>
      </c>
    </row>
    <row r="3198" spans="8:19" x14ac:dyDescent="0.25">
      <c r="H3198">
        <v>21</v>
      </c>
      <c r="I3198">
        <v>603</v>
      </c>
      <c r="J3198">
        <v>110</v>
      </c>
      <c r="K3198" t="b">
        <v>1</v>
      </c>
      <c r="N3198" s="30" t="s">
        <v>599</v>
      </c>
      <c r="O3198" s="2">
        <f>INDEX(Маршруты,MATCH(N3198,$B$3:$B$498,0),1)</f>
        <v>132</v>
      </c>
      <c r="P3198" s="27">
        <v>29</v>
      </c>
      <c r="Q3198" s="2">
        <f>INDEX(Остановки,MATCH(R3198,ИД_Остановки!$B$3:$B$467,0),1)</f>
        <v>98</v>
      </c>
      <c r="R3198" s="47" t="s">
        <v>286</v>
      </c>
      <c r="S3198" s="20">
        <v>1.01</v>
      </c>
    </row>
    <row r="3199" spans="8:19" x14ac:dyDescent="0.25">
      <c r="H3199">
        <v>21</v>
      </c>
      <c r="I3199">
        <v>612</v>
      </c>
      <c r="J3199">
        <v>110</v>
      </c>
      <c r="K3199" t="b">
        <v>1</v>
      </c>
      <c r="N3199" s="25" t="s">
        <v>599</v>
      </c>
      <c r="O3199" s="2">
        <f>INDEX(Маршруты,MATCH(N3199,$B$3:$B$498,0),1)</f>
        <v>132</v>
      </c>
      <c r="P3199" s="27">
        <v>30</v>
      </c>
      <c r="Q3199" s="2">
        <f>INDEX(Остановки,MATCH(R3199,ИД_Остановки!$B$3:$B$467,0),1)</f>
        <v>232</v>
      </c>
      <c r="R3199" s="47" t="s">
        <v>129</v>
      </c>
      <c r="S3199" s="20">
        <v>0.31</v>
      </c>
    </row>
    <row r="3200" spans="8:19" x14ac:dyDescent="0.25">
      <c r="H3200">
        <v>21</v>
      </c>
      <c r="I3200">
        <v>621</v>
      </c>
      <c r="J3200">
        <v>110</v>
      </c>
      <c r="K3200" t="b">
        <v>1</v>
      </c>
      <c r="N3200" s="30" t="s">
        <v>599</v>
      </c>
      <c r="O3200" s="2">
        <f>INDEX(Маршруты,MATCH(N3200,$B$3:$B$498,0),1)</f>
        <v>132</v>
      </c>
      <c r="P3200" s="27">
        <v>31</v>
      </c>
      <c r="Q3200" s="2">
        <f>INDEX(Остановки,MATCH(R3200,ИД_Остановки!$B$3:$B$467,0),1)</f>
        <v>231</v>
      </c>
      <c r="R3200" s="47" t="s">
        <v>360</v>
      </c>
      <c r="S3200" s="20">
        <v>0.49</v>
      </c>
    </row>
    <row r="3201" spans="8:19" x14ac:dyDescent="0.25">
      <c r="H3201">
        <v>21</v>
      </c>
      <c r="I3201">
        <v>630</v>
      </c>
      <c r="J3201">
        <v>110</v>
      </c>
      <c r="K3201" t="b">
        <v>1</v>
      </c>
      <c r="N3201" s="26" t="s">
        <v>600</v>
      </c>
      <c r="O3201" s="2">
        <f>INDEX(Маршруты,MATCH(N3201,$B$3:$B$498,0),1)</f>
        <v>133</v>
      </c>
      <c r="P3201" s="27">
        <v>1</v>
      </c>
      <c r="Q3201" s="2">
        <f>INDEX(Остановки,MATCH(R3201,ИД_Остановки!$B$3:$B$467,0),1)</f>
        <v>319</v>
      </c>
      <c r="R3201" s="47" t="s">
        <v>396</v>
      </c>
      <c r="S3201" s="20"/>
    </row>
    <row r="3202" spans="8:19" x14ac:dyDescent="0.25">
      <c r="H3202">
        <v>21</v>
      </c>
      <c r="I3202">
        <v>639</v>
      </c>
      <c r="J3202">
        <v>110</v>
      </c>
      <c r="K3202" t="b">
        <v>1</v>
      </c>
      <c r="N3202" s="30" t="s">
        <v>600</v>
      </c>
      <c r="O3202" s="2">
        <f>INDEX(Маршруты,MATCH(N3202,$B$3:$B$498,0),1)</f>
        <v>133</v>
      </c>
      <c r="P3202" s="27">
        <v>2</v>
      </c>
      <c r="Q3202" s="2">
        <f>INDEX(Остановки,MATCH(R3202,ИД_Остановки!$B$3:$B$467,0),1)</f>
        <v>320</v>
      </c>
      <c r="R3202" s="47" t="s">
        <v>185</v>
      </c>
      <c r="S3202" s="20">
        <v>0.35</v>
      </c>
    </row>
    <row r="3203" spans="8:19" x14ac:dyDescent="0.25">
      <c r="H3203">
        <v>21</v>
      </c>
      <c r="I3203">
        <v>648</v>
      </c>
      <c r="J3203">
        <v>110</v>
      </c>
      <c r="K3203" t="b">
        <v>1</v>
      </c>
      <c r="N3203" s="30" t="s">
        <v>600</v>
      </c>
      <c r="O3203" s="2">
        <f>INDEX(Маршруты,MATCH(N3203,$B$3:$B$498,0),1)</f>
        <v>133</v>
      </c>
      <c r="P3203" s="27">
        <v>3</v>
      </c>
      <c r="Q3203" s="2">
        <f>INDEX(Остановки,MATCH(R3203,ИД_Остановки!$B$3:$B$467,0),1)</f>
        <v>321</v>
      </c>
      <c r="R3203" s="47" t="s">
        <v>186</v>
      </c>
      <c r="S3203" s="20">
        <v>0.84</v>
      </c>
    </row>
    <row r="3204" spans="8:19" x14ac:dyDescent="0.25">
      <c r="H3204">
        <v>21</v>
      </c>
      <c r="I3204">
        <v>657</v>
      </c>
      <c r="J3204">
        <v>110</v>
      </c>
      <c r="K3204" t="b">
        <v>1</v>
      </c>
      <c r="N3204" s="25" t="s">
        <v>600</v>
      </c>
      <c r="O3204" s="2">
        <f>INDEX(Маршруты,MATCH(N3204,$B$3:$B$498,0),1)</f>
        <v>133</v>
      </c>
      <c r="P3204" s="27">
        <v>4</v>
      </c>
      <c r="Q3204" s="2">
        <f>INDEX(Остановки,MATCH(R3204,ИД_Остановки!$B$3:$B$467,0),1)</f>
        <v>205</v>
      </c>
      <c r="R3204" s="47" t="s">
        <v>343</v>
      </c>
      <c r="S3204" s="20">
        <v>0.26</v>
      </c>
    </row>
    <row r="3205" spans="8:19" x14ac:dyDescent="0.25">
      <c r="H3205">
        <v>21</v>
      </c>
      <c r="I3205">
        <v>666</v>
      </c>
      <c r="J3205">
        <v>110</v>
      </c>
      <c r="K3205" t="b">
        <v>1</v>
      </c>
      <c r="N3205" s="30" t="s">
        <v>600</v>
      </c>
      <c r="O3205" s="2">
        <f>INDEX(Маршруты,MATCH(N3205,$B$3:$B$498,0),1)</f>
        <v>133</v>
      </c>
      <c r="P3205" s="27">
        <v>5</v>
      </c>
      <c r="Q3205" s="2">
        <f>INDEX(Остановки,MATCH(R3205,ИД_Остановки!$B$3:$B$467,0),1)</f>
        <v>183</v>
      </c>
      <c r="R3205" s="47" t="s">
        <v>330</v>
      </c>
      <c r="S3205" s="20">
        <v>0.69</v>
      </c>
    </row>
    <row r="3206" spans="8:19" x14ac:dyDescent="0.25">
      <c r="H3206">
        <v>21</v>
      </c>
      <c r="I3206">
        <v>675</v>
      </c>
      <c r="J3206">
        <v>110</v>
      </c>
      <c r="K3206" t="b">
        <v>1</v>
      </c>
      <c r="N3206" s="30" t="s">
        <v>600</v>
      </c>
      <c r="O3206" s="2">
        <f>INDEX(Маршруты,MATCH(N3206,$B$3:$B$498,0),1)</f>
        <v>133</v>
      </c>
      <c r="P3206" s="27">
        <v>6</v>
      </c>
      <c r="Q3206" s="2">
        <f>INDEX(Остановки,MATCH(R3206,ИД_Остановки!$B$3:$B$467,0),1)</f>
        <v>318</v>
      </c>
      <c r="R3206" s="30" t="s">
        <v>184</v>
      </c>
      <c r="S3206" s="20">
        <v>0.6</v>
      </c>
    </row>
    <row r="3207" spans="8:19" x14ac:dyDescent="0.25">
      <c r="H3207">
        <v>21</v>
      </c>
      <c r="I3207">
        <v>684</v>
      </c>
      <c r="J3207">
        <v>110</v>
      </c>
      <c r="K3207" t="b">
        <v>1</v>
      </c>
      <c r="N3207" s="26" t="s">
        <v>600</v>
      </c>
      <c r="O3207" s="2">
        <f>INDEX(Маршруты,MATCH(N3207,$B$3:$B$498,0),1)</f>
        <v>133</v>
      </c>
      <c r="P3207" s="27">
        <v>7</v>
      </c>
      <c r="Q3207" s="2">
        <f>INDEX(Остановки,MATCH(R3207,ИД_Остановки!$B$3:$B$467,0),1)</f>
        <v>317</v>
      </c>
      <c r="R3207" s="47" t="s">
        <v>183</v>
      </c>
      <c r="S3207" s="20">
        <v>0.93</v>
      </c>
    </row>
    <row r="3208" spans="8:19" x14ac:dyDescent="0.25">
      <c r="H3208">
        <v>21</v>
      </c>
      <c r="I3208">
        <v>693</v>
      </c>
      <c r="J3208">
        <v>110</v>
      </c>
      <c r="K3208" t="b">
        <v>1</v>
      </c>
      <c r="N3208" s="30" t="s">
        <v>600</v>
      </c>
      <c r="O3208" s="2">
        <f>INDEX(Маршруты,MATCH(N3208,$B$3:$B$498,0),1)</f>
        <v>133</v>
      </c>
      <c r="P3208" s="27">
        <v>8</v>
      </c>
      <c r="Q3208" s="2">
        <f>INDEX(Остановки,MATCH(R3208,ИД_Остановки!$B$3:$B$467,0),1)</f>
        <v>420</v>
      </c>
      <c r="R3208" s="47" t="s">
        <v>476</v>
      </c>
      <c r="S3208" s="20">
        <v>0.15</v>
      </c>
    </row>
    <row r="3209" spans="8:19" x14ac:dyDescent="0.25">
      <c r="H3209">
        <v>21</v>
      </c>
      <c r="I3209">
        <v>702</v>
      </c>
      <c r="J3209">
        <v>110</v>
      </c>
      <c r="K3209" t="b">
        <v>1</v>
      </c>
      <c r="N3209" s="30" t="s">
        <v>600</v>
      </c>
      <c r="O3209" s="2">
        <f>INDEX(Маршруты,MATCH(N3209,$B$3:$B$498,0),1)</f>
        <v>133</v>
      </c>
      <c r="P3209" s="27">
        <v>9</v>
      </c>
      <c r="Q3209" s="2">
        <f>INDEX(Остановки,MATCH(R3209,ИД_Остановки!$B$3:$B$467,0),1)</f>
        <v>361</v>
      </c>
      <c r="R3209" s="47" t="s">
        <v>422</v>
      </c>
      <c r="S3209" s="20">
        <v>0.9</v>
      </c>
    </row>
    <row r="3210" spans="8:19" x14ac:dyDescent="0.25">
      <c r="H3210">
        <v>21</v>
      </c>
      <c r="I3210">
        <v>711</v>
      </c>
      <c r="J3210">
        <v>110</v>
      </c>
      <c r="K3210" t="b">
        <v>1</v>
      </c>
      <c r="N3210" s="30" t="s">
        <v>600</v>
      </c>
      <c r="O3210" s="2">
        <f>INDEX(Маршруты,MATCH(N3210,$B$3:$B$498,0),1)</f>
        <v>133</v>
      </c>
      <c r="P3210" s="27">
        <v>10</v>
      </c>
      <c r="Q3210" s="2">
        <f>INDEX(Остановки,MATCH(R3210,ИД_Остановки!$B$3:$B$467,0),1)</f>
        <v>246</v>
      </c>
      <c r="R3210" s="47" t="s">
        <v>370</v>
      </c>
      <c r="S3210" s="20">
        <v>0.46</v>
      </c>
    </row>
    <row r="3211" spans="8:19" x14ac:dyDescent="0.25">
      <c r="H3211">
        <v>21</v>
      </c>
      <c r="I3211">
        <v>720</v>
      </c>
      <c r="J3211">
        <v>110</v>
      </c>
      <c r="K3211" t="b">
        <v>1</v>
      </c>
      <c r="N3211" s="25" t="s">
        <v>600</v>
      </c>
      <c r="O3211" s="2">
        <f>INDEX(Маршруты,MATCH(N3211,$B$3:$B$498,0),1)</f>
        <v>133</v>
      </c>
      <c r="P3211" s="27">
        <v>11</v>
      </c>
      <c r="Q3211" s="2">
        <f>INDEX(Остановки,MATCH(R3211,ИД_Остановки!$B$3:$B$467,0),1)</f>
        <v>421</v>
      </c>
      <c r="R3211" s="47" t="s">
        <v>477</v>
      </c>
      <c r="S3211" s="20">
        <v>0.97</v>
      </c>
    </row>
    <row r="3212" spans="8:19" x14ac:dyDescent="0.25">
      <c r="H3212">
        <v>21</v>
      </c>
      <c r="I3212">
        <v>729</v>
      </c>
      <c r="J3212">
        <v>110</v>
      </c>
      <c r="K3212" t="b">
        <v>1</v>
      </c>
      <c r="N3212" s="25" t="s">
        <v>600</v>
      </c>
      <c r="O3212" s="2">
        <f>INDEX(Маршруты,MATCH(N3212,$B$3:$B$498,0),1)</f>
        <v>133</v>
      </c>
      <c r="P3212" s="27">
        <v>12</v>
      </c>
      <c r="Q3212" s="2">
        <f>INDEX(Остановки,MATCH(R3212,ИД_Остановки!$B$3:$B$467,0),1)</f>
        <v>316</v>
      </c>
      <c r="R3212" s="47" t="s">
        <v>182</v>
      </c>
      <c r="S3212" s="20">
        <v>0.45</v>
      </c>
    </row>
    <row r="3213" spans="8:19" x14ac:dyDescent="0.25">
      <c r="H3213">
        <v>21</v>
      </c>
      <c r="I3213">
        <v>738</v>
      </c>
      <c r="J3213">
        <v>110</v>
      </c>
      <c r="K3213" t="b">
        <v>1</v>
      </c>
      <c r="N3213" s="25" t="s">
        <v>600</v>
      </c>
      <c r="O3213" s="2">
        <f>INDEX(Маршруты,MATCH(N3213,$B$3:$B$498,0),1)</f>
        <v>133</v>
      </c>
      <c r="P3213" s="27">
        <v>13</v>
      </c>
      <c r="Q3213" s="2">
        <f>INDEX(Остановки,MATCH(R3213,ИД_Остановки!$B$3:$B$467,0),1)</f>
        <v>104</v>
      </c>
      <c r="R3213" s="47" t="s">
        <v>289</v>
      </c>
      <c r="S3213" s="20">
        <v>1.31</v>
      </c>
    </row>
    <row r="3214" spans="8:19" x14ac:dyDescent="0.25">
      <c r="H3214">
        <v>21</v>
      </c>
      <c r="I3214">
        <v>747</v>
      </c>
      <c r="J3214">
        <v>110</v>
      </c>
      <c r="K3214" t="b">
        <v>1</v>
      </c>
      <c r="N3214" s="30" t="s">
        <v>600</v>
      </c>
      <c r="O3214" s="2">
        <f>INDEX(Маршруты,MATCH(N3214,$B$3:$B$498,0),1)</f>
        <v>133</v>
      </c>
      <c r="P3214" s="27">
        <v>14</v>
      </c>
      <c r="Q3214" s="2">
        <f>INDEX(Остановки,MATCH(R3214,ИД_Остановки!$B$3:$B$467,0),1)</f>
        <v>335</v>
      </c>
      <c r="R3214" s="47" t="s">
        <v>191</v>
      </c>
      <c r="S3214" s="20">
        <v>0.57999999999999996</v>
      </c>
    </row>
    <row r="3215" spans="8:19" x14ac:dyDescent="0.25">
      <c r="H3215">
        <v>21</v>
      </c>
      <c r="I3215">
        <v>756</v>
      </c>
      <c r="J3215">
        <v>110</v>
      </c>
      <c r="K3215" t="b">
        <v>1</v>
      </c>
      <c r="N3215" s="25" t="s">
        <v>600</v>
      </c>
      <c r="O3215" s="2">
        <f>INDEX(Маршруты,MATCH(N3215,$B$3:$B$498,0),1)</f>
        <v>133</v>
      </c>
      <c r="P3215" s="27">
        <v>15</v>
      </c>
      <c r="Q3215" s="2">
        <f>INDEX(Остановки,MATCH(R3215,ИД_Остановки!$B$3:$B$467,0),1)</f>
        <v>117</v>
      </c>
      <c r="R3215" s="47" t="s">
        <v>298</v>
      </c>
      <c r="S3215" s="20">
        <v>0.41</v>
      </c>
    </row>
    <row r="3216" spans="8:19" x14ac:dyDescent="0.25">
      <c r="H3216">
        <v>21</v>
      </c>
      <c r="I3216">
        <v>765</v>
      </c>
      <c r="J3216">
        <v>110</v>
      </c>
      <c r="K3216" t="b">
        <v>1</v>
      </c>
      <c r="N3216" s="26" t="s">
        <v>600</v>
      </c>
      <c r="O3216" s="2">
        <f>INDEX(Маршруты,MATCH(N3216,$B$3:$B$498,0),1)</f>
        <v>133</v>
      </c>
      <c r="P3216" s="27">
        <v>16</v>
      </c>
      <c r="Q3216" s="2">
        <f>INDEX(Остановки,MATCH(R3216,ИД_Остановки!$B$3:$B$467,0),1)</f>
        <v>118</v>
      </c>
      <c r="R3216" s="47" t="s">
        <v>299</v>
      </c>
      <c r="S3216" s="20">
        <v>0.31</v>
      </c>
    </row>
    <row r="3217" spans="8:19" x14ac:dyDescent="0.25">
      <c r="H3217">
        <v>21</v>
      </c>
      <c r="I3217">
        <v>774</v>
      </c>
      <c r="J3217">
        <v>110</v>
      </c>
      <c r="K3217" t="b">
        <v>1</v>
      </c>
      <c r="N3217" s="25" t="s">
        <v>600</v>
      </c>
      <c r="O3217" s="2">
        <f>INDEX(Маршруты,MATCH(N3217,$B$3:$B$498,0),1)</f>
        <v>133</v>
      </c>
      <c r="P3217" s="27">
        <v>17</v>
      </c>
      <c r="Q3217" s="2">
        <f>INDEX(Остановки,MATCH(R3217,ИД_Остановки!$B$3:$B$467,0),1)</f>
        <v>119</v>
      </c>
      <c r="R3217" s="30" t="s">
        <v>165</v>
      </c>
      <c r="S3217" s="20">
        <v>0.51</v>
      </c>
    </row>
    <row r="3218" spans="8:19" x14ac:dyDescent="0.25">
      <c r="H3218">
        <v>21</v>
      </c>
      <c r="I3218">
        <v>783</v>
      </c>
      <c r="J3218">
        <v>110</v>
      </c>
      <c r="K3218" t="b">
        <v>1</v>
      </c>
      <c r="N3218" s="25" t="s">
        <v>600</v>
      </c>
      <c r="O3218" s="2">
        <f>INDEX(Маршруты,MATCH(N3218,$B$3:$B$498,0),1)</f>
        <v>133</v>
      </c>
      <c r="P3218" s="27">
        <v>18</v>
      </c>
      <c r="Q3218" s="2">
        <f>INDEX(Остановки,MATCH(R3218,ИД_Остановки!$B$3:$B$467,0),1)</f>
        <v>120</v>
      </c>
      <c r="R3218" s="30" t="s">
        <v>300</v>
      </c>
      <c r="S3218" s="20">
        <v>1.1200000000000001</v>
      </c>
    </row>
    <row r="3219" spans="8:19" x14ac:dyDescent="0.25">
      <c r="H3219">
        <v>21</v>
      </c>
      <c r="I3219">
        <v>792</v>
      </c>
      <c r="J3219">
        <v>110</v>
      </c>
      <c r="K3219" t="b">
        <v>1</v>
      </c>
      <c r="N3219" s="30" t="s">
        <v>600</v>
      </c>
      <c r="O3219" s="2">
        <f>INDEX(Маршруты,MATCH(N3219,$B$3:$B$498,0),1)</f>
        <v>133</v>
      </c>
      <c r="P3219" s="27">
        <v>19</v>
      </c>
      <c r="Q3219" s="2">
        <f>INDEX(Остановки,MATCH(R3219,ИД_Остановки!$B$3:$B$467,0),1)</f>
        <v>121</v>
      </c>
      <c r="R3219" s="47" t="s">
        <v>76</v>
      </c>
      <c r="S3219" s="20">
        <v>0.31</v>
      </c>
    </row>
    <row r="3220" spans="8:19" x14ac:dyDescent="0.25">
      <c r="H3220">
        <v>21</v>
      </c>
      <c r="I3220">
        <v>801</v>
      </c>
      <c r="J3220">
        <v>110</v>
      </c>
      <c r="K3220" t="b">
        <v>1</v>
      </c>
      <c r="N3220" s="25" t="s">
        <v>600</v>
      </c>
      <c r="O3220" s="2">
        <f>INDEX(Маршруты,MATCH(N3220,$B$3:$B$498,0),1)</f>
        <v>133</v>
      </c>
      <c r="P3220" s="27">
        <v>20</v>
      </c>
      <c r="Q3220" s="2">
        <f>INDEX(Остановки,MATCH(R3220,ИД_Остановки!$B$3:$B$467,0),1)</f>
        <v>122</v>
      </c>
      <c r="R3220" s="47" t="s">
        <v>77</v>
      </c>
      <c r="S3220" s="20">
        <v>0.32</v>
      </c>
    </row>
    <row r="3221" spans="8:19" x14ac:dyDescent="0.25">
      <c r="H3221">
        <v>21</v>
      </c>
      <c r="I3221">
        <v>810</v>
      </c>
      <c r="J3221">
        <v>110</v>
      </c>
      <c r="K3221" t="b">
        <v>1</v>
      </c>
      <c r="N3221" s="25" t="s">
        <v>600</v>
      </c>
      <c r="O3221" s="2">
        <f>INDEX(Маршруты,MATCH(N3221,$B$3:$B$498,0),1)</f>
        <v>133</v>
      </c>
      <c r="P3221" s="27">
        <v>21</v>
      </c>
      <c r="Q3221" s="2">
        <f>INDEX(Остановки,MATCH(R3221,ИД_Остановки!$B$3:$B$467,0),1)</f>
        <v>96</v>
      </c>
      <c r="R3221" s="47" t="s">
        <v>285</v>
      </c>
      <c r="S3221" s="20">
        <v>0.52</v>
      </c>
    </row>
    <row r="3222" spans="8:19" x14ac:dyDescent="0.25">
      <c r="H3222">
        <v>21</v>
      </c>
      <c r="I3222">
        <v>819</v>
      </c>
      <c r="J3222">
        <v>110</v>
      </c>
      <c r="K3222" t="b">
        <v>1</v>
      </c>
      <c r="N3222" s="25" t="s">
        <v>600</v>
      </c>
      <c r="O3222" s="2">
        <f>INDEX(Маршруты,MATCH(N3222,$B$3:$B$498,0),1)</f>
        <v>133</v>
      </c>
      <c r="P3222" s="27">
        <v>22</v>
      </c>
      <c r="Q3222" s="2">
        <f>INDEX(Остановки,MATCH(R3222,ИД_Остановки!$B$3:$B$467,0),1)</f>
        <v>123</v>
      </c>
      <c r="R3222" s="47" t="s">
        <v>301</v>
      </c>
      <c r="S3222" s="20">
        <v>0.6</v>
      </c>
    </row>
    <row r="3223" spans="8:19" x14ac:dyDescent="0.25">
      <c r="H3223">
        <v>21</v>
      </c>
      <c r="I3223">
        <v>828</v>
      </c>
      <c r="J3223">
        <v>110</v>
      </c>
      <c r="K3223" t="b">
        <v>1</v>
      </c>
      <c r="N3223" s="25" t="s">
        <v>600</v>
      </c>
      <c r="O3223" s="2">
        <f>INDEX(Маршруты,MATCH(N3223,$B$3:$B$498,0),1)</f>
        <v>133</v>
      </c>
      <c r="P3223" s="27">
        <v>23</v>
      </c>
      <c r="Q3223" s="2">
        <f>INDEX(Остановки,MATCH(R3223,ИД_Остановки!$B$3:$B$467,0),1)</f>
        <v>154</v>
      </c>
      <c r="R3223" s="47" t="s">
        <v>94</v>
      </c>
      <c r="S3223" s="20">
        <v>0.74</v>
      </c>
    </row>
    <row r="3224" spans="8:19" x14ac:dyDescent="0.25">
      <c r="H3224">
        <v>21</v>
      </c>
      <c r="I3224">
        <v>837</v>
      </c>
      <c r="J3224">
        <v>110</v>
      </c>
      <c r="K3224" t="b">
        <v>1</v>
      </c>
      <c r="N3224" s="25" t="s">
        <v>600</v>
      </c>
      <c r="O3224" s="2">
        <f>INDEX(Маршруты,MATCH(N3224,$B$3:$B$498,0),1)</f>
        <v>133</v>
      </c>
      <c r="P3224" s="28">
        <v>24</v>
      </c>
      <c r="Q3224" s="2">
        <f>INDEX(Остановки,MATCH(R3224,ИД_Остановки!$B$3:$B$467,0),1)</f>
        <v>365</v>
      </c>
      <c r="R3224" s="30" t="s">
        <v>425</v>
      </c>
      <c r="S3224" s="21">
        <v>1.43</v>
      </c>
    </row>
    <row r="3225" spans="8:19" x14ac:dyDescent="0.25">
      <c r="H3225">
        <v>21</v>
      </c>
      <c r="I3225">
        <v>846</v>
      </c>
      <c r="J3225">
        <v>110</v>
      </c>
      <c r="K3225" t="b">
        <v>1</v>
      </c>
      <c r="N3225" s="26" t="s">
        <v>600</v>
      </c>
      <c r="O3225" s="2">
        <f>INDEX(Маршруты,MATCH(N3225,$B$3:$B$498,0),1)</f>
        <v>133</v>
      </c>
      <c r="P3225" s="27">
        <v>25</v>
      </c>
      <c r="Q3225" s="2">
        <f>INDEX(Остановки,MATCH(R3225,ИД_Остановки!$B$3:$B$467,0),1)</f>
        <v>155</v>
      </c>
      <c r="R3225" s="47" t="s">
        <v>320</v>
      </c>
      <c r="S3225" s="20">
        <v>0.23</v>
      </c>
    </row>
    <row r="3226" spans="8:19" x14ac:dyDescent="0.25">
      <c r="H3226">
        <v>21</v>
      </c>
      <c r="I3226">
        <v>855</v>
      </c>
      <c r="J3226">
        <v>110</v>
      </c>
      <c r="K3226" t="b">
        <v>1</v>
      </c>
      <c r="N3226" s="30" t="s">
        <v>600</v>
      </c>
      <c r="O3226" s="2">
        <f>INDEX(Маршруты,MATCH(N3226,$B$3:$B$498,0),1)</f>
        <v>133</v>
      </c>
      <c r="P3226" s="28">
        <v>26</v>
      </c>
      <c r="Q3226" s="2">
        <f>INDEX(Остановки,MATCH(R3226,ИД_Остановки!$B$3:$B$467,0),1)</f>
        <v>156</v>
      </c>
      <c r="R3226" s="30" t="s">
        <v>321</v>
      </c>
      <c r="S3226" s="20">
        <v>0.54</v>
      </c>
    </row>
    <row r="3227" spans="8:19" x14ac:dyDescent="0.25">
      <c r="H3227">
        <v>21</v>
      </c>
      <c r="I3227">
        <v>864</v>
      </c>
      <c r="J3227">
        <v>110</v>
      </c>
      <c r="K3227" t="b">
        <v>1</v>
      </c>
      <c r="N3227" s="25" t="s">
        <v>600</v>
      </c>
      <c r="O3227" s="2">
        <f>INDEX(Маршруты,MATCH(N3227,$B$3:$B$498,0),1)</f>
        <v>133</v>
      </c>
      <c r="P3227" s="27">
        <v>27</v>
      </c>
      <c r="Q3227" s="2">
        <f>INDEX(Остановки,MATCH(R3227,ИД_Остановки!$B$3:$B$467,0),1)</f>
        <v>157</v>
      </c>
      <c r="R3227" s="47" t="s">
        <v>95</v>
      </c>
      <c r="S3227" s="20">
        <v>0.46</v>
      </c>
    </row>
    <row r="3228" spans="8:19" x14ac:dyDescent="0.25">
      <c r="H3228">
        <v>21</v>
      </c>
      <c r="I3228">
        <v>873</v>
      </c>
      <c r="J3228">
        <v>110</v>
      </c>
      <c r="K3228" t="b">
        <v>1</v>
      </c>
      <c r="N3228" s="30" t="s">
        <v>601</v>
      </c>
      <c r="O3228" s="2">
        <f>INDEX(Маршруты,MATCH(N3228,$B$3:$B$498,0),1)</f>
        <v>134</v>
      </c>
      <c r="P3228" s="27">
        <v>1</v>
      </c>
      <c r="Q3228" s="2">
        <f>INDEX(Остановки,MATCH(R3228,ИД_Остановки!$B$3:$B$467,0),1)</f>
        <v>157</v>
      </c>
      <c r="R3228" s="47" t="s">
        <v>95</v>
      </c>
      <c r="S3228" s="20"/>
    </row>
    <row r="3229" spans="8:19" x14ac:dyDescent="0.25">
      <c r="H3229">
        <v>21</v>
      </c>
      <c r="I3229">
        <v>882</v>
      </c>
      <c r="J3229">
        <v>110</v>
      </c>
      <c r="K3229" t="b">
        <v>1</v>
      </c>
      <c r="N3229" s="30" t="s">
        <v>601</v>
      </c>
      <c r="O3229" s="2">
        <f>INDEX(Маршруты,MATCH(N3229,$B$3:$B$498,0),1)</f>
        <v>134</v>
      </c>
      <c r="P3229" s="27">
        <v>2</v>
      </c>
      <c r="Q3229" s="2">
        <f>INDEX(Остановки,MATCH(R3229,ИД_Остановки!$B$3:$B$467,0),1)</f>
        <v>156</v>
      </c>
      <c r="R3229" s="47" t="s">
        <v>321</v>
      </c>
      <c r="S3229" s="20">
        <v>0.46</v>
      </c>
    </row>
    <row r="3230" spans="8:19" x14ac:dyDescent="0.25">
      <c r="H3230">
        <v>21</v>
      </c>
      <c r="I3230">
        <v>891</v>
      </c>
      <c r="J3230">
        <v>110</v>
      </c>
      <c r="K3230" t="b">
        <v>1</v>
      </c>
      <c r="N3230" s="30" t="s">
        <v>601</v>
      </c>
      <c r="O3230" s="2">
        <f>INDEX(Маршруты,MATCH(N3230,$B$3:$B$498,0),1)</f>
        <v>134</v>
      </c>
      <c r="P3230" s="27">
        <v>3</v>
      </c>
      <c r="Q3230" s="2">
        <f>INDEX(Остановки,MATCH(R3230,ИД_Остановки!$B$3:$B$467,0),1)</f>
        <v>155</v>
      </c>
      <c r="R3230" s="47" t="s">
        <v>320</v>
      </c>
      <c r="S3230" s="20">
        <v>0.54</v>
      </c>
    </row>
    <row r="3231" spans="8:19" x14ac:dyDescent="0.25">
      <c r="H3231">
        <v>21</v>
      </c>
      <c r="I3231">
        <v>900</v>
      </c>
      <c r="J3231">
        <v>110</v>
      </c>
      <c r="K3231" t="b">
        <v>1</v>
      </c>
      <c r="N3231" s="25" t="s">
        <v>601</v>
      </c>
      <c r="O3231" s="2">
        <f>INDEX(Маршруты,MATCH(N3231,$B$3:$B$498,0),1)</f>
        <v>134</v>
      </c>
      <c r="P3231" s="27">
        <v>4</v>
      </c>
      <c r="Q3231" s="2">
        <f>INDEX(Остановки,MATCH(R3231,ИД_Остановки!$B$3:$B$467,0),1)</f>
        <v>365</v>
      </c>
      <c r="R3231" s="47" t="s">
        <v>425</v>
      </c>
      <c r="S3231" s="20">
        <v>0.23</v>
      </c>
    </row>
    <row r="3232" spans="8:19" x14ac:dyDescent="0.25">
      <c r="H3232">
        <v>21</v>
      </c>
      <c r="I3232">
        <v>909</v>
      </c>
      <c r="J3232">
        <v>110</v>
      </c>
      <c r="K3232" t="b">
        <v>1</v>
      </c>
      <c r="N3232" s="25" t="s">
        <v>601</v>
      </c>
      <c r="O3232" s="2">
        <f>INDEX(Маршруты,MATCH(N3232,$B$3:$B$498,0),1)</f>
        <v>134</v>
      </c>
      <c r="P3232" s="27">
        <v>5</v>
      </c>
      <c r="Q3232" s="2">
        <f>INDEX(Остановки,MATCH(R3232,ИД_Остановки!$B$3:$B$467,0),1)</f>
        <v>154</v>
      </c>
      <c r="R3232" s="30" t="s">
        <v>94</v>
      </c>
      <c r="S3232" s="20">
        <v>1.43</v>
      </c>
    </row>
    <row r="3233" spans="8:19" x14ac:dyDescent="0.25">
      <c r="H3233">
        <v>21</v>
      </c>
      <c r="I3233">
        <v>918</v>
      </c>
      <c r="J3233">
        <v>110</v>
      </c>
      <c r="K3233" t="b">
        <v>1</v>
      </c>
      <c r="N3233" s="25" t="s">
        <v>601</v>
      </c>
      <c r="O3233" s="2">
        <f>INDEX(Маршруты,MATCH(N3233,$B$3:$B$498,0),1)</f>
        <v>134</v>
      </c>
      <c r="P3233" s="28">
        <v>6</v>
      </c>
      <c r="Q3233" s="2">
        <f>INDEX(Остановки,MATCH(R3233,ИД_Остановки!$B$3:$B$467,0),1)</f>
        <v>123</v>
      </c>
      <c r="R3233" s="30" t="s">
        <v>301</v>
      </c>
      <c r="S3233" s="20">
        <v>0.74</v>
      </c>
    </row>
    <row r="3234" spans="8:19" x14ac:dyDescent="0.25">
      <c r="H3234">
        <v>21</v>
      </c>
      <c r="I3234">
        <v>927</v>
      </c>
      <c r="J3234">
        <v>110</v>
      </c>
      <c r="K3234" t="b">
        <v>1</v>
      </c>
      <c r="N3234" s="25" t="s">
        <v>601</v>
      </c>
      <c r="O3234" s="2">
        <f>INDEX(Маршруты,MATCH(N3234,$B$3:$B$498,0),1)</f>
        <v>134</v>
      </c>
      <c r="P3234" s="28">
        <v>7</v>
      </c>
      <c r="Q3234" s="2">
        <f>INDEX(Остановки,MATCH(R3234,ИД_Остановки!$B$3:$B$467,0),1)</f>
        <v>96</v>
      </c>
      <c r="R3234" s="30" t="s">
        <v>285</v>
      </c>
      <c r="S3234" s="21">
        <v>0.6</v>
      </c>
    </row>
    <row r="3235" spans="8:19" x14ac:dyDescent="0.25">
      <c r="H3235">
        <v>21</v>
      </c>
      <c r="I3235">
        <v>936</v>
      </c>
      <c r="J3235">
        <v>110</v>
      </c>
      <c r="K3235" t="b">
        <v>1</v>
      </c>
      <c r="N3235" s="30" t="s">
        <v>601</v>
      </c>
      <c r="O3235" s="2">
        <f>INDEX(Маршруты,MATCH(N3235,$B$3:$B$498,0),1)</f>
        <v>134</v>
      </c>
      <c r="P3235" s="27">
        <v>8</v>
      </c>
      <c r="Q3235" s="2">
        <f>INDEX(Остановки,MATCH(R3235,ИД_Остановки!$B$3:$B$467,0),1)</f>
        <v>122</v>
      </c>
      <c r="R3235" s="47" t="s">
        <v>77</v>
      </c>
      <c r="S3235" s="20">
        <v>0.52</v>
      </c>
    </row>
    <row r="3236" spans="8:19" x14ac:dyDescent="0.25">
      <c r="H3236">
        <v>21</v>
      </c>
      <c r="I3236">
        <v>945</v>
      </c>
      <c r="J3236">
        <v>110</v>
      </c>
      <c r="K3236" t="b">
        <v>1</v>
      </c>
      <c r="N3236" s="30" t="s">
        <v>601</v>
      </c>
      <c r="O3236" s="2">
        <f>INDEX(Маршруты,MATCH(N3236,$B$3:$B$498,0),1)</f>
        <v>134</v>
      </c>
      <c r="P3236" s="27">
        <v>9</v>
      </c>
      <c r="Q3236" s="2">
        <f>INDEX(Остановки,MATCH(R3236,ИД_Остановки!$B$3:$B$467,0),1)</f>
        <v>121</v>
      </c>
      <c r="R3236" s="47" t="s">
        <v>76</v>
      </c>
      <c r="S3236" s="20">
        <v>0.32</v>
      </c>
    </row>
    <row r="3237" spans="8:19" x14ac:dyDescent="0.25">
      <c r="H3237">
        <v>22</v>
      </c>
      <c r="I3237">
        <v>0</v>
      </c>
      <c r="J3237">
        <v>110</v>
      </c>
      <c r="K3237" t="b">
        <v>1</v>
      </c>
      <c r="N3237" s="38" t="s">
        <v>601</v>
      </c>
      <c r="O3237" s="2">
        <f>INDEX(Маршруты,MATCH(N3237,$B$3:$B$498,0),1)</f>
        <v>134</v>
      </c>
      <c r="P3237" s="27">
        <v>10</v>
      </c>
      <c r="Q3237" s="2">
        <f>INDEX(Остановки,MATCH(R3237,ИД_Остановки!$B$3:$B$467,0),1)</f>
        <v>120</v>
      </c>
      <c r="R3237" s="70" t="s">
        <v>300</v>
      </c>
      <c r="S3237" s="37">
        <v>0.31</v>
      </c>
    </row>
    <row r="3238" spans="8:19" x14ac:dyDescent="0.25">
      <c r="H3238">
        <v>22</v>
      </c>
      <c r="I3238">
        <v>9</v>
      </c>
      <c r="J3238">
        <v>110</v>
      </c>
      <c r="K3238" t="b">
        <v>1</v>
      </c>
      <c r="N3238" s="30" t="s">
        <v>601</v>
      </c>
      <c r="O3238" s="2">
        <f>INDEX(Маршруты,MATCH(N3238,$B$3:$B$498,0),1)</f>
        <v>134</v>
      </c>
      <c r="P3238" s="27">
        <v>11</v>
      </c>
      <c r="Q3238" s="2">
        <f>INDEX(Остановки,MATCH(R3238,ИД_Остановки!$B$3:$B$467,0),1)</f>
        <v>119</v>
      </c>
      <c r="R3238" s="47" t="s">
        <v>165</v>
      </c>
      <c r="S3238" s="20">
        <v>1.1200000000000001</v>
      </c>
    </row>
    <row r="3239" spans="8:19" x14ac:dyDescent="0.25">
      <c r="H3239">
        <v>22</v>
      </c>
      <c r="I3239">
        <v>18</v>
      </c>
      <c r="J3239">
        <v>110</v>
      </c>
      <c r="K3239" t="b">
        <v>1</v>
      </c>
      <c r="N3239" s="25" t="s">
        <v>601</v>
      </c>
      <c r="O3239" s="2">
        <f>INDEX(Маршруты,MATCH(N3239,$B$3:$B$498,0),1)</f>
        <v>134</v>
      </c>
      <c r="P3239" s="28">
        <v>12</v>
      </c>
      <c r="Q3239" s="2">
        <f>INDEX(Остановки,MATCH(R3239,ИД_Остановки!$B$3:$B$467,0),1)</f>
        <v>118</v>
      </c>
      <c r="R3239" s="30" t="s">
        <v>299</v>
      </c>
      <c r="S3239" s="20">
        <v>0.51</v>
      </c>
    </row>
    <row r="3240" spans="8:19" x14ac:dyDescent="0.25">
      <c r="H3240">
        <v>22</v>
      </c>
      <c r="I3240">
        <v>27</v>
      </c>
      <c r="J3240">
        <v>110</v>
      </c>
      <c r="K3240" t="b">
        <v>1</v>
      </c>
      <c r="N3240" s="30" t="s">
        <v>601</v>
      </c>
      <c r="O3240" s="2">
        <f>INDEX(Маршруты,MATCH(N3240,$B$3:$B$498,0),1)</f>
        <v>134</v>
      </c>
      <c r="P3240" s="27">
        <v>13</v>
      </c>
      <c r="Q3240" s="2">
        <f>INDEX(Остановки,MATCH(R3240,ИД_Остановки!$B$3:$B$467,0),1)</f>
        <v>117</v>
      </c>
      <c r="R3240" s="47" t="s">
        <v>298</v>
      </c>
      <c r="S3240" s="20">
        <v>0.31</v>
      </c>
    </row>
    <row r="3241" spans="8:19" x14ac:dyDescent="0.25">
      <c r="H3241">
        <v>22</v>
      </c>
      <c r="I3241">
        <v>36</v>
      </c>
      <c r="J3241">
        <v>110</v>
      </c>
      <c r="K3241" t="b">
        <v>1</v>
      </c>
      <c r="N3241" s="25" t="s">
        <v>601</v>
      </c>
      <c r="O3241" s="2">
        <f>INDEX(Маршруты,MATCH(N3241,$B$3:$B$498,0),1)</f>
        <v>134</v>
      </c>
      <c r="P3241" s="27">
        <v>14</v>
      </c>
      <c r="Q3241" s="2">
        <f>INDEX(Остановки,MATCH(R3241,ИД_Остановки!$B$3:$B$467,0),1)</f>
        <v>335</v>
      </c>
      <c r="R3241" s="47" t="s">
        <v>191</v>
      </c>
      <c r="S3241" s="20">
        <v>0.41</v>
      </c>
    </row>
    <row r="3242" spans="8:19" x14ac:dyDescent="0.25">
      <c r="H3242">
        <v>22</v>
      </c>
      <c r="I3242">
        <v>45</v>
      </c>
      <c r="J3242">
        <v>110</v>
      </c>
      <c r="K3242" t="b">
        <v>1</v>
      </c>
      <c r="N3242" s="25" t="s">
        <v>601</v>
      </c>
      <c r="O3242" s="2">
        <f>INDEX(Маршруты,MATCH(N3242,$B$3:$B$498,0),1)</f>
        <v>134</v>
      </c>
      <c r="P3242" s="27">
        <v>15</v>
      </c>
      <c r="Q3242" s="2">
        <f>INDEX(Остановки,MATCH(R3242,ИД_Остановки!$B$3:$B$467,0),1)</f>
        <v>104</v>
      </c>
      <c r="R3242" s="47" t="s">
        <v>289</v>
      </c>
      <c r="S3242" s="20">
        <v>0.57999999999999996</v>
      </c>
    </row>
    <row r="3243" spans="8:19" x14ac:dyDescent="0.25">
      <c r="H3243">
        <v>22</v>
      </c>
      <c r="I3243">
        <v>54</v>
      </c>
      <c r="J3243">
        <v>110</v>
      </c>
      <c r="K3243" t="b">
        <v>1</v>
      </c>
      <c r="N3243" s="25" t="s">
        <v>601</v>
      </c>
      <c r="O3243" s="2">
        <f>INDEX(Маршруты,MATCH(N3243,$B$3:$B$498,0),1)</f>
        <v>134</v>
      </c>
      <c r="P3243" s="27">
        <v>16</v>
      </c>
      <c r="Q3243" s="2">
        <f>INDEX(Остановки,MATCH(R3243,ИД_Остановки!$B$3:$B$467,0),1)</f>
        <v>316</v>
      </c>
      <c r="R3243" s="47" t="s">
        <v>182</v>
      </c>
      <c r="S3243" s="20">
        <v>1.31</v>
      </c>
    </row>
    <row r="3244" spans="8:19" x14ac:dyDescent="0.25">
      <c r="H3244">
        <v>22</v>
      </c>
      <c r="I3244">
        <v>63</v>
      </c>
      <c r="J3244">
        <v>110</v>
      </c>
      <c r="K3244" t="b">
        <v>1</v>
      </c>
      <c r="N3244" s="30" t="s">
        <v>601</v>
      </c>
      <c r="O3244" s="2">
        <f>INDEX(Маршруты,MATCH(N3244,$B$3:$B$498,0),1)</f>
        <v>134</v>
      </c>
      <c r="P3244" s="27">
        <v>17</v>
      </c>
      <c r="Q3244" s="2">
        <f>INDEX(Остановки,MATCH(R3244,ИД_Остановки!$B$3:$B$467,0),1)</f>
        <v>421</v>
      </c>
      <c r="R3244" s="30" t="s">
        <v>477</v>
      </c>
      <c r="S3244" s="20">
        <v>0.45</v>
      </c>
    </row>
    <row r="3245" spans="8:19" x14ac:dyDescent="0.25">
      <c r="H3245">
        <v>22</v>
      </c>
      <c r="I3245">
        <v>72</v>
      </c>
      <c r="J3245">
        <v>110</v>
      </c>
      <c r="K3245" t="b">
        <v>1</v>
      </c>
      <c r="N3245" s="26" t="s">
        <v>601</v>
      </c>
      <c r="O3245" s="2">
        <f>INDEX(Маршруты,MATCH(N3245,$B$3:$B$498,0),1)</f>
        <v>134</v>
      </c>
      <c r="P3245" s="27">
        <v>18</v>
      </c>
      <c r="Q3245" s="2">
        <f>INDEX(Остановки,MATCH(R3245,ИД_Остановки!$B$3:$B$467,0),1)</f>
        <v>246</v>
      </c>
      <c r="R3245" s="47" t="s">
        <v>370</v>
      </c>
      <c r="S3245" s="20">
        <v>0.97</v>
      </c>
    </row>
    <row r="3246" spans="8:19" x14ac:dyDescent="0.25">
      <c r="H3246">
        <v>22</v>
      </c>
      <c r="I3246">
        <v>81</v>
      </c>
      <c r="J3246">
        <v>110</v>
      </c>
      <c r="K3246" t="b">
        <v>1</v>
      </c>
      <c r="N3246" s="30" t="s">
        <v>601</v>
      </c>
      <c r="O3246" s="2">
        <f>INDEX(Маршруты,MATCH(N3246,$B$3:$B$498,0),1)</f>
        <v>134</v>
      </c>
      <c r="P3246" s="27">
        <v>19</v>
      </c>
      <c r="Q3246" s="2">
        <f>INDEX(Остановки,MATCH(R3246,ИД_Остановки!$B$3:$B$467,0),1)</f>
        <v>361</v>
      </c>
      <c r="R3246" s="30" t="s">
        <v>422</v>
      </c>
      <c r="S3246" s="20">
        <v>0.46</v>
      </c>
    </row>
    <row r="3247" spans="8:19" x14ac:dyDescent="0.25">
      <c r="H3247">
        <v>22</v>
      </c>
      <c r="I3247">
        <v>90</v>
      </c>
      <c r="J3247">
        <v>110</v>
      </c>
      <c r="K3247" t="b">
        <v>1</v>
      </c>
      <c r="N3247" s="30" t="s">
        <v>601</v>
      </c>
      <c r="O3247" s="2">
        <f>INDEX(Маршруты,MATCH(N3247,$B$3:$B$498,0),1)</f>
        <v>134</v>
      </c>
      <c r="P3247" s="27">
        <v>20</v>
      </c>
      <c r="Q3247" s="2">
        <f>INDEX(Остановки,MATCH(R3247,ИД_Остановки!$B$3:$B$467,0),1)</f>
        <v>420</v>
      </c>
      <c r="R3247" s="47" t="s">
        <v>476</v>
      </c>
      <c r="S3247" s="20">
        <v>0.9</v>
      </c>
    </row>
    <row r="3248" spans="8:19" x14ac:dyDescent="0.25">
      <c r="H3248">
        <v>22</v>
      </c>
      <c r="I3248">
        <v>99</v>
      </c>
      <c r="J3248">
        <v>110</v>
      </c>
      <c r="K3248" t="b">
        <v>1</v>
      </c>
      <c r="N3248" s="30" t="s">
        <v>601</v>
      </c>
      <c r="O3248" s="2">
        <f>INDEX(Маршруты,MATCH(N3248,$B$3:$B$498,0),1)</f>
        <v>134</v>
      </c>
      <c r="P3248" s="27">
        <v>21</v>
      </c>
      <c r="Q3248" s="2">
        <f>INDEX(Остановки,MATCH(R3248,ИД_Остановки!$B$3:$B$467,0),1)</f>
        <v>317</v>
      </c>
      <c r="R3248" s="47" t="s">
        <v>183</v>
      </c>
      <c r="S3248" s="20">
        <v>0.15</v>
      </c>
    </row>
    <row r="3249" spans="8:19" x14ac:dyDescent="0.25">
      <c r="H3249">
        <v>22</v>
      </c>
      <c r="I3249">
        <v>108</v>
      </c>
      <c r="J3249">
        <v>110</v>
      </c>
      <c r="K3249" t="b">
        <v>1</v>
      </c>
      <c r="N3249" s="30" t="s">
        <v>601</v>
      </c>
      <c r="O3249" s="2">
        <f>INDEX(Маршруты,MATCH(N3249,$B$3:$B$498,0),1)</f>
        <v>134</v>
      </c>
      <c r="P3249" s="27">
        <v>22</v>
      </c>
      <c r="Q3249" s="2">
        <f>INDEX(Остановки,MATCH(R3249,ИД_Остановки!$B$3:$B$467,0),1)</f>
        <v>318</v>
      </c>
      <c r="R3249" s="47" t="s">
        <v>184</v>
      </c>
      <c r="S3249" s="20">
        <v>0.93</v>
      </c>
    </row>
    <row r="3250" spans="8:19" x14ac:dyDescent="0.25">
      <c r="H3250">
        <v>22</v>
      </c>
      <c r="I3250">
        <v>117</v>
      </c>
      <c r="J3250">
        <v>110</v>
      </c>
      <c r="K3250" t="b">
        <v>1</v>
      </c>
      <c r="N3250" s="25" t="s">
        <v>601</v>
      </c>
      <c r="O3250" s="2">
        <f>INDEX(Маршруты,MATCH(N3250,$B$3:$B$498,0),1)</f>
        <v>134</v>
      </c>
      <c r="P3250" s="29">
        <v>23</v>
      </c>
      <c r="Q3250" s="2">
        <f>INDEX(Остановки,MATCH(R3250,ИД_Остановки!$B$3:$B$467,0),1)</f>
        <v>183</v>
      </c>
      <c r="R3250" s="47" t="s">
        <v>330</v>
      </c>
      <c r="S3250" s="20">
        <v>0.6</v>
      </c>
    </row>
    <row r="3251" spans="8:19" x14ac:dyDescent="0.25">
      <c r="H3251">
        <v>22</v>
      </c>
      <c r="I3251">
        <v>126</v>
      </c>
      <c r="J3251">
        <v>110</v>
      </c>
      <c r="K3251" t="b">
        <v>1</v>
      </c>
      <c r="N3251" s="25" t="s">
        <v>601</v>
      </c>
      <c r="O3251" s="2">
        <f>INDEX(Маршруты,MATCH(N3251,$B$3:$B$498,0),1)</f>
        <v>134</v>
      </c>
      <c r="P3251" s="29">
        <v>24</v>
      </c>
      <c r="Q3251" s="2">
        <f>INDEX(Остановки,MATCH(R3251,ИД_Остановки!$B$3:$B$467,0),1)</f>
        <v>205</v>
      </c>
      <c r="R3251" s="47" t="s">
        <v>343</v>
      </c>
      <c r="S3251" s="20">
        <v>0.69</v>
      </c>
    </row>
    <row r="3252" spans="8:19" x14ac:dyDescent="0.25">
      <c r="H3252">
        <v>22</v>
      </c>
      <c r="I3252">
        <v>135</v>
      </c>
      <c r="J3252">
        <v>110</v>
      </c>
      <c r="K3252" t="b">
        <v>1</v>
      </c>
      <c r="N3252" s="26" t="s">
        <v>601</v>
      </c>
      <c r="O3252" s="2">
        <f>INDEX(Маршруты,MATCH(N3252,$B$3:$B$498,0),1)</f>
        <v>134</v>
      </c>
      <c r="P3252" s="29">
        <v>25</v>
      </c>
      <c r="Q3252" s="2">
        <f>INDEX(Остановки,MATCH(R3252,ИД_Остановки!$B$3:$B$467,0),1)</f>
        <v>321</v>
      </c>
      <c r="R3252" s="47" t="s">
        <v>186</v>
      </c>
      <c r="S3252" s="20">
        <v>0.26</v>
      </c>
    </row>
    <row r="3253" spans="8:19" x14ac:dyDescent="0.25">
      <c r="H3253">
        <v>22</v>
      </c>
      <c r="I3253">
        <v>144</v>
      </c>
      <c r="J3253">
        <v>110</v>
      </c>
      <c r="K3253" t="b">
        <v>1</v>
      </c>
      <c r="N3253" s="30" t="s">
        <v>601</v>
      </c>
      <c r="O3253" s="2">
        <f>INDEX(Маршруты,MATCH(N3253,$B$3:$B$498,0),1)</f>
        <v>134</v>
      </c>
      <c r="P3253" s="31">
        <v>26</v>
      </c>
      <c r="Q3253" s="2">
        <f>INDEX(Остановки,MATCH(R3253,ИД_Остановки!$B$3:$B$467,0),1)</f>
        <v>320</v>
      </c>
      <c r="R3253" s="30" t="s">
        <v>185</v>
      </c>
      <c r="S3253" s="20">
        <v>0.84</v>
      </c>
    </row>
    <row r="3254" spans="8:19" x14ac:dyDescent="0.25">
      <c r="H3254">
        <v>22</v>
      </c>
      <c r="I3254">
        <v>153</v>
      </c>
      <c r="J3254">
        <v>110</v>
      </c>
      <c r="K3254" t="b">
        <v>1</v>
      </c>
      <c r="N3254" s="25" t="s">
        <v>601</v>
      </c>
      <c r="O3254" s="2">
        <f>INDEX(Маршруты,MATCH(N3254,$B$3:$B$498,0),1)</f>
        <v>134</v>
      </c>
      <c r="P3254" s="29">
        <v>27</v>
      </c>
      <c r="Q3254" s="2">
        <f>INDEX(Остановки,MATCH(R3254,ИД_Остановки!$B$3:$B$467,0),1)</f>
        <v>319</v>
      </c>
      <c r="R3254" s="47" t="s">
        <v>396</v>
      </c>
      <c r="S3254" s="20">
        <v>0.35</v>
      </c>
    </row>
    <row r="3255" spans="8:19" x14ac:dyDescent="0.25">
      <c r="H3255">
        <v>22</v>
      </c>
      <c r="I3255">
        <v>162</v>
      </c>
      <c r="J3255">
        <v>110</v>
      </c>
      <c r="K3255" t="b">
        <v>1</v>
      </c>
      <c r="N3255" s="26" t="s">
        <v>602</v>
      </c>
      <c r="O3255" s="2">
        <f>INDEX(Маршруты,MATCH(N3255,$B$3:$B$498,0),1)</f>
        <v>135</v>
      </c>
      <c r="P3255" s="29">
        <v>1</v>
      </c>
      <c r="Q3255" s="2">
        <f>INDEX(Остановки,MATCH(R3255,ИД_Остановки!$B$3:$B$467,0),1)</f>
        <v>327</v>
      </c>
      <c r="R3255" s="47" t="s">
        <v>401</v>
      </c>
      <c r="S3255" s="20"/>
    </row>
    <row r="3256" spans="8:19" x14ac:dyDescent="0.25">
      <c r="H3256">
        <v>22</v>
      </c>
      <c r="I3256">
        <v>171</v>
      </c>
      <c r="J3256">
        <v>110</v>
      </c>
      <c r="K3256" t="b">
        <v>1</v>
      </c>
      <c r="N3256" s="30" t="s">
        <v>602</v>
      </c>
      <c r="O3256" s="2">
        <f>INDEX(Маршруты,MATCH(N3256,$B$3:$B$498,0),1)</f>
        <v>135</v>
      </c>
      <c r="P3256" s="29">
        <v>2</v>
      </c>
      <c r="Q3256" s="2">
        <f>INDEX(Остановки,MATCH(R3256,ИД_Остановки!$B$3:$B$467,0),1)</f>
        <v>328</v>
      </c>
      <c r="R3256" s="30" t="s">
        <v>402</v>
      </c>
      <c r="S3256" s="20">
        <v>0.67</v>
      </c>
    </row>
    <row r="3257" spans="8:19" x14ac:dyDescent="0.25">
      <c r="H3257">
        <v>22</v>
      </c>
      <c r="I3257">
        <v>180</v>
      </c>
      <c r="J3257">
        <v>110</v>
      </c>
      <c r="K3257" t="b">
        <v>1</v>
      </c>
      <c r="N3257" s="30" t="s">
        <v>602</v>
      </c>
      <c r="O3257" s="2">
        <f>INDEX(Маршруты,MATCH(N3257,$B$3:$B$498,0),1)</f>
        <v>135</v>
      </c>
      <c r="P3257" s="29">
        <v>3</v>
      </c>
      <c r="Q3257" s="2">
        <f>INDEX(Остановки,MATCH(R3257,ИД_Остановки!$B$3:$B$467,0),1)</f>
        <v>329</v>
      </c>
      <c r="R3257" s="47" t="s">
        <v>188</v>
      </c>
      <c r="S3257" s="20">
        <v>0.98</v>
      </c>
    </row>
    <row r="3258" spans="8:19" x14ac:dyDescent="0.25">
      <c r="H3258">
        <v>22</v>
      </c>
      <c r="I3258">
        <v>189</v>
      </c>
      <c r="J3258">
        <v>110</v>
      </c>
      <c r="K3258" t="b">
        <v>1</v>
      </c>
      <c r="N3258" s="30" t="s">
        <v>602</v>
      </c>
      <c r="O3258" s="2">
        <f>INDEX(Маршруты,MATCH(N3258,$B$3:$B$498,0),1)</f>
        <v>135</v>
      </c>
      <c r="P3258" s="29">
        <v>4</v>
      </c>
      <c r="Q3258" s="2">
        <f>INDEX(Остановки,MATCH(R3258,ИД_Остановки!$B$3:$B$467,0),1)</f>
        <v>179</v>
      </c>
      <c r="R3258" s="47" t="s">
        <v>328</v>
      </c>
      <c r="S3258" s="20">
        <v>0.53</v>
      </c>
    </row>
    <row r="3259" spans="8:19" x14ac:dyDescent="0.25">
      <c r="H3259">
        <v>22</v>
      </c>
      <c r="I3259">
        <v>198</v>
      </c>
      <c r="J3259">
        <v>110</v>
      </c>
      <c r="K3259" t="b">
        <v>1</v>
      </c>
      <c r="N3259" s="30" t="s">
        <v>602</v>
      </c>
      <c r="O3259" s="2">
        <f>INDEX(Маршруты,MATCH(N3259,$B$3:$B$498,0),1)</f>
        <v>135</v>
      </c>
      <c r="P3259" s="29">
        <v>5</v>
      </c>
      <c r="Q3259" s="2">
        <f>INDEX(Остановки,MATCH(R3259,ИД_Остановки!$B$3:$B$467,0),1)</f>
        <v>272</v>
      </c>
      <c r="R3259" s="47" t="s">
        <v>145</v>
      </c>
      <c r="S3259" s="20">
        <v>1.2</v>
      </c>
    </row>
    <row r="3260" spans="8:19" x14ac:dyDescent="0.25">
      <c r="H3260">
        <v>22</v>
      </c>
      <c r="I3260">
        <v>207</v>
      </c>
      <c r="J3260">
        <v>110</v>
      </c>
      <c r="K3260" t="b">
        <v>1</v>
      </c>
      <c r="N3260" s="30" t="s">
        <v>602</v>
      </c>
      <c r="O3260" s="2">
        <f>INDEX(Маршруты,MATCH(N3260,$B$3:$B$498,0),1)</f>
        <v>135</v>
      </c>
      <c r="P3260" s="29">
        <v>6</v>
      </c>
      <c r="Q3260" s="2">
        <f>INDEX(Остановки,MATCH(R3260,ИД_Остановки!$B$3:$B$467,0),1)</f>
        <v>273</v>
      </c>
      <c r="R3260" s="47" t="s">
        <v>146</v>
      </c>
      <c r="S3260" s="20">
        <v>0.79</v>
      </c>
    </row>
    <row r="3261" spans="8:19" x14ac:dyDescent="0.25">
      <c r="H3261">
        <v>22</v>
      </c>
      <c r="I3261">
        <v>216</v>
      </c>
      <c r="J3261">
        <v>110</v>
      </c>
      <c r="K3261" t="b">
        <v>1</v>
      </c>
      <c r="N3261" s="25" t="s">
        <v>602</v>
      </c>
      <c r="O3261" s="2">
        <f>INDEX(Маршруты,MATCH(N3261,$B$3:$B$498,0),1)</f>
        <v>135</v>
      </c>
      <c r="P3261" s="29">
        <v>7</v>
      </c>
      <c r="Q3261" s="2">
        <f>INDEX(Остановки,MATCH(R3261,ИД_Остановки!$B$3:$B$467,0),1)</f>
        <v>363</v>
      </c>
      <c r="R3261" s="47" t="s">
        <v>200</v>
      </c>
      <c r="S3261" s="20">
        <v>0.69</v>
      </c>
    </row>
    <row r="3262" spans="8:19" x14ac:dyDescent="0.25">
      <c r="H3262">
        <v>22</v>
      </c>
      <c r="I3262">
        <v>225</v>
      </c>
      <c r="J3262">
        <v>110</v>
      </c>
      <c r="K3262" t="b">
        <v>1</v>
      </c>
      <c r="N3262" s="30" t="s">
        <v>602</v>
      </c>
      <c r="O3262" s="2">
        <f>INDEX(Маршруты,MATCH(N3262,$B$3:$B$498,0),1)</f>
        <v>135</v>
      </c>
      <c r="P3262" s="29">
        <v>8</v>
      </c>
      <c r="Q3262" s="2">
        <f>INDEX(Остановки,MATCH(R3262,ИД_Остановки!$B$3:$B$467,0),1)</f>
        <v>364</v>
      </c>
      <c r="R3262" s="47" t="s">
        <v>424</v>
      </c>
      <c r="S3262" s="20">
        <v>0.5</v>
      </c>
    </row>
    <row r="3263" spans="8:19" x14ac:dyDescent="0.25">
      <c r="H3263">
        <v>22</v>
      </c>
      <c r="I3263">
        <v>234</v>
      </c>
      <c r="J3263">
        <v>110</v>
      </c>
      <c r="K3263" t="b">
        <v>1</v>
      </c>
      <c r="N3263" s="26" t="s">
        <v>602</v>
      </c>
      <c r="O3263" s="2">
        <f>INDEX(Маршруты,MATCH(N3263,$B$3:$B$498,0),1)</f>
        <v>135</v>
      </c>
      <c r="P3263" s="29">
        <v>9</v>
      </c>
      <c r="Q3263" s="2">
        <f>INDEX(Остановки,MATCH(R3263,ИД_Остановки!$B$3:$B$467,0),1)</f>
        <v>274</v>
      </c>
      <c r="R3263" s="47" t="s">
        <v>147</v>
      </c>
      <c r="S3263" s="20">
        <v>0.69</v>
      </c>
    </row>
    <row r="3264" spans="8:19" x14ac:dyDescent="0.25">
      <c r="H3264">
        <v>22</v>
      </c>
      <c r="I3264">
        <v>243</v>
      </c>
      <c r="J3264">
        <v>110</v>
      </c>
      <c r="K3264" t="b">
        <v>1</v>
      </c>
      <c r="N3264" s="26" t="s">
        <v>602</v>
      </c>
      <c r="O3264" s="2">
        <f>INDEX(Маршруты,MATCH(N3264,$B$3:$B$498,0),1)</f>
        <v>135</v>
      </c>
      <c r="P3264" s="29">
        <v>10</v>
      </c>
      <c r="Q3264" s="2">
        <f>INDEX(Остановки,MATCH(R3264,ИД_Остановки!$B$3:$B$467,0),1)</f>
        <v>59</v>
      </c>
      <c r="R3264" s="47" t="s">
        <v>48</v>
      </c>
      <c r="S3264" s="20">
        <v>0.85</v>
      </c>
    </row>
    <row r="3265" spans="8:19" x14ac:dyDescent="0.25">
      <c r="H3265">
        <v>22</v>
      </c>
      <c r="I3265">
        <v>252</v>
      </c>
      <c r="J3265">
        <v>110</v>
      </c>
      <c r="K3265" t="b">
        <v>1</v>
      </c>
      <c r="N3265" s="30" t="s">
        <v>602</v>
      </c>
      <c r="O3265" s="2">
        <f>INDEX(Маршруты,MATCH(N3265,$B$3:$B$498,0),1)</f>
        <v>135</v>
      </c>
      <c r="P3265" s="29">
        <v>11</v>
      </c>
      <c r="Q3265" s="2">
        <f>INDEX(Остановки,MATCH(R3265,ИД_Остановки!$B$3:$B$467,0),1)</f>
        <v>116</v>
      </c>
      <c r="R3265" s="47" t="s">
        <v>75</v>
      </c>
      <c r="S3265" s="20">
        <v>0.3</v>
      </c>
    </row>
    <row r="3266" spans="8:19" x14ac:dyDescent="0.25">
      <c r="H3266">
        <v>22</v>
      </c>
      <c r="I3266">
        <v>261</v>
      </c>
      <c r="J3266">
        <v>110</v>
      </c>
      <c r="K3266" t="b">
        <v>1</v>
      </c>
      <c r="N3266" s="30" t="s">
        <v>602</v>
      </c>
      <c r="O3266" s="2">
        <f>INDEX(Маршруты,MATCH(N3266,$B$3:$B$498,0),1)</f>
        <v>135</v>
      </c>
      <c r="P3266" s="29">
        <v>12</v>
      </c>
      <c r="Q3266" s="2">
        <f>INDEX(Остановки,MATCH(R3266,ИД_Остановки!$B$3:$B$467,0),1)</f>
        <v>57</v>
      </c>
      <c r="R3266" s="47" t="s">
        <v>47</v>
      </c>
      <c r="S3266" s="20">
        <v>0.83</v>
      </c>
    </row>
    <row r="3267" spans="8:19" x14ac:dyDescent="0.25">
      <c r="H3267">
        <v>22</v>
      </c>
      <c r="I3267">
        <v>270</v>
      </c>
      <c r="J3267">
        <v>110</v>
      </c>
      <c r="K3267" t="b">
        <v>1</v>
      </c>
      <c r="N3267" s="30" t="s">
        <v>602</v>
      </c>
      <c r="O3267" s="2">
        <f>INDEX(Маршруты,MATCH(N3267,$B$3:$B$498,0),1)</f>
        <v>135</v>
      </c>
      <c r="P3267" s="29">
        <v>13</v>
      </c>
      <c r="Q3267" s="2">
        <f>INDEX(Остановки,MATCH(R3267,ИД_Остановки!$B$3:$B$467,0),1)</f>
        <v>56</v>
      </c>
      <c r="R3267" s="47" t="s">
        <v>264</v>
      </c>
      <c r="S3267" s="20">
        <v>0.48</v>
      </c>
    </row>
    <row r="3268" spans="8:19" x14ac:dyDescent="0.25">
      <c r="H3268">
        <v>22</v>
      </c>
      <c r="I3268">
        <v>279</v>
      </c>
      <c r="J3268">
        <v>110</v>
      </c>
      <c r="K3268" t="b">
        <v>1</v>
      </c>
      <c r="N3268" s="26" t="s">
        <v>602</v>
      </c>
      <c r="O3268" s="2">
        <f>INDEX(Маршруты,MATCH(N3268,$B$3:$B$498,0),1)</f>
        <v>135</v>
      </c>
      <c r="P3268" s="29">
        <v>14</v>
      </c>
      <c r="Q3268" s="2">
        <f>INDEX(Остановки,MATCH(R3268,ИД_Остановки!$B$3:$B$467,0),1)</f>
        <v>55</v>
      </c>
      <c r="R3268" s="47" t="s">
        <v>263</v>
      </c>
      <c r="S3268" s="20">
        <v>0.86</v>
      </c>
    </row>
    <row r="3269" spans="8:19" x14ac:dyDescent="0.25">
      <c r="H3269">
        <v>22</v>
      </c>
      <c r="I3269">
        <v>288</v>
      </c>
      <c r="J3269">
        <v>110</v>
      </c>
      <c r="K3269" t="b">
        <v>1</v>
      </c>
      <c r="N3269" s="25" t="s">
        <v>602</v>
      </c>
      <c r="O3269" s="2">
        <f>INDEX(Маршруты,MATCH(N3269,$B$3:$B$498,0),1)</f>
        <v>135</v>
      </c>
      <c r="P3269" s="31">
        <v>15</v>
      </c>
      <c r="Q3269" s="2">
        <f>INDEX(Остановки,MATCH(R3269,ИД_Остановки!$B$3:$B$467,0),1)</f>
        <v>54</v>
      </c>
      <c r="R3269" s="30" t="s">
        <v>45</v>
      </c>
      <c r="S3269" s="20">
        <v>0.37</v>
      </c>
    </row>
    <row r="3270" spans="8:19" x14ac:dyDescent="0.25">
      <c r="H3270">
        <v>22</v>
      </c>
      <c r="I3270">
        <v>297</v>
      </c>
      <c r="J3270">
        <v>110</v>
      </c>
      <c r="K3270" t="b">
        <v>1</v>
      </c>
      <c r="N3270" s="25" t="s">
        <v>602</v>
      </c>
      <c r="O3270" s="2">
        <f>INDEX(Маршруты,MATCH(N3270,$B$3:$B$498,0),1)</f>
        <v>135</v>
      </c>
      <c r="P3270" s="29">
        <v>16</v>
      </c>
      <c r="Q3270" s="2">
        <f>INDEX(Остановки,MATCH(R3270,ИД_Остановки!$B$3:$B$467,0),1)</f>
        <v>176</v>
      </c>
      <c r="R3270" s="47" t="s">
        <v>111</v>
      </c>
      <c r="S3270" s="20">
        <v>0.65</v>
      </c>
    </row>
    <row r="3271" spans="8:19" x14ac:dyDescent="0.25">
      <c r="H3271">
        <v>22</v>
      </c>
      <c r="I3271">
        <v>306</v>
      </c>
      <c r="J3271">
        <v>110</v>
      </c>
      <c r="K3271" t="b">
        <v>1</v>
      </c>
      <c r="N3271" s="26" t="s">
        <v>602</v>
      </c>
      <c r="O3271" s="2">
        <f>INDEX(Маршруты,MATCH(N3271,$B$3:$B$498,0),1)</f>
        <v>135</v>
      </c>
      <c r="P3271" s="29">
        <v>17</v>
      </c>
      <c r="Q3271" s="2">
        <f>INDEX(Остановки,MATCH(R3271,ИД_Остановки!$B$3:$B$467,0),1)</f>
        <v>53</v>
      </c>
      <c r="R3271" s="47" t="s">
        <v>44</v>
      </c>
      <c r="S3271" s="20">
        <v>0.64</v>
      </c>
    </row>
    <row r="3272" spans="8:19" x14ac:dyDescent="0.25">
      <c r="H3272">
        <v>22</v>
      </c>
      <c r="I3272">
        <v>315</v>
      </c>
      <c r="J3272">
        <v>110</v>
      </c>
      <c r="K3272" t="b">
        <v>1</v>
      </c>
      <c r="N3272" s="30" t="s">
        <v>602</v>
      </c>
      <c r="O3272" s="2">
        <f>INDEX(Маршруты,MATCH(N3272,$B$3:$B$498,0),1)</f>
        <v>135</v>
      </c>
      <c r="P3272" s="29">
        <v>18</v>
      </c>
      <c r="Q3272" s="2">
        <f>INDEX(Остановки,MATCH(R3272,ИД_Остановки!$B$3:$B$467,0),1)</f>
        <v>175</v>
      </c>
      <c r="R3272" s="30" t="s">
        <v>327</v>
      </c>
      <c r="S3272" s="20">
        <v>1.44</v>
      </c>
    </row>
    <row r="3273" spans="8:19" x14ac:dyDescent="0.25">
      <c r="H3273">
        <v>22</v>
      </c>
      <c r="I3273">
        <v>324</v>
      </c>
      <c r="J3273">
        <v>110</v>
      </c>
      <c r="K3273" t="b">
        <v>1</v>
      </c>
      <c r="N3273" s="25" t="s">
        <v>602</v>
      </c>
      <c r="O3273" s="2">
        <f>INDEX(Маршруты,MATCH(N3273,$B$3:$B$498,0),1)</f>
        <v>135</v>
      </c>
      <c r="P3273" s="29">
        <v>19</v>
      </c>
      <c r="Q3273" s="2">
        <f>INDEX(Остановки,MATCH(R3273,ИД_Остановки!$B$3:$B$467,0),1)</f>
        <v>174</v>
      </c>
      <c r="R3273" s="47" t="s">
        <v>326</v>
      </c>
      <c r="S3273" s="20">
        <v>0.89</v>
      </c>
    </row>
    <row r="3274" spans="8:19" x14ac:dyDescent="0.25">
      <c r="H3274">
        <v>22</v>
      </c>
      <c r="I3274">
        <v>333</v>
      </c>
      <c r="J3274">
        <v>110</v>
      </c>
      <c r="K3274" t="b">
        <v>1</v>
      </c>
      <c r="N3274" s="25" t="s">
        <v>602</v>
      </c>
      <c r="O3274" s="2">
        <f>INDEX(Маршруты,MATCH(N3274,$B$3:$B$498,0),1)</f>
        <v>135</v>
      </c>
      <c r="P3274" s="29">
        <v>20</v>
      </c>
      <c r="Q3274" s="2">
        <f>INDEX(Остановки,MATCH(R3274,ИД_Остановки!$B$3:$B$467,0),1)</f>
        <v>173</v>
      </c>
      <c r="R3274" s="47" t="s">
        <v>110</v>
      </c>
      <c r="S3274" s="20">
        <v>0.79</v>
      </c>
    </row>
    <row r="3275" spans="8:19" x14ac:dyDescent="0.25">
      <c r="H3275">
        <v>22</v>
      </c>
      <c r="I3275">
        <v>342</v>
      </c>
      <c r="J3275">
        <v>110</v>
      </c>
      <c r="K3275" t="b">
        <v>1</v>
      </c>
      <c r="N3275" s="30" t="s">
        <v>602</v>
      </c>
      <c r="O3275" s="2">
        <f>INDEX(Маршруты,MATCH(N3275,$B$3:$B$498,0),1)</f>
        <v>135</v>
      </c>
      <c r="P3275" s="29">
        <v>21</v>
      </c>
      <c r="Q3275" s="2">
        <f>INDEX(Остановки,MATCH(R3275,ИД_Остановки!$B$3:$B$467,0),1)</f>
        <v>172</v>
      </c>
      <c r="R3275" s="47" t="s">
        <v>109</v>
      </c>
      <c r="S3275" s="20">
        <v>0.79</v>
      </c>
    </row>
    <row r="3276" spans="8:19" x14ac:dyDescent="0.25">
      <c r="H3276">
        <v>22</v>
      </c>
      <c r="I3276">
        <v>351</v>
      </c>
      <c r="J3276">
        <v>110</v>
      </c>
      <c r="K3276" t="b">
        <v>1</v>
      </c>
      <c r="N3276" s="30" t="s">
        <v>603</v>
      </c>
      <c r="O3276" s="2">
        <f>INDEX(Маршруты,MATCH(N3276,$B$3:$B$498,0),1)</f>
        <v>136</v>
      </c>
      <c r="P3276" s="29">
        <v>1</v>
      </c>
      <c r="Q3276" s="2">
        <f>INDEX(Остановки,MATCH(R3276,ИД_Остановки!$B$3:$B$467,0),1)</f>
        <v>172</v>
      </c>
      <c r="R3276" s="47" t="s">
        <v>109</v>
      </c>
      <c r="S3276" s="20"/>
    </row>
    <row r="3277" spans="8:19" x14ac:dyDescent="0.25">
      <c r="H3277">
        <v>22</v>
      </c>
      <c r="I3277">
        <v>360</v>
      </c>
      <c r="J3277">
        <v>110</v>
      </c>
      <c r="K3277" t="b">
        <v>1</v>
      </c>
      <c r="N3277" s="30" t="s">
        <v>603</v>
      </c>
      <c r="O3277" s="2">
        <f>INDEX(Маршруты,MATCH(N3277,$B$3:$B$498,0),1)</f>
        <v>136</v>
      </c>
      <c r="P3277" s="31">
        <v>2</v>
      </c>
      <c r="Q3277" s="2">
        <f>INDEX(Остановки,MATCH(R3277,ИД_Остановки!$B$3:$B$467,0),1)</f>
        <v>173</v>
      </c>
      <c r="R3277" s="30" t="s">
        <v>110</v>
      </c>
      <c r="S3277" s="20">
        <v>0.79</v>
      </c>
    </row>
    <row r="3278" spans="8:19" x14ac:dyDescent="0.25">
      <c r="H3278">
        <v>22</v>
      </c>
      <c r="I3278">
        <v>369</v>
      </c>
      <c r="J3278">
        <v>110</v>
      </c>
      <c r="K3278" t="b">
        <v>1</v>
      </c>
      <c r="N3278" s="30" t="s">
        <v>603</v>
      </c>
      <c r="O3278" s="2">
        <f>INDEX(Маршруты,MATCH(N3278,$B$3:$B$498,0),1)</f>
        <v>136</v>
      </c>
      <c r="P3278" s="29">
        <v>3</v>
      </c>
      <c r="Q3278" s="2">
        <f>INDEX(Остановки,MATCH(R3278,ИД_Остановки!$B$3:$B$467,0),1)</f>
        <v>174</v>
      </c>
      <c r="R3278" s="47" t="s">
        <v>326</v>
      </c>
      <c r="S3278" s="20">
        <v>0.79</v>
      </c>
    </row>
    <row r="3279" spans="8:19" x14ac:dyDescent="0.25">
      <c r="H3279">
        <v>22</v>
      </c>
      <c r="I3279">
        <v>378</v>
      </c>
      <c r="J3279">
        <v>110</v>
      </c>
      <c r="K3279" t="b">
        <v>1</v>
      </c>
      <c r="N3279" s="25" t="s">
        <v>603</v>
      </c>
      <c r="O3279" s="2">
        <f>INDEX(Маршруты,MATCH(N3279,$B$3:$B$498,0),1)</f>
        <v>136</v>
      </c>
      <c r="P3279" s="31">
        <v>4</v>
      </c>
      <c r="Q3279" s="2">
        <f>INDEX(Остановки,MATCH(R3279,ИД_Остановки!$B$3:$B$467,0),1)</f>
        <v>175</v>
      </c>
      <c r="R3279" s="30" t="s">
        <v>327</v>
      </c>
      <c r="S3279" s="20">
        <v>0.89</v>
      </c>
    </row>
    <row r="3280" spans="8:19" x14ac:dyDescent="0.25">
      <c r="H3280">
        <v>22</v>
      </c>
      <c r="I3280">
        <v>387</v>
      </c>
      <c r="J3280">
        <v>110</v>
      </c>
      <c r="K3280" t="b">
        <v>1</v>
      </c>
      <c r="N3280" s="25" t="s">
        <v>603</v>
      </c>
      <c r="O3280" s="2">
        <f>INDEX(Маршруты,MATCH(N3280,$B$3:$B$498,0),1)</f>
        <v>136</v>
      </c>
      <c r="P3280" s="29">
        <v>5</v>
      </c>
      <c r="Q3280" s="2">
        <f>INDEX(Остановки,MATCH(R3280,ИД_Остановки!$B$3:$B$467,0),1)</f>
        <v>53</v>
      </c>
      <c r="R3280" s="47" t="s">
        <v>44</v>
      </c>
      <c r="S3280" s="20">
        <v>1.44</v>
      </c>
    </row>
    <row r="3281" spans="8:19" x14ac:dyDescent="0.25">
      <c r="H3281">
        <v>22</v>
      </c>
      <c r="I3281">
        <v>396</v>
      </c>
      <c r="J3281">
        <v>110</v>
      </c>
      <c r="K3281" t="b">
        <v>1</v>
      </c>
      <c r="N3281" s="30" t="s">
        <v>603</v>
      </c>
      <c r="O3281" s="2">
        <f>INDEX(Маршруты,MATCH(N3281,$B$3:$B$498,0),1)</f>
        <v>136</v>
      </c>
      <c r="P3281" s="31">
        <v>6</v>
      </c>
      <c r="Q3281" s="2">
        <f>INDEX(Остановки,MATCH(R3281,ИД_Остановки!$B$3:$B$467,0),1)</f>
        <v>176</v>
      </c>
      <c r="R3281" s="30" t="s">
        <v>111</v>
      </c>
      <c r="S3281" s="20">
        <v>0.64</v>
      </c>
    </row>
    <row r="3282" spans="8:19" x14ac:dyDescent="0.25">
      <c r="H3282">
        <v>22</v>
      </c>
      <c r="I3282">
        <v>405</v>
      </c>
      <c r="J3282">
        <v>110</v>
      </c>
      <c r="K3282" t="b">
        <v>1</v>
      </c>
      <c r="N3282" s="25" t="s">
        <v>603</v>
      </c>
      <c r="O3282" s="2">
        <f>INDEX(Маршруты,MATCH(N3282,$B$3:$B$498,0),1)</f>
        <v>136</v>
      </c>
      <c r="P3282" s="29">
        <v>7</v>
      </c>
      <c r="Q3282" s="2">
        <f>INDEX(Остановки,MATCH(R3282,ИД_Остановки!$B$3:$B$467,0),1)</f>
        <v>54</v>
      </c>
      <c r="R3282" s="47" t="s">
        <v>45</v>
      </c>
      <c r="S3282" s="20">
        <v>0.65</v>
      </c>
    </row>
    <row r="3283" spans="8:19" x14ac:dyDescent="0.25">
      <c r="H3283">
        <v>22</v>
      </c>
      <c r="I3283">
        <v>414</v>
      </c>
      <c r="J3283">
        <v>110</v>
      </c>
      <c r="K3283" t="b">
        <v>1</v>
      </c>
      <c r="N3283" s="25" t="s">
        <v>603</v>
      </c>
      <c r="O3283" s="2">
        <f>INDEX(Маршруты,MATCH(N3283,$B$3:$B$498,0),1)</f>
        <v>136</v>
      </c>
      <c r="P3283" s="29">
        <v>8</v>
      </c>
      <c r="Q3283" s="2">
        <f>INDEX(Остановки,MATCH(R3283,ИД_Остановки!$B$3:$B$467,0),1)</f>
        <v>55</v>
      </c>
      <c r="R3283" s="47" t="s">
        <v>263</v>
      </c>
      <c r="S3283" s="20">
        <v>0.37</v>
      </c>
    </row>
    <row r="3284" spans="8:19" x14ac:dyDescent="0.25">
      <c r="H3284">
        <v>22</v>
      </c>
      <c r="I3284">
        <v>423</v>
      </c>
      <c r="J3284">
        <v>110</v>
      </c>
      <c r="K3284" t="b">
        <v>1</v>
      </c>
      <c r="N3284" s="25" t="s">
        <v>603</v>
      </c>
      <c r="O3284" s="2">
        <f>INDEX(Маршруты,MATCH(N3284,$B$3:$B$498,0),1)</f>
        <v>136</v>
      </c>
      <c r="P3284" s="31">
        <v>9</v>
      </c>
      <c r="Q3284" s="2">
        <f>INDEX(Остановки,MATCH(R3284,ИД_Остановки!$B$3:$B$467,0),1)</f>
        <v>56</v>
      </c>
      <c r="R3284" s="30" t="s">
        <v>264</v>
      </c>
      <c r="S3284" s="20">
        <v>0.86</v>
      </c>
    </row>
    <row r="3285" spans="8:19" x14ac:dyDescent="0.25">
      <c r="H3285">
        <v>22</v>
      </c>
      <c r="I3285">
        <v>432</v>
      </c>
      <c r="J3285">
        <v>110</v>
      </c>
      <c r="K3285" t="b">
        <v>1</v>
      </c>
      <c r="N3285" s="30" t="s">
        <v>603</v>
      </c>
      <c r="O3285" s="2">
        <f>INDEX(Маршруты,MATCH(N3285,$B$3:$B$498,0),1)</f>
        <v>136</v>
      </c>
      <c r="P3285" s="29">
        <v>10</v>
      </c>
      <c r="Q3285" s="2">
        <f>INDEX(Остановки,MATCH(R3285,ИД_Остановки!$B$3:$B$467,0),1)</f>
        <v>57</v>
      </c>
      <c r="R3285" s="47" t="s">
        <v>47</v>
      </c>
      <c r="S3285" s="20">
        <v>0.48</v>
      </c>
    </row>
    <row r="3286" spans="8:19" x14ac:dyDescent="0.25">
      <c r="H3286">
        <v>22</v>
      </c>
      <c r="I3286">
        <v>441</v>
      </c>
      <c r="J3286">
        <v>110</v>
      </c>
      <c r="K3286" t="b">
        <v>1</v>
      </c>
      <c r="N3286" s="25" t="s">
        <v>603</v>
      </c>
      <c r="O3286" s="2">
        <f>INDEX(Маршруты,MATCH(N3286,$B$3:$B$498,0),1)</f>
        <v>136</v>
      </c>
      <c r="P3286" s="29">
        <v>11</v>
      </c>
      <c r="Q3286" s="2">
        <f>INDEX(Остановки,MATCH(R3286,ИД_Остановки!$B$3:$B$467,0),1)</f>
        <v>116</v>
      </c>
      <c r="R3286" s="47" t="s">
        <v>75</v>
      </c>
      <c r="S3286" s="20">
        <v>0.83</v>
      </c>
    </row>
    <row r="3287" spans="8:19" x14ac:dyDescent="0.25">
      <c r="H3287">
        <v>22</v>
      </c>
      <c r="I3287">
        <v>450</v>
      </c>
      <c r="J3287">
        <v>110</v>
      </c>
      <c r="K3287" t="b">
        <v>1</v>
      </c>
      <c r="N3287" s="25" t="s">
        <v>603</v>
      </c>
      <c r="O3287" s="2">
        <f>INDEX(Маршруты,MATCH(N3287,$B$3:$B$498,0),1)</f>
        <v>136</v>
      </c>
      <c r="P3287" s="29">
        <v>12</v>
      </c>
      <c r="Q3287" s="2">
        <f>INDEX(Остановки,MATCH(R3287,ИД_Остановки!$B$3:$B$467,0),1)</f>
        <v>59</v>
      </c>
      <c r="R3287" s="47" t="s">
        <v>48</v>
      </c>
      <c r="S3287" s="20">
        <v>0.3</v>
      </c>
    </row>
    <row r="3288" spans="8:19" x14ac:dyDescent="0.25">
      <c r="H3288">
        <v>22</v>
      </c>
      <c r="I3288">
        <v>459</v>
      </c>
      <c r="J3288">
        <v>110</v>
      </c>
      <c r="K3288" t="b">
        <v>1</v>
      </c>
      <c r="N3288" s="30" t="s">
        <v>603</v>
      </c>
      <c r="O3288" s="2">
        <f>INDEX(Маршруты,MATCH(N3288,$B$3:$B$498,0),1)</f>
        <v>136</v>
      </c>
      <c r="P3288" s="29">
        <v>13</v>
      </c>
      <c r="Q3288" s="2">
        <f>INDEX(Остановки,MATCH(R3288,ИД_Остановки!$B$3:$B$467,0),1)</f>
        <v>274</v>
      </c>
      <c r="R3288" s="47" t="s">
        <v>147</v>
      </c>
      <c r="S3288" s="20">
        <v>0.85</v>
      </c>
    </row>
    <row r="3289" spans="8:19" x14ac:dyDescent="0.25">
      <c r="H3289">
        <v>22</v>
      </c>
      <c r="I3289">
        <v>468</v>
      </c>
      <c r="J3289">
        <v>110</v>
      </c>
      <c r="K3289" t="b">
        <v>1</v>
      </c>
      <c r="N3289" s="25" t="s">
        <v>603</v>
      </c>
      <c r="O3289" s="2">
        <f>INDEX(Маршруты,MATCH(N3289,$B$3:$B$498,0),1)</f>
        <v>136</v>
      </c>
      <c r="P3289" s="29">
        <v>14</v>
      </c>
      <c r="Q3289" s="2">
        <f>INDEX(Остановки,MATCH(R3289,ИД_Остановки!$B$3:$B$467,0),1)</f>
        <v>364</v>
      </c>
      <c r="R3289" s="47" t="s">
        <v>424</v>
      </c>
      <c r="S3289" s="20">
        <v>0.69</v>
      </c>
    </row>
    <row r="3290" spans="8:19" x14ac:dyDescent="0.25">
      <c r="H3290">
        <v>22</v>
      </c>
      <c r="I3290">
        <v>477</v>
      </c>
      <c r="J3290">
        <v>110</v>
      </c>
      <c r="K3290" t="b">
        <v>1</v>
      </c>
      <c r="N3290" s="25" t="s">
        <v>603</v>
      </c>
      <c r="O3290" s="2">
        <f>INDEX(Маршруты,MATCH(N3290,$B$3:$B$498,0),1)</f>
        <v>136</v>
      </c>
      <c r="P3290" s="29">
        <v>15</v>
      </c>
      <c r="Q3290" s="2">
        <f>INDEX(Остановки,MATCH(R3290,ИД_Остановки!$B$3:$B$467,0),1)</f>
        <v>363</v>
      </c>
      <c r="R3290" s="47" t="s">
        <v>200</v>
      </c>
      <c r="S3290" s="20">
        <v>0.5</v>
      </c>
    </row>
    <row r="3291" spans="8:19" x14ac:dyDescent="0.25">
      <c r="H3291">
        <v>22</v>
      </c>
      <c r="I3291">
        <v>486</v>
      </c>
      <c r="J3291">
        <v>110</v>
      </c>
      <c r="K3291" t="b">
        <v>1</v>
      </c>
      <c r="N3291" s="26" t="s">
        <v>603</v>
      </c>
      <c r="O3291" s="2">
        <f>INDEX(Маршруты,MATCH(N3291,$B$3:$B$498,0),1)</f>
        <v>136</v>
      </c>
      <c r="P3291" s="29">
        <v>16</v>
      </c>
      <c r="Q3291" s="2">
        <f>INDEX(Остановки,MATCH(R3291,ИД_Остановки!$B$3:$B$467,0),1)</f>
        <v>273</v>
      </c>
      <c r="R3291" s="47" t="s">
        <v>146</v>
      </c>
      <c r="S3291" s="20">
        <v>0.69</v>
      </c>
    </row>
    <row r="3292" spans="8:19" x14ac:dyDescent="0.25">
      <c r="H3292">
        <v>22</v>
      </c>
      <c r="I3292">
        <v>495</v>
      </c>
      <c r="J3292">
        <v>110</v>
      </c>
      <c r="K3292" t="b">
        <v>1</v>
      </c>
      <c r="N3292" s="26" t="s">
        <v>603</v>
      </c>
      <c r="O3292" s="2">
        <f>INDEX(Маршруты,MATCH(N3292,$B$3:$B$498,0),1)</f>
        <v>136</v>
      </c>
      <c r="P3292" s="29">
        <v>17</v>
      </c>
      <c r="Q3292" s="2">
        <f>INDEX(Остановки,MATCH(R3292,ИД_Остановки!$B$3:$B$467,0),1)</f>
        <v>272</v>
      </c>
      <c r="R3292" s="47" t="s">
        <v>145</v>
      </c>
      <c r="S3292" s="20">
        <v>0.79</v>
      </c>
    </row>
    <row r="3293" spans="8:19" x14ac:dyDescent="0.25">
      <c r="H3293">
        <v>22</v>
      </c>
      <c r="I3293">
        <v>504</v>
      </c>
      <c r="J3293">
        <v>110</v>
      </c>
      <c r="K3293" t="b">
        <v>1</v>
      </c>
      <c r="N3293" s="25" t="s">
        <v>603</v>
      </c>
      <c r="O3293" s="2">
        <f>INDEX(Маршруты,MATCH(N3293,$B$3:$B$498,0),1)</f>
        <v>136</v>
      </c>
      <c r="P3293" s="29">
        <v>18</v>
      </c>
      <c r="Q3293" s="2">
        <f>INDEX(Остановки,MATCH(R3293,ИД_Остановки!$B$3:$B$467,0),1)</f>
        <v>179</v>
      </c>
      <c r="R3293" s="47" t="s">
        <v>328</v>
      </c>
      <c r="S3293" s="20">
        <v>1.2</v>
      </c>
    </row>
    <row r="3294" spans="8:19" x14ac:dyDescent="0.25">
      <c r="H3294">
        <v>22</v>
      </c>
      <c r="I3294">
        <v>513</v>
      </c>
      <c r="J3294">
        <v>110</v>
      </c>
      <c r="K3294" t="b">
        <v>1</v>
      </c>
      <c r="N3294" s="30" t="s">
        <v>603</v>
      </c>
      <c r="O3294" s="2">
        <f>INDEX(Маршруты,MATCH(N3294,$B$3:$B$498,0),1)</f>
        <v>136</v>
      </c>
      <c r="P3294" s="29">
        <v>19</v>
      </c>
      <c r="Q3294" s="2">
        <f>INDEX(Остановки,MATCH(R3294,ИД_Остановки!$B$3:$B$467,0),1)</f>
        <v>329</v>
      </c>
      <c r="R3294" s="47" t="s">
        <v>188</v>
      </c>
      <c r="S3294" s="20">
        <v>0.53</v>
      </c>
    </row>
    <row r="3295" spans="8:19" x14ac:dyDescent="0.25">
      <c r="H3295">
        <v>22</v>
      </c>
      <c r="I3295">
        <v>522</v>
      </c>
      <c r="J3295">
        <v>110</v>
      </c>
      <c r="K3295" t="b">
        <v>1</v>
      </c>
      <c r="N3295" s="30" t="s">
        <v>603</v>
      </c>
      <c r="O3295" s="2">
        <f>INDEX(Маршруты,MATCH(N3295,$B$3:$B$498,0),1)</f>
        <v>136</v>
      </c>
      <c r="P3295" s="29">
        <v>20</v>
      </c>
      <c r="Q3295" s="2">
        <f>INDEX(Остановки,MATCH(R3295,ИД_Остановки!$B$3:$B$467,0),1)</f>
        <v>328</v>
      </c>
      <c r="R3295" s="47" t="s">
        <v>402</v>
      </c>
      <c r="S3295" s="20">
        <v>0.98</v>
      </c>
    </row>
    <row r="3296" spans="8:19" x14ac:dyDescent="0.25">
      <c r="H3296">
        <v>22</v>
      </c>
      <c r="I3296">
        <v>531</v>
      </c>
      <c r="J3296">
        <v>110</v>
      </c>
      <c r="K3296" t="b">
        <v>1</v>
      </c>
      <c r="N3296" s="25" t="s">
        <v>603</v>
      </c>
      <c r="O3296" s="2">
        <f>INDEX(Маршруты,MATCH(N3296,$B$3:$B$498,0),1)</f>
        <v>136</v>
      </c>
      <c r="P3296" s="31">
        <v>21</v>
      </c>
      <c r="Q3296" s="2">
        <f>INDEX(Остановки,MATCH(R3296,ИД_Остановки!$B$3:$B$467,0),1)</f>
        <v>327</v>
      </c>
      <c r="R3296" s="30" t="s">
        <v>401</v>
      </c>
      <c r="S3296" s="20">
        <v>0.67</v>
      </c>
    </row>
    <row r="3297" spans="8:19" x14ac:dyDescent="0.25">
      <c r="H3297">
        <v>22</v>
      </c>
      <c r="I3297">
        <v>540</v>
      </c>
      <c r="J3297">
        <v>110</v>
      </c>
      <c r="K3297" t="b">
        <v>1</v>
      </c>
      <c r="N3297" s="30" t="s">
        <v>221</v>
      </c>
      <c r="O3297" s="2">
        <f>INDEX(Маршруты,MATCH(N3297,$B$3:$B$498,0),1)</f>
        <v>137</v>
      </c>
      <c r="P3297" s="29">
        <v>1</v>
      </c>
      <c r="Q3297" s="2">
        <f>INDEX(Остановки,MATCH(R3297,ИД_Остановки!$B$3:$B$467,0),1)</f>
        <v>35</v>
      </c>
      <c r="R3297" s="47" t="s">
        <v>31</v>
      </c>
      <c r="S3297" s="20">
        <v>0</v>
      </c>
    </row>
    <row r="3298" spans="8:19" x14ac:dyDescent="0.25">
      <c r="H3298">
        <v>22</v>
      </c>
      <c r="I3298">
        <v>549</v>
      </c>
      <c r="J3298">
        <v>110</v>
      </c>
      <c r="K3298" t="b">
        <v>1</v>
      </c>
      <c r="N3298" s="30" t="s">
        <v>221</v>
      </c>
      <c r="O3298" s="2">
        <f>INDEX(Маршруты,MATCH(N3298,$B$3:$B$498,0),1)</f>
        <v>137</v>
      </c>
      <c r="P3298" s="29">
        <v>2</v>
      </c>
      <c r="Q3298" s="2">
        <f>INDEX(Остановки,MATCH(R3298,ИД_Остановки!$B$3:$B$467,0),1)</f>
        <v>36</v>
      </c>
      <c r="R3298" s="47" t="s">
        <v>33</v>
      </c>
      <c r="S3298" s="20">
        <v>0.7</v>
      </c>
    </row>
    <row r="3299" spans="8:19" x14ac:dyDescent="0.25">
      <c r="H3299">
        <v>22</v>
      </c>
      <c r="I3299">
        <v>558</v>
      </c>
      <c r="J3299">
        <v>110</v>
      </c>
      <c r="K3299" t="b">
        <v>1</v>
      </c>
      <c r="N3299" s="30" t="s">
        <v>221</v>
      </c>
      <c r="O3299" s="2">
        <f>INDEX(Маршруты,MATCH(N3299,$B$3:$B$498,0),1)</f>
        <v>137</v>
      </c>
      <c r="P3299" s="29">
        <v>3</v>
      </c>
      <c r="Q3299" s="2">
        <f>INDEX(Остановки,MATCH(R3299,ИД_Остановки!$B$3:$B$467,0),1)</f>
        <v>37</v>
      </c>
      <c r="R3299" s="47" t="s">
        <v>34</v>
      </c>
      <c r="S3299" s="20">
        <v>0.57999999999999996</v>
      </c>
    </row>
    <row r="3300" spans="8:19" x14ac:dyDescent="0.25">
      <c r="H3300">
        <v>22</v>
      </c>
      <c r="I3300">
        <v>567</v>
      </c>
      <c r="J3300">
        <v>110</v>
      </c>
      <c r="K3300" t="b">
        <v>1</v>
      </c>
      <c r="N3300" s="30" t="s">
        <v>221</v>
      </c>
      <c r="O3300" s="2">
        <f>INDEX(Маршруты,MATCH(N3300,$B$3:$B$498,0),1)</f>
        <v>137</v>
      </c>
      <c r="P3300" s="29">
        <v>4</v>
      </c>
      <c r="Q3300" s="2">
        <f>INDEX(Остановки,MATCH(R3300,ИД_Остановки!$B$3:$B$467,0),1)</f>
        <v>38</v>
      </c>
      <c r="R3300" s="47" t="s">
        <v>35</v>
      </c>
      <c r="S3300" s="20">
        <v>0.56999999999999995</v>
      </c>
    </row>
    <row r="3301" spans="8:19" x14ac:dyDescent="0.25">
      <c r="H3301">
        <v>22</v>
      </c>
      <c r="I3301">
        <v>576</v>
      </c>
      <c r="J3301">
        <v>110</v>
      </c>
      <c r="K3301" t="b">
        <v>1</v>
      </c>
      <c r="N3301" s="25" t="s">
        <v>221</v>
      </c>
      <c r="O3301" s="2">
        <f>INDEX(Маршруты,MATCH(N3301,$B$3:$B$498,0),1)</f>
        <v>137</v>
      </c>
      <c r="P3301" s="29">
        <v>5</v>
      </c>
      <c r="Q3301" s="2">
        <f>INDEX(Остановки,MATCH(R3301,ИД_Остановки!$B$3:$B$467,0),1)</f>
        <v>39</v>
      </c>
      <c r="R3301" s="47" t="s">
        <v>257</v>
      </c>
      <c r="S3301" s="20">
        <v>0.49</v>
      </c>
    </row>
    <row r="3302" spans="8:19" x14ac:dyDescent="0.25">
      <c r="H3302">
        <v>22</v>
      </c>
      <c r="I3302">
        <v>585</v>
      </c>
      <c r="J3302">
        <v>110</v>
      </c>
      <c r="K3302" t="b">
        <v>1</v>
      </c>
      <c r="N3302" s="25" t="s">
        <v>221</v>
      </c>
      <c r="O3302" s="2">
        <f>INDEX(Маршруты,MATCH(N3302,$B$3:$B$498,0),1)</f>
        <v>137</v>
      </c>
      <c r="P3302" s="29">
        <v>6</v>
      </c>
      <c r="Q3302" s="2">
        <f>INDEX(Остановки,MATCH(R3302,ИД_Остановки!$B$3:$B$467,0),1)</f>
        <v>40</v>
      </c>
      <c r="R3302" s="47" t="s">
        <v>36</v>
      </c>
      <c r="S3302" s="20">
        <v>0.31</v>
      </c>
    </row>
    <row r="3303" spans="8:19" x14ac:dyDescent="0.25">
      <c r="H3303">
        <v>22</v>
      </c>
      <c r="I3303">
        <v>594</v>
      </c>
      <c r="J3303">
        <v>110</v>
      </c>
      <c r="K3303" t="b">
        <v>1</v>
      </c>
      <c r="N3303" s="30" t="s">
        <v>221</v>
      </c>
      <c r="O3303" s="2">
        <f>INDEX(Маршруты,MATCH(N3303,$B$3:$B$498,0),1)</f>
        <v>137</v>
      </c>
      <c r="P3303" s="29">
        <v>7</v>
      </c>
      <c r="Q3303" s="2">
        <f>INDEX(Остановки,MATCH(R3303,ИД_Остановки!$B$3:$B$467,0),1)</f>
        <v>42</v>
      </c>
      <c r="R3303" s="47" t="s">
        <v>38</v>
      </c>
      <c r="S3303" s="20">
        <v>0.7</v>
      </c>
    </row>
    <row r="3304" spans="8:19" x14ac:dyDescent="0.25">
      <c r="H3304">
        <v>22</v>
      </c>
      <c r="I3304">
        <v>603</v>
      </c>
      <c r="J3304">
        <v>110</v>
      </c>
      <c r="K3304" t="b">
        <v>1</v>
      </c>
      <c r="N3304" s="26" t="s">
        <v>221</v>
      </c>
      <c r="O3304" s="2">
        <f>INDEX(Маршруты,MATCH(N3304,$B$3:$B$498,0),1)</f>
        <v>137</v>
      </c>
      <c r="P3304" s="29">
        <v>8</v>
      </c>
      <c r="Q3304" s="2">
        <f>INDEX(Остановки,MATCH(R3304,ИД_Остановки!$B$3:$B$467,0),1)</f>
        <v>43</v>
      </c>
      <c r="R3304" s="47" t="s">
        <v>39</v>
      </c>
      <c r="S3304" s="20">
        <v>0.37</v>
      </c>
    </row>
    <row r="3305" spans="8:19" x14ac:dyDescent="0.25">
      <c r="H3305">
        <v>22</v>
      </c>
      <c r="I3305">
        <v>612</v>
      </c>
      <c r="J3305">
        <v>110</v>
      </c>
      <c r="K3305" t="b">
        <v>1</v>
      </c>
      <c r="N3305" s="30" t="s">
        <v>221</v>
      </c>
      <c r="O3305" s="2">
        <f>INDEX(Маршруты,MATCH(N3305,$B$3:$B$498,0),1)</f>
        <v>137</v>
      </c>
      <c r="P3305" s="31">
        <v>9</v>
      </c>
      <c r="Q3305" s="2">
        <f>INDEX(Остановки,MATCH(R3305,ИД_Остановки!$B$3:$B$467,0),1)</f>
        <v>44</v>
      </c>
      <c r="R3305" s="30" t="s">
        <v>258</v>
      </c>
      <c r="S3305" s="20">
        <v>0.69</v>
      </c>
    </row>
    <row r="3306" spans="8:19" x14ac:dyDescent="0.25">
      <c r="H3306">
        <v>22</v>
      </c>
      <c r="I3306">
        <v>621</v>
      </c>
      <c r="J3306">
        <v>110</v>
      </c>
      <c r="K3306" t="b">
        <v>1</v>
      </c>
      <c r="N3306" s="30" t="s">
        <v>221</v>
      </c>
      <c r="O3306" s="2">
        <f>INDEX(Маршруты,MATCH(N3306,$B$3:$B$498,0),1)</f>
        <v>137</v>
      </c>
      <c r="P3306" s="29">
        <v>10</v>
      </c>
      <c r="Q3306" s="2">
        <f>INDEX(Остановки,MATCH(R3306,ИД_Остановки!$B$3:$B$467,0),1)</f>
        <v>45</v>
      </c>
      <c r="R3306" s="47" t="s">
        <v>40</v>
      </c>
      <c r="S3306" s="20">
        <v>0.39</v>
      </c>
    </row>
    <row r="3307" spans="8:19" x14ac:dyDescent="0.25">
      <c r="H3307">
        <v>22</v>
      </c>
      <c r="I3307">
        <v>630</v>
      </c>
      <c r="J3307">
        <v>110</v>
      </c>
      <c r="K3307" t="b">
        <v>1</v>
      </c>
      <c r="N3307" s="30" t="s">
        <v>221</v>
      </c>
      <c r="O3307" s="2">
        <f>INDEX(Маршруты,MATCH(N3307,$B$3:$B$498,0),1)</f>
        <v>137</v>
      </c>
      <c r="P3307" s="29">
        <v>11</v>
      </c>
      <c r="Q3307" s="2">
        <f>INDEX(Остановки,MATCH(R3307,ИД_Остановки!$B$3:$B$467,0),1)</f>
        <v>46</v>
      </c>
      <c r="R3307" s="47" t="s">
        <v>41</v>
      </c>
      <c r="S3307" s="20">
        <v>0.45</v>
      </c>
    </row>
    <row r="3308" spans="8:19" x14ac:dyDescent="0.25">
      <c r="H3308">
        <v>22</v>
      </c>
      <c r="I3308">
        <v>639</v>
      </c>
      <c r="J3308">
        <v>110</v>
      </c>
      <c r="K3308" t="b">
        <v>1</v>
      </c>
      <c r="N3308" s="30" t="s">
        <v>221</v>
      </c>
      <c r="O3308" s="2">
        <f>INDEX(Маршруты,MATCH(N3308,$B$3:$B$498,0),1)</f>
        <v>137</v>
      </c>
      <c r="P3308" s="29">
        <v>12</v>
      </c>
      <c r="Q3308" s="2">
        <f>INDEX(Остановки,MATCH(R3308,ИД_Остановки!$B$3:$B$467,0),1)</f>
        <v>47</v>
      </c>
      <c r="R3308" s="47" t="s">
        <v>259</v>
      </c>
      <c r="S3308" s="20">
        <v>0.5</v>
      </c>
    </row>
    <row r="3309" spans="8:19" x14ac:dyDescent="0.25">
      <c r="H3309">
        <v>22</v>
      </c>
      <c r="I3309">
        <v>648</v>
      </c>
      <c r="J3309">
        <v>110</v>
      </c>
      <c r="K3309" t="b">
        <v>1</v>
      </c>
      <c r="N3309" s="30" t="s">
        <v>221</v>
      </c>
      <c r="O3309" s="2">
        <f>INDEX(Маршруты,MATCH(N3309,$B$3:$B$498,0),1)</f>
        <v>137</v>
      </c>
      <c r="P3309" s="31">
        <v>13</v>
      </c>
      <c r="Q3309" s="2">
        <f>INDEX(Остановки,MATCH(R3309,ИД_Остановки!$B$3:$B$467,0),1)</f>
        <v>145</v>
      </c>
      <c r="R3309" s="30" t="s">
        <v>87</v>
      </c>
      <c r="S3309" s="20">
        <v>0.77</v>
      </c>
    </row>
    <row r="3310" spans="8:19" x14ac:dyDescent="0.25">
      <c r="H3310">
        <v>22</v>
      </c>
      <c r="I3310">
        <v>657</v>
      </c>
      <c r="J3310">
        <v>110</v>
      </c>
      <c r="K3310" t="b">
        <v>1</v>
      </c>
      <c r="N3310" s="30" t="s">
        <v>221</v>
      </c>
      <c r="O3310" s="2">
        <f>INDEX(Маршруты,MATCH(N3310,$B$3:$B$498,0),1)</f>
        <v>137</v>
      </c>
      <c r="P3310" s="29">
        <v>14</v>
      </c>
      <c r="Q3310" s="2">
        <f>INDEX(Остановки,MATCH(R3310,ИД_Остановки!$B$3:$B$467,0),1)</f>
        <v>130</v>
      </c>
      <c r="R3310" s="47" t="s">
        <v>305</v>
      </c>
      <c r="S3310" s="20">
        <v>0.63</v>
      </c>
    </row>
    <row r="3311" spans="8:19" x14ac:dyDescent="0.25">
      <c r="H3311">
        <v>22</v>
      </c>
      <c r="I3311">
        <v>666</v>
      </c>
      <c r="J3311">
        <v>110</v>
      </c>
      <c r="K3311" t="b">
        <v>1</v>
      </c>
      <c r="N3311" s="30" t="s">
        <v>221</v>
      </c>
      <c r="O3311" s="2">
        <f>INDEX(Маршруты,MATCH(N3311,$B$3:$B$498,0),1)</f>
        <v>137</v>
      </c>
      <c r="P3311" s="29">
        <v>15</v>
      </c>
      <c r="Q3311" s="2">
        <f>INDEX(Остановки,MATCH(R3311,ИД_Остановки!$B$3:$B$467,0),1)</f>
        <v>131</v>
      </c>
      <c r="R3311" s="47" t="s">
        <v>306</v>
      </c>
      <c r="S3311" s="20">
        <v>0.39</v>
      </c>
    </row>
    <row r="3312" spans="8:19" x14ac:dyDescent="0.25">
      <c r="H3312">
        <v>22</v>
      </c>
      <c r="I3312">
        <v>675</v>
      </c>
      <c r="J3312">
        <v>110</v>
      </c>
      <c r="K3312" t="b">
        <v>1</v>
      </c>
      <c r="N3312" s="30" t="s">
        <v>221</v>
      </c>
      <c r="O3312" s="2">
        <f>INDEX(Маршруты,MATCH(N3312,$B$3:$B$498,0),1)</f>
        <v>137</v>
      </c>
      <c r="P3312" s="29">
        <v>16</v>
      </c>
      <c r="Q3312" s="2">
        <f>INDEX(Остановки,MATCH(R3312,ИД_Остановки!$B$3:$B$467,0),1)</f>
        <v>132</v>
      </c>
      <c r="R3312" s="47" t="s">
        <v>307</v>
      </c>
      <c r="S3312" s="20">
        <v>0.56999999999999995</v>
      </c>
    </row>
    <row r="3313" spans="8:19" x14ac:dyDescent="0.25">
      <c r="H3313">
        <v>22</v>
      </c>
      <c r="I3313">
        <v>684</v>
      </c>
      <c r="J3313">
        <v>110</v>
      </c>
      <c r="K3313" t="b">
        <v>1</v>
      </c>
      <c r="N3313" s="30" t="s">
        <v>221</v>
      </c>
      <c r="O3313" s="2">
        <f>INDEX(Маршруты,MATCH(N3313,$B$3:$B$498,0),1)</f>
        <v>137</v>
      </c>
      <c r="P3313" s="29">
        <v>17</v>
      </c>
      <c r="Q3313" s="2">
        <f>INDEX(Остановки,MATCH(R3313,ИД_Остановки!$B$3:$B$467,0),1)</f>
        <v>428</v>
      </c>
      <c r="R3313" s="47" t="s">
        <v>484</v>
      </c>
      <c r="S3313" s="20">
        <v>0.39</v>
      </c>
    </row>
    <row r="3314" spans="8:19" x14ac:dyDescent="0.25">
      <c r="H3314">
        <v>22</v>
      </c>
      <c r="I3314">
        <v>693</v>
      </c>
      <c r="J3314">
        <v>110</v>
      </c>
      <c r="K3314" t="b">
        <v>1</v>
      </c>
      <c r="N3314" s="30" t="s">
        <v>221</v>
      </c>
      <c r="O3314" s="2">
        <f>INDEX(Маршруты,MATCH(N3314,$B$3:$B$498,0),1)</f>
        <v>137</v>
      </c>
      <c r="P3314" s="29">
        <v>18</v>
      </c>
      <c r="Q3314" s="2">
        <f>INDEX(Остановки,MATCH(R3314,ИД_Остановки!$B$3:$B$467,0),1)</f>
        <v>21</v>
      </c>
      <c r="R3314" s="47" t="s">
        <v>21</v>
      </c>
      <c r="S3314" s="20">
        <v>0.89</v>
      </c>
    </row>
    <row r="3315" spans="8:19" x14ac:dyDescent="0.25">
      <c r="H3315">
        <v>22</v>
      </c>
      <c r="I3315">
        <v>702</v>
      </c>
      <c r="J3315">
        <v>110</v>
      </c>
      <c r="K3315" t="b">
        <v>1</v>
      </c>
      <c r="N3315" s="25" t="s">
        <v>221</v>
      </c>
      <c r="O3315" s="2">
        <f>INDEX(Маршруты,MATCH(N3315,$B$3:$B$498,0),1)</f>
        <v>137</v>
      </c>
      <c r="P3315" s="29">
        <v>19</v>
      </c>
      <c r="Q3315" s="2">
        <f>INDEX(Остановки,MATCH(R3315,ИД_Остановки!$B$3:$B$467,0),1)</f>
        <v>241</v>
      </c>
      <c r="R3315" s="47" t="s">
        <v>132</v>
      </c>
      <c r="S3315" s="20">
        <v>1.56</v>
      </c>
    </row>
    <row r="3316" spans="8:19" x14ac:dyDescent="0.25">
      <c r="H3316">
        <v>22</v>
      </c>
      <c r="I3316">
        <v>711</v>
      </c>
      <c r="J3316">
        <v>110</v>
      </c>
      <c r="K3316" t="b">
        <v>1</v>
      </c>
      <c r="N3316" s="30" t="s">
        <v>221</v>
      </c>
      <c r="O3316" s="2">
        <f>INDEX(Маршруты,MATCH(N3316,$B$3:$B$498,0),1)</f>
        <v>137</v>
      </c>
      <c r="P3316" s="29">
        <v>20</v>
      </c>
      <c r="Q3316" s="2">
        <f>INDEX(Остановки,MATCH(R3316,ИД_Остановки!$B$3:$B$467,0),1)</f>
        <v>207</v>
      </c>
      <c r="R3316" s="47" t="s">
        <v>345</v>
      </c>
      <c r="S3316" s="20">
        <v>0.74</v>
      </c>
    </row>
    <row r="3317" spans="8:19" x14ac:dyDescent="0.25">
      <c r="H3317">
        <v>22</v>
      </c>
      <c r="I3317">
        <v>720</v>
      </c>
      <c r="J3317">
        <v>110</v>
      </c>
      <c r="K3317" t="b">
        <v>1</v>
      </c>
      <c r="N3317" s="25" t="s">
        <v>221</v>
      </c>
      <c r="O3317" s="2">
        <f>INDEX(Маршруты,MATCH(N3317,$B$3:$B$498,0),1)</f>
        <v>137</v>
      </c>
      <c r="P3317" s="29">
        <v>21</v>
      </c>
      <c r="Q3317" s="2">
        <f>INDEX(Остановки,MATCH(R3317,ИД_Остановки!$B$3:$B$467,0),1)</f>
        <v>208</v>
      </c>
      <c r="R3317" s="47" t="s">
        <v>121</v>
      </c>
      <c r="S3317" s="20">
        <v>0.56999999999999995</v>
      </c>
    </row>
    <row r="3318" spans="8:19" x14ac:dyDescent="0.25">
      <c r="H3318">
        <v>22</v>
      </c>
      <c r="I3318">
        <v>729</v>
      </c>
      <c r="J3318">
        <v>110</v>
      </c>
      <c r="K3318" t="b">
        <v>1</v>
      </c>
      <c r="N3318" s="25" t="s">
        <v>221</v>
      </c>
      <c r="O3318" s="2">
        <f>INDEX(Маршруты,MATCH(N3318,$B$3:$B$498,0),1)</f>
        <v>137</v>
      </c>
      <c r="P3318" s="29">
        <v>22</v>
      </c>
      <c r="Q3318" s="2">
        <f>INDEX(Остановки,MATCH(R3318,ИД_Остановки!$B$3:$B$467,0),1)</f>
        <v>3</v>
      </c>
      <c r="R3318" s="30" t="s">
        <v>243</v>
      </c>
      <c r="S3318" s="20">
        <v>0.9</v>
      </c>
    </row>
    <row r="3319" spans="8:19" x14ac:dyDescent="0.25">
      <c r="H3319">
        <v>22</v>
      </c>
      <c r="I3319">
        <v>738</v>
      </c>
      <c r="J3319">
        <v>110</v>
      </c>
      <c r="K3319" t="b">
        <v>1</v>
      </c>
      <c r="N3319" s="25" t="s">
        <v>221</v>
      </c>
      <c r="O3319" s="2">
        <f>INDEX(Маршруты,MATCH(N3319,$B$3:$B$498,0),1)</f>
        <v>137</v>
      </c>
      <c r="P3319" s="29">
        <v>23</v>
      </c>
      <c r="Q3319" s="2">
        <f>INDEX(Остановки,MATCH(R3319,ИД_Остановки!$B$3:$B$467,0),1)</f>
        <v>228</v>
      </c>
      <c r="R3319" s="47" t="s">
        <v>127</v>
      </c>
      <c r="S3319" s="20">
        <v>1.18</v>
      </c>
    </row>
    <row r="3320" spans="8:19" x14ac:dyDescent="0.25">
      <c r="H3320">
        <v>22</v>
      </c>
      <c r="I3320">
        <v>747</v>
      </c>
      <c r="J3320">
        <v>110</v>
      </c>
      <c r="K3320" t="b">
        <v>1</v>
      </c>
      <c r="N3320" s="26" t="s">
        <v>221</v>
      </c>
      <c r="O3320" s="2">
        <f>INDEX(Маршруты,MATCH(N3320,$B$3:$B$498,0),1)</f>
        <v>137</v>
      </c>
      <c r="P3320" s="29">
        <v>24</v>
      </c>
      <c r="Q3320" s="2">
        <f>INDEX(Остановки,MATCH(R3320,ИД_Остановки!$B$3:$B$467,0),1)</f>
        <v>238</v>
      </c>
      <c r="R3320" s="47" t="s">
        <v>131</v>
      </c>
      <c r="S3320" s="20">
        <v>0.94</v>
      </c>
    </row>
    <row r="3321" spans="8:19" x14ac:dyDescent="0.25">
      <c r="H3321">
        <v>22</v>
      </c>
      <c r="I3321">
        <v>756</v>
      </c>
      <c r="J3321">
        <v>110</v>
      </c>
      <c r="K3321" t="b">
        <v>1</v>
      </c>
      <c r="N3321" s="25" t="s">
        <v>221</v>
      </c>
      <c r="O3321" s="2">
        <f>INDEX(Маршруты,MATCH(N3321,$B$3:$B$498,0),1)</f>
        <v>137</v>
      </c>
      <c r="P3321" s="29">
        <v>25</v>
      </c>
      <c r="Q3321" s="2">
        <f>INDEX(Остановки,MATCH(R3321,ИД_Остановки!$B$3:$B$467,0),1)</f>
        <v>257</v>
      </c>
      <c r="R3321" s="47" t="s">
        <v>377</v>
      </c>
      <c r="S3321" s="20">
        <v>0.56000000000000005</v>
      </c>
    </row>
    <row r="3322" spans="8:19" x14ac:dyDescent="0.25">
      <c r="H3322">
        <v>22</v>
      </c>
      <c r="I3322">
        <v>765</v>
      </c>
      <c r="J3322">
        <v>110</v>
      </c>
      <c r="K3322" t="b">
        <v>1</v>
      </c>
      <c r="N3322" s="25" t="s">
        <v>221</v>
      </c>
      <c r="O3322" s="2">
        <f>INDEX(Маршруты,MATCH(N3322,$B$3:$B$498,0),1)</f>
        <v>137</v>
      </c>
      <c r="P3322" s="29">
        <v>26</v>
      </c>
      <c r="Q3322" s="2">
        <f>INDEX(Остановки,MATCH(R3322,ИД_Остановки!$B$3:$B$467,0),1)</f>
        <v>255</v>
      </c>
      <c r="R3322" s="47" t="s">
        <v>137</v>
      </c>
      <c r="S3322" s="20">
        <v>0.61</v>
      </c>
    </row>
    <row r="3323" spans="8:19" x14ac:dyDescent="0.25">
      <c r="H3323">
        <v>22</v>
      </c>
      <c r="I3323">
        <v>774</v>
      </c>
      <c r="J3323">
        <v>110</v>
      </c>
      <c r="K3323" t="b">
        <v>1</v>
      </c>
      <c r="N3323" s="26" t="s">
        <v>221</v>
      </c>
      <c r="O3323" s="2">
        <f>INDEX(Маршруты,MATCH(N3323,$B$3:$B$498,0),1)</f>
        <v>137</v>
      </c>
      <c r="P3323" s="29">
        <v>27</v>
      </c>
      <c r="Q3323" s="2">
        <f>INDEX(Остановки,MATCH(R3323,ИД_Остановки!$B$3:$B$467,0),1)</f>
        <v>200</v>
      </c>
      <c r="R3323" s="47" t="s">
        <v>119</v>
      </c>
      <c r="S3323" s="20">
        <v>0.67</v>
      </c>
    </row>
    <row r="3324" spans="8:19" x14ac:dyDescent="0.25">
      <c r="H3324">
        <v>22</v>
      </c>
      <c r="I3324">
        <v>783</v>
      </c>
      <c r="J3324">
        <v>110</v>
      </c>
      <c r="K3324" t="b">
        <v>1</v>
      </c>
      <c r="N3324" s="30" t="s">
        <v>221</v>
      </c>
      <c r="O3324" s="2">
        <f>INDEX(Маршруты,MATCH(N3324,$B$3:$B$498,0),1)</f>
        <v>137</v>
      </c>
      <c r="P3324" s="29">
        <v>28</v>
      </c>
      <c r="Q3324" s="2">
        <f>INDEX(Остановки,MATCH(R3324,ИД_Остановки!$B$3:$B$467,0),1)</f>
        <v>199</v>
      </c>
      <c r="R3324" s="47" t="s">
        <v>118</v>
      </c>
      <c r="S3324" s="20">
        <v>0.75</v>
      </c>
    </row>
    <row r="3325" spans="8:19" x14ac:dyDescent="0.25">
      <c r="H3325">
        <v>22</v>
      </c>
      <c r="I3325">
        <v>792</v>
      </c>
      <c r="J3325">
        <v>110</v>
      </c>
      <c r="K3325" t="b">
        <v>1</v>
      </c>
      <c r="N3325" s="25" t="s">
        <v>221</v>
      </c>
      <c r="O3325" s="2">
        <f>INDEX(Маршруты,MATCH(N3325,$B$3:$B$498,0),1)</f>
        <v>137</v>
      </c>
      <c r="P3325" s="29">
        <v>29</v>
      </c>
      <c r="Q3325" s="2">
        <f>INDEX(Остановки,MATCH(R3325,ИД_Остановки!$B$3:$B$467,0),1)</f>
        <v>22</v>
      </c>
      <c r="R3325" s="47" t="s">
        <v>22</v>
      </c>
      <c r="S3325" s="20">
        <v>0.42</v>
      </c>
    </row>
    <row r="3326" spans="8:19" x14ac:dyDescent="0.25">
      <c r="H3326">
        <v>22</v>
      </c>
      <c r="I3326">
        <v>801</v>
      </c>
      <c r="J3326">
        <v>110</v>
      </c>
      <c r="K3326" t="b">
        <v>1</v>
      </c>
      <c r="N3326" s="30" t="s">
        <v>221</v>
      </c>
      <c r="O3326" s="2">
        <f>INDEX(Маршруты,MATCH(N3326,$B$3:$B$498,0),1)</f>
        <v>137</v>
      </c>
      <c r="P3326" s="29">
        <v>30</v>
      </c>
      <c r="Q3326" s="2">
        <f>INDEX(Остановки,MATCH(R3326,ИД_Остановки!$B$3:$B$467,0),1)</f>
        <v>337</v>
      </c>
      <c r="R3326" s="47" t="s">
        <v>407</v>
      </c>
      <c r="S3326" s="20">
        <v>0.39</v>
      </c>
    </row>
    <row r="3327" spans="8:19" x14ac:dyDescent="0.25">
      <c r="H3327">
        <v>22</v>
      </c>
      <c r="I3327">
        <v>810</v>
      </c>
      <c r="J3327">
        <v>110</v>
      </c>
      <c r="K3327" t="b">
        <v>1</v>
      </c>
      <c r="N3327" s="25" t="s">
        <v>221</v>
      </c>
      <c r="O3327" s="2">
        <f>INDEX(Маршруты,MATCH(N3327,$B$3:$B$498,0),1)</f>
        <v>137</v>
      </c>
      <c r="P3327" s="29">
        <v>31</v>
      </c>
      <c r="Q3327" s="2">
        <f>INDEX(Остановки,MATCH(R3327,ИД_Остановки!$B$3:$B$467,0),1)</f>
        <v>160</v>
      </c>
      <c r="R3327" s="47" t="s">
        <v>323</v>
      </c>
      <c r="S3327" s="20">
        <v>0.6</v>
      </c>
    </row>
    <row r="3328" spans="8:19" x14ac:dyDescent="0.25">
      <c r="H3328">
        <v>22</v>
      </c>
      <c r="I3328">
        <v>819</v>
      </c>
      <c r="J3328">
        <v>110</v>
      </c>
      <c r="K3328" t="b">
        <v>1</v>
      </c>
      <c r="N3328" s="30" t="s">
        <v>221</v>
      </c>
      <c r="O3328" s="2">
        <f>INDEX(Маршруты,MATCH(N3328,$B$3:$B$498,0),1)</f>
        <v>137</v>
      </c>
      <c r="P3328" s="31">
        <v>32</v>
      </c>
      <c r="Q3328" s="2">
        <f>INDEX(Остановки,MATCH(R3328,ИД_Остановки!$B$3:$B$467,0),1)</f>
        <v>299</v>
      </c>
      <c r="R3328" s="30" t="s">
        <v>392</v>
      </c>
      <c r="S3328" s="20">
        <v>0.79</v>
      </c>
    </row>
    <row r="3329" spans="8:19" x14ac:dyDescent="0.25">
      <c r="H3329">
        <v>22</v>
      </c>
      <c r="I3329">
        <v>828</v>
      </c>
      <c r="J3329">
        <v>110</v>
      </c>
      <c r="K3329" t="b">
        <v>1</v>
      </c>
      <c r="N3329" s="30" t="s">
        <v>221</v>
      </c>
      <c r="O3329" s="2">
        <f>INDEX(Маршруты,MATCH(N3329,$B$3:$B$498,0),1)</f>
        <v>137</v>
      </c>
      <c r="P3329" s="29">
        <v>33</v>
      </c>
      <c r="Q3329" s="2">
        <f>INDEX(Остановки,MATCH(R3329,ИД_Остановки!$B$3:$B$467,0),1)</f>
        <v>254</v>
      </c>
      <c r="R3329" s="47" t="s">
        <v>136</v>
      </c>
      <c r="S3329" s="20">
        <v>0.39</v>
      </c>
    </row>
    <row r="3330" spans="8:19" x14ac:dyDescent="0.25">
      <c r="H3330">
        <v>22</v>
      </c>
      <c r="I3330">
        <v>837</v>
      </c>
      <c r="J3330">
        <v>110</v>
      </c>
      <c r="K3330" t="b">
        <v>1</v>
      </c>
      <c r="N3330" s="26" t="s">
        <v>221</v>
      </c>
      <c r="O3330" s="2">
        <f>INDEX(Маршруты,MATCH(N3330,$B$3:$B$498,0),1)</f>
        <v>137</v>
      </c>
      <c r="P3330" s="29">
        <v>34</v>
      </c>
      <c r="Q3330" s="2">
        <f>INDEX(Остановки,MATCH(R3330,ИД_Остановки!$B$3:$B$467,0),1)</f>
        <v>403</v>
      </c>
      <c r="R3330" s="47" t="s">
        <v>99</v>
      </c>
      <c r="S3330" s="20">
        <v>1</v>
      </c>
    </row>
    <row r="3331" spans="8:19" x14ac:dyDescent="0.25">
      <c r="H3331">
        <v>22</v>
      </c>
      <c r="I3331">
        <v>846</v>
      </c>
      <c r="J3331">
        <v>110</v>
      </c>
      <c r="K3331" t="b">
        <v>1</v>
      </c>
      <c r="N3331" s="25" t="s">
        <v>221</v>
      </c>
      <c r="O3331" s="2">
        <f>INDEX(Маршруты,MATCH(N3331,$B$3:$B$498,0),1)</f>
        <v>137</v>
      </c>
      <c r="P3331" s="31">
        <v>35</v>
      </c>
      <c r="Q3331" s="2">
        <f>INDEX(Остановки,MATCH(R3331,ИД_Остановки!$B$3:$B$467,0),1)</f>
        <v>333</v>
      </c>
      <c r="R3331" s="30" t="s">
        <v>190</v>
      </c>
      <c r="S3331" s="20">
        <v>0.42</v>
      </c>
    </row>
    <row r="3332" spans="8:19" x14ac:dyDescent="0.25">
      <c r="H3332">
        <v>22</v>
      </c>
      <c r="I3332">
        <v>855</v>
      </c>
      <c r="J3332">
        <v>110</v>
      </c>
      <c r="K3332" t="b">
        <v>1</v>
      </c>
      <c r="N3332" s="26" t="s">
        <v>604</v>
      </c>
      <c r="O3332" s="2">
        <f>INDEX(Маршруты,MATCH(N3332,$B$3:$B$498,0),1)</f>
        <v>138</v>
      </c>
      <c r="P3332" s="29">
        <v>1</v>
      </c>
      <c r="Q3332" s="2">
        <f>INDEX(Остановки,MATCH(R3332,ИД_Остановки!$B$3:$B$467,0),1)</f>
        <v>333</v>
      </c>
      <c r="R3332" s="47" t="s">
        <v>190</v>
      </c>
      <c r="S3332" s="20"/>
    </row>
    <row r="3333" spans="8:19" x14ac:dyDescent="0.25">
      <c r="H3333">
        <v>22</v>
      </c>
      <c r="I3333">
        <v>864</v>
      </c>
      <c r="J3333">
        <v>110</v>
      </c>
      <c r="K3333" t="b">
        <v>1</v>
      </c>
      <c r="N3333" s="30" t="s">
        <v>604</v>
      </c>
      <c r="O3333" s="2">
        <f>INDEX(Маршруты,MATCH(N3333,$B$3:$B$498,0),1)</f>
        <v>138</v>
      </c>
      <c r="P3333" s="29">
        <v>2</v>
      </c>
      <c r="Q3333" s="2">
        <f>INDEX(Остановки,MATCH(R3333,ИД_Остановки!$B$3:$B$467,0),1)</f>
        <v>403</v>
      </c>
      <c r="R3333" s="47" t="s">
        <v>99</v>
      </c>
      <c r="S3333" s="20">
        <v>0.42</v>
      </c>
    </row>
    <row r="3334" spans="8:19" x14ac:dyDescent="0.25">
      <c r="H3334">
        <v>22</v>
      </c>
      <c r="I3334">
        <v>873</v>
      </c>
      <c r="J3334">
        <v>110</v>
      </c>
      <c r="K3334" t="b">
        <v>1</v>
      </c>
      <c r="N3334" s="25" t="s">
        <v>604</v>
      </c>
      <c r="O3334" s="2">
        <f>INDEX(Маршруты,MATCH(N3334,$B$3:$B$498,0),1)</f>
        <v>138</v>
      </c>
      <c r="P3334" s="29">
        <v>3</v>
      </c>
      <c r="Q3334" s="2">
        <f>INDEX(Остановки,MATCH(R3334,ИД_Остановки!$B$3:$B$467,0),1)</f>
        <v>254</v>
      </c>
      <c r="R3334" s="47" t="s">
        <v>136</v>
      </c>
      <c r="S3334" s="20">
        <v>1</v>
      </c>
    </row>
    <row r="3335" spans="8:19" x14ac:dyDescent="0.25">
      <c r="H3335">
        <v>22</v>
      </c>
      <c r="I3335">
        <v>882</v>
      </c>
      <c r="J3335">
        <v>110</v>
      </c>
      <c r="K3335" t="b">
        <v>1</v>
      </c>
      <c r="N3335" s="25" t="s">
        <v>604</v>
      </c>
      <c r="O3335" s="2">
        <f>INDEX(Маршруты,MATCH(N3335,$B$3:$B$498,0),1)</f>
        <v>138</v>
      </c>
      <c r="P3335" s="31">
        <v>4</v>
      </c>
      <c r="Q3335" s="2">
        <f>INDEX(Остановки,MATCH(R3335,ИД_Остановки!$B$3:$B$467,0),1)</f>
        <v>299</v>
      </c>
      <c r="R3335" s="30" t="s">
        <v>392</v>
      </c>
      <c r="S3335" s="20">
        <v>0.39</v>
      </c>
    </row>
    <row r="3336" spans="8:19" x14ac:dyDescent="0.25">
      <c r="H3336">
        <v>22</v>
      </c>
      <c r="I3336">
        <v>891</v>
      </c>
      <c r="J3336">
        <v>110</v>
      </c>
      <c r="K3336" t="b">
        <v>1</v>
      </c>
      <c r="N3336" s="25" t="s">
        <v>604</v>
      </c>
      <c r="O3336" s="2">
        <f>INDEX(Маршруты,MATCH(N3336,$B$3:$B$498,0),1)</f>
        <v>138</v>
      </c>
      <c r="P3336" s="29">
        <v>5</v>
      </c>
      <c r="Q3336" s="2">
        <f>INDEX(Остановки,MATCH(R3336,ИД_Остановки!$B$3:$B$467,0),1)</f>
        <v>160</v>
      </c>
      <c r="R3336" s="30" t="s">
        <v>323</v>
      </c>
      <c r="S3336" s="20">
        <v>0.79</v>
      </c>
    </row>
    <row r="3337" spans="8:19" x14ac:dyDescent="0.25">
      <c r="H3337">
        <v>22</v>
      </c>
      <c r="I3337">
        <v>900</v>
      </c>
      <c r="J3337">
        <v>110</v>
      </c>
      <c r="K3337" t="b">
        <v>1</v>
      </c>
      <c r="N3337" s="25" t="s">
        <v>604</v>
      </c>
      <c r="O3337" s="2">
        <f>INDEX(Маршруты,MATCH(N3337,$B$3:$B$498,0),1)</f>
        <v>138</v>
      </c>
      <c r="P3337" s="29">
        <v>6</v>
      </c>
      <c r="Q3337" s="2">
        <f>INDEX(Остановки,MATCH(R3337,ИД_Остановки!$B$3:$B$467,0),1)</f>
        <v>337</v>
      </c>
      <c r="R3337" s="47" t="s">
        <v>407</v>
      </c>
      <c r="S3337" s="20">
        <v>0.6</v>
      </c>
    </row>
    <row r="3338" spans="8:19" x14ac:dyDescent="0.25">
      <c r="H3338">
        <v>22</v>
      </c>
      <c r="I3338">
        <v>909</v>
      </c>
      <c r="J3338">
        <v>110</v>
      </c>
      <c r="K3338" t="b">
        <v>1</v>
      </c>
      <c r="N3338" s="30" t="s">
        <v>604</v>
      </c>
      <c r="O3338" s="2">
        <f>INDEX(Маршруты,MATCH(N3338,$B$3:$B$498,0),1)</f>
        <v>138</v>
      </c>
      <c r="P3338" s="29">
        <v>7</v>
      </c>
      <c r="Q3338" s="2">
        <f>INDEX(Остановки,MATCH(R3338,ИД_Остановки!$B$3:$B$467,0),1)</f>
        <v>22</v>
      </c>
      <c r="R3338" s="47" t="s">
        <v>22</v>
      </c>
      <c r="S3338" s="20">
        <v>0.39</v>
      </c>
    </row>
    <row r="3339" spans="8:19" x14ac:dyDescent="0.25">
      <c r="H3339">
        <v>22</v>
      </c>
      <c r="I3339">
        <v>918</v>
      </c>
      <c r="J3339">
        <v>110</v>
      </c>
      <c r="K3339" t="b">
        <v>1</v>
      </c>
      <c r="N3339" s="26" t="s">
        <v>604</v>
      </c>
      <c r="O3339" s="2">
        <f>INDEX(Маршруты,MATCH(N3339,$B$3:$B$498,0),1)</f>
        <v>138</v>
      </c>
      <c r="P3339" s="29">
        <v>8</v>
      </c>
      <c r="Q3339" s="2">
        <f>INDEX(Остановки,MATCH(R3339,ИД_Остановки!$B$3:$B$467,0),1)</f>
        <v>199</v>
      </c>
      <c r="R3339" s="47" t="s">
        <v>118</v>
      </c>
      <c r="S3339" s="20">
        <v>0.42</v>
      </c>
    </row>
    <row r="3340" spans="8:19" x14ac:dyDescent="0.25">
      <c r="H3340">
        <v>22</v>
      </c>
      <c r="I3340">
        <v>927</v>
      </c>
      <c r="J3340">
        <v>110</v>
      </c>
      <c r="K3340" t="b">
        <v>1</v>
      </c>
      <c r="N3340" s="25" t="s">
        <v>604</v>
      </c>
      <c r="O3340" s="2">
        <f>INDEX(Маршруты,MATCH(N3340,$B$3:$B$498,0),1)</f>
        <v>138</v>
      </c>
      <c r="P3340" s="29">
        <v>9</v>
      </c>
      <c r="Q3340" s="2">
        <f>INDEX(Остановки,MATCH(R3340,ИД_Остановки!$B$3:$B$467,0),1)</f>
        <v>200</v>
      </c>
      <c r="R3340" s="47" t="s">
        <v>119</v>
      </c>
      <c r="S3340" s="20">
        <v>0.75</v>
      </c>
    </row>
    <row r="3341" spans="8:19" x14ac:dyDescent="0.25">
      <c r="H3341">
        <v>22</v>
      </c>
      <c r="I3341">
        <v>936</v>
      </c>
      <c r="J3341">
        <v>110</v>
      </c>
      <c r="K3341" t="b">
        <v>1</v>
      </c>
      <c r="N3341" s="25" t="s">
        <v>604</v>
      </c>
      <c r="O3341" s="2">
        <f>INDEX(Маршруты,MATCH(N3341,$B$3:$B$498,0),1)</f>
        <v>138</v>
      </c>
      <c r="P3341" s="29">
        <v>10</v>
      </c>
      <c r="Q3341" s="2">
        <f>INDEX(Остановки,MATCH(R3341,ИД_Остановки!$B$3:$B$467,0),1)</f>
        <v>255</v>
      </c>
      <c r="R3341" s="47" t="s">
        <v>137</v>
      </c>
      <c r="S3341" s="20">
        <v>0.67</v>
      </c>
    </row>
    <row r="3342" spans="8:19" x14ac:dyDescent="0.25">
      <c r="H3342">
        <v>22</v>
      </c>
      <c r="I3342">
        <v>945</v>
      </c>
      <c r="J3342">
        <v>110</v>
      </c>
      <c r="K3342" t="b">
        <v>1</v>
      </c>
      <c r="N3342" s="30" t="s">
        <v>604</v>
      </c>
      <c r="O3342" s="2">
        <f>INDEX(Маршруты,MATCH(N3342,$B$3:$B$498,0),1)</f>
        <v>138</v>
      </c>
      <c r="P3342" s="29">
        <v>11</v>
      </c>
      <c r="Q3342" s="2">
        <f>INDEX(Остановки,MATCH(R3342,ИД_Остановки!$B$3:$B$467,0),1)</f>
        <v>257</v>
      </c>
      <c r="R3342" s="47" t="s">
        <v>377</v>
      </c>
      <c r="S3342" s="20">
        <v>0.61</v>
      </c>
    </row>
    <row r="3343" spans="8:19" x14ac:dyDescent="0.25">
      <c r="H3343">
        <v>23</v>
      </c>
      <c r="I3343">
        <v>0</v>
      </c>
      <c r="J3343">
        <v>110</v>
      </c>
      <c r="K3343" t="b">
        <v>1</v>
      </c>
      <c r="N3343" s="25" t="s">
        <v>604</v>
      </c>
      <c r="O3343" s="2">
        <f>INDEX(Маршруты,MATCH(N3343,$B$3:$B$498,0),1)</f>
        <v>138</v>
      </c>
      <c r="P3343" s="29">
        <v>12</v>
      </c>
      <c r="Q3343" s="2">
        <f>INDEX(Остановки,MATCH(R3343,ИД_Остановки!$B$3:$B$467,0),1)</f>
        <v>238</v>
      </c>
      <c r="R3343" s="47" t="s">
        <v>131</v>
      </c>
      <c r="S3343" s="20">
        <v>0.56000000000000005</v>
      </c>
    </row>
    <row r="3344" spans="8:19" x14ac:dyDescent="0.25">
      <c r="H3344">
        <v>23</v>
      </c>
      <c r="I3344">
        <v>20</v>
      </c>
      <c r="J3344">
        <v>110</v>
      </c>
      <c r="K3344" t="b">
        <v>1</v>
      </c>
      <c r="N3344" s="25" t="s">
        <v>604</v>
      </c>
      <c r="O3344" s="2">
        <f>INDEX(Маршруты,MATCH(N3344,$B$3:$B$498,0),1)</f>
        <v>138</v>
      </c>
      <c r="P3344" s="29">
        <v>13</v>
      </c>
      <c r="Q3344" s="2">
        <f>INDEX(Остановки,MATCH(R3344,ИД_Остановки!$B$3:$B$467,0),1)</f>
        <v>228</v>
      </c>
      <c r="R3344" s="47" t="s">
        <v>127</v>
      </c>
      <c r="S3344" s="20">
        <v>0.94</v>
      </c>
    </row>
    <row r="3345" spans="8:19" x14ac:dyDescent="0.25">
      <c r="H3345">
        <v>23</v>
      </c>
      <c r="I3345">
        <v>40</v>
      </c>
      <c r="J3345">
        <v>110</v>
      </c>
      <c r="K3345" t="b">
        <v>1</v>
      </c>
      <c r="N3345" s="25" t="s">
        <v>604</v>
      </c>
      <c r="O3345" s="2">
        <f>INDEX(Маршруты,MATCH(N3345,$B$3:$B$498,0),1)</f>
        <v>138</v>
      </c>
      <c r="P3345" s="29">
        <v>14</v>
      </c>
      <c r="Q3345" s="2">
        <f>INDEX(Остановки,MATCH(R3345,ИД_Остановки!$B$3:$B$467,0),1)</f>
        <v>3</v>
      </c>
      <c r="R3345" s="47" t="s">
        <v>243</v>
      </c>
      <c r="S3345" s="20">
        <v>1.18</v>
      </c>
    </row>
    <row r="3346" spans="8:19" x14ac:dyDescent="0.25">
      <c r="H3346">
        <v>23</v>
      </c>
      <c r="I3346">
        <v>60</v>
      </c>
      <c r="J3346">
        <v>110</v>
      </c>
      <c r="K3346" t="b">
        <v>1</v>
      </c>
      <c r="N3346" s="25" t="s">
        <v>604</v>
      </c>
      <c r="O3346" s="2">
        <f>INDEX(Маршруты,MATCH(N3346,$B$3:$B$498,0),1)</f>
        <v>138</v>
      </c>
      <c r="P3346" s="31">
        <v>15</v>
      </c>
      <c r="Q3346" s="2">
        <f>INDEX(Остановки,MATCH(R3346,ИД_Остановки!$B$3:$B$467,0),1)</f>
        <v>208</v>
      </c>
      <c r="R3346" s="30" t="s">
        <v>121</v>
      </c>
      <c r="S3346" s="20">
        <v>0.9</v>
      </c>
    </row>
    <row r="3347" spans="8:19" x14ac:dyDescent="0.25">
      <c r="H3347">
        <v>23</v>
      </c>
      <c r="I3347">
        <v>80</v>
      </c>
      <c r="J3347">
        <v>110</v>
      </c>
      <c r="K3347" t="b">
        <v>1</v>
      </c>
      <c r="N3347" s="26" t="s">
        <v>604</v>
      </c>
      <c r="O3347" s="2">
        <f>INDEX(Маршруты,MATCH(N3347,$B$3:$B$498,0),1)</f>
        <v>138</v>
      </c>
      <c r="P3347" s="29">
        <v>16</v>
      </c>
      <c r="Q3347" s="2">
        <f>INDEX(Остановки,MATCH(R3347,ИД_Остановки!$B$3:$B$467,0),1)</f>
        <v>207</v>
      </c>
      <c r="R3347" s="47" t="s">
        <v>345</v>
      </c>
      <c r="S3347" s="20">
        <v>0.56999999999999995</v>
      </c>
    </row>
    <row r="3348" spans="8:19" x14ac:dyDescent="0.25">
      <c r="H3348">
        <v>23</v>
      </c>
      <c r="I3348">
        <v>100</v>
      </c>
      <c r="J3348">
        <v>110</v>
      </c>
      <c r="K3348" t="b">
        <v>1</v>
      </c>
      <c r="N3348" s="25" t="s">
        <v>604</v>
      </c>
      <c r="O3348" s="2">
        <f>INDEX(Маршруты,MATCH(N3348,$B$3:$B$498,0),1)</f>
        <v>138</v>
      </c>
      <c r="P3348" s="29">
        <v>17</v>
      </c>
      <c r="Q3348" s="2">
        <f>INDEX(Остановки,MATCH(R3348,ИД_Остановки!$B$3:$B$467,0),1)</f>
        <v>241</v>
      </c>
      <c r="R3348" s="47" t="s">
        <v>132</v>
      </c>
      <c r="S3348" s="20">
        <v>0.74</v>
      </c>
    </row>
    <row r="3349" spans="8:19" x14ac:dyDescent="0.25">
      <c r="H3349">
        <v>23</v>
      </c>
      <c r="I3349">
        <v>120</v>
      </c>
      <c r="J3349">
        <v>110</v>
      </c>
      <c r="K3349" t="b">
        <v>1</v>
      </c>
      <c r="N3349" s="25" t="s">
        <v>604</v>
      </c>
      <c r="O3349" s="2">
        <f>INDEX(Маршруты,MATCH(N3349,$B$3:$B$498,0),1)</f>
        <v>138</v>
      </c>
      <c r="P3349" s="29">
        <v>18</v>
      </c>
      <c r="Q3349" s="2">
        <f>INDEX(Остановки,MATCH(R3349,ИД_Остановки!$B$3:$B$467,0),1)</f>
        <v>21</v>
      </c>
      <c r="R3349" s="30" t="s">
        <v>21</v>
      </c>
      <c r="S3349" s="20">
        <v>1.56</v>
      </c>
    </row>
    <row r="3350" spans="8:19" x14ac:dyDescent="0.25">
      <c r="H3350">
        <v>23</v>
      </c>
      <c r="I3350">
        <v>140</v>
      </c>
      <c r="J3350">
        <v>110</v>
      </c>
      <c r="K3350" t="b">
        <v>1</v>
      </c>
      <c r="N3350" s="25" t="s">
        <v>604</v>
      </c>
      <c r="O3350" s="2">
        <f>INDEX(Маршруты,MATCH(N3350,$B$3:$B$498,0),1)</f>
        <v>138</v>
      </c>
      <c r="P3350" s="31">
        <v>19</v>
      </c>
      <c r="Q3350" s="2">
        <f>INDEX(Остановки,MATCH(R3350,ИД_Остановки!$B$3:$B$467,0),1)</f>
        <v>428</v>
      </c>
      <c r="R3350" s="30" t="s">
        <v>484</v>
      </c>
      <c r="S3350" s="20">
        <v>0.89</v>
      </c>
    </row>
    <row r="3351" spans="8:19" x14ac:dyDescent="0.25">
      <c r="H3351">
        <v>23</v>
      </c>
      <c r="I3351">
        <v>160</v>
      </c>
      <c r="J3351">
        <v>110</v>
      </c>
      <c r="K3351" t="b">
        <v>1</v>
      </c>
      <c r="N3351" s="30" t="s">
        <v>604</v>
      </c>
      <c r="O3351" s="2">
        <f>INDEX(Маршруты,MATCH(N3351,$B$3:$B$498,0),1)</f>
        <v>138</v>
      </c>
      <c r="P3351" s="29">
        <v>20</v>
      </c>
      <c r="Q3351" s="2">
        <f>INDEX(Остановки,MATCH(R3351,ИД_Остановки!$B$3:$B$467,0),1)</f>
        <v>132</v>
      </c>
      <c r="R3351" s="47" t="s">
        <v>307</v>
      </c>
      <c r="S3351" s="20">
        <v>0.39</v>
      </c>
    </row>
    <row r="3352" spans="8:19" x14ac:dyDescent="0.25">
      <c r="H3352">
        <v>23</v>
      </c>
      <c r="I3352">
        <v>180</v>
      </c>
      <c r="J3352">
        <v>110</v>
      </c>
      <c r="K3352" t="b">
        <v>1</v>
      </c>
      <c r="N3352" s="30" t="s">
        <v>604</v>
      </c>
      <c r="O3352" s="2">
        <f>INDEX(Маршруты,MATCH(N3352,$B$3:$B$498,0),1)</f>
        <v>138</v>
      </c>
      <c r="P3352" s="31">
        <v>21</v>
      </c>
      <c r="Q3352" s="2">
        <f>INDEX(Остановки,MATCH(R3352,ИД_Остановки!$B$3:$B$467,0),1)</f>
        <v>131</v>
      </c>
      <c r="R3352" s="30" t="s">
        <v>306</v>
      </c>
      <c r="S3352" s="20">
        <v>0.56999999999999995</v>
      </c>
    </row>
    <row r="3353" spans="8:19" x14ac:dyDescent="0.25">
      <c r="H3353">
        <v>23</v>
      </c>
      <c r="I3353">
        <v>200</v>
      </c>
      <c r="J3353">
        <v>110</v>
      </c>
      <c r="K3353" t="b">
        <v>1</v>
      </c>
      <c r="N3353" s="30" t="s">
        <v>604</v>
      </c>
      <c r="O3353" s="2">
        <f>INDEX(Маршруты,MATCH(N3353,$B$3:$B$498,0),1)</f>
        <v>138</v>
      </c>
      <c r="P3353" s="29">
        <v>22</v>
      </c>
      <c r="Q3353" s="2">
        <f>INDEX(Остановки,MATCH(R3353,ИД_Остановки!$B$3:$B$467,0),1)</f>
        <v>130</v>
      </c>
      <c r="R3353" s="47" t="s">
        <v>305</v>
      </c>
      <c r="S3353" s="20">
        <v>0.39</v>
      </c>
    </row>
    <row r="3354" spans="8:19" x14ac:dyDescent="0.25">
      <c r="H3354">
        <v>23</v>
      </c>
      <c r="I3354">
        <v>220</v>
      </c>
      <c r="J3354">
        <v>110</v>
      </c>
      <c r="K3354" t="b">
        <v>1</v>
      </c>
      <c r="N3354" s="25" t="s">
        <v>604</v>
      </c>
      <c r="O3354" s="2">
        <f>INDEX(Маршруты,MATCH(N3354,$B$3:$B$498,0),1)</f>
        <v>138</v>
      </c>
      <c r="P3354" s="29">
        <v>23</v>
      </c>
      <c r="Q3354" s="2">
        <f>INDEX(Остановки,MATCH(R3354,ИД_Остановки!$B$3:$B$467,0),1)</f>
        <v>145</v>
      </c>
      <c r="R3354" s="47" t="s">
        <v>87</v>
      </c>
      <c r="S3354" s="20">
        <v>0.63</v>
      </c>
    </row>
    <row r="3355" spans="8:19" x14ac:dyDescent="0.25">
      <c r="H3355">
        <v>23</v>
      </c>
      <c r="I3355">
        <v>240</v>
      </c>
      <c r="J3355">
        <v>110</v>
      </c>
      <c r="K3355" t="b">
        <v>1</v>
      </c>
      <c r="N3355" s="30" t="s">
        <v>604</v>
      </c>
      <c r="O3355" s="2">
        <f>INDEX(Маршруты,MATCH(N3355,$B$3:$B$498,0),1)</f>
        <v>138</v>
      </c>
      <c r="P3355" s="29">
        <v>24</v>
      </c>
      <c r="Q3355" s="2">
        <f>INDEX(Остановки,MATCH(R3355,ИД_Остановки!$B$3:$B$467,0),1)</f>
        <v>47</v>
      </c>
      <c r="R3355" s="47" t="s">
        <v>259</v>
      </c>
      <c r="S3355" s="20">
        <v>0.77</v>
      </c>
    </row>
    <row r="3356" spans="8:19" x14ac:dyDescent="0.25">
      <c r="H3356">
        <v>23</v>
      </c>
      <c r="I3356">
        <v>260</v>
      </c>
      <c r="J3356">
        <v>110</v>
      </c>
      <c r="K3356" t="b">
        <v>1</v>
      </c>
      <c r="N3356" s="30" t="s">
        <v>604</v>
      </c>
      <c r="O3356" s="2">
        <f>INDEX(Маршруты,MATCH(N3356,$B$3:$B$498,0),1)</f>
        <v>138</v>
      </c>
      <c r="P3356" s="29">
        <v>25</v>
      </c>
      <c r="Q3356" s="2">
        <f>INDEX(Остановки,MATCH(R3356,ИД_Остановки!$B$3:$B$467,0),1)</f>
        <v>46</v>
      </c>
      <c r="R3356" s="47" t="s">
        <v>41</v>
      </c>
      <c r="S3356" s="20">
        <v>0.5</v>
      </c>
    </row>
    <row r="3357" spans="8:19" x14ac:dyDescent="0.25">
      <c r="H3357">
        <v>23</v>
      </c>
      <c r="I3357">
        <v>280</v>
      </c>
      <c r="J3357">
        <v>110</v>
      </c>
      <c r="K3357" t="b">
        <v>1</v>
      </c>
      <c r="N3357" s="25" t="s">
        <v>604</v>
      </c>
      <c r="O3357" s="2">
        <f>INDEX(Маршруты,MATCH(N3357,$B$3:$B$498,0),1)</f>
        <v>138</v>
      </c>
      <c r="P3357" s="29">
        <v>26</v>
      </c>
      <c r="Q3357" s="2">
        <f>INDEX(Остановки,MATCH(R3357,ИД_Остановки!$B$3:$B$467,0),1)</f>
        <v>45</v>
      </c>
      <c r="R3357" s="47" t="s">
        <v>40</v>
      </c>
      <c r="S3357" s="20">
        <v>0.45</v>
      </c>
    </row>
    <row r="3358" spans="8:19" x14ac:dyDescent="0.25">
      <c r="H3358">
        <v>23</v>
      </c>
      <c r="I3358">
        <v>300</v>
      </c>
      <c r="J3358">
        <v>110</v>
      </c>
      <c r="K3358" t="b">
        <v>1</v>
      </c>
      <c r="N3358" s="25" t="s">
        <v>604</v>
      </c>
      <c r="O3358" s="2">
        <f>INDEX(Маршруты,MATCH(N3358,$B$3:$B$498,0),1)</f>
        <v>138</v>
      </c>
      <c r="P3358" s="29">
        <v>27</v>
      </c>
      <c r="Q3358" s="2">
        <f>INDEX(Остановки,MATCH(R3358,ИД_Остановки!$B$3:$B$467,0),1)</f>
        <v>44</v>
      </c>
      <c r="R3358" s="47" t="s">
        <v>258</v>
      </c>
      <c r="S3358" s="20">
        <v>0.39</v>
      </c>
    </row>
    <row r="3359" spans="8:19" x14ac:dyDescent="0.25">
      <c r="H3359">
        <v>23</v>
      </c>
      <c r="I3359">
        <v>320</v>
      </c>
      <c r="J3359">
        <v>110</v>
      </c>
      <c r="K3359" t="b">
        <v>1</v>
      </c>
      <c r="N3359" s="30" t="s">
        <v>604</v>
      </c>
      <c r="O3359" s="2">
        <f>INDEX(Маршруты,MATCH(N3359,$B$3:$B$498,0),1)</f>
        <v>138</v>
      </c>
      <c r="P3359" s="29">
        <v>28</v>
      </c>
      <c r="Q3359" s="2">
        <f>INDEX(Остановки,MATCH(R3359,ИД_Остановки!$B$3:$B$467,0),1)</f>
        <v>43</v>
      </c>
      <c r="R3359" s="47" t="s">
        <v>39</v>
      </c>
      <c r="S3359" s="20">
        <v>0.69</v>
      </c>
    </row>
    <row r="3360" spans="8:19" x14ac:dyDescent="0.25">
      <c r="H3360">
        <v>23</v>
      </c>
      <c r="I3360">
        <v>340</v>
      </c>
      <c r="J3360">
        <v>110</v>
      </c>
      <c r="K3360" t="b">
        <v>1</v>
      </c>
      <c r="N3360" s="30" t="s">
        <v>604</v>
      </c>
      <c r="O3360" s="2">
        <f>INDEX(Маршруты,MATCH(N3360,$B$3:$B$498,0),1)</f>
        <v>138</v>
      </c>
      <c r="P3360" s="29">
        <v>29</v>
      </c>
      <c r="Q3360" s="2">
        <f>INDEX(Остановки,MATCH(R3360,ИД_Остановки!$B$3:$B$467,0),1)</f>
        <v>42</v>
      </c>
      <c r="R3360" s="47" t="s">
        <v>38</v>
      </c>
      <c r="S3360" s="20">
        <v>0.37</v>
      </c>
    </row>
    <row r="3361" spans="8:19" x14ac:dyDescent="0.25">
      <c r="H3361">
        <v>23</v>
      </c>
      <c r="I3361">
        <v>360</v>
      </c>
      <c r="J3361">
        <v>110</v>
      </c>
      <c r="K3361" t="b">
        <v>1</v>
      </c>
      <c r="N3361" s="25" t="s">
        <v>604</v>
      </c>
      <c r="O3361" s="2">
        <f>INDEX(Маршруты,MATCH(N3361,$B$3:$B$498,0),1)</f>
        <v>138</v>
      </c>
      <c r="P3361" s="31">
        <v>30</v>
      </c>
      <c r="Q3361" s="2">
        <f>INDEX(Остановки,MATCH(R3361,ИД_Остановки!$B$3:$B$467,0),1)</f>
        <v>40</v>
      </c>
      <c r="R3361" s="30" t="s">
        <v>36</v>
      </c>
      <c r="S3361" s="20">
        <v>0.7</v>
      </c>
    </row>
    <row r="3362" spans="8:19" x14ac:dyDescent="0.25">
      <c r="H3362">
        <v>23</v>
      </c>
      <c r="I3362">
        <v>380</v>
      </c>
      <c r="J3362">
        <v>110</v>
      </c>
      <c r="K3362" t="b">
        <v>1</v>
      </c>
      <c r="N3362" s="30" t="s">
        <v>604</v>
      </c>
      <c r="O3362" s="2">
        <f>INDEX(Маршруты,MATCH(N3362,$B$3:$B$498,0),1)</f>
        <v>138</v>
      </c>
      <c r="P3362" s="29">
        <v>31</v>
      </c>
      <c r="Q3362" s="2">
        <f>INDEX(Остановки,MATCH(R3362,ИД_Остановки!$B$3:$B$467,0),1)</f>
        <v>39</v>
      </c>
      <c r="R3362" s="47" t="s">
        <v>257</v>
      </c>
      <c r="S3362" s="20">
        <v>0.31</v>
      </c>
    </row>
    <row r="3363" spans="8:19" x14ac:dyDescent="0.25">
      <c r="H3363">
        <v>23</v>
      </c>
      <c r="I3363">
        <v>400</v>
      </c>
      <c r="J3363">
        <v>110</v>
      </c>
      <c r="K3363" t="b">
        <v>1</v>
      </c>
      <c r="N3363" s="25" t="s">
        <v>604</v>
      </c>
      <c r="O3363" s="2">
        <f>INDEX(Маршруты,MATCH(N3363,$B$3:$B$498,0),1)</f>
        <v>138</v>
      </c>
      <c r="P3363" s="29">
        <v>32</v>
      </c>
      <c r="Q3363" s="2">
        <f>INDEX(Остановки,MATCH(R3363,ИД_Остановки!$B$3:$B$467,0),1)</f>
        <v>38</v>
      </c>
      <c r="R3363" s="30" t="s">
        <v>35</v>
      </c>
      <c r="S3363" s="20">
        <v>0.49</v>
      </c>
    </row>
    <row r="3364" spans="8:19" x14ac:dyDescent="0.25">
      <c r="H3364">
        <v>23</v>
      </c>
      <c r="I3364">
        <v>420</v>
      </c>
      <c r="J3364">
        <v>110</v>
      </c>
      <c r="K3364" t="b">
        <v>1</v>
      </c>
      <c r="N3364" s="30" t="s">
        <v>604</v>
      </c>
      <c r="O3364" s="2">
        <f>INDEX(Маршруты,MATCH(N3364,$B$3:$B$498,0),1)</f>
        <v>138</v>
      </c>
      <c r="P3364" s="29">
        <v>33</v>
      </c>
      <c r="Q3364" s="2">
        <f>INDEX(Остановки,MATCH(R3364,ИД_Остановки!$B$3:$B$467,0),1)</f>
        <v>37</v>
      </c>
      <c r="R3364" s="47" t="s">
        <v>34</v>
      </c>
      <c r="S3364" s="20">
        <v>0.56999999999999995</v>
      </c>
    </row>
    <row r="3365" spans="8:19" x14ac:dyDescent="0.25">
      <c r="H3365">
        <v>23</v>
      </c>
      <c r="I3365">
        <v>440</v>
      </c>
      <c r="J3365">
        <v>110</v>
      </c>
      <c r="K3365" t="b">
        <v>1</v>
      </c>
      <c r="N3365" s="25" t="s">
        <v>604</v>
      </c>
      <c r="O3365" s="2">
        <f>INDEX(Маршруты,MATCH(N3365,$B$3:$B$498,0),1)</f>
        <v>138</v>
      </c>
      <c r="P3365" s="31">
        <v>34</v>
      </c>
      <c r="Q3365" s="2">
        <f>INDEX(Остановки,MATCH(R3365,ИД_Остановки!$B$3:$B$467,0),1)</f>
        <v>36</v>
      </c>
      <c r="R3365" s="30" t="s">
        <v>33</v>
      </c>
      <c r="S3365" s="21">
        <v>0.57999999999999996</v>
      </c>
    </row>
    <row r="3366" spans="8:19" x14ac:dyDescent="0.25">
      <c r="H3366">
        <v>23</v>
      </c>
      <c r="I3366">
        <v>460</v>
      </c>
      <c r="J3366">
        <v>110</v>
      </c>
      <c r="K3366" t="b">
        <v>1</v>
      </c>
      <c r="N3366" s="25" t="s">
        <v>604</v>
      </c>
      <c r="O3366" s="2">
        <f>INDEX(Маршруты,MATCH(N3366,$B$3:$B$498,0),1)</f>
        <v>138</v>
      </c>
      <c r="P3366" s="29">
        <v>35</v>
      </c>
      <c r="Q3366" s="2">
        <f>INDEX(Остановки,MATCH(R3366,ИД_Остановки!$B$3:$B$467,0),1)</f>
        <v>35</v>
      </c>
      <c r="R3366" s="47" t="s">
        <v>31</v>
      </c>
      <c r="S3366" s="20">
        <v>0.7</v>
      </c>
    </row>
    <row r="3367" spans="8:19" x14ac:dyDescent="0.25">
      <c r="H3367">
        <v>23</v>
      </c>
      <c r="I3367">
        <v>480</v>
      </c>
      <c r="J3367">
        <v>110</v>
      </c>
      <c r="K3367" t="b">
        <v>1</v>
      </c>
      <c r="N3367" s="30" t="s">
        <v>605</v>
      </c>
      <c r="O3367" s="2">
        <f>INDEX(Маршруты,MATCH(N3367,$B$3:$B$498,0),1)</f>
        <v>139</v>
      </c>
      <c r="P3367" s="29">
        <v>1</v>
      </c>
      <c r="Q3367" s="2">
        <f>INDEX(Остановки,MATCH(R3367,ИД_Остановки!$B$3:$B$467,0),1)</f>
        <v>409</v>
      </c>
      <c r="R3367" s="47" t="s">
        <v>465</v>
      </c>
      <c r="S3367" s="20"/>
    </row>
    <row r="3368" spans="8:19" x14ac:dyDescent="0.25">
      <c r="H3368">
        <v>23</v>
      </c>
      <c r="I3368">
        <v>500</v>
      </c>
      <c r="J3368">
        <v>110</v>
      </c>
      <c r="K3368" t="b">
        <v>1</v>
      </c>
      <c r="N3368" s="30" t="s">
        <v>605</v>
      </c>
      <c r="O3368" s="2">
        <f>INDEX(Маршруты,MATCH(N3368,$B$3:$B$498,0),1)</f>
        <v>139</v>
      </c>
      <c r="P3368" s="29">
        <v>2</v>
      </c>
      <c r="Q3368" s="2">
        <f>INDEX(Остановки,MATCH(R3368,ИД_Остановки!$B$3:$B$467,0),1)</f>
        <v>407</v>
      </c>
      <c r="R3368" s="47" t="s">
        <v>463</v>
      </c>
      <c r="S3368" s="20">
        <v>0.7</v>
      </c>
    </row>
    <row r="3369" spans="8:19" x14ac:dyDescent="0.25">
      <c r="H3369">
        <v>23</v>
      </c>
      <c r="I3369">
        <v>520</v>
      </c>
      <c r="J3369">
        <v>110</v>
      </c>
      <c r="K3369" t="b">
        <v>1</v>
      </c>
      <c r="N3369" s="30" t="s">
        <v>605</v>
      </c>
      <c r="O3369" s="2">
        <f>INDEX(Маршруты,MATCH(N3369,$B$3:$B$498,0),1)</f>
        <v>139</v>
      </c>
      <c r="P3369" s="29">
        <v>3</v>
      </c>
      <c r="Q3369" s="2">
        <f>INDEX(Остановки,MATCH(R3369,ИД_Остановки!$B$3:$B$467,0),1)</f>
        <v>406</v>
      </c>
      <c r="R3369" s="47" t="s">
        <v>462</v>
      </c>
      <c r="S3369" s="20">
        <v>0.3</v>
      </c>
    </row>
    <row r="3370" spans="8:19" x14ac:dyDescent="0.25">
      <c r="H3370">
        <v>23</v>
      </c>
      <c r="I3370">
        <v>540</v>
      </c>
      <c r="J3370">
        <v>110</v>
      </c>
      <c r="K3370" t="b">
        <v>1</v>
      </c>
      <c r="N3370" s="30" t="s">
        <v>605</v>
      </c>
      <c r="O3370" s="2">
        <f>INDEX(Маршруты,MATCH(N3370,$B$3:$B$498,0),1)</f>
        <v>139</v>
      </c>
      <c r="P3370" s="29">
        <v>4</v>
      </c>
      <c r="Q3370" s="2">
        <f>INDEX(Остановки,MATCH(R3370,ИД_Остановки!$B$3:$B$467,0),1)</f>
        <v>408</v>
      </c>
      <c r="R3370" s="47" t="s">
        <v>464</v>
      </c>
      <c r="S3370" s="20">
        <v>0.32</v>
      </c>
    </row>
    <row r="3371" spans="8:19" x14ac:dyDescent="0.25">
      <c r="H3371">
        <v>23</v>
      </c>
      <c r="I3371">
        <v>560</v>
      </c>
      <c r="J3371">
        <v>110</v>
      </c>
      <c r="K3371" t="b">
        <v>1</v>
      </c>
      <c r="N3371" s="26" t="s">
        <v>605</v>
      </c>
      <c r="O3371" s="2">
        <f>INDEX(Маршруты,MATCH(N3371,$B$3:$B$498,0),1)</f>
        <v>139</v>
      </c>
      <c r="P3371" s="29">
        <v>5</v>
      </c>
      <c r="Q3371" s="2">
        <f>INDEX(Остановки,MATCH(R3371,ИД_Остановки!$B$3:$B$467,0),1)</f>
        <v>414</v>
      </c>
      <c r="R3371" s="47" t="s">
        <v>470</v>
      </c>
      <c r="S3371" s="20">
        <v>0.78</v>
      </c>
    </row>
    <row r="3372" spans="8:19" x14ac:dyDescent="0.25">
      <c r="H3372">
        <v>23</v>
      </c>
      <c r="I3372">
        <v>580</v>
      </c>
      <c r="J3372">
        <v>110</v>
      </c>
      <c r="K3372" t="b">
        <v>1</v>
      </c>
      <c r="N3372" s="25" t="s">
        <v>605</v>
      </c>
      <c r="O3372" s="2">
        <f>INDEX(Маршруты,MATCH(N3372,$B$3:$B$498,0),1)</f>
        <v>139</v>
      </c>
      <c r="P3372" s="29">
        <v>6</v>
      </c>
      <c r="Q3372" s="2">
        <f>INDEX(Остановки,MATCH(R3372,ИД_Остановки!$B$3:$B$467,0),1)</f>
        <v>215</v>
      </c>
      <c r="R3372" s="47" t="s">
        <v>349</v>
      </c>
      <c r="S3372" s="20">
        <v>0.81</v>
      </c>
    </row>
    <row r="3373" spans="8:19" x14ac:dyDescent="0.25">
      <c r="H3373">
        <v>23</v>
      </c>
      <c r="I3373">
        <v>600</v>
      </c>
      <c r="J3373">
        <v>110</v>
      </c>
      <c r="K3373" t="b">
        <v>1</v>
      </c>
      <c r="N3373" s="25" t="s">
        <v>605</v>
      </c>
      <c r="O3373" s="2">
        <f>INDEX(Маршруты,MATCH(N3373,$B$3:$B$498,0),1)</f>
        <v>139</v>
      </c>
      <c r="P3373" s="31">
        <v>7</v>
      </c>
      <c r="Q3373" s="2">
        <f>INDEX(Остановки,MATCH(R3373,ИД_Остановки!$B$3:$B$467,0),1)</f>
        <v>214</v>
      </c>
      <c r="R3373" s="30" t="s">
        <v>348</v>
      </c>
      <c r="S3373" s="20">
        <v>0.73</v>
      </c>
    </row>
    <row r="3374" spans="8:19" x14ac:dyDescent="0.25">
      <c r="H3374">
        <v>23</v>
      </c>
      <c r="I3374">
        <v>620</v>
      </c>
      <c r="J3374">
        <v>110</v>
      </c>
      <c r="K3374" t="b">
        <v>1</v>
      </c>
      <c r="N3374" s="25" t="s">
        <v>605</v>
      </c>
      <c r="O3374" s="2">
        <f>INDEX(Маршруты,MATCH(N3374,$B$3:$B$498,0),1)</f>
        <v>139</v>
      </c>
      <c r="P3374" s="29">
        <v>8</v>
      </c>
      <c r="Q3374" s="2">
        <f>INDEX(Остановки,MATCH(R3374,ИД_Остановки!$B$3:$B$467,0),1)</f>
        <v>213</v>
      </c>
      <c r="R3374" s="47" t="s">
        <v>124</v>
      </c>
      <c r="S3374" s="20">
        <v>0.83</v>
      </c>
    </row>
    <row r="3375" spans="8:19" x14ac:dyDescent="0.25">
      <c r="H3375">
        <v>23</v>
      </c>
      <c r="I3375">
        <v>640</v>
      </c>
      <c r="J3375">
        <v>110</v>
      </c>
      <c r="K3375" t="b">
        <v>1</v>
      </c>
      <c r="N3375" s="30" t="s">
        <v>605</v>
      </c>
      <c r="O3375" s="2">
        <f>INDEX(Маршруты,MATCH(N3375,$B$3:$B$498,0),1)</f>
        <v>139</v>
      </c>
      <c r="P3375" s="29">
        <v>9</v>
      </c>
      <c r="Q3375" s="2">
        <f>INDEX(Остановки,MATCH(R3375,ИД_Остановки!$B$3:$B$467,0),1)</f>
        <v>405</v>
      </c>
      <c r="R3375" s="47" t="s">
        <v>461</v>
      </c>
      <c r="S3375" s="20">
        <v>1.81</v>
      </c>
    </row>
    <row r="3376" spans="8:19" x14ac:dyDescent="0.25">
      <c r="H3376">
        <v>23</v>
      </c>
      <c r="I3376">
        <v>660</v>
      </c>
      <c r="J3376">
        <v>110</v>
      </c>
      <c r="K3376" t="b">
        <v>1</v>
      </c>
      <c r="N3376" s="30" t="s">
        <v>605</v>
      </c>
      <c r="O3376" s="2">
        <f>INDEX(Маршруты,MATCH(N3376,$B$3:$B$498,0),1)</f>
        <v>139</v>
      </c>
      <c r="P3376" s="29">
        <v>10</v>
      </c>
      <c r="Q3376" s="2">
        <f>INDEX(Остановки,MATCH(R3376,ИД_Остановки!$B$3:$B$467,0),1)</f>
        <v>404</v>
      </c>
      <c r="R3376" s="47" t="s">
        <v>460</v>
      </c>
      <c r="S3376" s="20">
        <v>2.39</v>
      </c>
    </row>
    <row r="3377" spans="8:19" x14ac:dyDescent="0.25">
      <c r="H3377">
        <v>23</v>
      </c>
      <c r="I3377">
        <v>680</v>
      </c>
      <c r="J3377">
        <v>110</v>
      </c>
      <c r="K3377" t="b">
        <v>1</v>
      </c>
      <c r="N3377" s="25" t="s">
        <v>605</v>
      </c>
      <c r="O3377" s="2">
        <f>INDEX(Маршруты,MATCH(N3377,$B$3:$B$498,0),1)</f>
        <v>139</v>
      </c>
      <c r="P3377" s="29">
        <v>11</v>
      </c>
      <c r="Q3377" s="2">
        <f>INDEX(Остановки,MATCH(R3377,ИД_Остановки!$B$3:$B$467,0),1)</f>
        <v>212</v>
      </c>
      <c r="R3377" s="47" t="s">
        <v>123</v>
      </c>
      <c r="S3377" s="20">
        <v>1.92</v>
      </c>
    </row>
    <row r="3378" spans="8:19" x14ac:dyDescent="0.25">
      <c r="H3378">
        <v>23</v>
      </c>
      <c r="I3378">
        <v>700</v>
      </c>
      <c r="J3378">
        <v>110</v>
      </c>
      <c r="K3378" t="b">
        <v>1</v>
      </c>
      <c r="N3378" s="25" t="s">
        <v>605</v>
      </c>
      <c r="O3378" s="2">
        <f>INDEX(Маршруты,MATCH(N3378,$B$3:$B$498,0),1)</f>
        <v>139</v>
      </c>
      <c r="P3378" s="29">
        <v>12</v>
      </c>
      <c r="Q3378" s="2">
        <f>INDEX(Остановки,MATCH(R3378,ИД_Остановки!$B$3:$B$467,0),1)</f>
        <v>211</v>
      </c>
      <c r="R3378" s="47" t="s">
        <v>122</v>
      </c>
      <c r="S3378" s="20">
        <v>0.9</v>
      </c>
    </row>
    <row r="3379" spans="8:19" x14ac:dyDescent="0.25">
      <c r="H3379">
        <v>23</v>
      </c>
      <c r="I3379">
        <v>720</v>
      </c>
      <c r="J3379">
        <v>110</v>
      </c>
      <c r="K3379" t="b">
        <v>1</v>
      </c>
      <c r="N3379" s="25" t="s">
        <v>605</v>
      </c>
      <c r="O3379" s="2">
        <f>INDEX(Маршруты,MATCH(N3379,$B$3:$B$498,0),1)</f>
        <v>139</v>
      </c>
      <c r="P3379" s="29">
        <v>13</v>
      </c>
      <c r="Q3379" s="2">
        <f>INDEX(Остановки,MATCH(R3379,ИД_Остановки!$B$3:$B$467,0),1)</f>
        <v>210</v>
      </c>
      <c r="R3379" s="30" t="s">
        <v>347</v>
      </c>
      <c r="S3379" s="20">
        <v>0.37</v>
      </c>
    </row>
    <row r="3380" spans="8:19" x14ac:dyDescent="0.25">
      <c r="H3380">
        <v>23</v>
      </c>
      <c r="I3380">
        <v>740</v>
      </c>
      <c r="J3380">
        <v>110</v>
      </c>
      <c r="K3380" t="b">
        <v>1</v>
      </c>
      <c r="N3380" s="25" t="s">
        <v>605</v>
      </c>
      <c r="O3380" s="2">
        <f>INDEX(Маршруты,MATCH(N3380,$B$3:$B$498,0),1)</f>
        <v>139</v>
      </c>
      <c r="P3380" s="31">
        <v>14</v>
      </c>
      <c r="Q3380" s="2">
        <f>INDEX(Остановки,MATCH(R3380,ИД_Остановки!$B$3:$B$467,0),1)</f>
        <v>209</v>
      </c>
      <c r="R3380" s="30" t="s">
        <v>346</v>
      </c>
      <c r="S3380" s="20">
        <v>0.35</v>
      </c>
    </row>
    <row r="3381" spans="8:19" x14ac:dyDescent="0.25">
      <c r="H3381">
        <v>23</v>
      </c>
      <c r="I3381">
        <v>760</v>
      </c>
      <c r="J3381">
        <v>110</v>
      </c>
      <c r="K3381" t="b">
        <v>1</v>
      </c>
      <c r="N3381" s="25" t="s">
        <v>605</v>
      </c>
      <c r="O3381" s="2">
        <f>INDEX(Маршруты,MATCH(N3381,$B$3:$B$498,0),1)</f>
        <v>139</v>
      </c>
      <c r="P3381" s="31">
        <v>15</v>
      </c>
      <c r="Q3381" s="2">
        <f>INDEX(Остановки,MATCH(R3381,ИД_Остановки!$B$3:$B$467,0),1)</f>
        <v>417</v>
      </c>
      <c r="R3381" s="30" t="s">
        <v>473</v>
      </c>
      <c r="S3381" s="20">
        <v>0.43</v>
      </c>
    </row>
    <row r="3382" spans="8:19" x14ac:dyDescent="0.25">
      <c r="H3382">
        <v>23</v>
      </c>
      <c r="I3382">
        <v>780</v>
      </c>
      <c r="J3382">
        <v>110</v>
      </c>
      <c r="K3382" t="b">
        <v>1</v>
      </c>
      <c r="N3382" s="25" t="s">
        <v>605</v>
      </c>
      <c r="O3382" s="2">
        <f>INDEX(Маршруты,MATCH(N3382,$B$3:$B$498,0),1)</f>
        <v>139</v>
      </c>
      <c r="P3382" s="29">
        <v>16</v>
      </c>
      <c r="Q3382" s="2">
        <f>INDEX(Остановки,MATCH(R3382,ИД_Остановки!$B$3:$B$467,0),1)</f>
        <v>208</v>
      </c>
      <c r="R3382" s="47" t="s">
        <v>121</v>
      </c>
      <c r="S3382" s="20">
        <v>0.62</v>
      </c>
    </row>
    <row r="3383" spans="8:19" x14ac:dyDescent="0.25">
      <c r="H3383">
        <v>23</v>
      </c>
      <c r="I3383">
        <v>800</v>
      </c>
      <c r="J3383">
        <v>110</v>
      </c>
      <c r="K3383" t="b">
        <v>1</v>
      </c>
      <c r="N3383" s="25" t="s">
        <v>605</v>
      </c>
      <c r="O3383" s="2">
        <f>INDEX(Маршруты,MATCH(N3383,$B$3:$B$498,0),1)</f>
        <v>139</v>
      </c>
      <c r="P3383" s="29">
        <v>17</v>
      </c>
      <c r="Q3383" s="2">
        <f>INDEX(Остановки,MATCH(R3383,ИД_Остановки!$B$3:$B$467,0),1)</f>
        <v>207</v>
      </c>
      <c r="R3383" s="47" t="s">
        <v>345</v>
      </c>
      <c r="S3383" s="20">
        <v>0.56999999999999995</v>
      </c>
    </row>
    <row r="3384" spans="8:19" x14ac:dyDescent="0.25">
      <c r="H3384">
        <v>23</v>
      </c>
      <c r="I3384">
        <v>820</v>
      </c>
      <c r="J3384">
        <v>110</v>
      </c>
      <c r="K3384" t="b">
        <v>1</v>
      </c>
      <c r="N3384" s="30" t="s">
        <v>605</v>
      </c>
      <c r="O3384" s="2">
        <f>INDEX(Маршруты,MATCH(N3384,$B$3:$B$498,0),1)</f>
        <v>139</v>
      </c>
      <c r="P3384" s="29">
        <v>18</v>
      </c>
      <c r="Q3384" s="2">
        <f>INDEX(Остановки,MATCH(R3384,ИД_Остановки!$B$3:$B$467,0),1)</f>
        <v>241</v>
      </c>
      <c r="R3384" s="47" t="s">
        <v>132</v>
      </c>
      <c r="S3384" s="20">
        <v>0.74</v>
      </c>
    </row>
    <row r="3385" spans="8:19" x14ac:dyDescent="0.25">
      <c r="H3385">
        <v>23</v>
      </c>
      <c r="I3385">
        <v>840</v>
      </c>
      <c r="J3385">
        <v>110</v>
      </c>
      <c r="K3385" t="b">
        <v>1</v>
      </c>
      <c r="N3385" s="30" t="s">
        <v>605</v>
      </c>
      <c r="O3385" s="2">
        <f>INDEX(Маршруты,MATCH(N3385,$B$3:$B$498,0),1)</f>
        <v>139</v>
      </c>
      <c r="P3385" s="29">
        <v>19</v>
      </c>
      <c r="Q3385" s="2">
        <f>INDEX(Остановки,MATCH(R3385,ИД_Остановки!$B$3:$B$467,0),1)</f>
        <v>206</v>
      </c>
      <c r="R3385" s="30" t="s">
        <v>344</v>
      </c>
      <c r="S3385" s="20">
        <v>0.45</v>
      </c>
    </row>
    <row r="3386" spans="8:19" x14ac:dyDescent="0.25">
      <c r="H3386">
        <v>23</v>
      </c>
      <c r="I3386">
        <v>860</v>
      </c>
      <c r="J3386">
        <v>110</v>
      </c>
      <c r="K3386" t="b">
        <v>1</v>
      </c>
      <c r="N3386" s="25" t="s">
        <v>605</v>
      </c>
      <c r="O3386" s="2">
        <f>INDEX(Маршруты,MATCH(N3386,$B$3:$B$498,0),1)</f>
        <v>139</v>
      </c>
      <c r="P3386" s="29">
        <v>20</v>
      </c>
      <c r="Q3386" s="2">
        <f>INDEX(Остановки,MATCH(R3386,ИД_Остановки!$B$3:$B$467,0),1)</f>
        <v>256</v>
      </c>
      <c r="R3386" s="47" t="s">
        <v>376</v>
      </c>
      <c r="S3386" s="20">
        <v>0.49</v>
      </c>
    </row>
    <row r="3387" spans="8:19" x14ac:dyDescent="0.25">
      <c r="H3387">
        <v>23</v>
      </c>
      <c r="I3387">
        <v>880</v>
      </c>
      <c r="J3387">
        <v>110</v>
      </c>
      <c r="K3387" t="b">
        <v>1</v>
      </c>
      <c r="N3387" s="30" t="s">
        <v>605</v>
      </c>
      <c r="O3387" s="2">
        <f>INDEX(Маршруты,MATCH(N3387,$B$3:$B$498,0),1)</f>
        <v>139</v>
      </c>
      <c r="P3387" s="29">
        <v>21</v>
      </c>
      <c r="Q3387" s="2">
        <f>INDEX(Остановки,MATCH(R3387,ИД_Остановки!$B$3:$B$467,0),1)</f>
        <v>204</v>
      </c>
      <c r="R3387" s="47" t="s">
        <v>342</v>
      </c>
      <c r="S3387" s="20">
        <v>0.68</v>
      </c>
    </row>
    <row r="3388" spans="8:19" x14ac:dyDescent="0.25">
      <c r="H3388">
        <v>23</v>
      </c>
      <c r="I3388">
        <v>900</v>
      </c>
      <c r="J3388">
        <v>110</v>
      </c>
      <c r="K3388" t="b">
        <v>1</v>
      </c>
      <c r="N3388" s="30" t="s">
        <v>605</v>
      </c>
      <c r="O3388" s="2">
        <f>INDEX(Маршруты,MATCH(N3388,$B$3:$B$498,0),1)</f>
        <v>139</v>
      </c>
      <c r="P3388" s="29">
        <v>22</v>
      </c>
      <c r="Q3388" s="2">
        <f>INDEX(Остановки,MATCH(R3388,ИД_Остановки!$B$3:$B$467,0),1)</f>
        <v>33</v>
      </c>
      <c r="R3388" s="47" t="s">
        <v>29</v>
      </c>
      <c r="S3388" s="20">
        <v>0.3</v>
      </c>
    </row>
    <row r="3389" spans="8:19" x14ac:dyDescent="0.25">
      <c r="H3389">
        <v>23</v>
      </c>
      <c r="I3389">
        <v>920</v>
      </c>
      <c r="J3389">
        <v>110</v>
      </c>
      <c r="K3389" t="b">
        <v>1</v>
      </c>
      <c r="N3389" s="30" t="s">
        <v>605</v>
      </c>
      <c r="O3389" s="2">
        <f>INDEX(Маршруты,MATCH(N3389,$B$3:$B$498,0),1)</f>
        <v>139</v>
      </c>
      <c r="P3389" s="29">
        <v>23</v>
      </c>
      <c r="Q3389" s="2">
        <f>INDEX(Остановки,MATCH(R3389,ИД_Остановки!$B$3:$B$467,0),1)</f>
        <v>93</v>
      </c>
      <c r="R3389" s="47" t="s">
        <v>65</v>
      </c>
      <c r="S3389" s="20">
        <v>0.52</v>
      </c>
    </row>
    <row r="3390" spans="8:19" x14ac:dyDescent="0.25">
      <c r="H3390">
        <v>23</v>
      </c>
      <c r="I3390">
        <v>940</v>
      </c>
      <c r="J3390">
        <v>110</v>
      </c>
      <c r="K3390" t="b">
        <v>1</v>
      </c>
      <c r="N3390" s="30" t="s">
        <v>605</v>
      </c>
      <c r="O3390" s="2">
        <f>INDEX(Маршруты,MATCH(N3390,$B$3:$B$498,0),1)</f>
        <v>139</v>
      </c>
      <c r="P3390" s="29">
        <v>24</v>
      </c>
      <c r="Q3390" s="2">
        <f>INDEX(Остановки,MATCH(R3390,ИД_Остановки!$B$3:$B$467,0),1)</f>
        <v>82</v>
      </c>
      <c r="R3390" s="47" t="s">
        <v>59</v>
      </c>
      <c r="S3390" s="20">
        <v>0.52</v>
      </c>
    </row>
    <row r="3391" spans="8:19" x14ac:dyDescent="0.25">
      <c r="H3391">
        <v>24</v>
      </c>
      <c r="I3391">
        <v>0</v>
      </c>
      <c r="J3391">
        <v>110</v>
      </c>
      <c r="K3391" t="b">
        <v>1</v>
      </c>
      <c r="N3391" s="30" t="s">
        <v>605</v>
      </c>
      <c r="O3391" s="2">
        <f>INDEX(Маршруты,MATCH(N3391,$B$3:$B$498,0),1)</f>
        <v>139</v>
      </c>
      <c r="P3391" s="29">
        <v>25</v>
      </c>
      <c r="Q3391" s="2">
        <f>INDEX(Остановки,MATCH(R3391,ИД_Остановки!$B$3:$B$467,0),1)</f>
        <v>146</v>
      </c>
      <c r="R3391" s="47" t="s">
        <v>315</v>
      </c>
      <c r="S3391" s="20">
        <v>0.47</v>
      </c>
    </row>
    <row r="3392" spans="8:19" x14ac:dyDescent="0.25">
      <c r="H3392">
        <v>24</v>
      </c>
      <c r="I3392">
        <v>20</v>
      </c>
      <c r="J3392">
        <v>110</v>
      </c>
      <c r="K3392" t="b">
        <v>1</v>
      </c>
      <c r="N3392" s="30" t="s">
        <v>605</v>
      </c>
      <c r="O3392" s="2">
        <f>INDEX(Маршруты,MATCH(N3392,$B$3:$B$498,0),1)</f>
        <v>139</v>
      </c>
      <c r="P3392" s="29">
        <v>26</v>
      </c>
      <c r="Q3392" s="2">
        <f>INDEX(Остановки,MATCH(R3392,ИД_Остановки!$B$3:$B$467,0),1)</f>
        <v>135</v>
      </c>
      <c r="R3392" s="47" t="s">
        <v>83</v>
      </c>
      <c r="S3392" s="20">
        <v>0.72</v>
      </c>
    </row>
    <row r="3393" spans="8:19" x14ac:dyDescent="0.25">
      <c r="H3393">
        <v>24</v>
      </c>
      <c r="I3393">
        <v>40</v>
      </c>
      <c r="J3393">
        <v>110</v>
      </c>
      <c r="K3393" t="b">
        <v>1</v>
      </c>
      <c r="N3393" s="30" t="s">
        <v>606</v>
      </c>
      <c r="O3393" s="2">
        <f>INDEX(Маршруты,MATCH(N3393,$B$3:$B$498,0),1)</f>
        <v>140</v>
      </c>
      <c r="P3393" s="29">
        <v>1</v>
      </c>
      <c r="Q3393" s="2">
        <f>INDEX(Остановки,MATCH(R3393,ИД_Остановки!$B$3:$B$467,0),1)</f>
        <v>135</v>
      </c>
      <c r="R3393" s="47" t="s">
        <v>83</v>
      </c>
      <c r="S3393" s="20"/>
    </row>
    <row r="3394" spans="8:19" x14ac:dyDescent="0.25">
      <c r="H3394">
        <v>24</v>
      </c>
      <c r="I3394">
        <v>60</v>
      </c>
      <c r="J3394">
        <v>110</v>
      </c>
      <c r="K3394" t="b">
        <v>1</v>
      </c>
      <c r="N3394" s="30" t="s">
        <v>606</v>
      </c>
      <c r="O3394" s="2">
        <f>INDEX(Маршруты,MATCH(N3394,$B$3:$B$498,0),1)</f>
        <v>140</v>
      </c>
      <c r="P3394" s="29">
        <v>2</v>
      </c>
      <c r="Q3394" s="2">
        <f>INDEX(Остановки,MATCH(R3394,ИД_Остановки!$B$3:$B$467,0),1)</f>
        <v>146</v>
      </c>
      <c r="R3394" s="47" t="s">
        <v>315</v>
      </c>
      <c r="S3394" s="20">
        <v>0.72</v>
      </c>
    </row>
    <row r="3395" spans="8:19" x14ac:dyDescent="0.25">
      <c r="H3395">
        <v>24</v>
      </c>
      <c r="I3395">
        <v>80</v>
      </c>
      <c r="J3395">
        <v>110</v>
      </c>
      <c r="K3395" t="b">
        <v>1</v>
      </c>
      <c r="N3395" s="30" t="s">
        <v>606</v>
      </c>
      <c r="O3395" s="2">
        <f>INDEX(Маршруты,MATCH(N3395,$B$3:$B$498,0),1)</f>
        <v>140</v>
      </c>
      <c r="P3395" s="29">
        <v>3</v>
      </c>
      <c r="Q3395" s="2">
        <f>INDEX(Остановки,MATCH(R3395,ИД_Остановки!$B$3:$B$467,0),1)</f>
        <v>82</v>
      </c>
      <c r="R3395" s="47" t="s">
        <v>59</v>
      </c>
      <c r="S3395" s="20">
        <v>0.47</v>
      </c>
    </row>
    <row r="3396" spans="8:19" x14ac:dyDescent="0.25">
      <c r="H3396">
        <v>24</v>
      </c>
      <c r="I3396">
        <v>100</v>
      </c>
      <c r="J3396">
        <v>110</v>
      </c>
      <c r="K3396" t="b">
        <v>1</v>
      </c>
      <c r="N3396" s="30" t="s">
        <v>606</v>
      </c>
      <c r="O3396" s="2">
        <f>INDEX(Маршруты,MATCH(N3396,$B$3:$B$498,0),1)</f>
        <v>140</v>
      </c>
      <c r="P3396" s="29">
        <v>4</v>
      </c>
      <c r="Q3396" s="2">
        <f>INDEX(Остановки,MATCH(R3396,ИД_Остановки!$B$3:$B$467,0),1)</f>
        <v>93</v>
      </c>
      <c r="R3396" s="47" t="s">
        <v>65</v>
      </c>
      <c r="S3396" s="20">
        <v>0.52</v>
      </c>
    </row>
    <row r="3397" spans="8:19" x14ac:dyDescent="0.25">
      <c r="H3397">
        <v>24</v>
      </c>
      <c r="I3397">
        <v>120</v>
      </c>
      <c r="J3397">
        <v>110</v>
      </c>
      <c r="K3397" t="b">
        <v>1</v>
      </c>
      <c r="N3397" s="30" t="s">
        <v>606</v>
      </c>
      <c r="O3397" s="2">
        <f>INDEX(Маршруты,MATCH(N3397,$B$3:$B$498,0),1)</f>
        <v>140</v>
      </c>
      <c r="P3397" s="29">
        <v>5</v>
      </c>
      <c r="Q3397" s="2">
        <f>INDEX(Остановки,MATCH(R3397,ИД_Остановки!$B$3:$B$467,0),1)</f>
        <v>33</v>
      </c>
      <c r="R3397" s="47" t="s">
        <v>29</v>
      </c>
      <c r="S3397" s="20">
        <v>0.52</v>
      </c>
    </row>
    <row r="3398" spans="8:19" x14ac:dyDescent="0.25">
      <c r="H3398">
        <v>24</v>
      </c>
      <c r="I3398">
        <v>140</v>
      </c>
      <c r="J3398">
        <v>110</v>
      </c>
      <c r="K3398" t="b">
        <v>1</v>
      </c>
      <c r="N3398" s="30" t="s">
        <v>606</v>
      </c>
      <c r="O3398" s="2">
        <f>INDEX(Маршруты,MATCH(N3398,$B$3:$B$498,0),1)</f>
        <v>140</v>
      </c>
      <c r="P3398" s="29">
        <v>6</v>
      </c>
      <c r="Q3398" s="2">
        <f>INDEX(Остановки,MATCH(R3398,ИД_Остановки!$B$3:$B$467,0),1)</f>
        <v>204</v>
      </c>
      <c r="R3398" s="47" t="s">
        <v>342</v>
      </c>
      <c r="S3398" s="20">
        <v>0.3</v>
      </c>
    </row>
    <row r="3399" spans="8:19" x14ac:dyDescent="0.25">
      <c r="H3399">
        <v>24</v>
      </c>
      <c r="I3399">
        <v>160</v>
      </c>
      <c r="J3399">
        <v>110</v>
      </c>
      <c r="K3399" t="b">
        <v>1</v>
      </c>
      <c r="N3399" s="30" t="s">
        <v>606</v>
      </c>
      <c r="O3399" s="2">
        <f>INDEX(Маршруты,MATCH(N3399,$B$3:$B$498,0),1)</f>
        <v>140</v>
      </c>
      <c r="P3399" s="29">
        <v>7</v>
      </c>
      <c r="Q3399" s="2">
        <f>INDEX(Остановки,MATCH(R3399,ИД_Остановки!$B$3:$B$467,0),1)</f>
        <v>256</v>
      </c>
      <c r="R3399" s="47" t="s">
        <v>376</v>
      </c>
      <c r="S3399" s="20">
        <v>0.68</v>
      </c>
    </row>
    <row r="3400" spans="8:19" x14ac:dyDescent="0.25">
      <c r="H3400">
        <v>24</v>
      </c>
      <c r="I3400">
        <v>180</v>
      </c>
      <c r="J3400">
        <v>110</v>
      </c>
      <c r="K3400" t="b">
        <v>1</v>
      </c>
      <c r="N3400" s="30" t="s">
        <v>606</v>
      </c>
      <c r="O3400" s="2">
        <f>INDEX(Маршруты,MATCH(N3400,$B$3:$B$498,0),1)</f>
        <v>140</v>
      </c>
      <c r="P3400" s="31">
        <v>8</v>
      </c>
      <c r="Q3400" s="2">
        <f>INDEX(Остановки,MATCH(R3400,ИД_Остановки!$B$3:$B$467,0),1)</f>
        <v>206</v>
      </c>
      <c r="R3400" s="30" t="s">
        <v>344</v>
      </c>
      <c r="S3400" s="20">
        <v>0.49</v>
      </c>
    </row>
    <row r="3401" spans="8:19" x14ac:dyDescent="0.25">
      <c r="H3401">
        <v>24</v>
      </c>
      <c r="I3401">
        <v>200</v>
      </c>
      <c r="J3401">
        <v>110</v>
      </c>
      <c r="K3401" t="b">
        <v>1</v>
      </c>
      <c r="N3401" s="30" t="s">
        <v>606</v>
      </c>
      <c r="O3401" s="2">
        <f>INDEX(Маршруты,MATCH(N3401,$B$3:$B$498,0),1)</f>
        <v>140</v>
      </c>
      <c r="P3401" s="29">
        <v>9</v>
      </c>
      <c r="Q3401" s="2">
        <f>INDEX(Остановки,MATCH(R3401,ИД_Остановки!$B$3:$B$467,0),1)</f>
        <v>241</v>
      </c>
      <c r="R3401" s="47" t="s">
        <v>132</v>
      </c>
      <c r="S3401" s="20">
        <v>0.45</v>
      </c>
    </row>
    <row r="3402" spans="8:19" x14ac:dyDescent="0.25">
      <c r="H3402">
        <v>24</v>
      </c>
      <c r="I3402">
        <v>220</v>
      </c>
      <c r="J3402">
        <v>110</v>
      </c>
      <c r="K3402" t="b">
        <v>1</v>
      </c>
      <c r="N3402" s="30" t="s">
        <v>606</v>
      </c>
      <c r="O3402" s="2">
        <f>INDEX(Маршруты,MATCH(N3402,$B$3:$B$498,0),1)</f>
        <v>140</v>
      </c>
      <c r="P3402" s="29">
        <v>10</v>
      </c>
      <c r="Q3402" s="2">
        <f>INDEX(Остановки,MATCH(R3402,ИД_Остановки!$B$3:$B$467,0),1)</f>
        <v>207</v>
      </c>
      <c r="R3402" s="47" t="s">
        <v>345</v>
      </c>
      <c r="S3402" s="20">
        <v>0.74</v>
      </c>
    </row>
    <row r="3403" spans="8:19" x14ac:dyDescent="0.25">
      <c r="H3403">
        <v>24</v>
      </c>
      <c r="I3403">
        <v>240</v>
      </c>
      <c r="J3403">
        <v>110</v>
      </c>
      <c r="K3403" t="b">
        <v>1</v>
      </c>
      <c r="N3403" s="25" t="s">
        <v>606</v>
      </c>
      <c r="O3403" s="2">
        <f>INDEX(Маршруты,MATCH(N3403,$B$3:$B$498,0),1)</f>
        <v>140</v>
      </c>
      <c r="P3403" s="31">
        <v>11</v>
      </c>
      <c r="Q3403" s="2">
        <f>INDEX(Остановки,MATCH(R3403,ИД_Остановки!$B$3:$B$467,0),1)</f>
        <v>208</v>
      </c>
      <c r="R3403" s="30" t="s">
        <v>121</v>
      </c>
      <c r="S3403" s="21">
        <v>0.56999999999999995</v>
      </c>
    </row>
    <row r="3404" spans="8:19" x14ac:dyDescent="0.25">
      <c r="H3404">
        <v>24</v>
      </c>
      <c r="I3404">
        <v>260</v>
      </c>
      <c r="J3404">
        <v>110</v>
      </c>
      <c r="K3404" t="b">
        <v>1</v>
      </c>
      <c r="N3404" s="30" t="s">
        <v>606</v>
      </c>
      <c r="O3404" s="2">
        <f>INDEX(Маршруты,MATCH(N3404,$B$3:$B$498,0),1)</f>
        <v>140</v>
      </c>
      <c r="P3404" s="29">
        <v>12</v>
      </c>
      <c r="Q3404" s="2">
        <f>INDEX(Остановки,MATCH(R3404,ИД_Остановки!$B$3:$B$467,0),1)</f>
        <v>417</v>
      </c>
      <c r="R3404" s="47" t="s">
        <v>473</v>
      </c>
      <c r="S3404" s="20">
        <v>0.62</v>
      </c>
    </row>
    <row r="3405" spans="8:19" x14ac:dyDescent="0.25">
      <c r="H3405">
        <v>24</v>
      </c>
      <c r="I3405">
        <v>280</v>
      </c>
      <c r="J3405">
        <v>110</v>
      </c>
      <c r="K3405" t="b">
        <v>1</v>
      </c>
      <c r="N3405" s="25" t="s">
        <v>606</v>
      </c>
      <c r="O3405" s="2">
        <f>INDEX(Маршруты,MATCH(N3405,$B$3:$B$498,0),1)</f>
        <v>140</v>
      </c>
      <c r="P3405" s="29">
        <v>13</v>
      </c>
      <c r="Q3405" s="2">
        <f>INDEX(Остановки,MATCH(R3405,ИД_Остановки!$B$3:$B$467,0),1)</f>
        <v>209</v>
      </c>
      <c r="R3405" s="47" t="s">
        <v>346</v>
      </c>
      <c r="S3405" s="20">
        <v>0.43</v>
      </c>
    </row>
    <row r="3406" spans="8:19" x14ac:dyDescent="0.25">
      <c r="H3406">
        <v>24</v>
      </c>
      <c r="I3406">
        <v>300</v>
      </c>
      <c r="J3406">
        <v>110</v>
      </c>
      <c r="K3406" t="b">
        <v>1</v>
      </c>
      <c r="N3406" s="25" t="s">
        <v>606</v>
      </c>
      <c r="O3406" s="2">
        <f>INDEX(Маршруты,MATCH(N3406,$B$3:$B$498,0),1)</f>
        <v>140</v>
      </c>
      <c r="P3406" s="31">
        <v>14</v>
      </c>
      <c r="Q3406" s="2">
        <f>INDEX(Остановки,MATCH(R3406,ИД_Остановки!$B$3:$B$467,0),1)</f>
        <v>210</v>
      </c>
      <c r="R3406" s="30" t="s">
        <v>347</v>
      </c>
      <c r="S3406" s="20">
        <v>0.35</v>
      </c>
    </row>
    <row r="3407" spans="8:19" x14ac:dyDescent="0.25">
      <c r="H3407">
        <v>24</v>
      </c>
      <c r="I3407">
        <v>320</v>
      </c>
      <c r="J3407">
        <v>110</v>
      </c>
      <c r="K3407" t="b">
        <v>1</v>
      </c>
      <c r="N3407" s="25" t="s">
        <v>606</v>
      </c>
      <c r="O3407" s="2">
        <f>INDEX(Маршруты,MATCH(N3407,$B$3:$B$498,0),1)</f>
        <v>140</v>
      </c>
      <c r="P3407" s="29">
        <v>15</v>
      </c>
      <c r="Q3407" s="2">
        <f>INDEX(Остановки,MATCH(R3407,ИД_Остановки!$B$3:$B$467,0),1)</f>
        <v>211</v>
      </c>
      <c r="R3407" s="47" t="s">
        <v>122</v>
      </c>
      <c r="S3407" s="20">
        <v>0.37</v>
      </c>
    </row>
    <row r="3408" spans="8:19" x14ac:dyDescent="0.25">
      <c r="H3408">
        <v>24</v>
      </c>
      <c r="I3408">
        <v>340</v>
      </c>
      <c r="J3408">
        <v>110</v>
      </c>
      <c r="K3408" t="b">
        <v>1</v>
      </c>
      <c r="N3408" s="30" t="s">
        <v>606</v>
      </c>
      <c r="O3408" s="2">
        <f>INDEX(Маршруты,MATCH(N3408,$B$3:$B$498,0),1)</f>
        <v>140</v>
      </c>
      <c r="P3408" s="29">
        <v>16</v>
      </c>
      <c r="Q3408" s="2">
        <f>INDEX(Остановки,MATCH(R3408,ИД_Остановки!$B$3:$B$467,0),1)</f>
        <v>212</v>
      </c>
      <c r="R3408" s="47" t="s">
        <v>123</v>
      </c>
      <c r="S3408" s="20">
        <v>0.9</v>
      </c>
    </row>
    <row r="3409" spans="8:19" x14ac:dyDescent="0.25">
      <c r="H3409">
        <v>24</v>
      </c>
      <c r="I3409">
        <v>360</v>
      </c>
      <c r="J3409">
        <v>110</v>
      </c>
      <c r="K3409" t="b">
        <v>1</v>
      </c>
      <c r="N3409" s="25" t="s">
        <v>606</v>
      </c>
      <c r="O3409" s="2">
        <f>INDEX(Маршруты,MATCH(N3409,$B$3:$B$498,0),1)</f>
        <v>140</v>
      </c>
      <c r="P3409" s="31">
        <v>17</v>
      </c>
      <c r="Q3409" s="2">
        <f>INDEX(Остановки,MATCH(R3409,ИД_Остановки!$B$3:$B$467,0),1)</f>
        <v>404</v>
      </c>
      <c r="R3409" s="30" t="s">
        <v>460</v>
      </c>
      <c r="S3409" s="20">
        <v>1.92</v>
      </c>
    </row>
    <row r="3410" spans="8:19" x14ac:dyDescent="0.25">
      <c r="H3410">
        <v>24</v>
      </c>
      <c r="I3410">
        <v>380</v>
      </c>
      <c r="J3410">
        <v>110</v>
      </c>
      <c r="K3410" t="b">
        <v>1</v>
      </c>
      <c r="N3410" s="30" t="s">
        <v>606</v>
      </c>
      <c r="O3410" s="2">
        <f>INDEX(Маршруты,MATCH(N3410,$B$3:$B$498,0),1)</f>
        <v>140</v>
      </c>
      <c r="P3410" s="29">
        <v>18</v>
      </c>
      <c r="Q3410" s="2">
        <f>INDEX(Остановки,MATCH(R3410,ИД_Остановки!$B$3:$B$467,0),1)</f>
        <v>405</v>
      </c>
      <c r="R3410" s="47" t="s">
        <v>461</v>
      </c>
      <c r="S3410" s="20">
        <v>2.39</v>
      </c>
    </row>
    <row r="3411" spans="8:19" x14ac:dyDescent="0.25">
      <c r="H3411">
        <v>24</v>
      </c>
      <c r="I3411">
        <v>400</v>
      </c>
      <c r="J3411">
        <v>110</v>
      </c>
      <c r="K3411" t="b">
        <v>1</v>
      </c>
      <c r="N3411" s="30" t="s">
        <v>606</v>
      </c>
      <c r="O3411" s="2">
        <f>INDEX(Маршруты,MATCH(N3411,$B$3:$B$498,0),1)</f>
        <v>140</v>
      </c>
      <c r="P3411" s="29">
        <v>19</v>
      </c>
      <c r="Q3411" s="2">
        <f>INDEX(Остановки,MATCH(R3411,ИД_Остановки!$B$3:$B$467,0),1)</f>
        <v>213</v>
      </c>
      <c r="R3411" s="47" t="s">
        <v>124</v>
      </c>
      <c r="S3411" s="20">
        <v>1.81</v>
      </c>
    </row>
    <row r="3412" spans="8:19" x14ac:dyDescent="0.25">
      <c r="H3412">
        <v>24</v>
      </c>
      <c r="I3412">
        <v>420</v>
      </c>
      <c r="J3412">
        <v>110</v>
      </c>
      <c r="K3412" t="b">
        <v>1</v>
      </c>
      <c r="N3412" s="25" t="s">
        <v>606</v>
      </c>
      <c r="O3412" s="2">
        <f>INDEX(Маршруты,MATCH(N3412,$B$3:$B$498,0),1)</f>
        <v>140</v>
      </c>
      <c r="P3412" s="29">
        <v>20</v>
      </c>
      <c r="Q3412" s="2">
        <f>INDEX(Остановки,MATCH(R3412,ИД_Остановки!$B$3:$B$467,0),1)</f>
        <v>214</v>
      </c>
      <c r="R3412" s="47" t="s">
        <v>348</v>
      </c>
      <c r="S3412" s="20">
        <v>0.83</v>
      </c>
    </row>
    <row r="3413" spans="8:19" x14ac:dyDescent="0.25">
      <c r="H3413">
        <v>24</v>
      </c>
      <c r="I3413">
        <v>440</v>
      </c>
      <c r="J3413">
        <v>110</v>
      </c>
      <c r="K3413" t="b">
        <v>1</v>
      </c>
      <c r="N3413" s="25" t="s">
        <v>606</v>
      </c>
      <c r="O3413" s="2">
        <f>INDEX(Маршруты,MATCH(N3413,$B$3:$B$498,0),1)</f>
        <v>140</v>
      </c>
      <c r="P3413" s="29">
        <v>21</v>
      </c>
      <c r="Q3413" s="2">
        <f>INDEX(Остановки,MATCH(R3413,ИД_Остановки!$B$3:$B$467,0),1)</f>
        <v>215</v>
      </c>
      <c r="R3413" s="47" t="s">
        <v>349</v>
      </c>
      <c r="S3413" s="20">
        <v>0.73</v>
      </c>
    </row>
    <row r="3414" spans="8:19" x14ac:dyDescent="0.25">
      <c r="H3414">
        <v>24</v>
      </c>
      <c r="I3414">
        <v>460</v>
      </c>
      <c r="J3414">
        <v>110</v>
      </c>
      <c r="K3414" t="b">
        <v>1</v>
      </c>
      <c r="N3414" s="25" t="s">
        <v>606</v>
      </c>
      <c r="O3414" s="2">
        <f>INDEX(Маршруты,MATCH(N3414,$B$3:$B$498,0),1)</f>
        <v>140</v>
      </c>
      <c r="P3414" s="29">
        <v>22</v>
      </c>
      <c r="Q3414" s="2">
        <f>INDEX(Остановки,MATCH(R3414,ИД_Остановки!$B$3:$B$467,0),1)</f>
        <v>414</v>
      </c>
      <c r="R3414" s="47" t="s">
        <v>470</v>
      </c>
      <c r="S3414" s="20">
        <v>0.81</v>
      </c>
    </row>
    <row r="3415" spans="8:19" x14ac:dyDescent="0.25">
      <c r="H3415">
        <v>24</v>
      </c>
      <c r="I3415">
        <v>480</v>
      </c>
      <c r="J3415">
        <v>110</v>
      </c>
      <c r="K3415" t="b">
        <v>1</v>
      </c>
      <c r="N3415" s="30" t="s">
        <v>606</v>
      </c>
      <c r="O3415" s="2">
        <f>INDEX(Маршруты,MATCH(N3415,$B$3:$B$498,0),1)</f>
        <v>140</v>
      </c>
      <c r="P3415" s="29">
        <v>23</v>
      </c>
      <c r="Q3415" s="2">
        <f>INDEX(Остановки,MATCH(R3415,ИД_Остановки!$B$3:$B$467,0),1)</f>
        <v>408</v>
      </c>
      <c r="R3415" s="47" t="s">
        <v>464</v>
      </c>
      <c r="S3415" s="20">
        <v>0.78</v>
      </c>
    </row>
    <row r="3416" spans="8:19" x14ac:dyDescent="0.25">
      <c r="H3416">
        <v>24</v>
      </c>
      <c r="I3416">
        <v>500</v>
      </c>
      <c r="J3416">
        <v>110</v>
      </c>
      <c r="K3416" t="b">
        <v>1</v>
      </c>
      <c r="N3416" s="30" t="s">
        <v>606</v>
      </c>
      <c r="O3416" s="2">
        <f>INDEX(Маршруты,MATCH(N3416,$B$3:$B$498,0),1)</f>
        <v>140</v>
      </c>
      <c r="P3416" s="29">
        <v>24</v>
      </c>
      <c r="Q3416" s="2">
        <f>INDEX(Остановки,MATCH(R3416,ИД_Остановки!$B$3:$B$467,0),1)</f>
        <v>406</v>
      </c>
      <c r="R3416" s="47" t="s">
        <v>462</v>
      </c>
      <c r="S3416" s="20">
        <v>0.32</v>
      </c>
    </row>
    <row r="3417" spans="8:19" x14ac:dyDescent="0.25">
      <c r="H3417">
        <v>24</v>
      </c>
      <c r="I3417">
        <v>520</v>
      </c>
      <c r="J3417">
        <v>110</v>
      </c>
      <c r="K3417" t="b">
        <v>1</v>
      </c>
      <c r="N3417" s="25" t="s">
        <v>606</v>
      </c>
      <c r="O3417" s="2">
        <f>INDEX(Маршруты,MATCH(N3417,$B$3:$B$498,0),1)</f>
        <v>140</v>
      </c>
      <c r="P3417" s="29">
        <v>25</v>
      </c>
      <c r="Q3417" s="2">
        <f>INDEX(Остановки,MATCH(R3417,ИД_Остановки!$B$3:$B$467,0),1)</f>
        <v>407</v>
      </c>
      <c r="R3417" s="47" t="s">
        <v>463</v>
      </c>
      <c r="S3417" s="20">
        <v>0.3</v>
      </c>
    </row>
    <row r="3418" spans="8:19" x14ac:dyDescent="0.25">
      <c r="H3418">
        <v>24</v>
      </c>
      <c r="I3418">
        <v>540</v>
      </c>
      <c r="J3418">
        <v>110</v>
      </c>
      <c r="K3418" t="b">
        <v>1</v>
      </c>
      <c r="N3418" s="30" t="s">
        <v>606</v>
      </c>
      <c r="O3418" s="2">
        <f>INDEX(Маршруты,MATCH(N3418,$B$3:$B$498,0),1)</f>
        <v>140</v>
      </c>
      <c r="P3418" s="29">
        <v>26</v>
      </c>
      <c r="Q3418" s="2">
        <f>INDEX(Остановки,MATCH(R3418,ИД_Остановки!$B$3:$B$467,0),1)</f>
        <v>409</v>
      </c>
      <c r="R3418" s="47" t="s">
        <v>465</v>
      </c>
      <c r="S3418" s="20">
        <v>0.7</v>
      </c>
    </row>
    <row r="3419" spans="8:19" x14ac:dyDescent="0.25">
      <c r="H3419">
        <v>24</v>
      </c>
      <c r="I3419">
        <v>560</v>
      </c>
      <c r="J3419">
        <v>110</v>
      </c>
      <c r="K3419" t="b">
        <v>1</v>
      </c>
      <c r="N3419" s="30" t="s">
        <v>607</v>
      </c>
      <c r="O3419" s="2">
        <f>INDEX(Маршруты,MATCH(N3419,$B$3:$B$498,0),1)</f>
        <v>141</v>
      </c>
      <c r="P3419" s="31">
        <v>1</v>
      </c>
      <c r="Q3419" s="2">
        <f>INDEX(Остановки,MATCH(R3419,ИД_Остановки!$B$3:$B$467,0),1)</f>
        <v>157</v>
      </c>
      <c r="R3419" s="30" t="s">
        <v>95</v>
      </c>
      <c r="S3419" s="20"/>
    </row>
    <row r="3420" spans="8:19" x14ac:dyDescent="0.25">
      <c r="H3420">
        <v>24</v>
      </c>
      <c r="I3420">
        <v>580</v>
      </c>
      <c r="J3420">
        <v>110</v>
      </c>
      <c r="K3420" t="b">
        <v>1</v>
      </c>
      <c r="N3420" s="30" t="s">
        <v>607</v>
      </c>
      <c r="O3420" s="2">
        <f>INDEX(Маршруты,MATCH(N3420,$B$3:$B$498,0),1)</f>
        <v>141</v>
      </c>
      <c r="P3420" s="31">
        <v>2</v>
      </c>
      <c r="Q3420" s="2">
        <f>INDEX(Остановки,MATCH(R3420,ИД_Остановки!$B$3:$B$467,0),1)</f>
        <v>156</v>
      </c>
      <c r="R3420" s="30" t="s">
        <v>321</v>
      </c>
      <c r="S3420" s="20">
        <v>0.46</v>
      </c>
    </row>
    <row r="3421" spans="8:19" x14ac:dyDescent="0.25">
      <c r="H3421">
        <v>24</v>
      </c>
      <c r="I3421">
        <v>600</v>
      </c>
      <c r="J3421">
        <v>110</v>
      </c>
      <c r="K3421" t="b">
        <v>1</v>
      </c>
      <c r="N3421" s="25" t="s">
        <v>607</v>
      </c>
      <c r="O3421" s="2">
        <f>INDEX(Маршруты,MATCH(N3421,$B$3:$B$498,0),1)</f>
        <v>141</v>
      </c>
      <c r="P3421" s="29">
        <v>3</v>
      </c>
      <c r="Q3421" s="2">
        <f>INDEX(Остановки,MATCH(R3421,ИД_Остановки!$B$3:$B$467,0),1)</f>
        <v>155</v>
      </c>
      <c r="R3421" s="47" t="s">
        <v>320</v>
      </c>
      <c r="S3421" s="20">
        <v>0.54</v>
      </c>
    </row>
    <row r="3422" spans="8:19" x14ac:dyDescent="0.25">
      <c r="H3422">
        <v>24</v>
      </c>
      <c r="I3422">
        <v>620</v>
      </c>
      <c r="J3422">
        <v>110</v>
      </c>
      <c r="K3422" t="b">
        <v>1</v>
      </c>
      <c r="N3422" s="25" t="s">
        <v>607</v>
      </c>
      <c r="O3422" s="2">
        <f>INDEX(Маршруты,MATCH(N3422,$B$3:$B$498,0),1)</f>
        <v>141</v>
      </c>
      <c r="P3422" s="29">
        <v>4</v>
      </c>
      <c r="Q3422" s="2">
        <f>INDEX(Остановки,MATCH(R3422,ИД_Остановки!$B$3:$B$467,0),1)</f>
        <v>365</v>
      </c>
      <c r="R3422" s="47" t="s">
        <v>425</v>
      </c>
      <c r="S3422" s="20">
        <v>0.23</v>
      </c>
    </row>
    <row r="3423" spans="8:19" x14ac:dyDescent="0.25">
      <c r="H3423">
        <v>24</v>
      </c>
      <c r="I3423">
        <v>640</v>
      </c>
      <c r="J3423">
        <v>110</v>
      </c>
      <c r="K3423" t="b">
        <v>1</v>
      </c>
      <c r="N3423" s="30" t="s">
        <v>607</v>
      </c>
      <c r="O3423" s="2">
        <f>INDEX(Маршруты,MATCH(N3423,$B$3:$B$498,0),1)</f>
        <v>141</v>
      </c>
      <c r="P3423" s="29">
        <v>5</v>
      </c>
      <c r="Q3423" s="2">
        <f>INDEX(Остановки,MATCH(R3423,ИД_Остановки!$B$3:$B$467,0),1)</f>
        <v>432</v>
      </c>
      <c r="R3423" s="47" t="s">
        <v>488</v>
      </c>
      <c r="S3423" s="20">
        <v>0.66</v>
      </c>
    </row>
    <row r="3424" spans="8:19" x14ac:dyDescent="0.25">
      <c r="H3424">
        <v>24</v>
      </c>
      <c r="I3424">
        <v>660</v>
      </c>
      <c r="J3424">
        <v>110</v>
      </c>
      <c r="K3424" t="b">
        <v>1</v>
      </c>
      <c r="N3424" s="30" t="s">
        <v>607</v>
      </c>
      <c r="O3424" s="2">
        <f>INDEX(Маршруты,MATCH(N3424,$B$3:$B$498,0),1)</f>
        <v>141</v>
      </c>
      <c r="P3424" s="29">
        <v>6</v>
      </c>
      <c r="Q3424" s="2">
        <f>INDEX(Остановки,MATCH(R3424,ИД_Остановки!$B$3:$B$467,0),1)</f>
        <v>154</v>
      </c>
      <c r="R3424" s="47" t="s">
        <v>94</v>
      </c>
      <c r="S3424" s="20">
        <v>0.79</v>
      </c>
    </row>
    <row r="3425" spans="8:19" x14ac:dyDescent="0.25">
      <c r="H3425">
        <v>24</v>
      </c>
      <c r="I3425">
        <v>680</v>
      </c>
      <c r="J3425">
        <v>110</v>
      </c>
      <c r="K3425" t="b">
        <v>1</v>
      </c>
      <c r="N3425" s="25" t="s">
        <v>607</v>
      </c>
      <c r="O3425" s="2">
        <f>INDEX(Маршруты,MATCH(N3425,$B$3:$B$498,0),1)</f>
        <v>141</v>
      </c>
      <c r="P3425" s="29">
        <v>7</v>
      </c>
      <c r="Q3425" s="2">
        <f>INDEX(Остановки,MATCH(R3425,ИД_Остановки!$B$3:$B$467,0),1)</f>
        <v>123</v>
      </c>
      <c r="R3425" s="47" t="s">
        <v>301</v>
      </c>
      <c r="S3425" s="20">
        <v>0.74</v>
      </c>
    </row>
    <row r="3426" spans="8:19" x14ac:dyDescent="0.25">
      <c r="H3426">
        <v>24</v>
      </c>
      <c r="I3426">
        <v>700</v>
      </c>
      <c r="J3426">
        <v>110</v>
      </c>
      <c r="K3426" t="b">
        <v>1</v>
      </c>
      <c r="N3426" s="25" t="s">
        <v>607</v>
      </c>
      <c r="O3426" s="2">
        <f>INDEX(Маршруты,MATCH(N3426,$B$3:$B$498,0),1)</f>
        <v>141</v>
      </c>
      <c r="P3426" s="29">
        <v>8</v>
      </c>
      <c r="Q3426" s="2">
        <f>INDEX(Остановки,MATCH(R3426,ИД_Остановки!$B$3:$B$467,0),1)</f>
        <v>96</v>
      </c>
      <c r="R3426" s="47" t="s">
        <v>285</v>
      </c>
      <c r="S3426" s="20">
        <v>0.6</v>
      </c>
    </row>
    <row r="3427" spans="8:19" x14ac:dyDescent="0.25">
      <c r="H3427">
        <v>24</v>
      </c>
      <c r="I3427">
        <v>720</v>
      </c>
      <c r="J3427">
        <v>110</v>
      </c>
      <c r="K3427" t="b">
        <v>1</v>
      </c>
      <c r="N3427" s="30" t="s">
        <v>607</v>
      </c>
      <c r="O3427" s="2">
        <f>INDEX(Маршруты,MATCH(N3427,$B$3:$B$498,0),1)</f>
        <v>141</v>
      </c>
      <c r="P3427" s="29">
        <v>9</v>
      </c>
      <c r="Q3427" s="2">
        <f>INDEX(Остановки,MATCH(R3427,ИД_Остановки!$B$3:$B$467,0),1)</f>
        <v>122</v>
      </c>
      <c r="R3427" s="30" t="s">
        <v>77</v>
      </c>
      <c r="S3427" s="20">
        <v>0.52</v>
      </c>
    </row>
    <row r="3428" spans="8:19" x14ac:dyDescent="0.25">
      <c r="H3428">
        <v>24</v>
      </c>
      <c r="I3428">
        <v>740</v>
      </c>
      <c r="J3428">
        <v>110</v>
      </c>
      <c r="K3428" t="b">
        <v>1</v>
      </c>
      <c r="N3428" s="25" t="s">
        <v>607</v>
      </c>
      <c r="O3428" s="2">
        <f>INDEX(Маршруты,MATCH(N3428,$B$3:$B$498,0),1)</f>
        <v>141</v>
      </c>
      <c r="P3428" s="29">
        <v>10</v>
      </c>
      <c r="Q3428" s="2">
        <f>INDEX(Остановки,MATCH(R3428,ИД_Остановки!$B$3:$B$467,0),1)</f>
        <v>121</v>
      </c>
      <c r="R3428" s="47" t="s">
        <v>76</v>
      </c>
      <c r="S3428" s="20">
        <v>0.32</v>
      </c>
    </row>
    <row r="3429" spans="8:19" x14ac:dyDescent="0.25">
      <c r="H3429">
        <v>24</v>
      </c>
      <c r="I3429">
        <v>760</v>
      </c>
      <c r="J3429">
        <v>110</v>
      </c>
      <c r="K3429" t="b">
        <v>1</v>
      </c>
      <c r="N3429" s="25" t="s">
        <v>607</v>
      </c>
      <c r="O3429" s="2">
        <f>INDEX(Маршруты,MATCH(N3429,$B$3:$B$498,0),1)</f>
        <v>141</v>
      </c>
      <c r="P3429" s="29">
        <v>11</v>
      </c>
      <c r="Q3429" s="2">
        <f>INDEX(Остановки,MATCH(R3429,ИД_Остановки!$B$3:$B$467,0),1)</f>
        <v>120</v>
      </c>
      <c r="R3429" s="47" t="s">
        <v>300</v>
      </c>
      <c r="S3429" s="20">
        <v>0.31</v>
      </c>
    </row>
    <row r="3430" spans="8:19" x14ac:dyDescent="0.25">
      <c r="H3430">
        <v>24</v>
      </c>
      <c r="I3430">
        <v>780</v>
      </c>
      <c r="J3430">
        <v>110</v>
      </c>
      <c r="K3430" t="b">
        <v>1</v>
      </c>
      <c r="N3430" s="30" t="s">
        <v>607</v>
      </c>
      <c r="O3430" s="2">
        <f>INDEX(Маршруты,MATCH(N3430,$B$3:$B$498,0),1)</f>
        <v>141</v>
      </c>
      <c r="P3430" s="29">
        <v>12</v>
      </c>
      <c r="Q3430" s="2">
        <f>INDEX(Остановки,MATCH(R3430,ИД_Остановки!$B$3:$B$467,0),1)</f>
        <v>119</v>
      </c>
      <c r="R3430" s="47" t="s">
        <v>165</v>
      </c>
      <c r="S3430" s="20">
        <v>1.1200000000000001</v>
      </c>
    </row>
    <row r="3431" spans="8:19" x14ac:dyDescent="0.25">
      <c r="H3431">
        <v>24</v>
      </c>
      <c r="I3431">
        <v>800</v>
      </c>
      <c r="J3431">
        <v>110</v>
      </c>
      <c r="K3431" t="b">
        <v>1</v>
      </c>
      <c r="N3431" s="25" t="s">
        <v>607</v>
      </c>
      <c r="O3431" s="2">
        <f>INDEX(Маршруты,MATCH(N3431,$B$3:$B$498,0),1)</f>
        <v>141</v>
      </c>
      <c r="P3431" s="29">
        <v>13</v>
      </c>
      <c r="Q3431" s="2">
        <f>INDEX(Остановки,MATCH(R3431,ИД_Остановки!$B$3:$B$467,0),1)</f>
        <v>117</v>
      </c>
      <c r="R3431" s="47" t="s">
        <v>298</v>
      </c>
      <c r="S3431" s="20">
        <v>0.79</v>
      </c>
    </row>
    <row r="3432" spans="8:19" x14ac:dyDescent="0.25">
      <c r="H3432">
        <v>24</v>
      </c>
      <c r="I3432">
        <v>820</v>
      </c>
      <c r="J3432">
        <v>110</v>
      </c>
      <c r="K3432" t="b">
        <v>1</v>
      </c>
      <c r="N3432" s="26" t="s">
        <v>607</v>
      </c>
      <c r="O3432" s="2">
        <f>INDEX(Маршруты,MATCH(N3432,$B$3:$B$498,0),1)</f>
        <v>141</v>
      </c>
      <c r="P3432" s="29">
        <v>14</v>
      </c>
      <c r="Q3432" s="2">
        <f>INDEX(Остановки,MATCH(R3432,ИД_Остановки!$B$3:$B$467,0),1)</f>
        <v>128</v>
      </c>
      <c r="R3432" s="47" t="s">
        <v>304</v>
      </c>
      <c r="S3432" s="20">
        <v>0.42</v>
      </c>
    </row>
    <row r="3433" spans="8:19" x14ac:dyDescent="0.25">
      <c r="H3433">
        <v>24</v>
      </c>
      <c r="I3433">
        <v>840</v>
      </c>
      <c r="J3433">
        <v>110</v>
      </c>
      <c r="K3433" t="b">
        <v>1</v>
      </c>
      <c r="N3433" s="30" t="s">
        <v>607</v>
      </c>
      <c r="O3433" s="2">
        <f>INDEX(Маршруты,MATCH(N3433,$B$3:$B$498,0),1)</f>
        <v>141</v>
      </c>
      <c r="P3433" s="29">
        <v>15</v>
      </c>
      <c r="Q3433" s="2">
        <f>INDEX(Остановки,MATCH(R3433,ИД_Остановки!$B$3:$B$467,0),1)</f>
        <v>127</v>
      </c>
      <c r="R3433" s="47" t="s">
        <v>80</v>
      </c>
      <c r="S3433" s="20">
        <v>0.6</v>
      </c>
    </row>
    <row r="3434" spans="8:19" x14ac:dyDescent="0.25">
      <c r="H3434">
        <v>24</v>
      </c>
      <c r="I3434">
        <v>860</v>
      </c>
      <c r="J3434">
        <v>110</v>
      </c>
      <c r="K3434" t="b">
        <v>1</v>
      </c>
      <c r="N3434" s="38" t="s">
        <v>607</v>
      </c>
      <c r="O3434" s="2">
        <f>INDEX(Маршруты,MATCH(N3434,$B$3:$B$498,0),1)</f>
        <v>141</v>
      </c>
      <c r="P3434" s="29">
        <v>16</v>
      </c>
      <c r="Q3434" s="2">
        <f>INDEX(Остановки,MATCH(R3434,ИД_Остановки!$B$3:$B$467,0),1)</f>
        <v>95</v>
      </c>
      <c r="R3434" s="70" t="s">
        <v>67</v>
      </c>
      <c r="S3434" s="37">
        <v>0.74</v>
      </c>
    </row>
    <row r="3435" spans="8:19" x14ac:dyDescent="0.25">
      <c r="H3435">
        <v>24</v>
      </c>
      <c r="I3435">
        <v>880</v>
      </c>
      <c r="J3435">
        <v>110</v>
      </c>
      <c r="K3435" t="b">
        <v>1</v>
      </c>
      <c r="N3435" s="30" t="s">
        <v>607</v>
      </c>
      <c r="O3435" s="2">
        <f>INDEX(Маршруты,MATCH(N3435,$B$3:$B$498,0),1)</f>
        <v>141</v>
      </c>
      <c r="P3435" s="29">
        <v>17</v>
      </c>
      <c r="Q3435" s="2">
        <f>INDEX(Остановки,MATCH(R3435,ИД_Остановки!$B$3:$B$467,0),1)</f>
        <v>126</v>
      </c>
      <c r="R3435" s="47" t="s">
        <v>303</v>
      </c>
      <c r="S3435" s="20">
        <v>0.36</v>
      </c>
    </row>
    <row r="3436" spans="8:19" x14ac:dyDescent="0.25">
      <c r="H3436">
        <v>24</v>
      </c>
      <c r="I3436">
        <v>900</v>
      </c>
      <c r="J3436">
        <v>110</v>
      </c>
      <c r="K3436" t="b">
        <v>1</v>
      </c>
      <c r="N3436" s="25" t="s">
        <v>607</v>
      </c>
      <c r="O3436" s="2">
        <f>INDEX(Маршруты,MATCH(N3436,$B$3:$B$498,0),1)</f>
        <v>141</v>
      </c>
      <c r="P3436" s="29">
        <v>18</v>
      </c>
      <c r="Q3436" s="2">
        <f>INDEX(Остановки,MATCH(R3436,ИД_Остановки!$B$3:$B$467,0),1)</f>
        <v>94</v>
      </c>
      <c r="R3436" s="47" t="s">
        <v>66</v>
      </c>
      <c r="S3436" s="20">
        <v>0.48</v>
      </c>
    </row>
    <row r="3437" spans="8:19" x14ac:dyDescent="0.25">
      <c r="H3437">
        <v>24</v>
      </c>
      <c r="I3437">
        <v>920</v>
      </c>
      <c r="J3437">
        <v>110</v>
      </c>
      <c r="K3437" t="b">
        <v>1</v>
      </c>
      <c r="N3437" s="30" t="s">
        <v>607</v>
      </c>
      <c r="O3437" s="2">
        <f>INDEX(Маршруты,MATCH(N3437,$B$3:$B$498,0),1)</f>
        <v>141</v>
      </c>
      <c r="P3437" s="31">
        <v>19</v>
      </c>
      <c r="Q3437" s="2">
        <f>INDEX(Остановки,MATCH(R3437,ИД_Остановки!$B$3:$B$467,0),1)</f>
        <v>445</v>
      </c>
      <c r="R3437" s="30" t="s">
        <v>302</v>
      </c>
      <c r="S3437" s="21">
        <v>0.8</v>
      </c>
    </row>
    <row r="3438" spans="8:19" x14ac:dyDescent="0.25">
      <c r="H3438">
        <v>24</v>
      </c>
      <c r="I3438">
        <v>940</v>
      </c>
      <c r="J3438">
        <v>110</v>
      </c>
      <c r="K3438" t="b">
        <v>1</v>
      </c>
      <c r="N3438" s="25" t="s">
        <v>607</v>
      </c>
      <c r="O3438" s="2">
        <f>INDEX(Маршруты,MATCH(N3438,$B$3:$B$498,0),1)</f>
        <v>141</v>
      </c>
      <c r="P3438" s="29">
        <v>20</v>
      </c>
      <c r="Q3438" s="2">
        <f>INDEX(Остановки,MATCH(R3438,ИД_Остановки!$B$3:$B$467,0),1)</f>
        <v>125</v>
      </c>
      <c r="R3438" s="47" t="s">
        <v>79</v>
      </c>
      <c r="S3438" s="20">
        <v>0.48</v>
      </c>
    </row>
    <row r="3439" spans="8:19" x14ac:dyDescent="0.25">
      <c r="H3439">
        <v>25</v>
      </c>
      <c r="I3439">
        <v>0</v>
      </c>
      <c r="J3439">
        <v>110</v>
      </c>
      <c r="K3439" t="b">
        <v>1</v>
      </c>
      <c r="N3439" s="25" t="s">
        <v>607</v>
      </c>
      <c r="O3439" s="2">
        <f>INDEX(Маршруты,MATCH(N3439,$B$3:$B$498,0),1)</f>
        <v>141</v>
      </c>
      <c r="P3439" s="29">
        <v>21</v>
      </c>
      <c r="Q3439" s="2">
        <f>INDEX(Остановки,MATCH(R3439,ИД_Остановки!$B$3:$B$467,0),1)</f>
        <v>80</v>
      </c>
      <c r="R3439" s="47" t="s">
        <v>57</v>
      </c>
      <c r="S3439" s="20">
        <v>0.44</v>
      </c>
    </row>
    <row r="3440" spans="8:19" x14ac:dyDescent="0.25">
      <c r="H3440">
        <v>25</v>
      </c>
      <c r="I3440">
        <v>5</v>
      </c>
      <c r="J3440">
        <v>110</v>
      </c>
      <c r="K3440" t="b">
        <v>1</v>
      </c>
      <c r="N3440" s="25" t="s">
        <v>607</v>
      </c>
      <c r="O3440" s="2">
        <f>INDEX(Маршруты,MATCH(N3440,$B$3:$B$498,0),1)</f>
        <v>141</v>
      </c>
      <c r="P3440" s="29">
        <v>22</v>
      </c>
      <c r="Q3440" s="2">
        <f>INDEX(Остановки,MATCH(R3440,ИД_Остановки!$B$3:$B$467,0),1)</f>
        <v>108</v>
      </c>
      <c r="R3440" s="47" t="s">
        <v>648</v>
      </c>
      <c r="S3440" s="20">
        <v>0.76</v>
      </c>
    </row>
    <row r="3441" spans="8:19" x14ac:dyDescent="0.25">
      <c r="H3441">
        <v>25</v>
      </c>
      <c r="I3441">
        <v>10</v>
      </c>
      <c r="J3441">
        <v>110</v>
      </c>
      <c r="K3441" t="b">
        <v>1</v>
      </c>
      <c r="N3441" s="30" t="s">
        <v>607</v>
      </c>
      <c r="O3441" s="2">
        <f>INDEX(Маршруты,MATCH(N3441,$B$3:$B$498,0),1)</f>
        <v>141</v>
      </c>
      <c r="P3441" s="29">
        <v>23</v>
      </c>
      <c r="Q3441" s="2">
        <f>INDEX(Остановки,MATCH(R3441,ИД_Остановки!$B$3:$B$467,0),1)</f>
        <v>107</v>
      </c>
      <c r="R3441" s="47" t="s">
        <v>292</v>
      </c>
      <c r="S3441" s="20">
        <v>0.55000000000000004</v>
      </c>
    </row>
    <row r="3442" spans="8:19" x14ac:dyDescent="0.25">
      <c r="H3442">
        <v>25</v>
      </c>
      <c r="I3442">
        <v>15</v>
      </c>
      <c r="J3442">
        <v>110</v>
      </c>
      <c r="K3442" t="b">
        <v>1</v>
      </c>
      <c r="N3442" s="30" t="s">
        <v>607</v>
      </c>
      <c r="O3442" s="2">
        <f>INDEX(Маршруты,MATCH(N3442,$B$3:$B$498,0),1)</f>
        <v>141</v>
      </c>
      <c r="P3442" s="29">
        <v>24</v>
      </c>
      <c r="Q3442" s="2">
        <f>INDEX(Остановки,MATCH(R3442,ИД_Остановки!$B$3:$B$467,0),1)</f>
        <v>91</v>
      </c>
      <c r="R3442" s="47" t="s">
        <v>283</v>
      </c>
      <c r="S3442" s="20">
        <v>0.46</v>
      </c>
    </row>
    <row r="3443" spans="8:19" x14ac:dyDescent="0.25">
      <c r="H3443">
        <v>25</v>
      </c>
      <c r="I3443">
        <v>20</v>
      </c>
      <c r="J3443">
        <v>110</v>
      </c>
      <c r="K3443" t="b">
        <v>1</v>
      </c>
      <c r="N3443" s="30" t="s">
        <v>607</v>
      </c>
      <c r="O3443" s="2">
        <f>INDEX(Маршруты,MATCH(N3443,$B$3:$B$498,0),1)</f>
        <v>141</v>
      </c>
      <c r="P3443" s="29">
        <v>25</v>
      </c>
      <c r="Q3443" s="2">
        <f>INDEX(Остановки,MATCH(R3443,ИД_Остановки!$B$3:$B$467,0),1)</f>
        <v>90</v>
      </c>
      <c r="R3443" s="47" t="s">
        <v>282</v>
      </c>
      <c r="S3443" s="20">
        <v>0.74</v>
      </c>
    </row>
    <row r="3444" spans="8:19" x14ac:dyDescent="0.25">
      <c r="H3444">
        <v>25</v>
      </c>
      <c r="I3444">
        <v>25</v>
      </c>
      <c r="J3444">
        <v>110</v>
      </c>
      <c r="K3444" t="b">
        <v>1</v>
      </c>
      <c r="N3444" s="30" t="s">
        <v>607</v>
      </c>
      <c r="O3444" s="2">
        <f>INDEX(Маршруты,MATCH(N3444,$B$3:$B$498,0),1)</f>
        <v>141</v>
      </c>
      <c r="P3444" s="29">
        <v>26</v>
      </c>
      <c r="Q3444" s="2">
        <f>INDEX(Остановки,MATCH(R3444,ИД_Остановки!$B$3:$B$467,0),1)</f>
        <v>89</v>
      </c>
      <c r="R3444" s="47" t="s">
        <v>64</v>
      </c>
      <c r="S3444" s="20">
        <v>0.54</v>
      </c>
    </row>
    <row r="3445" spans="8:19" x14ac:dyDescent="0.25">
      <c r="H3445">
        <v>25</v>
      </c>
      <c r="I3445">
        <v>30</v>
      </c>
      <c r="J3445">
        <v>110</v>
      </c>
      <c r="K3445" t="b">
        <v>1</v>
      </c>
      <c r="N3445" s="30" t="s">
        <v>607</v>
      </c>
      <c r="O3445" s="2">
        <f>INDEX(Маршруты,MATCH(N3445,$B$3:$B$498,0),1)</f>
        <v>141</v>
      </c>
      <c r="P3445" s="29">
        <v>27</v>
      </c>
      <c r="Q3445" s="2">
        <f>INDEX(Остановки,MATCH(R3445,ИД_Остановки!$B$3:$B$467,0),1)</f>
        <v>88</v>
      </c>
      <c r="R3445" s="47" t="s">
        <v>63</v>
      </c>
      <c r="S3445" s="20">
        <v>0.79</v>
      </c>
    </row>
    <row r="3446" spans="8:19" x14ac:dyDescent="0.25">
      <c r="H3446">
        <v>25</v>
      </c>
      <c r="I3446">
        <v>35</v>
      </c>
      <c r="J3446">
        <v>110</v>
      </c>
      <c r="K3446" t="b">
        <v>1</v>
      </c>
      <c r="N3446" s="25" t="s">
        <v>607</v>
      </c>
      <c r="O3446" s="2">
        <f>INDEX(Маршруты,MATCH(N3446,$B$3:$B$498,0),1)</f>
        <v>141</v>
      </c>
      <c r="P3446" s="29">
        <v>28</v>
      </c>
      <c r="Q3446" s="2">
        <f>INDEX(Остановки,MATCH(R3446,ИД_Остановки!$B$3:$B$467,0),1)</f>
        <v>86</v>
      </c>
      <c r="R3446" s="47" t="s">
        <v>61</v>
      </c>
      <c r="S3446" s="20">
        <v>1.2</v>
      </c>
    </row>
    <row r="3447" spans="8:19" x14ac:dyDescent="0.25">
      <c r="H3447">
        <v>25</v>
      </c>
      <c r="I3447">
        <v>40</v>
      </c>
      <c r="J3447">
        <v>110</v>
      </c>
      <c r="K3447" t="b">
        <v>1</v>
      </c>
      <c r="N3447" s="30" t="s">
        <v>607</v>
      </c>
      <c r="O3447" s="2">
        <f>INDEX(Маршруты,MATCH(N3447,$B$3:$B$498,0),1)</f>
        <v>141</v>
      </c>
      <c r="P3447" s="29">
        <v>29</v>
      </c>
      <c r="Q3447" s="2">
        <f>INDEX(Остановки,MATCH(R3447,ИД_Остановки!$B$3:$B$467,0),1)</f>
        <v>106</v>
      </c>
      <c r="R3447" s="30" t="s">
        <v>291</v>
      </c>
      <c r="S3447" s="20">
        <v>0.66</v>
      </c>
    </row>
    <row r="3448" spans="8:19" x14ac:dyDescent="0.25">
      <c r="H3448">
        <v>25</v>
      </c>
      <c r="I3448">
        <v>45</v>
      </c>
      <c r="J3448">
        <v>110</v>
      </c>
      <c r="K3448" t="b">
        <v>1</v>
      </c>
      <c r="N3448" s="25" t="s">
        <v>607</v>
      </c>
      <c r="O3448" s="2">
        <f>INDEX(Маршруты,MATCH(N3448,$B$3:$B$498,0),1)</f>
        <v>141</v>
      </c>
      <c r="P3448" s="31">
        <v>30</v>
      </c>
      <c r="Q3448" s="2">
        <f>INDEX(Остановки,MATCH(R3448,ИД_Остановки!$B$3:$B$467,0),1)</f>
        <v>105</v>
      </c>
      <c r="R3448" s="30" t="s">
        <v>290</v>
      </c>
      <c r="S3448" s="20">
        <v>0.34</v>
      </c>
    </row>
    <row r="3449" spans="8:19" x14ac:dyDescent="0.25">
      <c r="H3449">
        <v>25</v>
      </c>
      <c r="I3449">
        <v>50</v>
      </c>
      <c r="J3449">
        <v>110</v>
      </c>
      <c r="K3449" t="b">
        <v>1</v>
      </c>
      <c r="N3449" s="30" t="s">
        <v>607</v>
      </c>
      <c r="O3449" s="2">
        <f>INDEX(Маршруты,MATCH(N3449,$B$3:$B$498,0),1)</f>
        <v>141</v>
      </c>
      <c r="P3449" s="29">
        <v>31</v>
      </c>
      <c r="Q3449" s="2">
        <f>INDEX(Остановки,MATCH(R3449,ИД_Остановки!$B$3:$B$467,0),1)</f>
        <v>84</v>
      </c>
      <c r="R3449" s="47" t="s">
        <v>281</v>
      </c>
      <c r="S3449" s="20">
        <v>0.54</v>
      </c>
    </row>
    <row r="3450" spans="8:19" x14ac:dyDescent="0.25">
      <c r="H3450">
        <v>25</v>
      </c>
      <c r="I3450">
        <v>55</v>
      </c>
      <c r="J3450">
        <v>110</v>
      </c>
      <c r="K3450" t="b">
        <v>1</v>
      </c>
      <c r="N3450" s="26" t="s">
        <v>607</v>
      </c>
      <c r="O3450" s="2">
        <f>INDEX(Маршруты,MATCH(N3450,$B$3:$B$498,0),1)</f>
        <v>141</v>
      </c>
      <c r="P3450" s="29">
        <v>32</v>
      </c>
      <c r="Q3450" s="2">
        <f>INDEX(Остановки,MATCH(R3450,ИД_Остановки!$B$3:$B$467,0),1)</f>
        <v>380</v>
      </c>
      <c r="R3450" s="47" t="s">
        <v>438</v>
      </c>
      <c r="S3450" s="20">
        <v>0.39</v>
      </c>
    </row>
    <row r="3451" spans="8:19" x14ac:dyDescent="0.25">
      <c r="H3451">
        <v>25</v>
      </c>
      <c r="I3451">
        <v>60</v>
      </c>
      <c r="J3451">
        <v>110</v>
      </c>
      <c r="K3451" t="b">
        <v>1</v>
      </c>
      <c r="N3451" s="25" t="s">
        <v>607</v>
      </c>
      <c r="O3451" s="2">
        <f>INDEX(Маршруты,MATCH(N3451,$B$3:$B$498,0),1)</f>
        <v>141</v>
      </c>
      <c r="P3451" s="29">
        <v>33</v>
      </c>
      <c r="Q3451" s="2">
        <f>INDEX(Остановки,MATCH(R3451,ИД_Остановки!$B$3:$B$467,0),1)</f>
        <v>103</v>
      </c>
      <c r="R3451" s="47" t="s">
        <v>288</v>
      </c>
      <c r="S3451" s="20">
        <v>0.5</v>
      </c>
    </row>
    <row r="3452" spans="8:19" x14ac:dyDescent="0.25">
      <c r="H3452">
        <v>25</v>
      </c>
      <c r="I3452">
        <v>65</v>
      </c>
      <c r="J3452">
        <v>110</v>
      </c>
      <c r="K3452" t="b">
        <v>1</v>
      </c>
      <c r="N3452" s="30" t="s">
        <v>607</v>
      </c>
      <c r="O3452" s="2">
        <f>INDEX(Маршруты,MATCH(N3452,$B$3:$B$498,0),1)</f>
        <v>141</v>
      </c>
      <c r="P3452" s="29">
        <v>34</v>
      </c>
      <c r="Q3452" s="2">
        <f>INDEX(Остановки,MATCH(R3452,ИД_Остановки!$B$3:$B$467,0),1)</f>
        <v>83</v>
      </c>
      <c r="R3452" s="47" t="s">
        <v>280</v>
      </c>
      <c r="S3452" s="20">
        <v>0.3</v>
      </c>
    </row>
    <row r="3453" spans="8:19" x14ac:dyDescent="0.25">
      <c r="H3453">
        <v>25</v>
      </c>
      <c r="I3453">
        <v>70</v>
      </c>
      <c r="J3453">
        <v>110</v>
      </c>
      <c r="K3453" t="b">
        <v>1</v>
      </c>
      <c r="N3453" s="25" t="s">
        <v>607</v>
      </c>
      <c r="O3453" s="2">
        <f>INDEX(Маршруты,MATCH(N3453,$B$3:$B$498,0),1)</f>
        <v>141</v>
      </c>
      <c r="P3453" s="29">
        <v>35</v>
      </c>
      <c r="Q3453" s="2">
        <f>INDEX(Остановки,MATCH(R3453,ИД_Остановки!$B$3:$B$467,0),1)</f>
        <v>146</v>
      </c>
      <c r="R3453" s="47" t="s">
        <v>315</v>
      </c>
      <c r="S3453" s="20">
        <v>0.44</v>
      </c>
    </row>
    <row r="3454" spans="8:19" x14ac:dyDescent="0.25">
      <c r="H3454">
        <v>25</v>
      </c>
      <c r="I3454">
        <v>75</v>
      </c>
      <c r="J3454">
        <v>110</v>
      </c>
      <c r="K3454" t="b">
        <v>1</v>
      </c>
      <c r="N3454" s="25" t="s">
        <v>607</v>
      </c>
      <c r="O3454" s="2">
        <f>INDEX(Маршруты,MATCH(N3454,$B$3:$B$498,0),1)</f>
        <v>141</v>
      </c>
      <c r="P3454" s="29">
        <v>36</v>
      </c>
      <c r="Q3454" s="2">
        <f>INDEX(Остановки,MATCH(R3454,ИД_Остановки!$B$3:$B$467,0),1)</f>
        <v>82</v>
      </c>
      <c r="R3454" s="47" t="s">
        <v>59</v>
      </c>
      <c r="S3454" s="20">
        <v>0.47</v>
      </c>
    </row>
    <row r="3455" spans="8:19" x14ac:dyDescent="0.25">
      <c r="H3455">
        <v>25</v>
      </c>
      <c r="I3455">
        <v>80</v>
      </c>
      <c r="J3455">
        <v>110</v>
      </c>
      <c r="K3455" t="b">
        <v>1</v>
      </c>
      <c r="N3455" s="25" t="s">
        <v>607</v>
      </c>
      <c r="O3455" s="2">
        <f>INDEX(Маршруты,MATCH(N3455,$B$3:$B$498,0),1)</f>
        <v>141</v>
      </c>
      <c r="P3455" s="29">
        <v>37</v>
      </c>
      <c r="Q3455" s="2">
        <f>INDEX(Остановки,MATCH(R3455,ИД_Остановки!$B$3:$B$467,0),1)</f>
        <v>93</v>
      </c>
      <c r="R3455" s="47" t="s">
        <v>65</v>
      </c>
      <c r="S3455" s="20">
        <v>0.52</v>
      </c>
    </row>
    <row r="3456" spans="8:19" x14ac:dyDescent="0.25">
      <c r="H3456">
        <v>25</v>
      </c>
      <c r="I3456">
        <v>85</v>
      </c>
      <c r="J3456">
        <v>110</v>
      </c>
      <c r="K3456" t="b">
        <v>1</v>
      </c>
      <c r="N3456" s="30" t="s">
        <v>607</v>
      </c>
      <c r="O3456" s="2">
        <f>INDEX(Маршруты,MATCH(N3456,$B$3:$B$498,0),1)</f>
        <v>141</v>
      </c>
      <c r="P3456" s="29">
        <v>38</v>
      </c>
      <c r="Q3456" s="2">
        <f>INDEX(Остановки,MATCH(R3456,ИД_Остановки!$B$3:$B$467,0),1)</f>
        <v>33</v>
      </c>
      <c r="R3456" s="47" t="s">
        <v>29</v>
      </c>
      <c r="S3456" s="20">
        <v>0.52</v>
      </c>
    </row>
    <row r="3457" spans="8:19" x14ac:dyDescent="0.25">
      <c r="H3457">
        <v>25</v>
      </c>
      <c r="I3457">
        <v>90</v>
      </c>
      <c r="J3457">
        <v>110</v>
      </c>
      <c r="K3457" t="b">
        <v>1</v>
      </c>
      <c r="N3457" s="30" t="s">
        <v>607</v>
      </c>
      <c r="O3457" s="2">
        <f>INDEX(Маршруты,MATCH(N3457,$B$3:$B$498,0),1)</f>
        <v>141</v>
      </c>
      <c r="P3457" s="31">
        <v>39</v>
      </c>
      <c r="Q3457" s="2">
        <f>INDEX(Остановки,MATCH(R3457,ИД_Остановки!$B$3:$B$467,0),1)</f>
        <v>204</v>
      </c>
      <c r="R3457" s="30" t="s">
        <v>342</v>
      </c>
      <c r="S3457" s="20">
        <v>0.3</v>
      </c>
    </row>
    <row r="3458" spans="8:19" x14ac:dyDescent="0.25">
      <c r="H3458">
        <v>25</v>
      </c>
      <c r="I3458">
        <v>95</v>
      </c>
      <c r="J3458">
        <v>110</v>
      </c>
      <c r="K3458" t="b">
        <v>1</v>
      </c>
      <c r="N3458" s="25" t="s">
        <v>607</v>
      </c>
      <c r="O3458" s="2">
        <f>INDEX(Маршруты,MATCH(N3458,$B$3:$B$498,0),1)</f>
        <v>141</v>
      </c>
      <c r="P3458" s="29">
        <v>40</v>
      </c>
      <c r="Q3458" s="2">
        <f>INDEX(Остановки,MATCH(R3458,ИД_Остановки!$B$3:$B$467,0),1)</f>
        <v>102</v>
      </c>
      <c r="R3458" s="47" t="s">
        <v>72</v>
      </c>
      <c r="S3458" s="20">
        <v>0.42</v>
      </c>
    </row>
    <row r="3459" spans="8:19" x14ac:dyDescent="0.25">
      <c r="H3459">
        <v>25</v>
      </c>
      <c r="I3459">
        <v>100</v>
      </c>
      <c r="J3459">
        <v>110</v>
      </c>
      <c r="K3459" t="b">
        <v>1</v>
      </c>
      <c r="N3459" s="30" t="s">
        <v>607</v>
      </c>
      <c r="O3459" s="2">
        <f>INDEX(Маршруты,MATCH(N3459,$B$3:$B$498,0),1)</f>
        <v>141</v>
      </c>
      <c r="P3459" s="29">
        <v>41</v>
      </c>
      <c r="Q3459" s="2">
        <f>INDEX(Остановки,MATCH(R3459,ИД_Остановки!$B$3:$B$467,0),1)</f>
        <v>349</v>
      </c>
      <c r="R3459" s="47" t="s">
        <v>58</v>
      </c>
      <c r="S3459" s="20">
        <v>0.47</v>
      </c>
    </row>
    <row r="3460" spans="8:19" x14ac:dyDescent="0.25">
      <c r="H3460">
        <v>25</v>
      </c>
      <c r="I3460">
        <v>105</v>
      </c>
      <c r="J3460">
        <v>110</v>
      </c>
      <c r="K3460" t="b">
        <v>1</v>
      </c>
      <c r="N3460" s="25" t="s">
        <v>607</v>
      </c>
      <c r="O3460" s="2">
        <f>INDEX(Маршруты,MATCH(N3460,$B$3:$B$498,0),1)</f>
        <v>141</v>
      </c>
      <c r="P3460" s="29">
        <v>42</v>
      </c>
      <c r="Q3460" s="2">
        <f>INDEX(Остановки,MATCH(R3460,ИД_Остановки!$B$3:$B$467,0),1)</f>
        <v>101</v>
      </c>
      <c r="R3460" s="47" t="s">
        <v>71</v>
      </c>
      <c r="S3460" s="20">
        <v>0.28999999999999998</v>
      </c>
    </row>
    <row r="3461" spans="8:19" x14ac:dyDescent="0.25">
      <c r="H3461">
        <v>25</v>
      </c>
      <c r="I3461">
        <v>110</v>
      </c>
      <c r="J3461">
        <v>110</v>
      </c>
      <c r="K3461" t="b">
        <v>1</v>
      </c>
      <c r="N3461" s="26" t="s">
        <v>607</v>
      </c>
      <c r="O3461" s="2">
        <f>INDEX(Маршруты,MATCH(N3461,$B$3:$B$498,0),1)</f>
        <v>141</v>
      </c>
      <c r="P3461" s="29">
        <v>43</v>
      </c>
      <c r="Q3461" s="2">
        <f>INDEX(Остановки,MATCH(R3461,ИД_Остановки!$B$3:$B$467,0),1)</f>
        <v>100</v>
      </c>
      <c r="R3461" s="47" t="s">
        <v>70</v>
      </c>
      <c r="S3461" s="20">
        <v>0.62</v>
      </c>
    </row>
    <row r="3462" spans="8:19" x14ac:dyDescent="0.25">
      <c r="H3462">
        <v>25</v>
      </c>
      <c r="I3462">
        <v>115</v>
      </c>
      <c r="J3462">
        <v>110</v>
      </c>
      <c r="K3462" t="b">
        <v>1</v>
      </c>
      <c r="N3462" s="26" t="s">
        <v>607</v>
      </c>
      <c r="O3462" s="2">
        <f>INDEX(Маршруты,MATCH(N3462,$B$3:$B$498,0),1)</f>
        <v>141</v>
      </c>
      <c r="P3462" s="29">
        <v>44</v>
      </c>
      <c r="Q3462" s="2">
        <f>INDEX(Остановки,MATCH(R3462,ИД_Остановки!$B$3:$B$467,0),1)</f>
        <v>28</v>
      </c>
      <c r="R3462" s="47" t="s">
        <v>26</v>
      </c>
      <c r="S3462" s="20">
        <v>2.2999999999999998</v>
      </c>
    </row>
    <row r="3463" spans="8:19" x14ac:dyDescent="0.25">
      <c r="H3463">
        <v>25</v>
      </c>
      <c r="I3463">
        <v>120</v>
      </c>
      <c r="J3463">
        <v>110</v>
      </c>
      <c r="K3463" t="b">
        <v>1</v>
      </c>
      <c r="N3463" s="30" t="s">
        <v>607</v>
      </c>
      <c r="O3463" s="2">
        <f>INDEX(Маршруты,MATCH(N3463,$B$3:$B$498,0),1)</f>
        <v>141</v>
      </c>
      <c r="P3463" s="29">
        <v>45</v>
      </c>
      <c r="Q3463" s="2">
        <f>INDEX(Остановки,MATCH(R3463,ИД_Остановки!$B$3:$B$467,0),1)</f>
        <v>372</v>
      </c>
      <c r="R3463" s="47" t="s">
        <v>430</v>
      </c>
      <c r="S3463" s="20">
        <v>1.24</v>
      </c>
    </row>
    <row r="3464" spans="8:19" x14ac:dyDescent="0.25">
      <c r="H3464">
        <v>25</v>
      </c>
      <c r="I3464">
        <v>125</v>
      </c>
      <c r="J3464">
        <v>110</v>
      </c>
      <c r="K3464" t="b">
        <v>1</v>
      </c>
      <c r="N3464" s="30" t="s">
        <v>607</v>
      </c>
      <c r="O3464" s="2">
        <f>INDEX(Маршруты,MATCH(N3464,$B$3:$B$498,0),1)</f>
        <v>141</v>
      </c>
      <c r="P3464" s="29">
        <v>46</v>
      </c>
      <c r="Q3464" s="2">
        <f>INDEX(Остановки,MATCH(R3464,ИД_Остановки!$B$3:$B$467,0),1)</f>
        <v>26</v>
      </c>
      <c r="R3464" s="47" t="s">
        <v>254</v>
      </c>
      <c r="S3464" s="20">
        <v>0.45</v>
      </c>
    </row>
    <row r="3465" spans="8:19" x14ac:dyDescent="0.25">
      <c r="H3465">
        <v>25</v>
      </c>
      <c r="I3465">
        <v>130</v>
      </c>
      <c r="J3465">
        <v>110</v>
      </c>
      <c r="K3465" t="b">
        <v>1</v>
      </c>
      <c r="N3465" s="25" t="s">
        <v>607</v>
      </c>
      <c r="O3465" s="2">
        <f>INDEX(Маршруты,MATCH(N3465,$B$3:$B$498,0),1)</f>
        <v>141</v>
      </c>
      <c r="P3465" s="29">
        <v>47</v>
      </c>
      <c r="Q3465" s="2">
        <f>INDEX(Остановки,MATCH(R3465,ИД_Остановки!$B$3:$B$467,0),1)</f>
        <v>25</v>
      </c>
      <c r="R3465" s="47" t="s">
        <v>612</v>
      </c>
      <c r="S3465" s="20">
        <v>0.53</v>
      </c>
    </row>
    <row r="3466" spans="8:19" x14ac:dyDescent="0.25">
      <c r="H3466">
        <v>25</v>
      </c>
      <c r="I3466">
        <v>135</v>
      </c>
      <c r="J3466">
        <v>110</v>
      </c>
      <c r="K3466" t="b">
        <v>1</v>
      </c>
      <c r="N3466" s="26" t="s">
        <v>607</v>
      </c>
      <c r="O3466" s="2">
        <f>INDEX(Маршруты,MATCH(N3466,$B$3:$B$498,0),1)</f>
        <v>141</v>
      </c>
      <c r="P3466" s="29">
        <v>48</v>
      </c>
      <c r="Q3466" s="2">
        <f>INDEX(Остановки,MATCH(R3466,ИД_Остановки!$B$3:$B$467,0),1)</f>
        <v>24</v>
      </c>
      <c r="R3466" s="47" t="s">
        <v>252</v>
      </c>
      <c r="S3466" s="20">
        <v>0.65</v>
      </c>
    </row>
    <row r="3467" spans="8:19" x14ac:dyDescent="0.25">
      <c r="H3467">
        <v>25</v>
      </c>
      <c r="I3467">
        <v>140</v>
      </c>
      <c r="J3467">
        <v>110</v>
      </c>
      <c r="K3467" t="b">
        <v>1</v>
      </c>
      <c r="N3467" s="30" t="s">
        <v>607</v>
      </c>
      <c r="O3467" s="2">
        <f>INDEX(Маршруты,MATCH(N3467,$B$3:$B$498,0),1)</f>
        <v>141</v>
      </c>
      <c r="P3467" s="29">
        <v>49</v>
      </c>
      <c r="Q3467" s="2">
        <f>INDEX(Остановки,MATCH(R3467,ИД_Остановки!$B$3:$B$467,0),1)</f>
        <v>23</v>
      </c>
      <c r="R3467" s="47" t="s">
        <v>24</v>
      </c>
      <c r="S3467" s="20">
        <v>0.57999999999999996</v>
      </c>
    </row>
    <row r="3468" spans="8:19" x14ac:dyDescent="0.25">
      <c r="H3468">
        <v>25</v>
      </c>
      <c r="I3468">
        <v>145</v>
      </c>
      <c r="J3468">
        <v>110</v>
      </c>
      <c r="K3468" t="b">
        <v>1</v>
      </c>
      <c r="N3468" s="26" t="s">
        <v>607</v>
      </c>
      <c r="O3468" s="2">
        <f>INDEX(Маршруты,MATCH(N3468,$B$3:$B$498,0),1)</f>
        <v>141</v>
      </c>
      <c r="P3468" s="29">
        <v>50</v>
      </c>
      <c r="Q3468" s="2">
        <f>INDEX(Остановки,MATCH(R3468,ИД_Остановки!$B$3:$B$467,0),1)</f>
        <v>441</v>
      </c>
      <c r="R3468" s="47" t="s">
        <v>645</v>
      </c>
      <c r="S3468" s="20">
        <v>0.67</v>
      </c>
    </row>
    <row r="3469" spans="8:19" x14ac:dyDescent="0.25">
      <c r="H3469">
        <v>25</v>
      </c>
      <c r="I3469">
        <v>150</v>
      </c>
      <c r="J3469">
        <v>110</v>
      </c>
      <c r="K3469" t="b">
        <v>1</v>
      </c>
      <c r="N3469" s="30" t="s">
        <v>607</v>
      </c>
      <c r="O3469" s="2">
        <f>INDEX(Маршруты,MATCH(N3469,$B$3:$B$498,0),1)</f>
        <v>141</v>
      </c>
      <c r="P3469" s="29">
        <v>51</v>
      </c>
      <c r="Q3469" s="2">
        <f>INDEX(Остановки,MATCH(R3469,ИД_Остановки!$B$3:$B$467,0),1)</f>
        <v>337</v>
      </c>
      <c r="R3469" s="47" t="s">
        <v>407</v>
      </c>
      <c r="S3469" s="20">
        <v>0.65</v>
      </c>
    </row>
    <row r="3470" spans="8:19" x14ac:dyDescent="0.25">
      <c r="H3470">
        <v>25</v>
      </c>
      <c r="I3470">
        <v>155</v>
      </c>
      <c r="J3470">
        <v>110</v>
      </c>
      <c r="K3470" t="b">
        <v>1</v>
      </c>
      <c r="N3470" s="30" t="s">
        <v>607</v>
      </c>
      <c r="O3470" s="2">
        <f>INDEX(Маршруты,MATCH(N3470,$B$3:$B$498,0),1)</f>
        <v>141</v>
      </c>
      <c r="P3470" s="29">
        <v>52</v>
      </c>
      <c r="Q3470" s="2">
        <f>INDEX(Остановки,MATCH(R3470,ИД_Остановки!$B$3:$B$467,0),1)</f>
        <v>160</v>
      </c>
      <c r="R3470" s="47" t="s">
        <v>323</v>
      </c>
      <c r="S3470" s="20">
        <v>0.6</v>
      </c>
    </row>
    <row r="3471" spans="8:19" x14ac:dyDescent="0.25">
      <c r="H3471">
        <v>25</v>
      </c>
      <c r="I3471">
        <v>160</v>
      </c>
      <c r="J3471">
        <v>110</v>
      </c>
      <c r="K3471" t="b">
        <v>1</v>
      </c>
      <c r="N3471" s="25" t="s">
        <v>607</v>
      </c>
      <c r="O3471" s="2">
        <f>INDEX(Маршруты,MATCH(N3471,$B$3:$B$498,0),1)</f>
        <v>141</v>
      </c>
      <c r="P3471" s="29">
        <v>53</v>
      </c>
      <c r="Q3471" s="2">
        <f>INDEX(Остановки,MATCH(R3471,ИД_Остановки!$B$3:$B$467,0),1)</f>
        <v>254</v>
      </c>
      <c r="R3471" s="47" t="s">
        <v>136</v>
      </c>
      <c r="S3471" s="20">
        <v>0.49</v>
      </c>
    </row>
    <row r="3472" spans="8:19" x14ac:dyDescent="0.25">
      <c r="H3472">
        <v>25</v>
      </c>
      <c r="I3472">
        <v>165</v>
      </c>
      <c r="J3472">
        <v>110</v>
      </c>
      <c r="K3472" t="b">
        <v>1</v>
      </c>
      <c r="N3472" s="25" t="s">
        <v>607</v>
      </c>
      <c r="O3472" s="2">
        <f>INDEX(Маршруты,MATCH(N3472,$B$3:$B$498,0),1)</f>
        <v>141</v>
      </c>
      <c r="P3472" s="29">
        <v>54</v>
      </c>
      <c r="Q3472" s="2">
        <f>INDEX(Остановки,MATCH(R3472,ИД_Остановки!$B$3:$B$467,0),1)</f>
        <v>288</v>
      </c>
      <c r="R3472" s="47" t="s">
        <v>388</v>
      </c>
      <c r="S3472" s="20">
        <v>0.79</v>
      </c>
    </row>
    <row r="3473" spans="8:19" x14ac:dyDescent="0.25">
      <c r="H3473">
        <v>25</v>
      </c>
      <c r="I3473">
        <v>170</v>
      </c>
      <c r="J3473">
        <v>110</v>
      </c>
      <c r="K3473" t="b">
        <v>1</v>
      </c>
      <c r="N3473" s="25" t="s">
        <v>607</v>
      </c>
      <c r="O3473" s="2">
        <f>INDEX(Маршруты,MATCH(N3473,$B$3:$B$498,0),1)</f>
        <v>141</v>
      </c>
      <c r="P3473" s="29">
        <v>55</v>
      </c>
      <c r="Q3473" s="2">
        <f>INDEX(Остановки,MATCH(R3473,ИД_Остановки!$B$3:$B$467,0),1)</f>
        <v>252</v>
      </c>
      <c r="R3473" s="47" t="s">
        <v>135</v>
      </c>
      <c r="S3473" s="20">
        <v>0.28999999999999998</v>
      </c>
    </row>
    <row r="3474" spans="8:19" x14ac:dyDescent="0.25">
      <c r="H3474">
        <v>25</v>
      </c>
      <c r="I3474">
        <v>175</v>
      </c>
      <c r="J3474">
        <v>110</v>
      </c>
      <c r="K3474" t="b">
        <v>1</v>
      </c>
      <c r="N3474" s="30" t="s">
        <v>607</v>
      </c>
      <c r="O3474" s="2">
        <f>INDEX(Маршруты,MATCH(N3474,$B$3:$B$498,0),1)</f>
        <v>141</v>
      </c>
      <c r="P3474" s="31">
        <v>56</v>
      </c>
      <c r="Q3474" s="2">
        <f>INDEX(Остановки,MATCH(R3474,ИД_Остановки!$B$3:$B$467,0),1)</f>
        <v>236</v>
      </c>
      <c r="R3474" s="30" t="s">
        <v>130</v>
      </c>
      <c r="S3474" s="20">
        <v>0.59</v>
      </c>
    </row>
    <row r="3475" spans="8:19" x14ac:dyDescent="0.25">
      <c r="H3475">
        <v>25</v>
      </c>
      <c r="I3475">
        <v>180</v>
      </c>
      <c r="J3475">
        <v>110</v>
      </c>
      <c r="K3475" t="b">
        <v>1</v>
      </c>
      <c r="N3475" s="30" t="s">
        <v>607</v>
      </c>
      <c r="O3475" s="2">
        <f>INDEX(Маршруты,MATCH(N3475,$B$3:$B$498,0),1)</f>
        <v>141</v>
      </c>
      <c r="P3475" s="29">
        <v>57</v>
      </c>
      <c r="Q3475" s="2">
        <f>INDEX(Остановки,MATCH(R3475,ИД_Остановки!$B$3:$B$467,0),1)</f>
        <v>245</v>
      </c>
      <c r="R3475" s="47" t="s">
        <v>369</v>
      </c>
      <c r="S3475" s="20">
        <v>0.38</v>
      </c>
    </row>
    <row r="3476" spans="8:19" x14ac:dyDescent="0.25">
      <c r="H3476">
        <v>25</v>
      </c>
      <c r="I3476">
        <v>185</v>
      </c>
      <c r="J3476">
        <v>110</v>
      </c>
      <c r="K3476" t="b">
        <v>1</v>
      </c>
      <c r="N3476" s="30" t="s">
        <v>607</v>
      </c>
      <c r="O3476" s="2">
        <f>INDEX(Маршруты,MATCH(N3476,$B$3:$B$498,0),1)</f>
        <v>141</v>
      </c>
      <c r="P3476" s="29">
        <v>58</v>
      </c>
      <c r="Q3476" s="2">
        <f>INDEX(Остановки,MATCH(R3476,ИД_Остановки!$B$3:$B$467,0),1)</f>
        <v>258</v>
      </c>
      <c r="R3476" s="47" t="s">
        <v>378</v>
      </c>
      <c r="S3476" s="20">
        <v>0.3</v>
      </c>
    </row>
    <row r="3477" spans="8:19" x14ac:dyDescent="0.25">
      <c r="H3477">
        <v>25</v>
      </c>
      <c r="I3477">
        <v>190</v>
      </c>
      <c r="J3477">
        <v>110</v>
      </c>
      <c r="K3477" t="b">
        <v>1</v>
      </c>
      <c r="N3477" s="26" t="s">
        <v>607</v>
      </c>
      <c r="O3477" s="2">
        <f>INDEX(Маршруты,MATCH(N3477,$B$3:$B$498,0),1)</f>
        <v>141</v>
      </c>
      <c r="P3477" s="29">
        <v>59</v>
      </c>
      <c r="Q3477" s="2">
        <f>INDEX(Остановки,MATCH(R3477,ИД_Остановки!$B$3:$B$467,0),1)</f>
        <v>244</v>
      </c>
      <c r="R3477" s="47" t="s">
        <v>133</v>
      </c>
      <c r="S3477" s="20">
        <v>0.215</v>
      </c>
    </row>
    <row r="3478" spans="8:19" x14ac:dyDescent="0.25">
      <c r="H3478">
        <v>25</v>
      </c>
      <c r="I3478">
        <v>195</v>
      </c>
      <c r="J3478">
        <v>110</v>
      </c>
      <c r="K3478" t="b">
        <v>1</v>
      </c>
      <c r="N3478" s="25" t="s">
        <v>607</v>
      </c>
      <c r="O3478" s="2">
        <f>INDEX(Маршруты,MATCH(N3478,$B$3:$B$498,0),1)</f>
        <v>141</v>
      </c>
      <c r="P3478" s="29">
        <v>60</v>
      </c>
      <c r="Q3478" s="2">
        <f>INDEX(Остановки,MATCH(R3478,ИД_Остановки!$B$3:$B$467,0),1)</f>
        <v>251</v>
      </c>
      <c r="R3478" s="47" t="s">
        <v>164</v>
      </c>
      <c r="S3478" s="20">
        <v>0.64</v>
      </c>
    </row>
    <row r="3479" spans="8:19" x14ac:dyDescent="0.25">
      <c r="H3479">
        <v>25</v>
      </c>
      <c r="I3479">
        <v>200</v>
      </c>
      <c r="J3479">
        <v>110</v>
      </c>
      <c r="K3479" t="b">
        <v>1</v>
      </c>
      <c r="N3479" s="25" t="s">
        <v>607</v>
      </c>
      <c r="O3479" s="2">
        <f>INDEX(Маршруты,MATCH(N3479,$B$3:$B$498,0),1)</f>
        <v>141</v>
      </c>
      <c r="P3479" s="29">
        <v>61</v>
      </c>
      <c r="Q3479" s="2">
        <f>INDEX(Остановки,MATCH(R3479,ИД_Остановки!$B$3:$B$467,0),1)</f>
        <v>243</v>
      </c>
      <c r="R3479" s="47" t="s">
        <v>368</v>
      </c>
      <c r="S3479" s="20">
        <v>0.7</v>
      </c>
    </row>
    <row r="3480" spans="8:19" x14ac:dyDescent="0.25">
      <c r="H3480">
        <v>25</v>
      </c>
      <c r="I3480">
        <v>205</v>
      </c>
      <c r="J3480">
        <v>110</v>
      </c>
      <c r="K3480" t="b">
        <v>1</v>
      </c>
      <c r="N3480" s="30" t="s">
        <v>607</v>
      </c>
      <c r="O3480" s="2">
        <f>INDEX(Маршруты,MATCH(N3480,$B$3:$B$498,0),1)</f>
        <v>141</v>
      </c>
      <c r="P3480" s="29">
        <v>62</v>
      </c>
      <c r="Q3480" s="2">
        <f>INDEX(Остановки,MATCH(R3480,ИД_Остановки!$B$3:$B$467,0),1)</f>
        <v>222</v>
      </c>
      <c r="R3480" s="47" t="s">
        <v>354</v>
      </c>
      <c r="S3480" s="20">
        <v>0.36</v>
      </c>
    </row>
    <row r="3481" spans="8:19" x14ac:dyDescent="0.25">
      <c r="H3481">
        <v>25</v>
      </c>
      <c r="I3481">
        <v>210</v>
      </c>
      <c r="J3481">
        <v>110</v>
      </c>
      <c r="K3481" t="b">
        <v>1</v>
      </c>
      <c r="N3481" s="30" t="s">
        <v>607</v>
      </c>
      <c r="O3481" s="2">
        <f>INDEX(Маршруты,MATCH(N3481,$B$3:$B$498,0),1)</f>
        <v>141</v>
      </c>
      <c r="P3481" s="29">
        <v>63</v>
      </c>
      <c r="Q3481" s="2">
        <f>INDEX(Остановки,MATCH(R3481,ИД_Остановки!$B$3:$B$467,0),1)</f>
        <v>250</v>
      </c>
      <c r="R3481" s="47" t="s">
        <v>373</v>
      </c>
      <c r="S3481" s="20">
        <v>0.64</v>
      </c>
    </row>
    <row r="3482" spans="8:19" x14ac:dyDescent="0.25">
      <c r="H3482">
        <v>25</v>
      </c>
      <c r="I3482">
        <v>215</v>
      </c>
      <c r="J3482">
        <v>110</v>
      </c>
      <c r="K3482" t="b">
        <v>1</v>
      </c>
      <c r="N3482" s="26" t="s">
        <v>607</v>
      </c>
      <c r="O3482" s="2">
        <f>INDEX(Маршруты,MATCH(N3482,$B$3:$B$498,0),1)</f>
        <v>141</v>
      </c>
      <c r="P3482" s="29">
        <v>64</v>
      </c>
      <c r="Q3482" s="2">
        <f>INDEX(Остановки,MATCH(R3482,ИД_Остановки!$B$3:$B$467,0),1)</f>
        <v>249</v>
      </c>
      <c r="R3482" s="47" t="s">
        <v>372</v>
      </c>
      <c r="S3482" s="20">
        <v>0.32</v>
      </c>
    </row>
    <row r="3483" spans="8:19" x14ac:dyDescent="0.25">
      <c r="H3483">
        <v>25</v>
      </c>
      <c r="I3483">
        <v>220</v>
      </c>
      <c r="J3483">
        <v>110</v>
      </c>
      <c r="K3483" t="b">
        <v>1</v>
      </c>
      <c r="N3483" s="25" t="s">
        <v>607</v>
      </c>
      <c r="O3483" s="2">
        <f>INDEX(Маршруты,MATCH(N3483,$B$3:$B$498,0),1)</f>
        <v>141</v>
      </c>
      <c r="P3483" s="29">
        <v>65</v>
      </c>
      <c r="Q3483" s="2">
        <f>INDEX(Остановки,MATCH(R3483,ИД_Остановки!$B$3:$B$467,0),1)</f>
        <v>248</v>
      </c>
      <c r="R3483" s="47" t="s">
        <v>617</v>
      </c>
      <c r="S3483" s="20">
        <v>0.77</v>
      </c>
    </row>
    <row r="3484" spans="8:19" x14ac:dyDescent="0.25">
      <c r="H3484">
        <v>25</v>
      </c>
      <c r="I3484">
        <v>225</v>
      </c>
      <c r="J3484">
        <v>110</v>
      </c>
      <c r="K3484" t="b">
        <v>1</v>
      </c>
      <c r="N3484" s="25" t="s">
        <v>607</v>
      </c>
      <c r="O3484" s="2">
        <f>INDEX(Маршруты,MATCH(N3484,$B$3:$B$498,0),1)</f>
        <v>141</v>
      </c>
      <c r="P3484" s="31">
        <v>66</v>
      </c>
      <c r="Q3484" s="2">
        <f>INDEX(Остановки,MATCH(R3484,ИД_Остановки!$B$3:$B$467,0),1)</f>
        <v>411</v>
      </c>
      <c r="R3484" s="30" t="s">
        <v>467</v>
      </c>
      <c r="S3484" s="20">
        <v>0.74</v>
      </c>
    </row>
    <row r="3485" spans="8:19" x14ac:dyDescent="0.25">
      <c r="H3485">
        <v>25</v>
      </c>
      <c r="I3485">
        <v>230</v>
      </c>
      <c r="J3485">
        <v>110</v>
      </c>
      <c r="K3485" t="b">
        <v>1</v>
      </c>
      <c r="N3485" s="25" t="s">
        <v>607</v>
      </c>
      <c r="O3485" s="2">
        <f>INDEX(Маршруты,MATCH(N3485,$B$3:$B$498,0),1)</f>
        <v>141</v>
      </c>
      <c r="P3485" s="29">
        <v>67</v>
      </c>
      <c r="Q3485" s="2">
        <f>INDEX(Остановки,MATCH(R3485,ИД_Остановки!$B$3:$B$467,0),1)</f>
        <v>247</v>
      </c>
      <c r="R3485" s="30" t="s">
        <v>134</v>
      </c>
      <c r="S3485" s="20">
        <v>0.6</v>
      </c>
    </row>
    <row r="3486" spans="8:19" x14ac:dyDescent="0.25">
      <c r="H3486">
        <v>25</v>
      </c>
      <c r="I3486">
        <v>235</v>
      </c>
      <c r="J3486">
        <v>110</v>
      </c>
      <c r="K3486" t="b">
        <v>1</v>
      </c>
      <c r="N3486" s="25" t="s">
        <v>607</v>
      </c>
      <c r="O3486" s="2">
        <f>INDEX(Маршруты,MATCH(N3486,$B$3:$B$498,0),1)</f>
        <v>141</v>
      </c>
      <c r="P3486" s="29">
        <v>68</v>
      </c>
      <c r="Q3486" s="2">
        <f>INDEX(Остановки,MATCH(R3486,ИД_Остановки!$B$3:$B$467,0),1)</f>
        <v>167</v>
      </c>
      <c r="R3486" s="47" t="s">
        <v>104</v>
      </c>
      <c r="S3486" s="20">
        <v>0.45</v>
      </c>
    </row>
    <row r="3487" spans="8:19" x14ac:dyDescent="0.25">
      <c r="H3487">
        <v>25</v>
      </c>
      <c r="I3487">
        <v>240</v>
      </c>
      <c r="J3487">
        <v>110</v>
      </c>
      <c r="K3487" t="b">
        <v>1</v>
      </c>
      <c r="N3487" s="30" t="s">
        <v>607</v>
      </c>
      <c r="O3487" s="2">
        <f>INDEX(Маршруты,MATCH(N3487,$B$3:$B$498,0),1)</f>
        <v>141</v>
      </c>
      <c r="P3487" s="29">
        <v>69</v>
      </c>
      <c r="Q3487" s="2">
        <f>INDEX(Остановки,MATCH(R3487,ИД_Остановки!$B$3:$B$467,0),1)</f>
        <v>402</v>
      </c>
      <c r="R3487" s="47" t="s">
        <v>459</v>
      </c>
      <c r="S3487" s="20">
        <v>0.36</v>
      </c>
    </row>
    <row r="3488" spans="8:19" x14ac:dyDescent="0.25">
      <c r="H3488">
        <v>25</v>
      </c>
      <c r="I3488">
        <v>245</v>
      </c>
      <c r="J3488">
        <v>110</v>
      </c>
      <c r="K3488" t="b">
        <v>1</v>
      </c>
      <c r="N3488" s="30" t="s">
        <v>607</v>
      </c>
      <c r="O3488" s="2">
        <f>INDEX(Маршруты,MATCH(N3488,$B$3:$B$498,0),1)</f>
        <v>141</v>
      </c>
      <c r="P3488" s="29">
        <v>70</v>
      </c>
      <c r="Q3488" s="2">
        <f>INDEX(Остановки,MATCH(R3488,ИД_Остановки!$B$3:$B$467,0),1)</f>
        <v>165</v>
      </c>
      <c r="R3488" s="47" t="s">
        <v>103</v>
      </c>
      <c r="S3488" s="20">
        <v>0.53</v>
      </c>
    </row>
    <row r="3489" spans="8:19" x14ac:dyDescent="0.25">
      <c r="H3489">
        <v>25</v>
      </c>
      <c r="I3489">
        <v>250</v>
      </c>
      <c r="J3489">
        <v>110</v>
      </c>
      <c r="K3489" t="b">
        <v>1</v>
      </c>
      <c r="N3489" s="30" t="s">
        <v>608</v>
      </c>
      <c r="O3489" s="2">
        <f>INDEX(Маршруты,MATCH(N3489,$B$3:$B$498,0),1)</f>
        <v>142</v>
      </c>
      <c r="P3489" s="29">
        <v>1</v>
      </c>
      <c r="Q3489" s="2">
        <f>INDEX(Остановки,MATCH(R3489,ИД_Остановки!$B$3:$B$467,0),1)</f>
        <v>165</v>
      </c>
      <c r="R3489" s="30" t="s">
        <v>103</v>
      </c>
      <c r="S3489" s="20"/>
    </row>
    <row r="3490" spans="8:19" x14ac:dyDescent="0.25">
      <c r="H3490">
        <v>25</v>
      </c>
      <c r="I3490">
        <v>255</v>
      </c>
      <c r="J3490">
        <v>110</v>
      </c>
      <c r="K3490" t="b">
        <v>1</v>
      </c>
      <c r="N3490" s="30" t="s">
        <v>608</v>
      </c>
      <c r="O3490" s="2">
        <f>INDEX(Маршруты,MATCH(N3490,$B$3:$B$498,0),1)</f>
        <v>142</v>
      </c>
      <c r="P3490" s="31">
        <v>2</v>
      </c>
      <c r="Q3490" s="2">
        <f>INDEX(Остановки,MATCH(R3490,ИД_Остановки!$B$3:$B$467,0),1)</f>
        <v>402</v>
      </c>
      <c r="R3490" s="30" t="s">
        <v>459</v>
      </c>
      <c r="S3490" s="20">
        <v>0.53</v>
      </c>
    </row>
    <row r="3491" spans="8:19" x14ac:dyDescent="0.25">
      <c r="H3491">
        <v>25</v>
      </c>
      <c r="I3491">
        <v>260</v>
      </c>
      <c r="J3491">
        <v>110</v>
      </c>
      <c r="K3491" t="b">
        <v>1</v>
      </c>
      <c r="N3491" s="25" t="s">
        <v>608</v>
      </c>
      <c r="O3491" s="2">
        <f>INDEX(Маршруты,MATCH(N3491,$B$3:$B$498,0),1)</f>
        <v>142</v>
      </c>
      <c r="P3491" s="31">
        <v>3</v>
      </c>
      <c r="Q3491" s="2">
        <f>INDEX(Остановки,MATCH(R3491,ИД_Остановки!$B$3:$B$467,0),1)</f>
        <v>167</v>
      </c>
      <c r="R3491" s="30" t="s">
        <v>104</v>
      </c>
      <c r="S3491" s="20">
        <v>0.36</v>
      </c>
    </row>
    <row r="3492" spans="8:19" x14ac:dyDescent="0.25">
      <c r="H3492">
        <v>25</v>
      </c>
      <c r="I3492">
        <v>265</v>
      </c>
      <c r="J3492">
        <v>110</v>
      </c>
      <c r="K3492" t="b">
        <v>1</v>
      </c>
      <c r="N3492" s="25" t="s">
        <v>608</v>
      </c>
      <c r="O3492" s="2">
        <f>INDEX(Маршруты,MATCH(N3492,$B$3:$B$498,0),1)</f>
        <v>142</v>
      </c>
      <c r="P3492" s="29">
        <v>4</v>
      </c>
      <c r="Q3492" s="2">
        <f>INDEX(Остановки,MATCH(R3492,ИД_Остановки!$B$3:$B$467,0),1)</f>
        <v>247</v>
      </c>
      <c r="R3492" s="47" t="s">
        <v>134</v>
      </c>
      <c r="S3492" s="20">
        <v>0.45</v>
      </c>
    </row>
    <row r="3493" spans="8:19" x14ac:dyDescent="0.25">
      <c r="H3493">
        <v>25</v>
      </c>
      <c r="I3493">
        <v>270</v>
      </c>
      <c r="J3493">
        <v>110</v>
      </c>
      <c r="K3493" t="b">
        <v>1</v>
      </c>
      <c r="N3493" s="25" t="s">
        <v>608</v>
      </c>
      <c r="O3493" s="2">
        <f>INDEX(Маршруты,MATCH(N3493,$B$3:$B$498,0),1)</f>
        <v>142</v>
      </c>
      <c r="P3493" s="29">
        <v>5</v>
      </c>
      <c r="Q3493" s="2">
        <f>INDEX(Остановки,MATCH(R3493,ИД_Остановки!$B$3:$B$467,0),1)</f>
        <v>411</v>
      </c>
      <c r="R3493" s="47" t="s">
        <v>467</v>
      </c>
      <c r="S3493" s="20">
        <v>0.6</v>
      </c>
    </row>
    <row r="3494" spans="8:19" x14ac:dyDescent="0.25">
      <c r="H3494">
        <v>25</v>
      </c>
      <c r="I3494">
        <v>275</v>
      </c>
      <c r="J3494">
        <v>110</v>
      </c>
      <c r="K3494" t="b">
        <v>1</v>
      </c>
      <c r="N3494" s="26" t="s">
        <v>608</v>
      </c>
      <c r="O3494" s="2">
        <f>INDEX(Маршруты,MATCH(N3494,$B$3:$B$498,0),1)</f>
        <v>142</v>
      </c>
      <c r="P3494" s="29">
        <v>6</v>
      </c>
      <c r="Q3494" s="2">
        <f>INDEX(Остановки,MATCH(R3494,ИД_Остановки!$B$3:$B$467,0),1)</f>
        <v>248</v>
      </c>
      <c r="R3494" s="47" t="s">
        <v>617</v>
      </c>
      <c r="S3494" s="20">
        <v>0.74</v>
      </c>
    </row>
    <row r="3495" spans="8:19" x14ac:dyDescent="0.25">
      <c r="H3495">
        <v>25</v>
      </c>
      <c r="I3495">
        <v>280</v>
      </c>
      <c r="J3495">
        <v>110</v>
      </c>
      <c r="K3495" t="b">
        <v>1</v>
      </c>
      <c r="N3495" s="26" t="s">
        <v>608</v>
      </c>
      <c r="O3495" s="2">
        <f>INDEX(Маршруты,MATCH(N3495,$B$3:$B$498,0),1)</f>
        <v>142</v>
      </c>
      <c r="P3495" s="29">
        <v>7</v>
      </c>
      <c r="Q3495" s="2">
        <f>INDEX(Остановки,MATCH(R3495,ИД_Остановки!$B$3:$B$467,0),1)</f>
        <v>249</v>
      </c>
      <c r="R3495" s="47" t="s">
        <v>372</v>
      </c>
      <c r="S3495" s="20">
        <v>0.77</v>
      </c>
    </row>
    <row r="3496" spans="8:19" x14ac:dyDescent="0.25">
      <c r="H3496">
        <v>25</v>
      </c>
      <c r="I3496">
        <v>285</v>
      </c>
      <c r="J3496">
        <v>110</v>
      </c>
      <c r="K3496" t="b">
        <v>1</v>
      </c>
      <c r="N3496" s="30" t="s">
        <v>608</v>
      </c>
      <c r="O3496" s="2">
        <f>INDEX(Маршруты,MATCH(N3496,$B$3:$B$498,0),1)</f>
        <v>142</v>
      </c>
      <c r="P3496" s="29">
        <v>8</v>
      </c>
      <c r="Q3496" s="2">
        <f>INDEX(Остановки,MATCH(R3496,ИД_Остановки!$B$3:$B$467,0),1)</f>
        <v>250</v>
      </c>
      <c r="R3496" s="47" t="s">
        <v>373</v>
      </c>
      <c r="S3496" s="20">
        <v>0.32</v>
      </c>
    </row>
    <row r="3497" spans="8:19" x14ac:dyDescent="0.25">
      <c r="H3497">
        <v>25</v>
      </c>
      <c r="I3497">
        <v>290</v>
      </c>
      <c r="J3497">
        <v>110</v>
      </c>
      <c r="K3497" t="b">
        <v>1</v>
      </c>
      <c r="N3497" s="25" t="s">
        <v>608</v>
      </c>
      <c r="O3497" s="2">
        <f>INDEX(Маршруты,MATCH(N3497,$B$3:$B$498,0),1)</f>
        <v>142</v>
      </c>
      <c r="P3497" s="29">
        <v>9</v>
      </c>
      <c r="Q3497" s="2">
        <f>INDEX(Остановки,MATCH(R3497,ИД_Остановки!$B$3:$B$467,0),1)</f>
        <v>222</v>
      </c>
      <c r="R3497" s="47" t="s">
        <v>354</v>
      </c>
      <c r="S3497" s="20">
        <v>0.64</v>
      </c>
    </row>
    <row r="3498" spans="8:19" x14ac:dyDescent="0.25">
      <c r="H3498">
        <v>25</v>
      </c>
      <c r="I3498">
        <v>295</v>
      </c>
      <c r="J3498">
        <v>110</v>
      </c>
      <c r="K3498" t="b">
        <v>1</v>
      </c>
      <c r="N3498" s="30" t="s">
        <v>608</v>
      </c>
      <c r="O3498" s="2">
        <f>INDEX(Маршруты,MATCH(N3498,$B$3:$B$498,0),1)</f>
        <v>142</v>
      </c>
      <c r="P3498" s="29">
        <v>10</v>
      </c>
      <c r="Q3498" s="2">
        <f>INDEX(Остановки,MATCH(R3498,ИД_Остановки!$B$3:$B$467,0),1)</f>
        <v>243</v>
      </c>
      <c r="R3498" s="47" t="s">
        <v>368</v>
      </c>
      <c r="S3498" s="20">
        <v>0.36</v>
      </c>
    </row>
    <row r="3499" spans="8:19" x14ac:dyDescent="0.25">
      <c r="H3499">
        <v>25</v>
      </c>
      <c r="I3499">
        <v>300</v>
      </c>
      <c r="J3499">
        <v>110</v>
      </c>
      <c r="K3499" t="b">
        <v>1</v>
      </c>
      <c r="N3499" s="30" t="s">
        <v>608</v>
      </c>
      <c r="O3499" s="2">
        <f>INDEX(Маршруты,MATCH(N3499,$B$3:$B$498,0),1)</f>
        <v>142</v>
      </c>
      <c r="P3499" s="29">
        <v>11</v>
      </c>
      <c r="Q3499" s="2">
        <f>INDEX(Остановки,MATCH(R3499,ИД_Остановки!$B$3:$B$467,0),1)</f>
        <v>251</v>
      </c>
      <c r="R3499" s="47" t="s">
        <v>164</v>
      </c>
      <c r="S3499" s="20">
        <v>0.7</v>
      </c>
    </row>
    <row r="3500" spans="8:19" x14ac:dyDescent="0.25">
      <c r="H3500">
        <v>25</v>
      </c>
      <c r="I3500">
        <v>305</v>
      </c>
      <c r="J3500">
        <v>110</v>
      </c>
      <c r="K3500" t="b">
        <v>1</v>
      </c>
      <c r="N3500" s="30" t="s">
        <v>608</v>
      </c>
      <c r="O3500" s="2">
        <f>INDEX(Маршруты,MATCH(N3500,$B$3:$B$498,0),1)</f>
        <v>142</v>
      </c>
      <c r="P3500" s="29">
        <v>12</v>
      </c>
      <c r="Q3500" s="2">
        <f>INDEX(Остановки,MATCH(R3500,ИД_Остановки!$B$3:$B$467,0),1)</f>
        <v>244</v>
      </c>
      <c r="R3500" s="47" t="s">
        <v>133</v>
      </c>
      <c r="S3500" s="20">
        <v>0.64</v>
      </c>
    </row>
    <row r="3501" spans="8:19" x14ac:dyDescent="0.25">
      <c r="H3501">
        <v>25</v>
      </c>
      <c r="I3501">
        <v>310</v>
      </c>
      <c r="J3501">
        <v>110</v>
      </c>
      <c r="K3501" t="b">
        <v>1</v>
      </c>
      <c r="N3501" s="25" t="s">
        <v>608</v>
      </c>
      <c r="O3501" s="2">
        <f>INDEX(Маршруты,MATCH(N3501,$B$3:$B$498,0),1)</f>
        <v>142</v>
      </c>
      <c r="P3501" s="29">
        <v>13</v>
      </c>
      <c r="Q3501" s="2">
        <f>INDEX(Остановки,MATCH(R3501,ИД_Остановки!$B$3:$B$467,0),1)</f>
        <v>258</v>
      </c>
      <c r="R3501" s="47" t="s">
        <v>378</v>
      </c>
      <c r="S3501" s="20">
        <v>0.215</v>
      </c>
    </row>
    <row r="3502" spans="8:19" x14ac:dyDescent="0.25">
      <c r="H3502">
        <v>25</v>
      </c>
      <c r="I3502">
        <v>315</v>
      </c>
      <c r="J3502">
        <v>110</v>
      </c>
      <c r="K3502" t="b">
        <v>1</v>
      </c>
      <c r="N3502" s="25" t="s">
        <v>608</v>
      </c>
      <c r="O3502" s="2">
        <f>INDEX(Маршруты,MATCH(N3502,$B$3:$B$498,0),1)</f>
        <v>142</v>
      </c>
      <c r="P3502" s="29">
        <v>14</v>
      </c>
      <c r="Q3502" s="2">
        <f>INDEX(Остановки,MATCH(R3502,ИД_Остановки!$B$3:$B$467,0),1)</f>
        <v>245</v>
      </c>
      <c r="R3502" s="47" t="s">
        <v>369</v>
      </c>
      <c r="S3502" s="20">
        <v>0.3</v>
      </c>
    </row>
    <row r="3503" spans="8:19" x14ac:dyDescent="0.25">
      <c r="H3503">
        <v>25</v>
      </c>
      <c r="I3503">
        <v>320</v>
      </c>
      <c r="J3503">
        <v>110</v>
      </c>
      <c r="K3503" t="b">
        <v>1</v>
      </c>
      <c r="N3503" s="14" t="s">
        <v>608</v>
      </c>
      <c r="O3503" s="2">
        <f>INDEX(Маршруты,MATCH(N3503,$B$3:$B$498,0),1)</f>
        <v>142</v>
      </c>
      <c r="P3503" s="29">
        <v>15</v>
      </c>
      <c r="Q3503" s="2">
        <f>INDEX(Остановки,MATCH(R3503,ИД_Остановки!$B$3:$B$467,0),1)</f>
        <v>236</v>
      </c>
      <c r="R3503" s="47" t="s">
        <v>130</v>
      </c>
      <c r="S3503" s="20">
        <v>0.38</v>
      </c>
    </row>
    <row r="3504" spans="8:19" x14ac:dyDescent="0.25">
      <c r="H3504">
        <v>25</v>
      </c>
      <c r="I3504">
        <v>325</v>
      </c>
      <c r="J3504">
        <v>110</v>
      </c>
      <c r="K3504" t="b">
        <v>1</v>
      </c>
      <c r="N3504" s="30" t="s">
        <v>608</v>
      </c>
      <c r="O3504" s="2">
        <f>INDEX(Маршруты,MATCH(N3504,$B$3:$B$498,0),1)</f>
        <v>142</v>
      </c>
      <c r="P3504" s="29">
        <v>16</v>
      </c>
      <c r="Q3504" s="2">
        <f>INDEX(Остановки,MATCH(R3504,ИД_Остановки!$B$3:$B$467,0),1)</f>
        <v>252</v>
      </c>
      <c r="R3504" s="47" t="s">
        <v>135</v>
      </c>
      <c r="S3504" s="20">
        <v>0.59</v>
      </c>
    </row>
    <row r="3505" spans="8:19" x14ac:dyDescent="0.25">
      <c r="H3505">
        <v>25</v>
      </c>
      <c r="I3505">
        <v>330</v>
      </c>
      <c r="J3505">
        <v>110</v>
      </c>
      <c r="K3505" t="b">
        <v>1</v>
      </c>
      <c r="N3505" s="26" t="s">
        <v>608</v>
      </c>
      <c r="O3505" s="2">
        <f>INDEX(Маршруты,MATCH(N3505,$B$3:$B$498,0),1)</f>
        <v>142</v>
      </c>
      <c r="P3505" s="29">
        <v>17</v>
      </c>
      <c r="Q3505" s="2">
        <f>INDEX(Остановки,MATCH(R3505,ИД_Остановки!$B$3:$B$467,0),1)</f>
        <v>288</v>
      </c>
      <c r="R3505" s="47" t="s">
        <v>388</v>
      </c>
      <c r="S3505" s="20">
        <v>0.28999999999999998</v>
      </c>
    </row>
    <row r="3506" spans="8:19" x14ac:dyDescent="0.25">
      <c r="H3506">
        <v>25</v>
      </c>
      <c r="I3506">
        <v>335</v>
      </c>
      <c r="J3506">
        <v>110</v>
      </c>
      <c r="K3506" t="b">
        <v>1</v>
      </c>
      <c r="N3506" s="30" t="s">
        <v>608</v>
      </c>
      <c r="O3506" s="2">
        <f>INDEX(Маршруты,MATCH(N3506,$B$3:$B$498,0),1)</f>
        <v>142</v>
      </c>
      <c r="P3506" s="29">
        <v>18</v>
      </c>
      <c r="Q3506" s="2">
        <f>INDEX(Остановки,MATCH(R3506,ИД_Остановки!$B$3:$B$467,0),1)</f>
        <v>254</v>
      </c>
      <c r="R3506" s="47" t="s">
        <v>136</v>
      </c>
      <c r="S3506" s="20">
        <v>0.79</v>
      </c>
    </row>
    <row r="3507" spans="8:19" x14ac:dyDescent="0.25">
      <c r="H3507">
        <v>25</v>
      </c>
      <c r="I3507">
        <v>340</v>
      </c>
      <c r="J3507">
        <v>110</v>
      </c>
      <c r="K3507" t="b">
        <v>1</v>
      </c>
      <c r="N3507" s="26" t="s">
        <v>608</v>
      </c>
      <c r="O3507" s="2">
        <f>INDEX(Маршруты,MATCH(N3507,$B$3:$B$498,0),1)</f>
        <v>142</v>
      </c>
      <c r="P3507" s="29">
        <v>19</v>
      </c>
      <c r="Q3507" s="2">
        <f>INDEX(Остановки,MATCH(R3507,ИД_Остановки!$B$3:$B$467,0),1)</f>
        <v>160</v>
      </c>
      <c r="R3507" s="47" t="s">
        <v>323</v>
      </c>
      <c r="S3507" s="20">
        <v>0.49</v>
      </c>
    </row>
    <row r="3508" spans="8:19" x14ac:dyDescent="0.25">
      <c r="H3508">
        <v>25</v>
      </c>
      <c r="I3508">
        <v>345</v>
      </c>
      <c r="J3508">
        <v>110</v>
      </c>
      <c r="K3508" t="b">
        <v>1</v>
      </c>
      <c r="N3508" s="30" t="s">
        <v>608</v>
      </c>
      <c r="O3508" s="2">
        <f>INDEX(Маршруты,MATCH(N3508,$B$3:$B$498,0),1)</f>
        <v>142</v>
      </c>
      <c r="P3508" s="29">
        <v>20</v>
      </c>
      <c r="Q3508" s="2">
        <f>INDEX(Остановки,MATCH(R3508,ИД_Остановки!$B$3:$B$467,0),1)</f>
        <v>337</v>
      </c>
      <c r="R3508" s="47" t="s">
        <v>407</v>
      </c>
      <c r="S3508" s="20">
        <v>0.6</v>
      </c>
    </row>
    <row r="3509" spans="8:19" x14ac:dyDescent="0.25">
      <c r="H3509">
        <v>25</v>
      </c>
      <c r="I3509">
        <v>350</v>
      </c>
      <c r="J3509">
        <v>110</v>
      </c>
      <c r="K3509" t="b">
        <v>1</v>
      </c>
      <c r="N3509" s="25" t="s">
        <v>608</v>
      </c>
      <c r="O3509" s="2">
        <f>INDEX(Маршруты,MATCH(N3509,$B$3:$B$498,0),1)</f>
        <v>142</v>
      </c>
      <c r="P3509" s="29">
        <v>21</v>
      </c>
      <c r="Q3509" s="2">
        <f>INDEX(Остановки,MATCH(R3509,ИД_Остановки!$B$3:$B$467,0),1)</f>
        <v>441</v>
      </c>
      <c r="R3509" s="47" t="s">
        <v>645</v>
      </c>
      <c r="S3509" s="20">
        <v>0.65</v>
      </c>
    </row>
    <row r="3510" spans="8:19" x14ac:dyDescent="0.25">
      <c r="H3510">
        <v>25</v>
      </c>
      <c r="I3510">
        <v>355</v>
      </c>
      <c r="J3510">
        <v>110</v>
      </c>
      <c r="K3510" t="b">
        <v>1</v>
      </c>
      <c r="N3510" s="26" t="s">
        <v>608</v>
      </c>
      <c r="O3510" s="2">
        <f>INDEX(Маршруты,MATCH(N3510,$B$3:$B$498,0),1)</f>
        <v>142</v>
      </c>
      <c r="P3510" s="29">
        <v>22</v>
      </c>
      <c r="Q3510" s="2">
        <f>INDEX(Остановки,MATCH(R3510,ИД_Остановки!$B$3:$B$467,0),1)</f>
        <v>23</v>
      </c>
      <c r="R3510" s="47" t="s">
        <v>24</v>
      </c>
      <c r="S3510" s="20">
        <v>0.67</v>
      </c>
    </row>
    <row r="3511" spans="8:19" x14ac:dyDescent="0.25">
      <c r="H3511">
        <v>25</v>
      </c>
      <c r="I3511">
        <v>360</v>
      </c>
      <c r="J3511">
        <v>110</v>
      </c>
      <c r="K3511" t="b">
        <v>1</v>
      </c>
      <c r="N3511" s="30" t="s">
        <v>608</v>
      </c>
      <c r="O3511" s="2">
        <f>INDEX(Маршруты,MATCH(N3511,$B$3:$B$498,0),1)</f>
        <v>142</v>
      </c>
      <c r="P3511" s="29">
        <v>23</v>
      </c>
      <c r="Q3511" s="2">
        <f>INDEX(Остановки,MATCH(R3511,ИД_Остановки!$B$3:$B$467,0),1)</f>
        <v>24</v>
      </c>
      <c r="R3511" s="47" t="s">
        <v>252</v>
      </c>
      <c r="S3511" s="20">
        <v>0.57999999999999996</v>
      </c>
    </row>
    <row r="3512" spans="8:19" x14ac:dyDescent="0.25">
      <c r="H3512">
        <v>25</v>
      </c>
      <c r="I3512">
        <v>365</v>
      </c>
      <c r="J3512">
        <v>110</v>
      </c>
      <c r="K3512" t="b">
        <v>1</v>
      </c>
      <c r="N3512" s="30" t="s">
        <v>608</v>
      </c>
      <c r="O3512" s="2">
        <f>INDEX(Маршруты,MATCH(N3512,$B$3:$B$498,0),1)</f>
        <v>142</v>
      </c>
      <c r="P3512" s="29">
        <v>24</v>
      </c>
      <c r="Q3512" s="2">
        <f>INDEX(Остановки,MATCH(R3512,ИД_Остановки!$B$3:$B$467,0),1)</f>
        <v>25</v>
      </c>
      <c r="R3512" s="47" t="s">
        <v>612</v>
      </c>
      <c r="S3512" s="20">
        <v>0.65</v>
      </c>
    </row>
    <row r="3513" spans="8:19" x14ac:dyDescent="0.25">
      <c r="H3513">
        <v>25</v>
      </c>
      <c r="I3513">
        <v>370</v>
      </c>
      <c r="J3513">
        <v>110</v>
      </c>
      <c r="K3513" t="b">
        <v>1</v>
      </c>
      <c r="N3513" s="26" t="s">
        <v>608</v>
      </c>
      <c r="O3513" s="2">
        <f>INDEX(Маршруты,MATCH(N3513,$B$3:$B$498,0),1)</f>
        <v>142</v>
      </c>
      <c r="P3513" s="29">
        <v>25</v>
      </c>
      <c r="Q3513" s="2">
        <f>INDEX(Остановки,MATCH(R3513,ИД_Остановки!$B$3:$B$467,0),1)</f>
        <v>26</v>
      </c>
      <c r="R3513" s="47" t="s">
        <v>254</v>
      </c>
      <c r="S3513" s="20">
        <v>0.53</v>
      </c>
    </row>
    <row r="3514" spans="8:19" x14ac:dyDescent="0.25">
      <c r="H3514">
        <v>25</v>
      </c>
      <c r="I3514">
        <v>375</v>
      </c>
      <c r="J3514">
        <v>110</v>
      </c>
      <c r="K3514" t="b">
        <v>1</v>
      </c>
      <c r="N3514" s="25" t="s">
        <v>608</v>
      </c>
      <c r="O3514" s="2">
        <f>INDEX(Маршруты,MATCH(N3514,$B$3:$B$498,0),1)</f>
        <v>142</v>
      </c>
      <c r="P3514" s="31">
        <v>26</v>
      </c>
      <c r="Q3514" s="2">
        <f>INDEX(Остановки,MATCH(R3514,ИД_Остановки!$B$3:$B$467,0),1)</f>
        <v>372</v>
      </c>
      <c r="R3514" s="30" t="s">
        <v>430</v>
      </c>
      <c r="S3514" s="20">
        <v>0.45</v>
      </c>
    </row>
    <row r="3515" spans="8:19" x14ac:dyDescent="0.25">
      <c r="H3515">
        <v>25</v>
      </c>
      <c r="I3515">
        <v>380</v>
      </c>
      <c r="J3515">
        <v>110</v>
      </c>
      <c r="K3515" t="b">
        <v>1</v>
      </c>
      <c r="N3515" s="30" t="s">
        <v>608</v>
      </c>
      <c r="O3515" s="2">
        <f>INDEX(Маршруты,MATCH(N3515,$B$3:$B$498,0),1)</f>
        <v>142</v>
      </c>
      <c r="P3515" s="29">
        <v>27</v>
      </c>
      <c r="Q3515" s="2">
        <f>INDEX(Остановки,MATCH(R3515,ИД_Остановки!$B$3:$B$467,0),1)</f>
        <v>28</v>
      </c>
      <c r="R3515" s="47" t="s">
        <v>26</v>
      </c>
      <c r="S3515" s="20">
        <v>1.24</v>
      </c>
    </row>
    <row r="3516" spans="8:19" x14ac:dyDescent="0.25">
      <c r="H3516">
        <v>25</v>
      </c>
      <c r="I3516">
        <v>385</v>
      </c>
      <c r="J3516">
        <v>110</v>
      </c>
      <c r="K3516" t="b">
        <v>1</v>
      </c>
      <c r="N3516" s="25" t="s">
        <v>608</v>
      </c>
      <c r="O3516" s="2">
        <f>INDEX(Маршруты,MATCH(N3516,$B$3:$B$498,0),1)</f>
        <v>142</v>
      </c>
      <c r="P3516" s="29">
        <v>28</v>
      </c>
      <c r="Q3516" s="2">
        <f>INDEX(Остановки,MATCH(R3516,ИД_Остановки!$B$3:$B$467,0),1)</f>
        <v>100</v>
      </c>
      <c r="R3516" s="47" t="s">
        <v>70</v>
      </c>
      <c r="S3516" s="20">
        <v>2.2999999999999998</v>
      </c>
    </row>
    <row r="3517" spans="8:19" x14ac:dyDescent="0.25">
      <c r="H3517">
        <v>25</v>
      </c>
      <c r="I3517">
        <v>390</v>
      </c>
      <c r="J3517">
        <v>110</v>
      </c>
      <c r="K3517" t="b">
        <v>1</v>
      </c>
      <c r="N3517" s="30" t="s">
        <v>608</v>
      </c>
      <c r="O3517" s="2">
        <f>INDEX(Маршруты,MATCH(N3517,$B$3:$B$498,0),1)</f>
        <v>142</v>
      </c>
      <c r="P3517" s="29">
        <v>29</v>
      </c>
      <c r="Q3517" s="2">
        <f>INDEX(Остановки,MATCH(R3517,ИД_Остановки!$B$3:$B$467,0),1)</f>
        <v>101</v>
      </c>
      <c r="R3517" s="47" t="s">
        <v>71</v>
      </c>
      <c r="S3517" s="20">
        <v>0.62</v>
      </c>
    </row>
    <row r="3518" spans="8:19" x14ac:dyDescent="0.25">
      <c r="H3518">
        <v>25</v>
      </c>
      <c r="I3518">
        <v>395</v>
      </c>
      <c r="J3518">
        <v>110</v>
      </c>
      <c r="K3518" t="b">
        <v>1</v>
      </c>
      <c r="N3518" s="25" t="s">
        <v>608</v>
      </c>
      <c r="O3518" s="2">
        <f>INDEX(Маршруты,MATCH(N3518,$B$3:$B$498,0),1)</f>
        <v>142</v>
      </c>
      <c r="P3518" s="29">
        <v>30</v>
      </c>
      <c r="Q3518" s="2">
        <f>INDEX(Остановки,MATCH(R3518,ИД_Остановки!$B$3:$B$467,0),1)</f>
        <v>349</v>
      </c>
      <c r="R3518" s="47" t="s">
        <v>58</v>
      </c>
      <c r="S3518" s="20">
        <v>0.28999999999999998</v>
      </c>
    </row>
    <row r="3519" spans="8:19" x14ac:dyDescent="0.25">
      <c r="H3519">
        <v>25</v>
      </c>
      <c r="I3519">
        <v>400</v>
      </c>
      <c r="J3519">
        <v>110</v>
      </c>
      <c r="K3519" t="b">
        <v>1</v>
      </c>
      <c r="N3519" s="25" t="s">
        <v>608</v>
      </c>
      <c r="O3519" s="2">
        <f>INDEX(Маршруты,MATCH(N3519,$B$3:$B$498,0),1)</f>
        <v>142</v>
      </c>
      <c r="P3519" s="29">
        <v>31</v>
      </c>
      <c r="Q3519" s="2">
        <f>INDEX(Остановки,MATCH(R3519,ИД_Остановки!$B$3:$B$467,0),1)</f>
        <v>102</v>
      </c>
      <c r="R3519" s="47" t="s">
        <v>72</v>
      </c>
      <c r="S3519" s="20">
        <v>0.47</v>
      </c>
    </row>
    <row r="3520" spans="8:19" x14ac:dyDescent="0.25">
      <c r="H3520">
        <v>25</v>
      </c>
      <c r="I3520">
        <v>405</v>
      </c>
      <c r="J3520">
        <v>110</v>
      </c>
      <c r="K3520" t="b">
        <v>1</v>
      </c>
      <c r="N3520" s="25" t="s">
        <v>608</v>
      </c>
      <c r="O3520" s="2">
        <f>INDEX(Маршруты,MATCH(N3520,$B$3:$B$498,0),1)</f>
        <v>142</v>
      </c>
      <c r="P3520" s="29">
        <v>32</v>
      </c>
      <c r="Q3520" s="2">
        <f>INDEX(Остановки,MATCH(R3520,ИД_Остановки!$B$3:$B$467,0),1)</f>
        <v>204</v>
      </c>
      <c r="R3520" s="47" t="s">
        <v>342</v>
      </c>
      <c r="S3520" s="20">
        <v>0.42</v>
      </c>
    </row>
    <row r="3521" spans="8:19" x14ac:dyDescent="0.25">
      <c r="H3521">
        <v>25</v>
      </c>
      <c r="I3521">
        <v>410</v>
      </c>
      <c r="J3521">
        <v>110</v>
      </c>
      <c r="K3521" t="b">
        <v>1</v>
      </c>
      <c r="N3521" s="30" t="s">
        <v>608</v>
      </c>
      <c r="O3521" s="2">
        <f>INDEX(Маршруты,MATCH(N3521,$B$3:$B$498,0),1)</f>
        <v>142</v>
      </c>
      <c r="P3521" s="29">
        <v>33</v>
      </c>
      <c r="Q3521" s="2">
        <f>INDEX(Остановки,MATCH(R3521,ИД_Остановки!$B$3:$B$467,0),1)</f>
        <v>33</v>
      </c>
      <c r="R3521" s="47" t="s">
        <v>29</v>
      </c>
      <c r="S3521" s="20">
        <v>0.3</v>
      </c>
    </row>
    <row r="3522" spans="8:19" x14ac:dyDescent="0.25">
      <c r="H3522">
        <v>25</v>
      </c>
      <c r="I3522">
        <v>415</v>
      </c>
      <c r="J3522">
        <v>110</v>
      </c>
      <c r="K3522" t="b">
        <v>1</v>
      </c>
      <c r="N3522" s="25" t="s">
        <v>608</v>
      </c>
      <c r="O3522" s="2">
        <f>INDEX(Маршруты,MATCH(N3522,$B$3:$B$498,0),1)</f>
        <v>142</v>
      </c>
      <c r="P3522" s="31">
        <v>34</v>
      </c>
      <c r="Q3522" s="2">
        <f>INDEX(Остановки,MATCH(R3522,ИД_Остановки!$B$3:$B$467,0),1)</f>
        <v>93</v>
      </c>
      <c r="R3522" s="30" t="s">
        <v>65</v>
      </c>
      <c r="S3522" s="21">
        <v>0.52</v>
      </c>
    </row>
    <row r="3523" spans="8:19" x14ac:dyDescent="0.25">
      <c r="H3523">
        <v>25</v>
      </c>
      <c r="I3523">
        <v>420</v>
      </c>
      <c r="J3523">
        <v>110</v>
      </c>
      <c r="K3523" t="b">
        <v>1</v>
      </c>
      <c r="N3523" s="30" t="s">
        <v>608</v>
      </c>
      <c r="O3523" s="2">
        <f>INDEX(Маршруты,MATCH(N3523,$B$3:$B$498,0),1)</f>
        <v>142</v>
      </c>
      <c r="P3523" s="29">
        <v>35</v>
      </c>
      <c r="Q3523" s="2">
        <f>INDEX(Остановки,MATCH(R3523,ИД_Остановки!$B$3:$B$467,0),1)</f>
        <v>82</v>
      </c>
      <c r="R3523" s="30" t="s">
        <v>59</v>
      </c>
      <c r="S3523" s="20">
        <v>0.52</v>
      </c>
    </row>
    <row r="3524" spans="8:19" x14ac:dyDescent="0.25">
      <c r="H3524">
        <v>25</v>
      </c>
      <c r="I3524">
        <v>425</v>
      </c>
      <c r="J3524">
        <v>110</v>
      </c>
      <c r="K3524" t="b">
        <v>1</v>
      </c>
      <c r="N3524" s="26" t="s">
        <v>608</v>
      </c>
      <c r="O3524" s="2">
        <f>INDEX(Маршруты,MATCH(N3524,$B$3:$B$498,0),1)</f>
        <v>142</v>
      </c>
      <c r="P3524" s="29">
        <v>36</v>
      </c>
      <c r="Q3524" s="2">
        <f>INDEX(Остановки,MATCH(R3524,ИД_Остановки!$B$3:$B$467,0),1)</f>
        <v>146</v>
      </c>
      <c r="R3524" s="47" t="s">
        <v>315</v>
      </c>
      <c r="S3524" s="20">
        <v>0.47</v>
      </c>
    </row>
    <row r="3525" spans="8:19" x14ac:dyDescent="0.25">
      <c r="H3525">
        <v>25</v>
      </c>
      <c r="I3525">
        <v>430</v>
      </c>
      <c r="J3525">
        <v>110</v>
      </c>
      <c r="K3525" t="b">
        <v>1</v>
      </c>
      <c r="N3525" s="32" t="s">
        <v>608</v>
      </c>
      <c r="O3525" s="2">
        <f>INDEX(Маршруты,MATCH(N3525,$B$3:$B$498,0),1)</f>
        <v>142</v>
      </c>
      <c r="P3525" s="29">
        <v>37</v>
      </c>
      <c r="Q3525" s="2">
        <f>INDEX(Остановки,MATCH(R3525,ИД_Остановки!$B$3:$B$467,0),1)</f>
        <v>83</v>
      </c>
      <c r="R3525" s="47" t="s">
        <v>280</v>
      </c>
      <c r="S3525" s="20">
        <v>0.44</v>
      </c>
    </row>
    <row r="3526" spans="8:19" x14ac:dyDescent="0.25">
      <c r="H3526">
        <v>25</v>
      </c>
      <c r="I3526">
        <v>435</v>
      </c>
      <c r="J3526">
        <v>110</v>
      </c>
      <c r="K3526" t="b">
        <v>1</v>
      </c>
      <c r="N3526" s="25" t="s">
        <v>608</v>
      </c>
      <c r="O3526" s="2">
        <f>INDEX(Маршруты,MATCH(N3526,$B$3:$B$498,0),1)</f>
        <v>142</v>
      </c>
      <c r="P3526" s="29">
        <v>38</v>
      </c>
      <c r="Q3526" s="2">
        <f>INDEX(Остановки,MATCH(R3526,ИД_Остановки!$B$3:$B$467,0),1)</f>
        <v>103</v>
      </c>
      <c r="R3526" s="47" t="s">
        <v>288</v>
      </c>
      <c r="S3526" s="20">
        <v>0.3</v>
      </c>
    </row>
    <row r="3527" spans="8:19" x14ac:dyDescent="0.25">
      <c r="H3527">
        <v>25</v>
      </c>
      <c r="I3527">
        <v>440</v>
      </c>
      <c r="J3527">
        <v>110</v>
      </c>
      <c r="K3527" t="b">
        <v>1</v>
      </c>
      <c r="N3527" s="26" t="s">
        <v>608</v>
      </c>
      <c r="O3527" s="2">
        <f>INDEX(Маршруты,MATCH(N3527,$B$3:$B$498,0),1)</f>
        <v>142</v>
      </c>
      <c r="P3527" s="29">
        <v>39</v>
      </c>
      <c r="Q3527" s="2">
        <f>INDEX(Остановки,MATCH(R3527,ИД_Остановки!$B$3:$B$467,0),1)</f>
        <v>380</v>
      </c>
      <c r="R3527" s="47" t="s">
        <v>438</v>
      </c>
      <c r="S3527" s="20">
        <v>0.5</v>
      </c>
    </row>
    <row r="3528" spans="8:19" x14ac:dyDescent="0.25">
      <c r="H3528">
        <v>25</v>
      </c>
      <c r="I3528">
        <v>445</v>
      </c>
      <c r="J3528">
        <v>110</v>
      </c>
      <c r="K3528" t="b">
        <v>1</v>
      </c>
      <c r="N3528" s="25" t="s">
        <v>608</v>
      </c>
      <c r="O3528" s="2">
        <f>INDEX(Маршруты,MATCH(N3528,$B$3:$B$498,0),1)</f>
        <v>142</v>
      </c>
      <c r="P3528" s="31">
        <v>40</v>
      </c>
      <c r="Q3528" s="2">
        <f>INDEX(Остановки,MATCH(R3528,ИД_Остановки!$B$3:$B$467,0),1)</f>
        <v>84</v>
      </c>
      <c r="R3528" s="30" t="s">
        <v>281</v>
      </c>
      <c r="S3528" s="20">
        <v>0.39</v>
      </c>
    </row>
    <row r="3529" spans="8:19" x14ac:dyDescent="0.25">
      <c r="H3529">
        <v>25</v>
      </c>
      <c r="I3529">
        <v>450</v>
      </c>
      <c r="J3529">
        <v>110</v>
      </c>
      <c r="K3529" t="b">
        <v>1</v>
      </c>
      <c r="N3529" s="30" t="s">
        <v>608</v>
      </c>
      <c r="O3529" s="2">
        <f>INDEX(Маршруты,MATCH(N3529,$B$3:$B$498,0),1)</f>
        <v>142</v>
      </c>
      <c r="P3529" s="29">
        <v>41</v>
      </c>
      <c r="Q3529" s="2">
        <f>INDEX(Остановки,MATCH(R3529,ИД_Остановки!$B$3:$B$467,0),1)</f>
        <v>105</v>
      </c>
      <c r="R3529" s="47" t="s">
        <v>290</v>
      </c>
      <c r="S3529" s="20">
        <v>0.54</v>
      </c>
    </row>
    <row r="3530" spans="8:19" x14ac:dyDescent="0.25">
      <c r="H3530">
        <v>25</v>
      </c>
      <c r="I3530">
        <v>455</v>
      </c>
      <c r="J3530">
        <v>110</v>
      </c>
      <c r="K3530" t="b">
        <v>1</v>
      </c>
      <c r="N3530" s="25" t="s">
        <v>608</v>
      </c>
      <c r="O3530" s="2">
        <f>INDEX(Маршруты,MATCH(N3530,$B$3:$B$498,0),1)</f>
        <v>142</v>
      </c>
      <c r="P3530" s="31">
        <v>42</v>
      </c>
      <c r="Q3530" s="2">
        <f>INDEX(Остановки,MATCH(R3530,ИД_Остановки!$B$3:$B$467,0),1)</f>
        <v>106</v>
      </c>
      <c r="R3530" s="30" t="s">
        <v>291</v>
      </c>
      <c r="S3530" s="20">
        <v>0.34</v>
      </c>
    </row>
    <row r="3531" spans="8:19" x14ac:dyDescent="0.25">
      <c r="H3531">
        <v>25</v>
      </c>
      <c r="I3531">
        <v>460</v>
      </c>
      <c r="J3531">
        <v>110</v>
      </c>
      <c r="K3531" t="b">
        <v>1</v>
      </c>
      <c r="N3531" s="30" t="s">
        <v>608</v>
      </c>
      <c r="O3531" s="2">
        <f>INDEX(Маршруты,MATCH(N3531,$B$3:$B$498,0),1)</f>
        <v>142</v>
      </c>
      <c r="P3531" s="29">
        <v>43</v>
      </c>
      <c r="Q3531" s="2">
        <f>INDEX(Остановки,MATCH(R3531,ИД_Остановки!$B$3:$B$467,0),1)</f>
        <v>86</v>
      </c>
      <c r="R3531" s="47" t="s">
        <v>61</v>
      </c>
      <c r="S3531" s="20">
        <v>0.66</v>
      </c>
    </row>
    <row r="3532" spans="8:19" x14ac:dyDescent="0.25">
      <c r="H3532">
        <v>25</v>
      </c>
      <c r="I3532">
        <v>465</v>
      </c>
      <c r="J3532">
        <v>110</v>
      </c>
      <c r="K3532" t="b">
        <v>1</v>
      </c>
      <c r="N3532" s="30" t="s">
        <v>608</v>
      </c>
      <c r="O3532" s="2">
        <f>INDEX(Маршруты,MATCH(N3532,$B$3:$B$498,0),1)</f>
        <v>142</v>
      </c>
      <c r="P3532" s="29">
        <v>44</v>
      </c>
      <c r="Q3532" s="2">
        <f>INDEX(Остановки,MATCH(R3532,ИД_Остановки!$B$3:$B$467,0),1)</f>
        <v>88</v>
      </c>
      <c r="R3532" s="47" t="s">
        <v>63</v>
      </c>
      <c r="S3532" s="20">
        <v>1.2</v>
      </c>
    </row>
    <row r="3533" spans="8:19" x14ac:dyDescent="0.25">
      <c r="H3533">
        <v>25</v>
      </c>
      <c r="I3533">
        <v>470</v>
      </c>
      <c r="J3533">
        <v>110</v>
      </c>
      <c r="K3533" t="b">
        <v>1</v>
      </c>
      <c r="N3533" s="30" t="s">
        <v>608</v>
      </c>
      <c r="O3533" s="2">
        <f>INDEX(Маршруты,MATCH(N3533,$B$3:$B$498,0),1)</f>
        <v>142</v>
      </c>
      <c r="P3533" s="29">
        <v>45</v>
      </c>
      <c r="Q3533" s="2">
        <f>INDEX(Остановки,MATCH(R3533,ИД_Остановки!$B$3:$B$467,0),1)</f>
        <v>89</v>
      </c>
      <c r="R3533" s="47" t="s">
        <v>64</v>
      </c>
      <c r="S3533" s="20">
        <v>0.79</v>
      </c>
    </row>
    <row r="3534" spans="8:19" x14ac:dyDescent="0.25">
      <c r="H3534">
        <v>25</v>
      </c>
      <c r="I3534">
        <v>475</v>
      </c>
      <c r="J3534">
        <v>110</v>
      </c>
      <c r="K3534" t="b">
        <v>1</v>
      </c>
      <c r="N3534" s="25" t="s">
        <v>608</v>
      </c>
      <c r="O3534" s="2">
        <f>INDEX(Маршруты,MATCH(N3534,$B$3:$B$498,0),1)</f>
        <v>142</v>
      </c>
      <c r="P3534" s="31">
        <v>46</v>
      </c>
      <c r="Q3534" s="2">
        <f>INDEX(Остановки,MATCH(R3534,ИД_Остановки!$B$3:$B$467,0),1)</f>
        <v>90</v>
      </c>
      <c r="R3534" s="30" t="s">
        <v>282</v>
      </c>
      <c r="S3534" s="20">
        <v>0.54</v>
      </c>
    </row>
    <row r="3535" spans="8:19" x14ac:dyDescent="0.25">
      <c r="H3535">
        <v>25</v>
      </c>
      <c r="I3535">
        <v>480</v>
      </c>
      <c r="J3535">
        <v>110</v>
      </c>
      <c r="K3535" t="b">
        <v>1</v>
      </c>
      <c r="N3535" s="30" t="s">
        <v>608</v>
      </c>
      <c r="O3535" s="2">
        <f>INDEX(Маршруты,MATCH(N3535,$B$3:$B$498,0),1)</f>
        <v>142</v>
      </c>
      <c r="P3535" s="29">
        <v>47</v>
      </c>
      <c r="Q3535" s="2">
        <f>INDEX(Остановки,MATCH(R3535,ИД_Остановки!$B$3:$B$467,0),1)</f>
        <v>91</v>
      </c>
      <c r="R3535" s="47" t="s">
        <v>283</v>
      </c>
      <c r="S3535" s="20">
        <v>0.74</v>
      </c>
    </row>
    <row r="3536" spans="8:19" x14ac:dyDescent="0.25">
      <c r="H3536">
        <v>25</v>
      </c>
      <c r="I3536">
        <v>485</v>
      </c>
      <c r="J3536">
        <v>110</v>
      </c>
      <c r="K3536" t="b">
        <v>1</v>
      </c>
      <c r="N3536" s="30" t="s">
        <v>608</v>
      </c>
      <c r="O3536" s="2">
        <f>INDEX(Маршруты,MATCH(N3536,$B$3:$B$498,0),1)</f>
        <v>142</v>
      </c>
      <c r="P3536" s="29">
        <v>48</v>
      </c>
      <c r="Q3536" s="2">
        <f>INDEX(Остановки,MATCH(R3536,ИД_Остановки!$B$3:$B$467,0),1)</f>
        <v>107</v>
      </c>
      <c r="R3536" s="47" t="s">
        <v>292</v>
      </c>
      <c r="S3536" s="20">
        <v>0.46</v>
      </c>
    </row>
    <row r="3537" spans="8:19" x14ac:dyDescent="0.25">
      <c r="H3537">
        <v>25</v>
      </c>
      <c r="I3537">
        <v>490</v>
      </c>
      <c r="J3537">
        <v>110</v>
      </c>
      <c r="K3537" t="b">
        <v>1</v>
      </c>
      <c r="N3537" s="25" t="s">
        <v>608</v>
      </c>
      <c r="O3537" s="2">
        <f>INDEX(Маршруты,MATCH(N3537,$B$3:$B$498,0),1)</f>
        <v>142</v>
      </c>
      <c r="P3537" s="29">
        <v>49</v>
      </c>
      <c r="Q3537" s="2">
        <f>INDEX(Остановки,MATCH(R3537,ИД_Остановки!$B$3:$B$467,0),1)</f>
        <v>108</v>
      </c>
      <c r="R3537" s="47" t="s">
        <v>648</v>
      </c>
      <c r="S3537" s="20">
        <v>0.55000000000000004</v>
      </c>
    </row>
    <row r="3538" spans="8:19" x14ac:dyDescent="0.25">
      <c r="H3538">
        <v>25</v>
      </c>
      <c r="I3538">
        <v>495</v>
      </c>
      <c r="J3538">
        <v>110</v>
      </c>
      <c r="K3538" t="b">
        <v>1</v>
      </c>
      <c r="N3538" s="25" t="s">
        <v>608</v>
      </c>
      <c r="O3538" s="2">
        <f>INDEX(Маршруты,MATCH(N3538,$B$3:$B$498,0),1)</f>
        <v>142</v>
      </c>
      <c r="P3538" s="29">
        <v>50</v>
      </c>
      <c r="Q3538" s="2">
        <f>INDEX(Остановки,MATCH(R3538,ИД_Остановки!$B$3:$B$467,0),1)</f>
        <v>80</v>
      </c>
      <c r="R3538" s="47" t="s">
        <v>57</v>
      </c>
      <c r="S3538" s="20">
        <v>0.76</v>
      </c>
    </row>
    <row r="3539" spans="8:19" x14ac:dyDescent="0.25">
      <c r="H3539">
        <v>25</v>
      </c>
      <c r="I3539">
        <v>500</v>
      </c>
      <c r="J3539">
        <v>110</v>
      </c>
      <c r="K3539" t="b">
        <v>1</v>
      </c>
      <c r="N3539" s="25" t="s">
        <v>608</v>
      </c>
      <c r="O3539" s="2">
        <f>INDEX(Маршруты,MATCH(N3539,$B$3:$B$498,0),1)</f>
        <v>142</v>
      </c>
      <c r="P3539" s="29">
        <v>51</v>
      </c>
      <c r="Q3539" s="2">
        <f>INDEX(Остановки,MATCH(R3539,ИД_Остановки!$B$3:$B$467,0),1)</f>
        <v>125</v>
      </c>
      <c r="R3539" s="47" t="s">
        <v>79</v>
      </c>
      <c r="S3539" s="20">
        <v>0.44</v>
      </c>
    </row>
    <row r="3540" spans="8:19" x14ac:dyDescent="0.25">
      <c r="H3540">
        <v>25</v>
      </c>
      <c r="I3540">
        <v>505</v>
      </c>
      <c r="J3540">
        <v>110</v>
      </c>
      <c r="K3540" t="b">
        <v>1</v>
      </c>
      <c r="N3540" s="25" t="s">
        <v>608</v>
      </c>
      <c r="O3540" s="2">
        <f>INDEX(Маршруты,MATCH(N3540,$B$3:$B$498,0),1)</f>
        <v>142</v>
      </c>
      <c r="P3540" s="29">
        <v>52</v>
      </c>
      <c r="Q3540" s="2">
        <f>INDEX(Остановки,MATCH(R3540,ИД_Остановки!$B$3:$B$467,0),1)</f>
        <v>445</v>
      </c>
      <c r="R3540" s="47" t="s">
        <v>302</v>
      </c>
      <c r="S3540" s="20">
        <v>0.48</v>
      </c>
    </row>
    <row r="3541" spans="8:19" x14ac:dyDescent="0.25">
      <c r="H3541">
        <v>25</v>
      </c>
      <c r="I3541">
        <v>510</v>
      </c>
      <c r="J3541">
        <v>110</v>
      </c>
      <c r="K3541" t="b">
        <v>1</v>
      </c>
      <c r="N3541" s="25" t="s">
        <v>608</v>
      </c>
      <c r="O3541" s="2">
        <f>INDEX(Маршруты,MATCH(N3541,$B$3:$B$498,0),1)</f>
        <v>142</v>
      </c>
      <c r="P3541" s="29">
        <v>53</v>
      </c>
      <c r="Q3541" s="2">
        <f>INDEX(Остановки,MATCH(R3541,ИД_Остановки!$B$3:$B$467,0),1)</f>
        <v>94</v>
      </c>
      <c r="R3541" s="47" t="s">
        <v>66</v>
      </c>
      <c r="S3541" s="20">
        <v>0.8</v>
      </c>
    </row>
    <row r="3542" spans="8:19" x14ac:dyDescent="0.25">
      <c r="H3542">
        <v>25</v>
      </c>
      <c r="I3542">
        <v>515</v>
      </c>
      <c r="J3542">
        <v>110</v>
      </c>
      <c r="K3542" t="b">
        <v>1</v>
      </c>
      <c r="N3542" s="26" t="s">
        <v>608</v>
      </c>
      <c r="O3542" s="2">
        <f>INDEX(Маршруты,MATCH(N3542,$B$3:$B$498,0),1)</f>
        <v>142</v>
      </c>
      <c r="P3542" s="29">
        <v>54</v>
      </c>
      <c r="Q3542" s="2">
        <f>INDEX(Остановки,MATCH(R3542,ИД_Остановки!$B$3:$B$467,0),1)</f>
        <v>126</v>
      </c>
      <c r="R3542" s="47" t="s">
        <v>303</v>
      </c>
      <c r="S3542" s="20">
        <v>0.48</v>
      </c>
    </row>
    <row r="3543" spans="8:19" x14ac:dyDescent="0.25">
      <c r="H3543">
        <v>25</v>
      </c>
      <c r="I3543">
        <v>520</v>
      </c>
      <c r="J3543">
        <v>110</v>
      </c>
      <c r="K3543" t="b">
        <v>1</v>
      </c>
      <c r="N3543" s="25" t="s">
        <v>608</v>
      </c>
      <c r="O3543" s="2">
        <f>INDEX(Маршруты,MATCH(N3543,$B$3:$B$498,0),1)</f>
        <v>142</v>
      </c>
      <c r="P3543" s="29">
        <v>55</v>
      </c>
      <c r="Q3543" s="2">
        <f>INDEX(Остановки,MATCH(R3543,ИД_Остановки!$B$3:$B$467,0),1)</f>
        <v>95</v>
      </c>
      <c r="R3543" s="47" t="s">
        <v>67</v>
      </c>
      <c r="S3543" s="20">
        <v>0.36</v>
      </c>
    </row>
    <row r="3544" spans="8:19" x14ac:dyDescent="0.25">
      <c r="H3544">
        <v>25</v>
      </c>
      <c r="I3544">
        <v>525</v>
      </c>
      <c r="J3544">
        <v>110</v>
      </c>
      <c r="K3544" t="b">
        <v>1</v>
      </c>
      <c r="N3544" s="25" t="s">
        <v>608</v>
      </c>
      <c r="O3544" s="2">
        <f>INDEX(Маршруты,MATCH(N3544,$B$3:$B$498,0),1)</f>
        <v>142</v>
      </c>
      <c r="P3544" s="29">
        <v>56</v>
      </c>
      <c r="Q3544" s="2">
        <f>INDEX(Остановки,MATCH(R3544,ИД_Остановки!$B$3:$B$467,0),1)</f>
        <v>127</v>
      </c>
      <c r="R3544" s="47" t="s">
        <v>80</v>
      </c>
      <c r="S3544" s="20">
        <v>0.74</v>
      </c>
    </row>
    <row r="3545" spans="8:19" x14ac:dyDescent="0.25">
      <c r="H3545">
        <v>25</v>
      </c>
      <c r="I3545">
        <v>530</v>
      </c>
      <c r="J3545">
        <v>110</v>
      </c>
      <c r="K3545" t="b">
        <v>1</v>
      </c>
      <c r="N3545" s="26" t="s">
        <v>608</v>
      </c>
      <c r="O3545" s="2">
        <f>INDEX(Маршруты,MATCH(N3545,$B$3:$B$498,0),1)</f>
        <v>142</v>
      </c>
      <c r="P3545" s="29">
        <v>57</v>
      </c>
      <c r="Q3545" s="2">
        <f>INDEX(Остановки,MATCH(R3545,ИД_Остановки!$B$3:$B$467,0),1)</f>
        <v>128</v>
      </c>
      <c r="R3545" s="47" t="s">
        <v>304</v>
      </c>
      <c r="S3545" s="20">
        <v>0.6</v>
      </c>
    </row>
    <row r="3546" spans="8:19" x14ac:dyDescent="0.25">
      <c r="H3546">
        <v>25</v>
      </c>
      <c r="I3546">
        <v>535</v>
      </c>
      <c r="J3546">
        <v>110</v>
      </c>
      <c r="K3546" t="b">
        <v>1</v>
      </c>
      <c r="N3546" s="30" t="s">
        <v>608</v>
      </c>
      <c r="O3546" s="2">
        <f>INDEX(Маршруты,MATCH(N3546,$B$3:$B$498,0),1)</f>
        <v>142</v>
      </c>
      <c r="P3546" s="31">
        <v>58</v>
      </c>
      <c r="Q3546" s="2">
        <f>INDEX(Остановки,MATCH(R3546,ИД_Остановки!$B$3:$B$467,0),1)</f>
        <v>117</v>
      </c>
      <c r="R3546" s="30" t="s">
        <v>298</v>
      </c>
      <c r="S3546" s="20">
        <v>0.42</v>
      </c>
    </row>
    <row r="3547" spans="8:19" x14ac:dyDescent="0.25">
      <c r="H3547">
        <v>25</v>
      </c>
      <c r="I3547">
        <v>540</v>
      </c>
      <c r="J3547">
        <v>110</v>
      </c>
      <c r="K3547" t="b">
        <v>1</v>
      </c>
      <c r="N3547" s="30" t="s">
        <v>608</v>
      </c>
      <c r="O3547" s="2">
        <f>INDEX(Маршруты,MATCH(N3547,$B$3:$B$498,0),1)</f>
        <v>142</v>
      </c>
      <c r="P3547" s="31">
        <v>59</v>
      </c>
      <c r="Q3547" s="2">
        <f>INDEX(Остановки,MATCH(R3547,ИД_Остановки!$B$3:$B$467,0),1)</f>
        <v>119</v>
      </c>
      <c r="R3547" s="30" t="s">
        <v>165</v>
      </c>
      <c r="S3547" s="20">
        <v>0.79</v>
      </c>
    </row>
    <row r="3548" spans="8:19" x14ac:dyDescent="0.25">
      <c r="H3548">
        <v>25</v>
      </c>
      <c r="I3548">
        <v>545</v>
      </c>
      <c r="J3548">
        <v>110</v>
      </c>
      <c r="K3548" t="b">
        <v>1</v>
      </c>
      <c r="N3548" s="26" t="s">
        <v>608</v>
      </c>
      <c r="O3548" s="2">
        <f>INDEX(Маршруты,MATCH(N3548,$B$3:$B$498,0),1)</f>
        <v>142</v>
      </c>
      <c r="P3548" s="29">
        <v>60</v>
      </c>
      <c r="Q3548" s="2">
        <f>INDEX(Остановки,MATCH(R3548,ИД_Остановки!$B$3:$B$467,0),1)</f>
        <v>120</v>
      </c>
      <c r="R3548" s="47" t="s">
        <v>300</v>
      </c>
      <c r="S3548" s="20">
        <v>1.1200000000000001</v>
      </c>
    </row>
    <row r="3549" spans="8:19" x14ac:dyDescent="0.25">
      <c r="H3549">
        <v>25</v>
      </c>
      <c r="I3549">
        <v>550</v>
      </c>
      <c r="J3549">
        <v>110</v>
      </c>
      <c r="K3549" t="b">
        <v>1</v>
      </c>
      <c r="N3549" s="25" t="s">
        <v>608</v>
      </c>
      <c r="O3549" s="2">
        <f>INDEX(Маршруты,MATCH(N3549,$B$3:$B$498,0),1)</f>
        <v>142</v>
      </c>
      <c r="P3549" s="29">
        <v>61</v>
      </c>
      <c r="Q3549" s="2">
        <f>INDEX(Остановки,MATCH(R3549,ИД_Остановки!$B$3:$B$467,0),1)</f>
        <v>121</v>
      </c>
      <c r="R3549" s="47" t="s">
        <v>76</v>
      </c>
      <c r="S3549" s="20">
        <v>0.31</v>
      </c>
    </row>
    <row r="3550" spans="8:19" x14ac:dyDescent="0.25">
      <c r="H3550">
        <v>25</v>
      </c>
      <c r="I3550">
        <v>555</v>
      </c>
      <c r="J3550">
        <v>110</v>
      </c>
      <c r="K3550" t="b">
        <v>1</v>
      </c>
      <c r="N3550" s="25" t="s">
        <v>608</v>
      </c>
      <c r="O3550" s="2">
        <f>INDEX(Маршруты,MATCH(N3550,$B$3:$B$498,0),1)</f>
        <v>142</v>
      </c>
      <c r="P3550" s="29">
        <v>62</v>
      </c>
      <c r="Q3550" s="2">
        <f>INDEX(Остановки,MATCH(R3550,ИД_Остановки!$B$3:$B$467,0),1)</f>
        <v>122</v>
      </c>
      <c r="R3550" s="47" t="s">
        <v>77</v>
      </c>
      <c r="S3550" s="20">
        <v>0.32</v>
      </c>
    </row>
    <row r="3551" spans="8:19" x14ac:dyDescent="0.25">
      <c r="H3551">
        <v>25</v>
      </c>
      <c r="I3551">
        <v>560</v>
      </c>
      <c r="J3551">
        <v>110</v>
      </c>
      <c r="K3551" t="b">
        <v>1</v>
      </c>
      <c r="N3551" s="25" t="s">
        <v>608</v>
      </c>
      <c r="O3551" s="2">
        <f>INDEX(Маршруты,MATCH(N3551,$B$3:$B$498,0),1)</f>
        <v>142</v>
      </c>
      <c r="P3551" s="29">
        <v>63</v>
      </c>
      <c r="Q3551" s="2">
        <f>INDEX(Остановки,MATCH(R3551,ИД_Остановки!$B$3:$B$467,0),1)</f>
        <v>96</v>
      </c>
      <c r="R3551" s="47" t="s">
        <v>285</v>
      </c>
      <c r="S3551" s="20">
        <v>0.52</v>
      </c>
    </row>
    <row r="3552" spans="8:19" x14ac:dyDescent="0.25">
      <c r="H3552">
        <v>25</v>
      </c>
      <c r="I3552">
        <v>565</v>
      </c>
      <c r="J3552">
        <v>110</v>
      </c>
      <c r="K3552" t="b">
        <v>1</v>
      </c>
      <c r="N3552" s="25" t="s">
        <v>608</v>
      </c>
      <c r="O3552" s="2">
        <f>INDEX(Маршруты,MATCH(N3552,$B$3:$B$498,0),1)</f>
        <v>142</v>
      </c>
      <c r="P3552" s="29">
        <v>64</v>
      </c>
      <c r="Q3552" s="2">
        <f>INDEX(Остановки,MATCH(R3552,ИД_Остановки!$B$3:$B$467,0),1)</f>
        <v>123</v>
      </c>
      <c r="R3552" s="47" t="s">
        <v>301</v>
      </c>
      <c r="S3552" s="20">
        <v>0.6</v>
      </c>
    </row>
    <row r="3553" spans="8:19" x14ac:dyDescent="0.25">
      <c r="H3553">
        <v>25</v>
      </c>
      <c r="I3553">
        <v>570</v>
      </c>
      <c r="J3553">
        <v>110</v>
      </c>
      <c r="K3553" t="b">
        <v>1</v>
      </c>
      <c r="N3553" s="25" t="s">
        <v>608</v>
      </c>
      <c r="O3553" s="2">
        <f>INDEX(Маршруты,MATCH(N3553,$B$3:$B$498,0),1)</f>
        <v>142</v>
      </c>
      <c r="P3553" s="29">
        <v>65</v>
      </c>
      <c r="Q3553" s="2">
        <f>INDEX(Остановки,MATCH(R3553,ИД_Остановки!$B$3:$B$467,0),1)</f>
        <v>154</v>
      </c>
      <c r="R3553" s="47" t="s">
        <v>94</v>
      </c>
      <c r="S3553" s="20">
        <v>0.74</v>
      </c>
    </row>
    <row r="3554" spans="8:19" x14ac:dyDescent="0.25">
      <c r="H3554">
        <v>25</v>
      </c>
      <c r="I3554">
        <v>575</v>
      </c>
      <c r="J3554">
        <v>110</v>
      </c>
      <c r="K3554" t="b">
        <v>1</v>
      </c>
      <c r="N3554" s="26" t="s">
        <v>608</v>
      </c>
      <c r="O3554" s="2">
        <f>INDEX(Маршруты,MATCH(N3554,$B$3:$B$498,0),1)</f>
        <v>142</v>
      </c>
      <c r="P3554" s="29">
        <v>66</v>
      </c>
      <c r="Q3554" s="2">
        <f>INDEX(Остановки,MATCH(R3554,ИД_Остановки!$B$3:$B$467,0),1)</f>
        <v>432</v>
      </c>
      <c r="R3554" s="47" t="s">
        <v>488</v>
      </c>
      <c r="S3554" s="20">
        <v>0.79</v>
      </c>
    </row>
    <row r="3555" spans="8:19" x14ac:dyDescent="0.25">
      <c r="H3555">
        <v>25</v>
      </c>
      <c r="I3555">
        <v>580</v>
      </c>
      <c r="J3555">
        <v>110</v>
      </c>
      <c r="K3555" t="b">
        <v>1</v>
      </c>
      <c r="N3555" s="25" t="s">
        <v>608</v>
      </c>
      <c r="O3555" s="2">
        <f>INDEX(Маршруты,MATCH(N3555,$B$3:$B$498,0),1)</f>
        <v>142</v>
      </c>
      <c r="P3555" s="29">
        <v>67</v>
      </c>
      <c r="Q3555" s="2">
        <f>INDEX(Остановки,MATCH(R3555,ИД_Остановки!$B$3:$B$467,0),1)</f>
        <v>365</v>
      </c>
      <c r="R3555" s="47" t="s">
        <v>425</v>
      </c>
      <c r="S3555" s="20">
        <v>0.66</v>
      </c>
    </row>
    <row r="3556" spans="8:19" x14ac:dyDescent="0.25">
      <c r="H3556">
        <v>25</v>
      </c>
      <c r="I3556">
        <v>585</v>
      </c>
      <c r="J3556">
        <v>110</v>
      </c>
      <c r="K3556" t="b">
        <v>1</v>
      </c>
      <c r="N3556" s="30" t="s">
        <v>608</v>
      </c>
      <c r="O3556" s="2">
        <f>INDEX(Маршруты,MATCH(N3556,$B$3:$B$498,0),1)</f>
        <v>142</v>
      </c>
      <c r="P3556" s="29">
        <v>68</v>
      </c>
      <c r="Q3556" s="2">
        <f>INDEX(Остановки,MATCH(R3556,ИД_Остановки!$B$3:$B$467,0),1)</f>
        <v>155</v>
      </c>
      <c r="R3556" s="47" t="s">
        <v>320</v>
      </c>
      <c r="S3556" s="20">
        <v>0.23</v>
      </c>
    </row>
    <row r="3557" spans="8:19" x14ac:dyDescent="0.25">
      <c r="H3557">
        <v>25</v>
      </c>
      <c r="I3557">
        <v>590</v>
      </c>
      <c r="J3557">
        <v>110</v>
      </c>
      <c r="K3557" t="b">
        <v>1</v>
      </c>
      <c r="N3557" s="30" t="s">
        <v>608</v>
      </c>
      <c r="O3557" s="2">
        <f>INDEX(Маршруты,MATCH(N3557,$B$3:$B$498,0),1)</f>
        <v>142</v>
      </c>
      <c r="P3557" s="29">
        <v>69</v>
      </c>
      <c r="Q3557" s="2">
        <f>INDEX(Остановки,MATCH(R3557,ИД_Остановки!$B$3:$B$467,0),1)</f>
        <v>156</v>
      </c>
      <c r="R3557" s="47" t="s">
        <v>321</v>
      </c>
      <c r="S3557" s="20">
        <v>0.54</v>
      </c>
    </row>
    <row r="3558" spans="8:19" x14ac:dyDescent="0.25">
      <c r="H3558">
        <v>25</v>
      </c>
      <c r="I3558">
        <v>595</v>
      </c>
      <c r="J3558">
        <v>110</v>
      </c>
      <c r="K3558" t="b">
        <v>1</v>
      </c>
      <c r="N3558" s="30" t="s">
        <v>608</v>
      </c>
      <c r="O3558" s="2">
        <f>INDEX(Маршруты,MATCH(N3558,$B$3:$B$498,0),1)</f>
        <v>142</v>
      </c>
      <c r="P3558" s="29">
        <v>70</v>
      </c>
      <c r="Q3558" s="2">
        <f>INDEX(Остановки,MATCH(R3558,ИД_Остановки!$B$3:$B$467,0),1)</f>
        <v>157</v>
      </c>
      <c r="R3558" s="47" t="s">
        <v>95</v>
      </c>
      <c r="S3558" s="20">
        <v>0.46</v>
      </c>
    </row>
    <row r="3559" spans="8:19" x14ac:dyDescent="0.25">
      <c r="H3559">
        <v>25</v>
      </c>
      <c r="I3559">
        <v>600</v>
      </c>
      <c r="J3559">
        <v>110</v>
      </c>
      <c r="K3559" t="b">
        <v>1</v>
      </c>
      <c r="N3559" s="30" t="s">
        <v>609</v>
      </c>
      <c r="O3559" s="2">
        <f>INDEX(Маршруты,MATCH(N3559,$B$3:$B$498,0),1)</f>
        <v>143</v>
      </c>
      <c r="P3559" s="29">
        <v>1</v>
      </c>
      <c r="Q3559" s="2">
        <f>INDEX(Остановки,MATCH(R3559,ИД_Остановки!$B$3:$B$467,0),1)</f>
        <v>80</v>
      </c>
      <c r="R3559" s="47" t="s">
        <v>57</v>
      </c>
      <c r="S3559" s="20"/>
    </row>
    <row r="3560" spans="8:19" x14ac:dyDescent="0.25">
      <c r="H3560">
        <v>25</v>
      </c>
      <c r="I3560">
        <v>605</v>
      </c>
      <c r="J3560">
        <v>110</v>
      </c>
      <c r="K3560" t="b">
        <v>1</v>
      </c>
      <c r="N3560" s="30" t="s">
        <v>609</v>
      </c>
      <c r="O3560" s="2">
        <f>INDEX(Маршруты,MATCH(N3560,$B$3:$B$498,0),1)</f>
        <v>143</v>
      </c>
      <c r="P3560" s="31">
        <v>2</v>
      </c>
      <c r="Q3560" s="2">
        <f>INDEX(Остановки,MATCH(R3560,ИД_Остановки!$B$3:$B$467,0),1)</f>
        <v>79</v>
      </c>
      <c r="R3560" s="30" t="s">
        <v>278</v>
      </c>
      <c r="S3560" s="21">
        <v>0.28999999999999998</v>
      </c>
    </row>
    <row r="3561" spans="8:19" ht="30" x14ac:dyDescent="0.25">
      <c r="H3561">
        <v>25</v>
      </c>
      <c r="I3561">
        <v>610</v>
      </c>
      <c r="J3561">
        <v>110</v>
      </c>
      <c r="K3561" t="b">
        <v>1</v>
      </c>
      <c r="N3561" s="26" t="s">
        <v>609</v>
      </c>
      <c r="O3561" s="2">
        <f>INDEX(Маршруты,MATCH(N3561,$B$3:$B$498,0),1)</f>
        <v>143</v>
      </c>
      <c r="P3561" s="29">
        <v>3</v>
      </c>
      <c r="Q3561" s="2">
        <f>INDEX(Остановки,MATCH(R3561,ИД_Остановки!$B$3:$B$467,0),1)</f>
        <v>78</v>
      </c>
      <c r="R3561" s="47" t="s">
        <v>277</v>
      </c>
      <c r="S3561" s="20">
        <v>0.24</v>
      </c>
    </row>
    <row r="3562" spans="8:19" x14ac:dyDescent="0.25">
      <c r="H3562">
        <v>25</v>
      </c>
      <c r="I3562">
        <v>615</v>
      </c>
      <c r="J3562">
        <v>110</v>
      </c>
      <c r="K3562" t="b">
        <v>1</v>
      </c>
      <c r="N3562" s="25" t="s">
        <v>609</v>
      </c>
      <c r="O3562" s="2">
        <f>INDEX(Маршруты,MATCH(N3562,$B$3:$B$498,0),1)</f>
        <v>143</v>
      </c>
      <c r="P3562" s="29">
        <v>4</v>
      </c>
      <c r="Q3562" s="2">
        <f>INDEX(Остановки,MATCH(R3562,ИД_Остановки!$B$3:$B$467,0),1)</f>
        <v>108</v>
      </c>
      <c r="R3562" s="47" t="s">
        <v>648</v>
      </c>
      <c r="S3562" s="22">
        <v>0.48</v>
      </c>
    </row>
    <row r="3563" spans="8:19" x14ac:dyDescent="0.25">
      <c r="H3563">
        <v>25</v>
      </c>
      <c r="I3563">
        <v>620</v>
      </c>
      <c r="J3563">
        <v>110</v>
      </c>
      <c r="K3563" t="b">
        <v>1</v>
      </c>
      <c r="N3563" s="30" t="s">
        <v>609</v>
      </c>
      <c r="O3563" s="2">
        <f>INDEX(Маршруты,MATCH(N3563,$B$3:$B$498,0),1)</f>
        <v>143</v>
      </c>
      <c r="P3563" s="29">
        <v>5</v>
      </c>
      <c r="Q3563" s="2">
        <f>INDEX(Остановки,MATCH(R3563,ИД_Остановки!$B$3:$B$467,0),1)</f>
        <v>76</v>
      </c>
      <c r="R3563" s="47" t="s">
        <v>56</v>
      </c>
      <c r="S3563" s="22">
        <v>0.68</v>
      </c>
    </row>
    <row r="3564" spans="8:19" x14ac:dyDescent="0.25">
      <c r="H3564">
        <v>25</v>
      </c>
      <c r="I3564">
        <v>625</v>
      </c>
      <c r="J3564">
        <v>110</v>
      </c>
      <c r="K3564" t="b">
        <v>1</v>
      </c>
      <c r="N3564" s="30" t="s">
        <v>609</v>
      </c>
      <c r="O3564" s="2">
        <f>INDEX(Маршруты,MATCH(N3564,$B$3:$B$498,0),1)</f>
        <v>143</v>
      </c>
      <c r="P3564" s="29">
        <v>6</v>
      </c>
      <c r="Q3564" s="2">
        <f>INDEX(Остановки,MATCH(R3564,ИД_Остановки!$B$3:$B$467,0),1)</f>
        <v>77</v>
      </c>
      <c r="R3564" s="47" t="s">
        <v>276</v>
      </c>
      <c r="S3564" s="22">
        <v>0.56000000000000005</v>
      </c>
    </row>
    <row r="3565" spans="8:19" x14ac:dyDescent="0.25">
      <c r="H3565">
        <v>25</v>
      </c>
      <c r="I3565">
        <v>630</v>
      </c>
      <c r="J3565">
        <v>110</v>
      </c>
      <c r="K3565" t="b">
        <v>1</v>
      </c>
      <c r="N3565" s="25" t="s">
        <v>609</v>
      </c>
      <c r="O3565" s="2">
        <f>INDEX(Маршруты,MATCH(N3565,$B$3:$B$498,0),1)</f>
        <v>143</v>
      </c>
      <c r="P3565" s="29">
        <v>7</v>
      </c>
      <c r="Q3565" s="2">
        <f>INDEX(Остановки,MATCH(R3565,ИД_Остановки!$B$3:$B$467,0),1)</f>
        <v>431</v>
      </c>
      <c r="R3565" s="47" t="s">
        <v>487</v>
      </c>
      <c r="S3565" s="22">
        <v>0.2</v>
      </c>
    </row>
    <row r="3566" spans="8:19" x14ac:dyDescent="0.25">
      <c r="H3566">
        <v>25</v>
      </c>
      <c r="I3566">
        <v>635</v>
      </c>
      <c r="J3566">
        <v>110</v>
      </c>
      <c r="K3566" t="b">
        <v>1</v>
      </c>
      <c r="N3566" s="25" t="s">
        <v>609</v>
      </c>
      <c r="O3566" s="2">
        <f>INDEX(Маршруты,MATCH(N3566,$B$3:$B$498,0),1)</f>
        <v>143</v>
      </c>
      <c r="P3566" s="29">
        <v>8</v>
      </c>
      <c r="Q3566" s="2">
        <f>INDEX(Остановки,MATCH(R3566,ИД_Остановки!$B$3:$B$467,0),1)</f>
        <v>75</v>
      </c>
      <c r="R3566" s="47" t="s">
        <v>275</v>
      </c>
      <c r="S3566" s="22">
        <v>0.36</v>
      </c>
    </row>
    <row r="3567" spans="8:19" ht="30" x14ac:dyDescent="0.25">
      <c r="H3567">
        <v>25</v>
      </c>
      <c r="I3567">
        <v>640</v>
      </c>
      <c r="J3567">
        <v>110</v>
      </c>
      <c r="K3567" t="b">
        <v>1</v>
      </c>
      <c r="N3567" s="26" t="s">
        <v>609</v>
      </c>
      <c r="O3567" s="2">
        <f>INDEX(Маршруты,MATCH(N3567,$B$3:$B$498,0),1)</f>
        <v>143</v>
      </c>
      <c r="P3567" s="29">
        <v>9</v>
      </c>
      <c r="Q3567" s="2">
        <f>INDEX(Остановки,MATCH(R3567,ИД_Остановки!$B$3:$B$467,0),1)</f>
        <v>74</v>
      </c>
      <c r="R3567" s="47" t="s">
        <v>274</v>
      </c>
      <c r="S3567" s="22">
        <v>0.56999999999999995</v>
      </c>
    </row>
    <row r="3568" spans="8:19" x14ac:dyDescent="0.25">
      <c r="H3568">
        <v>25</v>
      </c>
      <c r="I3568">
        <v>645</v>
      </c>
      <c r="J3568">
        <v>110</v>
      </c>
      <c r="K3568" t="b">
        <v>1</v>
      </c>
      <c r="N3568" s="25" t="s">
        <v>609</v>
      </c>
      <c r="O3568" s="2">
        <f>INDEX(Маршруты,MATCH(N3568,$B$3:$B$498,0),1)</f>
        <v>143</v>
      </c>
      <c r="P3568" s="29">
        <v>10</v>
      </c>
      <c r="Q3568" s="2">
        <f>INDEX(Остановки,MATCH(R3568,ИД_Остановки!$B$3:$B$467,0),1)</f>
        <v>73</v>
      </c>
      <c r="R3568" s="47" t="s">
        <v>273</v>
      </c>
      <c r="S3568" s="22">
        <v>0.57999999999999996</v>
      </c>
    </row>
    <row r="3569" spans="8:19" x14ac:dyDescent="0.25">
      <c r="H3569">
        <v>25</v>
      </c>
      <c r="I3569">
        <v>650</v>
      </c>
      <c r="J3569">
        <v>110</v>
      </c>
      <c r="K3569" t="b">
        <v>1</v>
      </c>
      <c r="N3569" s="25" t="s">
        <v>609</v>
      </c>
      <c r="O3569" s="2">
        <f>INDEX(Маршруты,MATCH(N3569,$B$3:$B$498,0),1)</f>
        <v>143</v>
      </c>
      <c r="P3569" s="29">
        <v>11</v>
      </c>
      <c r="Q3569" s="2">
        <f>INDEX(Остановки,MATCH(R3569,ИД_Остановки!$B$3:$B$467,0),1)</f>
        <v>434</v>
      </c>
      <c r="R3569" s="47" t="s">
        <v>633</v>
      </c>
      <c r="S3569" s="22">
        <v>0.33</v>
      </c>
    </row>
    <row r="3570" spans="8:19" x14ac:dyDescent="0.25">
      <c r="H3570">
        <v>25</v>
      </c>
      <c r="I3570">
        <v>655</v>
      </c>
      <c r="J3570">
        <v>110</v>
      </c>
      <c r="K3570" t="b">
        <v>1</v>
      </c>
      <c r="N3570" s="25" t="s">
        <v>609</v>
      </c>
      <c r="O3570" s="2">
        <f>INDEX(Маршруты,MATCH(N3570,$B$3:$B$498,0),1)</f>
        <v>143</v>
      </c>
      <c r="P3570" s="29">
        <v>12</v>
      </c>
      <c r="Q3570" s="2">
        <f>INDEX(Остановки,MATCH(R3570,ИД_Остановки!$B$3:$B$467,0),1)</f>
        <v>71</v>
      </c>
      <c r="R3570" s="47" t="s">
        <v>271</v>
      </c>
      <c r="S3570" s="22">
        <v>0.23</v>
      </c>
    </row>
    <row r="3571" spans="8:19" x14ac:dyDescent="0.25">
      <c r="H3571">
        <v>25</v>
      </c>
      <c r="I3571">
        <v>660</v>
      </c>
      <c r="J3571">
        <v>110</v>
      </c>
      <c r="K3571" t="b">
        <v>1</v>
      </c>
      <c r="N3571" s="25" t="s">
        <v>609</v>
      </c>
      <c r="O3571" s="2">
        <f>INDEX(Маршруты,MATCH(N3571,$B$3:$B$498,0),1)</f>
        <v>143</v>
      </c>
      <c r="P3571" s="29">
        <v>13</v>
      </c>
      <c r="Q3571" s="2">
        <f>INDEX(Остановки,MATCH(R3571,ИД_Остановки!$B$3:$B$467,0),1)</f>
        <v>70</v>
      </c>
      <c r="R3571" s="47" t="s">
        <v>270</v>
      </c>
      <c r="S3571" s="22">
        <v>0.31</v>
      </c>
    </row>
    <row r="3572" spans="8:19" ht="30" x14ac:dyDescent="0.25">
      <c r="H3572">
        <v>25</v>
      </c>
      <c r="I3572">
        <v>665</v>
      </c>
      <c r="J3572">
        <v>110</v>
      </c>
      <c r="K3572" t="b">
        <v>1</v>
      </c>
      <c r="N3572" s="26" t="s">
        <v>610</v>
      </c>
      <c r="O3572" s="2">
        <f>INDEX(Маршруты,MATCH(N3572,$B$3:$B$498,0),1)</f>
        <v>144</v>
      </c>
      <c r="P3572" s="29">
        <v>1</v>
      </c>
      <c r="Q3572" s="2">
        <f>INDEX(Остановки,MATCH(R3572,ИД_Остановки!$B$3:$B$467,0),1)</f>
        <v>70</v>
      </c>
      <c r="R3572" s="47" t="s">
        <v>270</v>
      </c>
      <c r="S3572" s="22"/>
    </row>
    <row r="3573" spans="8:19" x14ac:dyDescent="0.25">
      <c r="H3573">
        <v>25</v>
      </c>
      <c r="I3573">
        <v>670</v>
      </c>
      <c r="J3573">
        <v>110</v>
      </c>
      <c r="K3573" t="b">
        <v>1</v>
      </c>
      <c r="N3573" s="30" t="s">
        <v>610</v>
      </c>
      <c r="O3573" s="2">
        <f>INDEX(Маршруты,MATCH(N3573,$B$3:$B$498,0),1)</f>
        <v>144</v>
      </c>
      <c r="P3573" s="29">
        <v>2</v>
      </c>
      <c r="Q3573" s="2">
        <f>INDEX(Остановки,MATCH(R3573,ИД_Остановки!$B$3:$B$467,0),1)</f>
        <v>71</v>
      </c>
      <c r="R3573" s="47" t="s">
        <v>271</v>
      </c>
      <c r="S3573" s="22">
        <v>0.31</v>
      </c>
    </row>
    <row r="3574" spans="8:19" x14ac:dyDescent="0.25">
      <c r="H3574">
        <v>25</v>
      </c>
      <c r="I3574">
        <v>675</v>
      </c>
      <c r="J3574">
        <v>110</v>
      </c>
      <c r="K3574" t="b">
        <v>1</v>
      </c>
      <c r="N3574" s="30" t="s">
        <v>610</v>
      </c>
      <c r="O3574" s="2">
        <f>INDEX(Маршруты,MATCH(N3574,$B$3:$B$498,0),1)</f>
        <v>144</v>
      </c>
      <c r="P3574" s="29">
        <v>3</v>
      </c>
      <c r="Q3574" s="2">
        <f>INDEX(Остановки,MATCH(R3574,ИД_Остановки!$B$3:$B$467,0),1)</f>
        <v>434</v>
      </c>
      <c r="R3574" s="47" t="s">
        <v>633</v>
      </c>
      <c r="S3574" s="22">
        <v>0.23</v>
      </c>
    </row>
    <row r="3575" spans="8:19" x14ac:dyDescent="0.25">
      <c r="H3575">
        <v>25</v>
      </c>
      <c r="I3575">
        <v>680</v>
      </c>
      <c r="J3575">
        <v>110</v>
      </c>
      <c r="K3575" t="b">
        <v>1</v>
      </c>
      <c r="N3575" s="25" t="s">
        <v>610</v>
      </c>
      <c r="O3575" s="2">
        <f>INDEX(Маршруты,MATCH(N3575,$B$3:$B$498,0),1)</f>
        <v>144</v>
      </c>
      <c r="P3575" s="29">
        <v>4</v>
      </c>
      <c r="Q3575" s="2">
        <f>INDEX(Остановки,MATCH(R3575,ИД_Остановки!$B$3:$B$467,0),1)</f>
        <v>73</v>
      </c>
      <c r="R3575" s="47" t="s">
        <v>273</v>
      </c>
      <c r="S3575" s="22">
        <v>0.33</v>
      </c>
    </row>
    <row r="3576" spans="8:19" x14ac:dyDescent="0.25">
      <c r="H3576">
        <v>25</v>
      </c>
      <c r="I3576">
        <v>685</v>
      </c>
      <c r="J3576">
        <v>110</v>
      </c>
      <c r="K3576" t="b">
        <v>1</v>
      </c>
      <c r="N3576" s="25" t="s">
        <v>610</v>
      </c>
      <c r="O3576" s="2">
        <f>INDEX(Маршруты,MATCH(N3576,$B$3:$B$498,0),1)</f>
        <v>144</v>
      </c>
      <c r="P3576" s="29">
        <v>5</v>
      </c>
      <c r="Q3576" s="2">
        <f>INDEX(Остановки,MATCH(R3576,ИД_Остановки!$B$3:$B$467,0),1)</f>
        <v>74</v>
      </c>
      <c r="R3576" s="47" t="s">
        <v>274</v>
      </c>
      <c r="S3576" s="22">
        <v>0.57999999999999996</v>
      </c>
    </row>
    <row r="3577" spans="8:19" x14ac:dyDescent="0.25">
      <c r="H3577">
        <v>25</v>
      </c>
      <c r="I3577">
        <v>690</v>
      </c>
      <c r="J3577">
        <v>110</v>
      </c>
      <c r="K3577" t="b">
        <v>1</v>
      </c>
      <c r="N3577" s="25" t="s">
        <v>610</v>
      </c>
      <c r="O3577" s="2">
        <f>INDEX(Маршруты,MATCH(N3577,$B$3:$B$498,0),1)</f>
        <v>144</v>
      </c>
      <c r="P3577" s="29">
        <v>6</v>
      </c>
      <c r="Q3577" s="2">
        <f>INDEX(Остановки,MATCH(R3577,ИД_Остановки!$B$3:$B$467,0),1)</f>
        <v>75</v>
      </c>
      <c r="R3577" s="47" t="s">
        <v>275</v>
      </c>
      <c r="S3577" s="22">
        <v>0.56999999999999995</v>
      </c>
    </row>
    <row r="3578" spans="8:19" x14ac:dyDescent="0.25">
      <c r="H3578">
        <v>25</v>
      </c>
      <c r="I3578">
        <v>695</v>
      </c>
      <c r="J3578">
        <v>110</v>
      </c>
      <c r="K3578" t="b">
        <v>1</v>
      </c>
      <c r="N3578" s="25" t="s">
        <v>610</v>
      </c>
      <c r="O3578" s="2">
        <f>INDEX(Маршруты,MATCH(N3578,$B$3:$B$498,0),1)</f>
        <v>144</v>
      </c>
      <c r="P3578" s="29">
        <v>7</v>
      </c>
      <c r="Q3578" s="2">
        <f>INDEX(Остановки,MATCH(R3578,ИД_Остановки!$B$3:$B$467,0),1)</f>
        <v>431</v>
      </c>
      <c r="R3578" s="47" t="s">
        <v>487</v>
      </c>
      <c r="S3578" s="22">
        <v>0.36</v>
      </c>
    </row>
    <row r="3579" spans="8:19" x14ac:dyDescent="0.25">
      <c r="H3579">
        <v>25</v>
      </c>
      <c r="I3579">
        <v>700</v>
      </c>
      <c r="J3579">
        <v>110</v>
      </c>
      <c r="K3579" t="b">
        <v>1</v>
      </c>
      <c r="N3579" s="30" t="s">
        <v>610</v>
      </c>
      <c r="O3579" s="2">
        <f>INDEX(Маршруты,MATCH(N3579,$B$3:$B$498,0),1)</f>
        <v>144</v>
      </c>
      <c r="P3579" s="29">
        <v>8</v>
      </c>
      <c r="Q3579" s="2">
        <f>INDEX(Остановки,MATCH(R3579,ИД_Остановки!$B$3:$B$467,0),1)</f>
        <v>77</v>
      </c>
      <c r="R3579" s="47" t="s">
        <v>276</v>
      </c>
      <c r="S3579" s="22">
        <v>0.2</v>
      </c>
    </row>
    <row r="3580" spans="8:19" x14ac:dyDescent="0.25">
      <c r="H3580">
        <v>25</v>
      </c>
      <c r="I3580">
        <v>705</v>
      </c>
      <c r="J3580">
        <v>110</v>
      </c>
      <c r="K3580" t="b">
        <v>1</v>
      </c>
      <c r="N3580" s="30" t="s">
        <v>610</v>
      </c>
      <c r="O3580" s="2">
        <f>INDEX(Маршруты,MATCH(N3580,$B$3:$B$498,0),1)</f>
        <v>144</v>
      </c>
      <c r="P3580" s="29">
        <v>9</v>
      </c>
      <c r="Q3580" s="2">
        <f>INDEX(Остановки,MATCH(R3580,ИД_Остановки!$B$3:$B$467,0),1)</f>
        <v>76</v>
      </c>
      <c r="R3580" s="30" t="s">
        <v>56</v>
      </c>
      <c r="S3580" s="22">
        <v>0.56000000000000005</v>
      </c>
    </row>
    <row r="3581" spans="8:19" x14ac:dyDescent="0.25">
      <c r="H3581">
        <v>25</v>
      </c>
      <c r="I3581">
        <v>710</v>
      </c>
      <c r="J3581">
        <v>110</v>
      </c>
      <c r="K3581" t="b">
        <v>1</v>
      </c>
      <c r="N3581" s="30" t="s">
        <v>610</v>
      </c>
      <c r="O3581" s="2">
        <f>INDEX(Маршруты,MATCH(N3581,$B$3:$B$498,0),1)</f>
        <v>144</v>
      </c>
      <c r="P3581" s="29">
        <v>10</v>
      </c>
      <c r="Q3581" s="2">
        <f>INDEX(Остановки,MATCH(R3581,ИД_Остановки!$B$3:$B$467,0),1)</f>
        <v>108</v>
      </c>
      <c r="R3581" s="47" t="s">
        <v>648</v>
      </c>
      <c r="S3581" s="22">
        <v>0.68</v>
      </c>
    </row>
    <row r="3582" spans="8:19" x14ac:dyDescent="0.25">
      <c r="H3582">
        <v>25</v>
      </c>
      <c r="I3582">
        <v>715</v>
      </c>
      <c r="J3582">
        <v>110</v>
      </c>
      <c r="K3582" t="b">
        <v>1</v>
      </c>
      <c r="N3582" s="25" t="s">
        <v>610</v>
      </c>
      <c r="O3582" s="2">
        <f>INDEX(Маршруты,MATCH(N3582,$B$3:$B$498,0),1)</f>
        <v>144</v>
      </c>
      <c r="P3582" s="29">
        <v>11</v>
      </c>
      <c r="Q3582" s="2">
        <f>INDEX(Остановки,MATCH(R3582,ИД_Остановки!$B$3:$B$467,0),1)</f>
        <v>78</v>
      </c>
      <c r="R3582" s="47" t="s">
        <v>277</v>
      </c>
      <c r="S3582" s="22">
        <v>0.48</v>
      </c>
    </row>
    <row r="3583" spans="8:19" x14ac:dyDescent="0.25">
      <c r="H3583">
        <v>25</v>
      </c>
      <c r="I3583">
        <v>720</v>
      </c>
      <c r="J3583">
        <v>110</v>
      </c>
      <c r="K3583" t="b">
        <v>1</v>
      </c>
      <c r="N3583" s="30" t="s">
        <v>610</v>
      </c>
      <c r="O3583" s="2">
        <f>INDEX(Маршруты,MATCH(N3583,$B$3:$B$498,0),1)</f>
        <v>144</v>
      </c>
      <c r="P3583" s="29">
        <v>12</v>
      </c>
      <c r="Q3583" s="2">
        <f>INDEX(Остановки,MATCH(R3583,ИД_Остановки!$B$3:$B$467,0),1)</f>
        <v>79</v>
      </c>
      <c r="R3583" s="47" t="s">
        <v>278</v>
      </c>
      <c r="S3583" s="22">
        <v>0.24</v>
      </c>
    </row>
    <row r="3584" spans="8:19" x14ac:dyDescent="0.25">
      <c r="H3584">
        <v>25</v>
      </c>
      <c r="I3584">
        <v>725</v>
      </c>
      <c r="J3584">
        <v>110</v>
      </c>
      <c r="K3584" t="b">
        <v>1</v>
      </c>
      <c r="N3584" s="30" t="s">
        <v>610</v>
      </c>
      <c r="O3584" s="2">
        <f>INDEX(Маршруты,MATCH(N3584,$B$3:$B$498,0),1)</f>
        <v>144</v>
      </c>
      <c r="P3584" s="29">
        <v>13</v>
      </c>
      <c r="Q3584" s="2">
        <f>INDEX(Остановки,MATCH(R3584,ИД_Остановки!$B$3:$B$467,0),1)</f>
        <v>80</v>
      </c>
      <c r="R3584" s="47" t="s">
        <v>57</v>
      </c>
      <c r="S3584" s="22">
        <v>0.28999999999999998</v>
      </c>
    </row>
    <row r="3585" spans="8:19" x14ac:dyDescent="0.25">
      <c r="H3585">
        <v>25</v>
      </c>
      <c r="I3585">
        <v>730</v>
      </c>
      <c r="J3585">
        <v>110</v>
      </c>
      <c r="K3585" t="b">
        <v>1</v>
      </c>
      <c r="N3585" s="30" t="s">
        <v>611</v>
      </c>
      <c r="O3585" s="2">
        <f>INDEX(Маршруты,MATCH(N3585,$B$3:$B$498,0),1)</f>
        <v>145</v>
      </c>
      <c r="P3585" s="29">
        <v>1</v>
      </c>
      <c r="Q3585" s="2">
        <f>INDEX(Остановки,MATCH(R3585,ИД_Остановки!$B$3:$B$467,0),1)</f>
        <v>135</v>
      </c>
      <c r="R3585" s="47" t="s">
        <v>630</v>
      </c>
      <c r="S3585" s="22"/>
    </row>
    <row r="3586" spans="8:19" x14ac:dyDescent="0.25">
      <c r="H3586">
        <v>25</v>
      </c>
      <c r="I3586">
        <v>735</v>
      </c>
      <c r="J3586">
        <v>110</v>
      </c>
      <c r="K3586" t="b">
        <v>1</v>
      </c>
      <c r="N3586" s="30" t="s">
        <v>611</v>
      </c>
      <c r="O3586" s="2">
        <f>INDEX(Маршруты,MATCH(N3586,$B$3:$B$498,0),1)</f>
        <v>145</v>
      </c>
      <c r="P3586" s="29">
        <v>2</v>
      </c>
      <c r="Q3586" s="2">
        <f>INDEX(Остановки,MATCH(R3586,ИД_Остановки!$B$3:$B$467,0),1)</f>
        <v>83</v>
      </c>
      <c r="R3586" s="47" t="s">
        <v>280</v>
      </c>
      <c r="S3586" s="22">
        <v>1.26</v>
      </c>
    </row>
    <row r="3587" spans="8:19" x14ac:dyDescent="0.25">
      <c r="H3587">
        <v>25</v>
      </c>
      <c r="I3587">
        <v>740</v>
      </c>
      <c r="J3587">
        <v>110</v>
      </c>
      <c r="K3587" t="b">
        <v>1</v>
      </c>
      <c r="N3587" s="30" t="s">
        <v>611</v>
      </c>
      <c r="O3587" s="2">
        <f>INDEX(Маршруты,MATCH(N3587,$B$3:$B$498,0),1)</f>
        <v>145</v>
      </c>
      <c r="P3587" s="29">
        <v>3</v>
      </c>
      <c r="Q3587" s="2">
        <f>INDEX(Остановки,MATCH(R3587,ИД_Остановки!$B$3:$B$467,0),1)</f>
        <v>391</v>
      </c>
      <c r="R3587" s="47" t="s">
        <v>631</v>
      </c>
      <c r="S3587" s="22">
        <v>0.85</v>
      </c>
    </row>
    <row r="3588" spans="8:19" x14ac:dyDescent="0.25">
      <c r="H3588">
        <v>25</v>
      </c>
      <c r="I3588">
        <v>745</v>
      </c>
      <c r="J3588">
        <v>110</v>
      </c>
      <c r="K3588" t="b">
        <v>1</v>
      </c>
      <c r="N3588" s="25" t="s">
        <v>611</v>
      </c>
      <c r="O3588" s="2">
        <f>INDEX(Маршруты,MATCH(N3588,$B$3:$B$498,0),1)</f>
        <v>145</v>
      </c>
      <c r="P3588" s="29">
        <v>4</v>
      </c>
      <c r="Q3588" s="2">
        <f>INDEX(Остановки,MATCH(R3588,ИД_Остановки!$B$3:$B$467,0),1)</f>
        <v>134</v>
      </c>
      <c r="R3588" s="47" t="s">
        <v>308</v>
      </c>
      <c r="S3588" s="22">
        <v>0.26</v>
      </c>
    </row>
    <row r="3589" spans="8:19" x14ac:dyDescent="0.25">
      <c r="H3589">
        <v>25</v>
      </c>
      <c r="I3589">
        <v>750</v>
      </c>
      <c r="J3589">
        <v>110</v>
      </c>
      <c r="K3589" t="b">
        <v>1</v>
      </c>
      <c r="N3589" s="25" t="s">
        <v>611</v>
      </c>
      <c r="O3589" s="2">
        <f>INDEX(Маршруты,MATCH(N3589,$B$3:$B$498,0),1)</f>
        <v>145</v>
      </c>
      <c r="P3589" s="29">
        <v>5</v>
      </c>
      <c r="Q3589" s="2">
        <f>INDEX(Остановки,MATCH(R3589,ИД_Остановки!$B$3:$B$467,0),1)</f>
        <v>133</v>
      </c>
      <c r="R3589" s="47" t="s">
        <v>82</v>
      </c>
      <c r="S3589" s="22">
        <v>0.3</v>
      </c>
    </row>
    <row r="3590" spans="8:19" x14ac:dyDescent="0.25">
      <c r="H3590">
        <v>25</v>
      </c>
      <c r="I3590">
        <v>755</v>
      </c>
      <c r="J3590">
        <v>110</v>
      </c>
      <c r="K3590" t="b">
        <v>1</v>
      </c>
      <c r="N3590" s="25" t="s">
        <v>611</v>
      </c>
      <c r="O3590" s="2">
        <f>INDEX(Маршруты,MATCH(N3590,$B$3:$B$498,0),1)</f>
        <v>145</v>
      </c>
      <c r="P3590" s="29">
        <v>6</v>
      </c>
      <c r="Q3590" s="2">
        <f>INDEX(Остановки,MATCH(R3590,ИД_Остановки!$B$3:$B$467,0),1)</f>
        <v>132</v>
      </c>
      <c r="R3590" s="47" t="s">
        <v>307</v>
      </c>
      <c r="S3590" s="22">
        <v>0.49</v>
      </c>
    </row>
    <row r="3591" spans="8:19" x14ac:dyDescent="0.25">
      <c r="H3591">
        <v>25</v>
      </c>
      <c r="I3591">
        <v>760</v>
      </c>
      <c r="J3591">
        <v>110</v>
      </c>
      <c r="K3591" t="b">
        <v>1</v>
      </c>
      <c r="N3591" s="30" t="s">
        <v>611</v>
      </c>
      <c r="O3591" s="2">
        <f>INDEX(Маршруты,MATCH(N3591,$B$3:$B$498,0),1)</f>
        <v>145</v>
      </c>
      <c r="P3591" s="29">
        <v>7</v>
      </c>
      <c r="Q3591" s="2">
        <f>INDEX(Остановки,MATCH(R3591,ИД_Остановки!$B$3:$B$467,0),1)</f>
        <v>131</v>
      </c>
      <c r="R3591" s="30" t="s">
        <v>306</v>
      </c>
      <c r="S3591" s="22">
        <v>0.56999999999999995</v>
      </c>
    </row>
    <row r="3592" spans="8:19" x14ac:dyDescent="0.25">
      <c r="H3592">
        <v>25</v>
      </c>
      <c r="I3592">
        <v>765</v>
      </c>
      <c r="J3592">
        <v>110</v>
      </c>
      <c r="K3592" t="b">
        <v>1</v>
      </c>
      <c r="N3592" s="25" t="s">
        <v>611</v>
      </c>
      <c r="O3592" s="2">
        <f>INDEX(Маршруты,MATCH(N3592,$B$3:$B$498,0),1)</f>
        <v>145</v>
      </c>
      <c r="P3592" s="29">
        <v>8</v>
      </c>
      <c r="Q3592" s="2">
        <f>INDEX(Остановки,MATCH(R3592,ИД_Остановки!$B$3:$B$467,0),1)</f>
        <v>130</v>
      </c>
      <c r="R3592" s="47" t="s">
        <v>305</v>
      </c>
      <c r="S3592" s="22">
        <v>0.39</v>
      </c>
    </row>
    <row r="3593" spans="8:19" x14ac:dyDescent="0.25">
      <c r="H3593">
        <v>25</v>
      </c>
      <c r="I3593">
        <v>770</v>
      </c>
      <c r="J3593">
        <v>110</v>
      </c>
      <c r="K3593" t="b">
        <v>1</v>
      </c>
      <c r="N3593" s="25" t="s">
        <v>611</v>
      </c>
      <c r="O3593" s="2">
        <f>INDEX(Маршруты,MATCH(N3593,$B$3:$B$498,0),1)</f>
        <v>145</v>
      </c>
      <c r="P3593" s="29">
        <v>9</v>
      </c>
      <c r="Q3593" s="2">
        <f>INDEX(Остановки,MATCH(R3593,ИД_Остановки!$B$3:$B$467,0),1)</f>
        <v>145</v>
      </c>
      <c r="R3593" s="47" t="s">
        <v>87</v>
      </c>
      <c r="S3593" s="22">
        <v>0.63</v>
      </c>
    </row>
    <row r="3594" spans="8:19" x14ac:dyDescent="0.25">
      <c r="H3594">
        <v>25</v>
      </c>
      <c r="I3594">
        <v>775</v>
      </c>
      <c r="J3594">
        <v>110</v>
      </c>
      <c r="K3594" t="b">
        <v>1</v>
      </c>
      <c r="N3594" s="25" t="s">
        <v>611</v>
      </c>
      <c r="O3594" s="2">
        <f>INDEX(Маршруты,MATCH(N3594,$B$3:$B$498,0),1)</f>
        <v>145</v>
      </c>
      <c r="P3594" s="29">
        <v>10</v>
      </c>
      <c r="Q3594" s="2">
        <f>INDEX(Остановки,MATCH(R3594,ИД_Остановки!$B$3:$B$467,0),1)</f>
        <v>47</v>
      </c>
      <c r="R3594" s="47" t="s">
        <v>259</v>
      </c>
      <c r="S3594" s="22">
        <v>0.77</v>
      </c>
    </row>
    <row r="3595" spans="8:19" x14ac:dyDescent="0.25">
      <c r="H3595">
        <v>25</v>
      </c>
      <c r="I3595">
        <v>780</v>
      </c>
      <c r="J3595">
        <v>110</v>
      </c>
      <c r="K3595" t="b">
        <v>1</v>
      </c>
      <c r="N3595" s="25" t="s">
        <v>611</v>
      </c>
      <c r="O3595" s="2">
        <f>INDEX(Маршруты,MATCH(N3595,$B$3:$B$498,0),1)</f>
        <v>145</v>
      </c>
      <c r="P3595" s="29">
        <v>11</v>
      </c>
      <c r="Q3595" s="2">
        <f>INDEX(Остановки,MATCH(R3595,ИД_Остановки!$B$3:$B$467,0),1)</f>
        <v>46</v>
      </c>
      <c r="R3595" s="47" t="s">
        <v>41</v>
      </c>
      <c r="S3595" s="22">
        <v>0.5</v>
      </c>
    </row>
    <row r="3596" spans="8:19" x14ac:dyDescent="0.25">
      <c r="H3596">
        <v>25</v>
      </c>
      <c r="I3596">
        <v>785</v>
      </c>
      <c r="J3596">
        <v>110</v>
      </c>
      <c r="K3596" t="b">
        <v>1</v>
      </c>
      <c r="N3596" s="30" t="s">
        <v>611</v>
      </c>
      <c r="O3596" s="2">
        <f>INDEX(Маршруты,MATCH(N3596,$B$3:$B$498,0),1)</f>
        <v>145</v>
      </c>
      <c r="P3596" s="29">
        <v>12</v>
      </c>
      <c r="Q3596" s="2">
        <f>INDEX(Остановки,MATCH(R3596,ИД_Остановки!$B$3:$B$467,0),1)</f>
        <v>45</v>
      </c>
      <c r="R3596" s="47" t="s">
        <v>40</v>
      </c>
      <c r="S3596" s="22">
        <v>0.45</v>
      </c>
    </row>
    <row r="3597" spans="8:19" x14ac:dyDescent="0.25">
      <c r="H3597">
        <v>25</v>
      </c>
      <c r="I3597">
        <v>790</v>
      </c>
      <c r="J3597">
        <v>110</v>
      </c>
      <c r="K3597" t="b">
        <v>1</v>
      </c>
      <c r="N3597" s="25" t="s">
        <v>611</v>
      </c>
      <c r="O3597" s="2">
        <f>INDEX(Маршруты,MATCH(N3597,$B$3:$B$498,0),1)</f>
        <v>145</v>
      </c>
      <c r="P3597" s="29">
        <v>13</v>
      </c>
      <c r="Q3597" s="2">
        <f>INDEX(Остановки,MATCH(R3597,ИД_Остановки!$B$3:$B$467,0),1)</f>
        <v>44</v>
      </c>
      <c r="R3597" s="47" t="s">
        <v>258</v>
      </c>
      <c r="S3597" s="22">
        <v>0.39</v>
      </c>
    </row>
    <row r="3598" spans="8:19" x14ac:dyDescent="0.25">
      <c r="H3598">
        <v>25</v>
      </c>
      <c r="I3598">
        <v>795</v>
      </c>
      <c r="J3598">
        <v>110</v>
      </c>
      <c r="K3598" t="b">
        <v>1</v>
      </c>
      <c r="N3598" s="30" t="s">
        <v>611</v>
      </c>
      <c r="O3598" s="2">
        <f>INDEX(Маршруты,MATCH(N3598,$B$3:$B$498,0),1)</f>
        <v>145</v>
      </c>
      <c r="P3598" s="29">
        <v>14</v>
      </c>
      <c r="Q3598" s="2">
        <f>INDEX(Остановки,MATCH(R3598,ИД_Остановки!$B$3:$B$467,0),1)</f>
        <v>302</v>
      </c>
      <c r="R3598" s="47" t="s">
        <v>170</v>
      </c>
      <c r="S3598" s="22">
        <v>0.59</v>
      </c>
    </row>
    <row r="3599" spans="8:19" x14ac:dyDescent="0.25">
      <c r="H3599">
        <v>25</v>
      </c>
      <c r="I3599">
        <v>800</v>
      </c>
      <c r="J3599">
        <v>110</v>
      </c>
      <c r="K3599" t="b">
        <v>1</v>
      </c>
      <c r="N3599" s="25" t="s">
        <v>611</v>
      </c>
      <c r="O3599" s="2">
        <f>INDEX(Маршруты,MATCH(N3599,$B$3:$B$498,0),1)</f>
        <v>145</v>
      </c>
      <c r="P3599" s="29">
        <v>15</v>
      </c>
      <c r="Q3599" s="2">
        <f>INDEX(Остановки,MATCH(R3599,ИД_Остановки!$B$3:$B$467,0),1)</f>
        <v>303</v>
      </c>
      <c r="R3599" s="47" t="s">
        <v>632</v>
      </c>
      <c r="S3599" s="22">
        <v>0.63</v>
      </c>
    </row>
    <row r="3600" spans="8:19" x14ac:dyDescent="0.25">
      <c r="H3600">
        <v>25</v>
      </c>
      <c r="I3600">
        <v>805</v>
      </c>
      <c r="J3600">
        <v>110</v>
      </c>
      <c r="K3600" t="b">
        <v>1</v>
      </c>
      <c r="N3600" s="25" t="s">
        <v>611</v>
      </c>
      <c r="O3600" s="2">
        <f>INDEX(Маршруты,MATCH(N3600,$B$3:$B$498,0),1)</f>
        <v>145</v>
      </c>
      <c r="P3600" s="29">
        <v>16</v>
      </c>
      <c r="Q3600" s="2">
        <f>INDEX(Остановки,MATCH(R3600,ИД_Остановки!$B$3:$B$467,0),1)</f>
        <v>304</v>
      </c>
      <c r="R3600" s="47" t="s">
        <v>172</v>
      </c>
      <c r="S3600" s="22">
        <v>0.59</v>
      </c>
    </row>
    <row r="3601" spans="8:19" x14ac:dyDescent="0.25">
      <c r="H3601">
        <v>25</v>
      </c>
      <c r="I3601">
        <v>810</v>
      </c>
      <c r="J3601">
        <v>110</v>
      </c>
      <c r="K3601" t="b">
        <v>1</v>
      </c>
      <c r="N3601" s="25" t="s">
        <v>611</v>
      </c>
      <c r="O3601" s="2">
        <f>INDEX(Маршруты,MATCH(N3601,$B$3:$B$498,0),1)</f>
        <v>145</v>
      </c>
      <c r="P3601" s="29">
        <v>17</v>
      </c>
      <c r="Q3601" s="2">
        <f>INDEX(Остановки,MATCH(R3601,ИД_Остановки!$B$3:$B$467,0),1)</f>
        <v>305</v>
      </c>
      <c r="R3601" s="47" t="s">
        <v>173</v>
      </c>
      <c r="S3601" s="22">
        <v>0.34</v>
      </c>
    </row>
    <row r="3602" spans="8:19" x14ac:dyDescent="0.25">
      <c r="H3602">
        <v>25</v>
      </c>
      <c r="I3602">
        <v>815</v>
      </c>
      <c r="J3602">
        <v>110</v>
      </c>
      <c r="K3602" t="b">
        <v>1</v>
      </c>
      <c r="N3602" s="25" t="s">
        <v>611</v>
      </c>
      <c r="O3602" s="2">
        <f>INDEX(Маршруты,MATCH(N3602,$B$3:$B$498,0),1)</f>
        <v>145</v>
      </c>
      <c r="P3602" s="29">
        <v>18</v>
      </c>
      <c r="Q3602" s="2">
        <f>INDEX(Остановки,MATCH(R3602,ИД_Остановки!$B$3:$B$467,0),1)</f>
        <v>306</v>
      </c>
      <c r="R3602" s="47" t="s">
        <v>174</v>
      </c>
      <c r="S3602" s="22">
        <v>0.56000000000000005</v>
      </c>
    </row>
    <row r="3603" spans="8:19" x14ac:dyDescent="0.25">
      <c r="H3603">
        <v>25</v>
      </c>
      <c r="I3603">
        <v>820</v>
      </c>
      <c r="J3603">
        <v>110</v>
      </c>
      <c r="K3603" t="b">
        <v>1</v>
      </c>
      <c r="N3603" s="25" t="s">
        <v>611</v>
      </c>
      <c r="O3603" s="2">
        <f>INDEX(Маршруты,MATCH(N3603,$B$3:$B$498,0),1)</f>
        <v>145</v>
      </c>
      <c r="P3603" s="29">
        <v>19</v>
      </c>
      <c r="Q3603" s="2">
        <f>INDEX(Остановки,MATCH(R3603,ИД_Остановки!$B$3:$B$467,0),1)</f>
        <v>307</v>
      </c>
      <c r="R3603" s="47" t="s">
        <v>175</v>
      </c>
      <c r="S3603" s="22">
        <v>0.4</v>
      </c>
    </row>
    <row r="3604" spans="8:19" x14ac:dyDescent="0.25">
      <c r="H3604">
        <v>25</v>
      </c>
      <c r="I3604">
        <v>825</v>
      </c>
      <c r="J3604">
        <v>110</v>
      </c>
      <c r="K3604" t="b">
        <v>1</v>
      </c>
      <c r="N3604" s="25" t="s">
        <v>611</v>
      </c>
      <c r="O3604" s="2">
        <f>INDEX(Маршруты,MATCH(N3604,$B$3:$B$498,0),1)</f>
        <v>145</v>
      </c>
      <c r="P3604" s="29">
        <v>20</v>
      </c>
      <c r="Q3604" s="2">
        <f>INDEX(Остановки,MATCH(R3604,ИД_Остановки!$B$3:$B$467,0),1)</f>
        <v>308</v>
      </c>
      <c r="R3604" s="47" t="s">
        <v>176</v>
      </c>
      <c r="S3604" s="22">
        <v>0.8</v>
      </c>
    </row>
    <row r="3605" spans="8:19" x14ac:dyDescent="0.25">
      <c r="H3605">
        <v>25</v>
      </c>
      <c r="I3605">
        <v>830</v>
      </c>
      <c r="J3605">
        <v>110</v>
      </c>
      <c r="K3605" t="b">
        <v>1</v>
      </c>
      <c r="N3605" s="30" t="s">
        <v>611</v>
      </c>
      <c r="O3605" s="2">
        <f>INDEX(Маршруты,MATCH(N3605,$B$3:$B$498,0),1)</f>
        <v>145</v>
      </c>
      <c r="P3605" s="29">
        <v>21</v>
      </c>
      <c r="Q3605" s="2">
        <f>INDEX(Остановки,MATCH(R3605,ИД_Остановки!$B$3:$B$467,0),1)</f>
        <v>309</v>
      </c>
      <c r="R3605" s="30" t="s">
        <v>177</v>
      </c>
      <c r="S3605" s="22">
        <v>1.69</v>
      </c>
    </row>
    <row r="3606" spans="8:19" x14ac:dyDescent="0.25">
      <c r="H3606">
        <v>25</v>
      </c>
      <c r="I3606">
        <v>835</v>
      </c>
      <c r="J3606">
        <v>110</v>
      </c>
      <c r="K3606" t="b">
        <v>1</v>
      </c>
      <c r="N3606" s="30" t="s">
        <v>611</v>
      </c>
      <c r="O3606" s="2">
        <f>INDEX(Маршруты,MATCH(N3606,$B$3:$B$498,0),1)</f>
        <v>145</v>
      </c>
      <c r="P3606" s="29">
        <v>22</v>
      </c>
      <c r="Q3606" s="2">
        <f>INDEX(Остановки,MATCH(R3606,ИД_Остановки!$B$3:$B$467,0),1)</f>
        <v>310</v>
      </c>
      <c r="R3606" s="47" t="s">
        <v>394</v>
      </c>
      <c r="S3606" s="22">
        <v>0.5</v>
      </c>
    </row>
    <row r="3607" spans="8:19" x14ac:dyDescent="0.25">
      <c r="H3607">
        <v>25</v>
      </c>
      <c r="I3607">
        <v>840</v>
      </c>
      <c r="J3607">
        <v>110</v>
      </c>
      <c r="K3607" t="b">
        <v>1</v>
      </c>
      <c r="N3607" s="30" t="s">
        <v>611</v>
      </c>
      <c r="O3607" s="2">
        <f>INDEX(Маршруты,MATCH(N3607,$B$3:$B$498,0),1)</f>
        <v>145</v>
      </c>
      <c r="P3607" s="29">
        <v>23</v>
      </c>
      <c r="Q3607" s="2">
        <f>INDEX(Остановки,MATCH(R3607,ИД_Остановки!$B$3:$B$467,0),1)</f>
        <v>311</v>
      </c>
      <c r="R3607" s="47" t="s">
        <v>178</v>
      </c>
      <c r="S3607" s="22">
        <v>0.98</v>
      </c>
    </row>
    <row r="3608" spans="8:19" x14ac:dyDescent="0.25">
      <c r="H3608">
        <v>25</v>
      </c>
      <c r="I3608">
        <v>845</v>
      </c>
      <c r="J3608">
        <v>110</v>
      </c>
      <c r="K3608" t="b">
        <v>1</v>
      </c>
      <c r="N3608" s="25" t="s">
        <v>611</v>
      </c>
      <c r="O3608" s="2">
        <f>INDEX(Маршруты,MATCH(N3608,$B$3:$B$498,0),1)</f>
        <v>145</v>
      </c>
      <c r="P3608" s="31">
        <v>24</v>
      </c>
      <c r="Q3608" s="2">
        <f>INDEX(Остановки,MATCH(R3608,ИД_Остановки!$B$3:$B$467,0),1)</f>
        <v>312</v>
      </c>
      <c r="R3608" s="30" t="s">
        <v>179</v>
      </c>
      <c r="S3608" s="22">
        <v>1.26</v>
      </c>
    </row>
    <row r="3609" spans="8:19" x14ac:dyDescent="0.25">
      <c r="H3609">
        <v>25</v>
      </c>
      <c r="I3609">
        <v>850</v>
      </c>
      <c r="J3609">
        <v>110</v>
      </c>
      <c r="K3609" t="b">
        <v>1</v>
      </c>
      <c r="N3609" s="25" t="s">
        <v>611</v>
      </c>
      <c r="O3609" s="2">
        <f>INDEX(Маршруты,MATCH(N3609,$B$3:$B$498,0),1)</f>
        <v>145</v>
      </c>
      <c r="P3609" s="31">
        <v>25</v>
      </c>
      <c r="Q3609" s="2">
        <f>INDEX(Остановки,MATCH(R3609,ИД_Остановки!$B$3:$B$467,0),1)</f>
        <v>313</v>
      </c>
      <c r="R3609" s="30" t="s">
        <v>180</v>
      </c>
      <c r="S3609" s="22">
        <v>0.59</v>
      </c>
    </row>
    <row r="3610" spans="8:19" x14ac:dyDescent="0.25">
      <c r="H3610">
        <v>25</v>
      </c>
      <c r="I3610">
        <v>855</v>
      </c>
      <c r="J3610">
        <v>110</v>
      </c>
      <c r="K3610" t="b">
        <v>1</v>
      </c>
      <c r="N3610" s="26" t="s">
        <v>611</v>
      </c>
      <c r="O3610" s="2">
        <f>INDEX(Маршруты,MATCH(N3610,$B$3:$B$498,0),1)</f>
        <v>145</v>
      </c>
      <c r="P3610" s="29">
        <v>26</v>
      </c>
      <c r="Q3610" s="2">
        <f>INDEX(Остановки,MATCH(R3610,ИД_Остановки!$B$3:$B$467,0),1)</f>
        <v>419</v>
      </c>
      <c r="R3610" s="47" t="s">
        <v>475</v>
      </c>
      <c r="S3610" s="22">
        <v>0.51</v>
      </c>
    </row>
    <row r="3611" spans="8:19" x14ac:dyDescent="0.25">
      <c r="H3611">
        <v>25</v>
      </c>
      <c r="I3611">
        <v>860</v>
      </c>
      <c r="J3611">
        <v>110</v>
      </c>
      <c r="K3611" t="b">
        <v>1</v>
      </c>
      <c r="N3611" s="25" t="s">
        <v>611</v>
      </c>
      <c r="O3611" s="2">
        <f>INDEX(Маршруты,MATCH(N3611,$B$3:$B$498,0),1)</f>
        <v>145</v>
      </c>
      <c r="P3611" s="31">
        <v>27</v>
      </c>
      <c r="Q3611" s="2">
        <f>INDEX(Остановки,MATCH(R3611,ИД_Остановки!$B$3:$B$467,0),1)</f>
        <v>378</v>
      </c>
      <c r="R3611" s="30" t="s">
        <v>436</v>
      </c>
      <c r="S3611" s="22">
        <v>0.46</v>
      </c>
    </row>
    <row r="3612" spans="8:19" x14ac:dyDescent="0.25">
      <c r="H3612">
        <v>25</v>
      </c>
      <c r="I3612">
        <v>865</v>
      </c>
      <c r="J3612">
        <v>110</v>
      </c>
      <c r="K3612" t="b">
        <v>1</v>
      </c>
      <c r="N3612" s="25" t="s">
        <v>611</v>
      </c>
      <c r="O3612" s="2">
        <f>INDEX(Маршруты,MATCH(N3612,$B$3:$B$498,0),1)</f>
        <v>145</v>
      </c>
      <c r="P3612" s="29">
        <v>28</v>
      </c>
      <c r="Q3612" s="2">
        <f>INDEX(Остановки,MATCH(R3612,ИД_Остановки!$B$3:$B$467,0),1)</f>
        <v>314</v>
      </c>
      <c r="R3612" s="30" t="s">
        <v>181</v>
      </c>
      <c r="S3612" s="22">
        <v>1.92</v>
      </c>
    </row>
    <row r="3613" spans="8:19" x14ac:dyDescent="0.25">
      <c r="H3613">
        <v>25</v>
      </c>
      <c r="I3613">
        <v>870</v>
      </c>
      <c r="J3613">
        <v>110</v>
      </c>
      <c r="K3613" t="b">
        <v>1</v>
      </c>
      <c r="N3613" s="30" t="s">
        <v>611</v>
      </c>
      <c r="O3613" s="2">
        <f>INDEX(Маршруты,MATCH(N3613,$B$3:$B$498,0),1)</f>
        <v>145</v>
      </c>
      <c r="P3613" s="29">
        <v>29</v>
      </c>
      <c r="Q3613" s="2">
        <f>INDEX(Остановки,MATCH(R3613,ИД_Остановки!$B$3:$B$467,0),1)</f>
        <v>229</v>
      </c>
      <c r="R3613" s="47" t="s">
        <v>128</v>
      </c>
      <c r="S3613" s="22">
        <v>0.52</v>
      </c>
    </row>
    <row r="3614" spans="8:19" x14ac:dyDescent="0.25">
      <c r="H3614">
        <v>25</v>
      </c>
      <c r="I3614">
        <v>875</v>
      </c>
      <c r="J3614">
        <v>110</v>
      </c>
      <c r="K3614" t="b">
        <v>1</v>
      </c>
      <c r="N3614" s="30" t="s">
        <v>651</v>
      </c>
      <c r="O3614" s="2">
        <f>INDEX(Маршруты,MATCH(N3614,$B$3:$B$498,0),1)</f>
        <v>146</v>
      </c>
      <c r="P3614" s="29">
        <v>1</v>
      </c>
      <c r="Q3614" s="2">
        <f>INDEX(Остановки,MATCH(R3614,ИД_Остановки!$B$3:$B$467,0),1)</f>
        <v>229</v>
      </c>
      <c r="R3614" s="47" t="s">
        <v>128</v>
      </c>
      <c r="S3614" s="22"/>
    </row>
    <row r="3615" spans="8:19" x14ac:dyDescent="0.25">
      <c r="H3615">
        <v>25</v>
      </c>
      <c r="I3615">
        <v>880</v>
      </c>
      <c r="J3615">
        <v>110</v>
      </c>
      <c r="K3615" t="b">
        <v>1</v>
      </c>
      <c r="N3615" s="30" t="s">
        <v>651</v>
      </c>
      <c r="O3615" s="2">
        <f>INDEX(Маршруты,MATCH(N3615,$B$3:$B$498,0),1)</f>
        <v>146</v>
      </c>
      <c r="P3615" s="29">
        <v>2</v>
      </c>
      <c r="Q3615" s="2">
        <f>INDEX(Остановки,MATCH(R3615,ИД_Остановки!$B$3:$B$467,0),1)</f>
        <v>314</v>
      </c>
      <c r="R3615" s="30" t="s">
        <v>181</v>
      </c>
      <c r="S3615" s="22">
        <v>0.52</v>
      </c>
    </row>
    <row r="3616" spans="8:19" x14ac:dyDescent="0.25">
      <c r="H3616">
        <v>25</v>
      </c>
      <c r="I3616">
        <v>885</v>
      </c>
      <c r="J3616">
        <v>110</v>
      </c>
      <c r="K3616" t="b">
        <v>1</v>
      </c>
      <c r="N3616" s="30" t="s">
        <v>651</v>
      </c>
      <c r="O3616" s="2">
        <f>INDEX(Маршруты,MATCH(N3616,$B$3:$B$498,0),1)</f>
        <v>146</v>
      </c>
      <c r="P3616" s="29">
        <v>3</v>
      </c>
      <c r="Q3616" s="2">
        <f>INDEX(Остановки,MATCH(R3616,ИД_Остановки!$B$3:$B$467,0),1)</f>
        <v>378</v>
      </c>
      <c r="R3616" s="47" t="s">
        <v>436</v>
      </c>
      <c r="S3616" s="22">
        <v>1.92</v>
      </c>
    </row>
    <row r="3617" spans="8:19" x14ac:dyDescent="0.25">
      <c r="H3617">
        <v>25</v>
      </c>
      <c r="I3617">
        <v>890</v>
      </c>
      <c r="J3617">
        <v>110</v>
      </c>
      <c r="K3617" t="b">
        <v>1</v>
      </c>
      <c r="N3617" s="30" t="s">
        <v>651</v>
      </c>
      <c r="O3617" s="2">
        <f>INDEX(Маршруты,MATCH(N3617,$B$3:$B$498,0),1)</f>
        <v>146</v>
      </c>
      <c r="P3617" s="29">
        <v>4</v>
      </c>
      <c r="Q3617" s="2">
        <f>INDEX(Остановки,MATCH(R3617,ИД_Остановки!$B$3:$B$467,0),1)</f>
        <v>419</v>
      </c>
      <c r="R3617" s="47" t="s">
        <v>475</v>
      </c>
      <c r="S3617" s="22">
        <v>0.46</v>
      </c>
    </row>
    <row r="3618" spans="8:19" x14ac:dyDescent="0.25">
      <c r="H3618">
        <v>25</v>
      </c>
      <c r="I3618">
        <v>895</v>
      </c>
      <c r="J3618">
        <v>110</v>
      </c>
      <c r="K3618" t="b">
        <v>1</v>
      </c>
      <c r="N3618" s="30" t="s">
        <v>651</v>
      </c>
      <c r="O3618" s="2">
        <f>INDEX(Маршруты,MATCH(N3618,$B$3:$B$498,0),1)</f>
        <v>146</v>
      </c>
      <c r="P3618" s="29">
        <v>5</v>
      </c>
      <c r="Q3618" s="2">
        <f>INDEX(Остановки,MATCH(R3618,ИД_Остановки!$B$3:$B$467,0),1)</f>
        <v>313</v>
      </c>
      <c r="R3618" s="47" t="s">
        <v>180</v>
      </c>
      <c r="S3618" s="22">
        <v>0.51</v>
      </c>
    </row>
    <row r="3619" spans="8:19" x14ac:dyDescent="0.25">
      <c r="H3619">
        <v>25</v>
      </c>
      <c r="I3619">
        <v>900</v>
      </c>
      <c r="J3619">
        <v>110</v>
      </c>
      <c r="K3619" t="b">
        <v>1</v>
      </c>
      <c r="N3619" s="26" t="s">
        <v>651</v>
      </c>
      <c r="O3619" s="2">
        <f>INDEX(Маршруты,MATCH(N3619,$B$3:$B$498,0),1)</f>
        <v>146</v>
      </c>
      <c r="P3619" s="29">
        <v>6</v>
      </c>
      <c r="Q3619" s="2">
        <f>INDEX(Остановки,MATCH(R3619,ИД_Остановки!$B$3:$B$467,0),1)</f>
        <v>312</v>
      </c>
      <c r="R3619" s="47" t="s">
        <v>179</v>
      </c>
      <c r="S3619" s="22">
        <v>0.59</v>
      </c>
    </row>
    <row r="3620" spans="8:19" x14ac:dyDescent="0.25">
      <c r="H3620">
        <v>25</v>
      </c>
      <c r="I3620">
        <v>905</v>
      </c>
      <c r="J3620">
        <v>110</v>
      </c>
      <c r="K3620" t="b">
        <v>1</v>
      </c>
      <c r="N3620" s="25" t="s">
        <v>651</v>
      </c>
      <c r="O3620" s="2">
        <f>INDEX(Маршруты,MATCH(N3620,$B$3:$B$498,0),1)</f>
        <v>146</v>
      </c>
      <c r="P3620" s="29">
        <v>7</v>
      </c>
      <c r="Q3620" s="2">
        <f>INDEX(Остановки,MATCH(R3620,ИД_Остановки!$B$3:$B$467,0),1)</f>
        <v>311</v>
      </c>
      <c r="R3620" s="47" t="s">
        <v>178</v>
      </c>
      <c r="S3620" s="22">
        <v>1.26</v>
      </c>
    </row>
    <row r="3621" spans="8:19" x14ac:dyDescent="0.25">
      <c r="H3621">
        <v>25</v>
      </c>
      <c r="I3621">
        <v>910</v>
      </c>
      <c r="J3621">
        <v>110</v>
      </c>
      <c r="K3621" t="b">
        <v>1</v>
      </c>
      <c r="N3621" s="30" t="s">
        <v>651</v>
      </c>
      <c r="O3621" s="2">
        <f>INDEX(Маршруты,MATCH(N3621,$B$3:$B$498,0),1)</f>
        <v>146</v>
      </c>
      <c r="P3621" s="29">
        <v>8</v>
      </c>
      <c r="Q3621" s="2">
        <f>INDEX(Остановки,MATCH(R3621,ИД_Остановки!$B$3:$B$467,0),1)</f>
        <v>310</v>
      </c>
      <c r="R3621" s="47" t="s">
        <v>394</v>
      </c>
      <c r="S3621" s="22">
        <v>0.98</v>
      </c>
    </row>
    <row r="3622" spans="8:19" x14ac:dyDescent="0.25">
      <c r="H3622">
        <v>25</v>
      </c>
      <c r="I3622">
        <v>915</v>
      </c>
      <c r="J3622">
        <v>110</v>
      </c>
      <c r="K3622" t="b">
        <v>1</v>
      </c>
      <c r="N3622" s="25" t="s">
        <v>651</v>
      </c>
      <c r="O3622" s="2">
        <f>INDEX(Маршруты,MATCH(N3622,$B$3:$B$498,0),1)</f>
        <v>146</v>
      </c>
      <c r="P3622" s="29">
        <v>9</v>
      </c>
      <c r="Q3622" s="2">
        <f>INDEX(Остановки,MATCH(R3622,ИД_Остановки!$B$3:$B$467,0),1)</f>
        <v>309</v>
      </c>
      <c r="R3622" s="47" t="s">
        <v>177</v>
      </c>
      <c r="S3622" s="22">
        <v>0.5</v>
      </c>
    </row>
    <row r="3623" spans="8:19" x14ac:dyDescent="0.25">
      <c r="H3623">
        <v>25</v>
      </c>
      <c r="I3623">
        <v>920</v>
      </c>
      <c r="J3623">
        <v>110</v>
      </c>
      <c r="K3623" t="b">
        <v>1</v>
      </c>
      <c r="N3623" s="25" t="s">
        <v>651</v>
      </c>
      <c r="O3623" s="2">
        <f>INDEX(Маршруты,MATCH(N3623,$B$3:$B$498,0),1)</f>
        <v>146</v>
      </c>
      <c r="P3623" s="29">
        <v>10</v>
      </c>
      <c r="Q3623" s="2">
        <f>INDEX(Остановки,MATCH(R3623,ИД_Остановки!$B$3:$B$467,0),1)</f>
        <v>308</v>
      </c>
      <c r="R3623" s="47" t="s">
        <v>176</v>
      </c>
      <c r="S3623" s="22">
        <v>1.69</v>
      </c>
    </row>
    <row r="3624" spans="8:19" x14ac:dyDescent="0.25">
      <c r="H3624">
        <v>25</v>
      </c>
      <c r="I3624">
        <v>925</v>
      </c>
      <c r="J3624">
        <v>110</v>
      </c>
      <c r="K3624" t="b">
        <v>1</v>
      </c>
      <c r="N3624" s="30" t="s">
        <v>651</v>
      </c>
      <c r="O3624" s="2">
        <f>INDEX(Маршруты,MATCH(N3624,$B$3:$B$498,0),1)</f>
        <v>146</v>
      </c>
      <c r="P3624" s="29">
        <v>11</v>
      </c>
      <c r="Q3624" s="2">
        <f>INDEX(Остановки,MATCH(R3624,ИД_Остановки!$B$3:$B$467,0),1)</f>
        <v>307</v>
      </c>
      <c r="R3624" s="47" t="s">
        <v>175</v>
      </c>
      <c r="S3624" s="22">
        <v>0.8</v>
      </c>
    </row>
    <row r="3625" spans="8:19" x14ac:dyDescent="0.25">
      <c r="H3625">
        <v>25</v>
      </c>
      <c r="I3625">
        <v>930</v>
      </c>
      <c r="J3625">
        <v>110</v>
      </c>
      <c r="K3625" t="b">
        <v>1</v>
      </c>
      <c r="N3625" s="25" t="s">
        <v>651</v>
      </c>
      <c r="O3625" s="2">
        <f>INDEX(Маршруты,MATCH(N3625,$B$3:$B$498,0),1)</f>
        <v>146</v>
      </c>
      <c r="P3625" s="29">
        <v>12</v>
      </c>
      <c r="Q3625" s="2">
        <f>INDEX(Остановки,MATCH(R3625,ИД_Остановки!$B$3:$B$467,0),1)</f>
        <v>306</v>
      </c>
      <c r="R3625" s="47" t="s">
        <v>174</v>
      </c>
      <c r="S3625" s="22">
        <v>0.4</v>
      </c>
    </row>
    <row r="3626" spans="8:19" x14ac:dyDescent="0.25">
      <c r="H3626">
        <v>25</v>
      </c>
      <c r="I3626">
        <v>935</v>
      </c>
      <c r="J3626">
        <v>110</v>
      </c>
      <c r="K3626" t="b">
        <v>1</v>
      </c>
      <c r="N3626" s="26" t="s">
        <v>651</v>
      </c>
      <c r="O3626" s="2">
        <f>INDEX(Маршруты,MATCH(N3626,$B$3:$B$498,0),1)</f>
        <v>146</v>
      </c>
      <c r="P3626" s="29">
        <v>13</v>
      </c>
      <c r="Q3626" s="2">
        <f>INDEX(Остановки,MATCH(R3626,ИД_Остановки!$B$3:$B$467,0),1)</f>
        <v>305</v>
      </c>
      <c r="R3626" s="47" t="s">
        <v>173</v>
      </c>
      <c r="S3626" s="22">
        <v>0.56000000000000005</v>
      </c>
    </row>
    <row r="3627" spans="8:19" x14ac:dyDescent="0.25">
      <c r="H3627">
        <v>25</v>
      </c>
      <c r="I3627">
        <v>940</v>
      </c>
      <c r="J3627">
        <v>110</v>
      </c>
      <c r="K3627" t="b">
        <v>1</v>
      </c>
      <c r="N3627" s="30" t="s">
        <v>651</v>
      </c>
      <c r="O3627" s="2">
        <f>INDEX(Маршруты,MATCH(N3627,$B$3:$B$498,0),1)</f>
        <v>146</v>
      </c>
      <c r="P3627" s="29">
        <v>14</v>
      </c>
      <c r="Q3627" s="2">
        <f>INDEX(Остановки,MATCH(R3627,ИД_Остановки!$B$3:$B$467,0),1)</f>
        <v>304</v>
      </c>
      <c r="R3627" s="47" t="s">
        <v>172</v>
      </c>
      <c r="S3627" s="22">
        <v>0.34</v>
      </c>
    </row>
    <row r="3628" spans="8:19" x14ac:dyDescent="0.25">
      <c r="H3628">
        <v>25</v>
      </c>
      <c r="I3628">
        <v>945</v>
      </c>
      <c r="J3628">
        <v>110</v>
      </c>
      <c r="K3628" t="b">
        <v>1</v>
      </c>
      <c r="N3628" s="25" t="s">
        <v>651</v>
      </c>
      <c r="O3628" s="2">
        <f>INDEX(Маршруты,MATCH(N3628,$B$3:$B$498,0),1)</f>
        <v>146</v>
      </c>
      <c r="P3628" s="29">
        <v>15</v>
      </c>
      <c r="Q3628" s="2">
        <f>INDEX(Остановки,MATCH(R3628,ИД_Остановки!$B$3:$B$467,0),1)</f>
        <v>303</v>
      </c>
      <c r="R3628" s="47" t="s">
        <v>632</v>
      </c>
      <c r="S3628" s="22">
        <v>0.59</v>
      </c>
    </row>
    <row r="3629" spans="8:19" x14ac:dyDescent="0.25">
      <c r="H3629">
        <v>25</v>
      </c>
      <c r="I3629">
        <v>950</v>
      </c>
      <c r="J3629">
        <v>110</v>
      </c>
      <c r="K3629" t="b">
        <v>1</v>
      </c>
      <c r="N3629" s="30" t="s">
        <v>651</v>
      </c>
      <c r="O3629" s="2">
        <f>INDEX(Маршруты,MATCH(N3629,$B$3:$B$498,0),1)</f>
        <v>146</v>
      </c>
      <c r="P3629" s="29">
        <v>16</v>
      </c>
      <c r="Q3629" s="2">
        <f>INDEX(Остановки,MATCH(R3629,ИД_Остановки!$B$3:$B$467,0),1)</f>
        <v>302</v>
      </c>
      <c r="R3629" s="47" t="s">
        <v>170</v>
      </c>
      <c r="S3629" s="22">
        <v>0.63</v>
      </c>
    </row>
    <row r="3630" spans="8:19" x14ac:dyDescent="0.25">
      <c r="H3630">
        <v>25</v>
      </c>
      <c r="I3630">
        <v>955</v>
      </c>
      <c r="J3630">
        <v>110</v>
      </c>
      <c r="K3630" t="b">
        <v>1</v>
      </c>
      <c r="N3630" s="25" t="s">
        <v>651</v>
      </c>
      <c r="O3630" s="2">
        <f>INDEX(Маршруты,MATCH(N3630,$B$3:$B$498,0),1)</f>
        <v>146</v>
      </c>
      <c r="P3630" s="29">
        <v>17</v>
      </c>
      <c r="Q3630" s="2">
        <f>INDEX(Остановки,MATCH(R3630,ИД_Остановки!$B$3:$B$467,0),1)</f>
        <v>44</v>
      </c>
      <c r="R3630" s="47" t="s">
        <v>258</v>
      </c>
      <c r="S3630" s="22">
        <v>0.59</v>
      </c>
    </row>
    <row r="3631" spans="8:19" x14ac:dyDescent="0.25">
      <c r="H3631">
        <v>26</v>
      </c>
      <c r="I3631">
        <v>0</v>
      </c>
      <c r="J3631">
        <v>110</v>
      </c>
      <c r="K3631" t="b">
        <v>1</v>
      </c>
      <c r="N3631" s="25" t="s">
        <v>651</v>
      </c>
      <c r="O3631" s="2">
        <f>INDEX(Маршруты,MATCH(N3631,$B$3:$B$498,0),1)</f>
        <v>146</v>
      </c>
      <c r="P3631" s="29">
        <v>18</v>
      </c>
      <c r="Q3631" s="2">
        <f>INDEX(Остановки,MATCH(R3631,ИД_Остановки!$B$3:$B$467,0),1)</f>
        <v>45</v>
      </c>
      <c r="R3631" s="47" t="s">
        <v>40</v>
      </c>
      <c r="S3631" s="22">
        <v>0.39</v>
      </c>
    </row>
    <row r="3632" spans="8:19" x14ac:dyDescent="0.25">
      <c r="H3632">
        <v>26</v>
      </c>
      <c r="I3632">
        <v>5</v>
      </c>
      <c r="J3632">
        <v>110</v>
      </c>
      <c r="K3632" t="b">
        <v>1</v>
      </c>
      <c r="N3632" s="25" t="s">
        <v>651</v>
      </c>
      <c r="O3632" s="2">
        <f>INDEX(Маршруты,MATCH(N3632,$B$3:$B$498,0),1)</f>
        <v>146</v>
      </c>
      <c r="P3632" s="29">
        <v>19</v>
      </c>
      <c r="Q3632" s="2">
        <f>INDEX(Остановки,MATCH(R3632,ИД_Остановки!$B$3:$B$467,0),1)</f>
        <v>46</v>
      </c>
      <c r="R3632" s="47" t="s">
        <v>41</v>
      </c>
      <c r="S3632" s="22">
        <v>0.45</v>
      </c>
    </row>
    <row r="3633" spans="8:19" x14ac:dyDescent="0.25">
      <c r="H3633">
        <v>26</v>
      </c>
      <c r="I3633">
        <v>10</v>
      </c>
      <c r="J3633">
        <v>110</v>
      </c>
      <c r="K3633" t="b">
        <v>1</v>
      </c>
      <c r="N3633" s="25" t="s">
        <v>651</v>
      </c>
      <c r="O3633" s="2">
        <f>INDEX(Маршруты,MATCH(N3633,$B$3:$B$498,0),1)</f>
        <v>146</v>
      </c>
      <c r="P3633" s="29">
        <v>20</v>
      </c>
      <c r="Q3633" s="2">
        <f>INDEX(Остановки,MATCH(R3633,ИД_Остановки!$B$3:$B$467,0),1)</f>
        <v>47</v>
      </c>
      <c r="R3633" s="47" t="s">
        <v>259</v>
      </c>
      <c r="S3633" s="22">
        <v>0.5</v>
      </c>
    </row>
    <row r="3634" spans="8:19" x14ac:dyDescent="0.25">
      <c r="H3634">
        <v>26</v>
      </c>
      <c r="I3634">
        <v>15</v>
      </c>
      <c r="J3634">
        <v>110</v>
      </c>
      <c r="K3634" t="b">
        <v>1</v>
      </c>
      <c r="N3634" s="25" t="s">
        <v>651</v>
      </c>
      <c r="O3634" s="2">
        <f>INDEX(Маршруты,MATCH(N3634,$B$3:$B$498,0),1)</f>
        <v>146</v>
      </c>
      <c r="P3634" s="29">
        <v>21</v>
      </c>
      <c r="Q3634" s="2">
        <f>INDEX(Остановки,MATCH(R3634,ИД_Остановки!$B$3:$B$467,0),1)</f>
        <v>145</v>
      </c>
      <c r="R3634" s="47" t="s">
        <v>87</v>
      </c>
      <c r="S3634" s="22">
        <v>0.77</v>
      </c>
    </row>
    <row r="3635" spans="8:19" x14ac:dyDescent="0.25">
      <c r="H3635">
        <v>26</v>
      </c>
      <c r="I3635">
        <v>20</v>
      </c>
      <c r="J3635">
        <v>110</v>
      </c>
      <c r="K3635" t="b">
        <v>1</v>
      </c>
      <c r="N3635" s="26" t="s">
        <v>651</v>
      </c>
      <c r="O3635" s="2">
        <f>INDEX(Маршруты,MATCH(N3635,$B$3:$B$498,0),1)</f>
        <v>146</v>
      </c>
      <c r="P3635" s="29">
        <v>22</v>
      </c>
      <c r="Q3635" s="2">
        <f>INDEX(Остановки,MATCH(R3635,ИД_Остановки!$B$3:$B$467,0),1)</f>
        <v>130</v>
      </c>
      <c r="R3635" s="47" t="s">
        <v>305</v>
      </c>
      <c r="S3635" s="22">
        <v>0.63</v>
      </c>
    </row>
    <row r="3636" spans="8:19" x14ac:dyDescent="0.25">
      <c r="H3636">
        <v>26</v>
      </c>
      <c r="I3636">
        <v>25</v>
      </c>
      <c r="J3636">
        <v>110</v>
      </c>
      <c r="K3636" t="b">
        <v>1</v>
      </c>
      <c r="N3636" s="30" t="s">
        <v>651</v>
      </c>
      <c r="O3636" s="2">
        <f>INDEX(Маршруты,MATCH(N3636,$B$3:$B$498,0),1)</f>
        <v>146</v>
      </c>
      <c r="P3636" s="29">
        <v>23</v>
      </c>
      <c r="Q3636" s="2">
        <f>INDEX(Остановки,MATCH(R3636,ИД_Остановки!$B$3:$B$467,0),1)</f>
        <v>131</v>
      </c>
      <c r="R3636" s="47" t="s">
        <v>306</v>
      </c>
      <c r="S3636" s="22">
        <v>0.39</v>
      </c>
    </row>
    <row r="3637" spans="8:19" x14ac:dyDescent="0.25">
      <c r="H3637">
        <v>26</v>
      </c>
      <c r="I3637">
        <v>30</v>
      </c>
      <c r="J3637">
        <v>110</v>
      </c>
      <c r="K3637" t="b">
        <v>1</v>
      </c>
      <c r="N3637" s="30" t="s">
        <v>651</v>
      </c>
      <c r="O3637" s="2">
        <f>INDEX(Маршруты,MATCH(N3637,$B$3:$B$498,0),1)</f>
        <v>146</v>
      </c>
      <c r="P3637" s="29">
        <v>24</v>
      </c>
      <c r="Q3637" s="2">
        <f>INDEX(Остановки,MATCH(R3637,ИД_Остановки!$B$3:$B$467,0),1)</f>
        <v>132</v>
      </c>
      <c r="R3637" s="47" t="s">
        <v>307</v>
      </c>
      <c r="S3637" s="22">
        <v>0.56999999999999995</v>
      </c>
    </row>
    <row r="3638" spans="8:19" x14ac:dyDescent="0.25">
      <c r="H3638">
        <v>26</v>
      </c>
      <c r="I3638">
        <v>35</v>
      </c>
      <c r="J3638">
        <v>110</v>
      </c>
      <c r="K3638" t="b">
        <v>1</v>
      </c>
      <c r="N3638" s="25" t="s">
        <v>651</v>
      </c>
      <c r="O3638" s="2">
        <f>INDEX(Маршруты,MATCH(N3638,$B$3:$B$498,0),1)</f>
        <v>146</v>
      </c>
      <c r="P3638" s="29">
        <v>25</v>
      </c>
      <c r="Q3638" s="2">
        <f>INDEX(Остановки,MATCH(R3638,ИД_Остановки!$B$3:$B$467,0),1)</f>
        <v>133</v>
      </c>
      <c r="R3638" s="47" t="s">
        <v>82</v>
      </c>
      <c r="S3638" s="22">
        <v>0.49</v>
      </c>
    </row>
    <row r="3639" spans="8:19" x14ac:dyDescent="0.25">
      <c r="H3639">
        <v>26</v>
      </c>
      <c r="I3639">
        <v>40</v>
      </c>
      <c r="J3639">
        <v>110</v>
      </c>
      <c r="K3639" t="b">
        <v>1</v>
      </c>
      <c r="N3639" s="25" t="s">
        <v>651</v>
      </c>
      <c r="O3639" s="2">
        <f>INDEX(Маршруты,MATCH(N3639,$B$3:$B$498,0),1)</f>
        <v>146</v>
      </c>
      <c r="P3639" s="29">
        <v>26</v>
      </c>
      <c r="Q3639" s="2">
        <f>INDEX(Остановки,MATCH(R3639,ИД_Остановки!$B$3:$B$467,0),1)</f>
        <v>134</v>
      </c>
      <c r="R3639" s="47" t="s">
        <v>308</v>
      </c>
      <c r="S3639" s="22">
        <v>0.3</v>
      </c>
    </row>
    <row r="3640" spans="8:19" x14ac:dyDescent="0.25">
      <c r="H3640">
        <v>26</v>
      </c>
      <c r="I3640">
        <v>45</v>
      </c>
      <c r="J3640">
        <v>110</v>
      </c>
      <c r="K3640" t="b">
        <v>1</v>
      </c>
      <c r="N3640" s="30" t="s">
        <v>651</v>
      </c>
      <c r="O3640" s="2">
        <f>INDEX(Маршруты,MATCH(N3640,$B$3:$B$498,0),1)</f>
        <v>146</v>
      </c>
      <c r="P3640" s="31">
        <v>27</v>
      </c>
      <c r="Q3640" s="2">
        <f>INDEX(Остановки,MATCH(R3640,ИД_Остановки!$B$3:$B$467,0),1)</f>
        <v>391</v>
      </c>
      <c r="R3640" s="30" t="s">
        <v>631</v>
      </c>
      <c r="S3640" s="32">
        <v>0.26</v>
      </c>
    </row>
    <row r="3641" spans="8:19" x14ac:dyDescent="0.25">
      <c r="H3641">
        <v>26</v>
      </c>
      <c r="I3641">
        <v>50</v>
      </c>
      <c r="J3641">
        <v>110</v>
      </c>
      <c r="K3641" t="b">
        <v>1</v>
      </c>
      <c r="N3641" s="25" t="s">
        <v>651</v>
      </c>
      <c r="O3641" s="2">
        <f>INDEX(Маршруты,MATCH(N3641,$B$3:$B$498,0),1)</f>
        <v>146</v>
      </c>
      <c r="P3641" s="29">
        <v>28</v>
      </c>
      <c r="Q3641" s="2">
        <f>INDEX(Остановки,MATCH(R3641,ИД_Остановки!$B$3:$B$467,0),1)</f>
        <v>83</v>
      </c>
      <c r="R3641" s="47" t="s">
        <v>280</v>
      </c>
      <c r="S3641" s="22">
        <v>0.85</v>
      </c>
    </row>
    <row r="3642" spans="8:19" x14ac:dyDescent="0.25">
      <c r="H3642">
        <v>26</v>
      </c>
      <c r="I3642">
        <v>55</v>
      </c>
      <c r="J3642">
        <v>110</v>
      </c>
      <c r="K3642" t="b">
        <v>1</v>
      </c>
      <c r="N3642" s="25" t="s">
        <v>651</v>
      </c>
      <c r="O3642" s="2">
        <f>INDEX(Маршруты,MATCH(N3642,$B$3:$B$498,0),1)</f>
        <v>146</v>
      </c>
      <c r="P3642" s="29">
        <v>29</v>
      </c>
      <c r="Q3642" s="2">
        <f>INDEX(Остановки,MATCH(R3642,ИД_Остановки!$B$3:$B$467,0),1)</f>
        <v>135</v>
      </c>
      <c r="R3642" s="47" t="s">
        <v>630</v>
      </c>
      <c r="S3642" s="22">
        <v>1.26</v>
      </c>
    </row>
    <row r="3643" spans="8:19" x14ac:dyDescent="0.25">
      <c r="H3643">
        <v>26</v>
      </c>
      <c r="I3643">
        <v>60</v>
      </c>
      <c r="J3643">
        <v>110</v>
      </c>
      <c r="K3643" t="b">
        <v>1</v>
      </c>
      <c r="N3643" s="77" t="s">
        <v>692</v>
      </c>
      <c r="O3643" s="2">
        <f>INDEX(Маршруты,MATCH(N3643,$B$3:$B$498,0),1)</f>
        <v>147</v>
      </c>
      <c r="P3643" s="78">
        <v>1</v>
      </c>
      <c r="Q3643" s="2">
        <f>INDEX(Остановки,MATCH(R3643,ИД_Остановки!$B$3:$B$467,0),1)</f>
        <v>44</v>
      </c>
      <c r="R3643" s="80" t="s">
        <v>258</v>
      </c>
      <c r="S3643" s="36"/>
    </row>
    <row r="3644" spans="8:19" x14ac:dyDescent="0.25">
      <c r="H3644">
        <v>26</v>
      </c>
      <c r="I3644">
        <v>65</v>
      </c>
      <c r="J3644">
        <v>110</v>
      </c>
      <c r="K3644" t="b">
        <v>1</v>
      </c>
      <c r="N3644" s="77" t="s">
        <v>692</v>
      </c>
      <c r="O3644" s="2">
        <f>INDEX(Маршруты,MATCH(N3644,$B$3:$B$498,0),1)</f>
        <v>147</v>
      </c>
      <c r="P3644" s="78">
        <v>2</v>
      </c>
      <c r="Q3644" s="2">
        <f>INDEX(Остановки,MATCH(R3644,ИД_Остановки!$B$3:$B$467,0),1)</f>
        <v>45</v>
      </c>
      <c r="R3644" s="80" t="s">
        <v>40</v>
      </c>
      <c r="S3644" s="22">
        <v>0.39</v>
      </c>
    </row>
    <row r="3645" spans="8:19" x14ac:dyDescent="0.25">
      <c r="H3645">
        <v>26</v>
      </c>
      <c r="I3645">
        <v>70</v>
      </c>
      <c r="J3645">
        <v>110</v>
      </c>
      <c r="K3645" t="b">
        <v>1</v>
      </c>
      <c r="N3645" s="75" t="s">
        <v>692</v>
      </c>
      <c r="O3645" s="2">
        <f>INDEX(Маршруты,MATCH(N3645,$B$3:$B$498,0),1)</f>
        <v>147</v>
      </c>
      <c r="P3645" s="78">
        <v>3</v>
      </c>
      <c r="Q3645" s="2">
        <f>INDEX(Остановки,MATCH(R3645,ИД_Остановки!$B$3:$B$467,0),1)</f>
        <v>46</v>
      </c>
      <c r="R3645" s="80" t="s">
        <v>41</v>
      </c>
      <c r="S3645" s="22">
        <v>0.45</v>
      </c>
    </row>
    <row r="3646" spans="8:19" x14ac:dyDescent="0.25">
      <c r="H3646">
        <v>26</v>
      </c>
      <c r="I3646">
        <v>75</v>
      </c>
      <c r="J3646">
        <v>110</v>
      </c>
      <c r="K3646" t="b">
        <v>1</v>
      </c>
      <c r="N3646" s="75" t="s">
        <v>692</v>
      </c>
      <c r="O3646" s="2">
        <f>INDEX(Маршруты,MATCH(N3646,$B$3:$B$498,0),1)</f>
        <v>147</v>
      </c>
      <c r="P3646" s="78">
        <v>4</v>
      </c>
      <c r="Q3646" s="2">
        <f>INDEX(Остановки,MATCH(R3646,ИД_Остановки!$B$3:$B$467,0),1)</f>
        <v>47</v>
      </c>
      <c r="R3646" s="80" t="s">
        <v>259</v>
      </c>
      <c r="S3646" s="22">
        <v>0.5</v>
      </c>
    </row>
    <row r="3647" spans="8:19" x14ac:dyDescent="0.25">
      <c r="H3647">
        <v>26</v>
      </c>
      <c r="I3647">
        <v>80</v>
      </c>
      <c r="J3647">
        <v>110</v>
      </c>
      <c r="K3647" t="b">
        <v>1</v>
      </c>
      <c r="N3647" s="75" t="s">
        <v>692</v>
      </c>
      <c r="O3647" s="2">
        <f>INDEX(Маршруты,MATCH(N3647,$B$3:$B$498,0),1)</f>
        <v>147</v>
      </c>
      <c r="P3647" s="78">
        <v>5</v>
      </c>
      <c r="Q3647" s="2">
        <f>INDEX(Остановки,MATCH(R3647,ИД_Остановки!$B$3:$B$467,0),1)</f>
        <v>145</v>
      </c>
      <c r="R3647" s="80" t="s">
        <v>87</v>
      </c>
      <c r="S3647" s="22">
        <v>0.77</v>
      </c>
    </row>
    <row r="3648" spans="8:19" x14ac:dyDescent="0.25">
      <c r="H3648">
        <v>26</v>
      </c>
      <c r="I3648">
        <v>85</v>
      </c>
      <c r="J3648">
        <v>110</v>
      </c>
      <c r="K3648" t="b">
        <v>1</v>
      </c>
      <c r="N3648" s="75" t="s">
        <v>692</v>
      </c>
      <c r="O3648" s="2">
        <f>INDEX(Маршруты,MATCH(N3648,$B$3:$B$498,0),1)</f>
        <v>147</v>
      </c>
      <c r="P3648" s="78">
        <v>6</v>
      </c>
      <c r="Q3648" s="2">
        <f>INDEX(Остановки,MATCH(R3648,ИД_Остановки!$B$3:$B$467,0),1)</f>
        <v>130</v>
      </c>
      <c r="R3648" s="80" t="s">
        <v>305</v>
      </c>
      <c r="S3648" s="22">
        <v>0.63</v>
      </c>
    </row>
    <row r="3649" spans="8:19" x14ac:dyDescent="0.25">
      <c r="H3649">
        <v>26</v>
      </c>
      <c r="I3649">
        <v>90</v>
      </c>
      <c r="J3649">
        <v>110</v>
      </c>
      <c r="K3649" t="b">
        <v>1</v>
      </c>
      <c r="N3649" s="75" t="s">
        <v>692</v>
      </c>
      <c r="O3649" s="2">
        <f>INDEX(Маршруты,MATCH(N3649,$B$3:$B$498,0),1)</f>
        <v>147</v>
      </c>
      <c r="P3649" s="78">
        <v>7</v>
      </c>
      <c r="Q3649" s="2">
        <f>INDEX(Остановки,MATCH(R3649,ИД_Остановки!$B$3:$B$467,0),1)</f>
        <v>131</v>
      </c>
      <c r="R3649" s="80" t="s">
        <v>306</v>
      </c>
      <c r="S3649" s="22">
        <v>0.39</v>
      </c>
    </row>
    <row r="3650" spans="8:19" x14ac:dyDescent="0.25">
      <c r="H3650">
        <v>26</v>
      </c>
      <c r="I3650">
        <v>95</v>
      </c>
      <c r="J3650">
        <v>110</v>
      </c>
      <c r="K3650" t="b">
        <v>1</v>
      </c>
      <c r="N3650" s="75" t="s">
        <v>692</v>
      </c>
      <c r="O3650" s="2">
        <f>INDEX(Маршруты,MATCH(N3650,$B$3:$B$498,0),1)</f>
        <v>147</v>
      </c>
      <c r="P3650" s="78">
        <v>8</v>
      </c>
      <c r="Q3650" s="2">
        <f>INDEX(Остановки,MATCH(R3650,ИД_Остановки!$B$3:$B$467,0),1)</f>
        <v>132</v>
      </c>
      <c r="R3650" s="80" t="s">
        <v>307</v>
      </c>
      <c r="S3650" s="22">
        <v>0.56999999999999995</v>
      </c>
    </row>
    <row r="3651" spans="8:19" x14ac:dyDescent="0.25">
      <c r="H3651">
        <v>26</v>
      </c>
      <c r="I3651">
        <v>100</v>
      </c>
      <c r="J3651">
        <v>110</v>
      </c>
      <c r="K3651" t="b">
        <v>1</v>
      </c>
      <c r="N3651" s="75" t="s">
        <v>692</v>
      </c>
      <c r="O3651" s="2">
        <f>INDEX(Маршруты,MATCH(N3651,$B$3:$B$498,0),1)</f>
        <v>147</v>
      </c>
      <c r="P3651" s="78">
        <v>9</v>
      </c>
      <c r="Q3651" s="2">
        <f>INDEX(Остановки,MATCH(R3651,ИД_Остановки!$B$3:$B$467,0),1)</f>
        <v>133</v>
      </c>
      <c r="R3651" s="80" t="s">
        <v>82</v>
      </c>
      <c r="S3651" s="22">
        <v>0.49</v>
      </c>
    </row>
    <row r="3652" spans="8:19" x14ac:dyDescent="0.25">
      <c r="H3652">
        <v>26</v>
      </c>
      <c r="I3652">
        <v>105</v>
      </c>
      <c r="J3652">
        <v>110</v>
      </c>
      <c r="K3652" t="b">
        <v>1</v>
      </c>
      <c r="N3652" s="75" t="s">
        <v>692</v>
      </c>
      <c r="O3652" s="2">
        <f>INDEX(Маршруты,MATCH(N3652,$B$3:$B$498,0),1)</f>
        <v>147</v>
      </c>
      <c r="P3652" s="78">
        <v>10</v>
      </c>
      <c r="Q3652" s="2">
        <f>INDEX(Остановки,MATCH(R3652,ИД_Остановки!$B$3:$B$467,0),1)</f>
        <v>134</v>
      </c>
      <c r="R3652" s="80" t="s">
        <v>308</v>
      </c>
      <c r="S3652" s="22">
        <v>0.3</v>
      </c>
    </row>
    <row r="3653" spans="8:19" x14ac:dyDescent="0.25">
      <c r="H3653">
        <v>26</v>
      </c>
      <c r="I3653">
        <v>110</v>
      </c>
      <c r="J3653">
        <v>110</v>
      </c>
      <c r="K3653" t="b">
        <v>1</v>
      </c>
      <c r="N3653" s="75" t="s">
        <v>692</v>
      </c>
      <c r="O3653" s="2">
        <f>INDEX(Маршруты,MATCH(N3653,$B$3:$B$498,0),1)</f>
        <v>147</v>
      </c>
      <c r="P3653" s="78">
        <v>11</v>
      </c>
      <c r="Q3653" s="2">
        <f>INDEX(Остановки,MATCH(R3653,ИД_Остановки!$B$3:$B$467,0),1)</f>
        <v>391</v>
      </c>
      <c r="R3653" s="80" t="s">
        <v>631</v>
      </c>
      <c r="S3653" s="22">
        <v>0.26</v>
      </c>
    </row>
    <row r="3654" spans="8:19" x14ac:dyDescent="0.25">
      <c r="H3654">
        <v>26</v>
      </c>
      <c r="I3654">
        <v>115</v>
      </c>
      <c r="J3654">
        <v>110</v>
      </c>
      <c r="K3654" t="b">
        <v>1</v>
      </c>
      <c r="N3654" s="75" t="s">
        <v>692</v>
      </c>
      <c r="O3654" s="2">
        <f>INDEX(Маршруты,MATCH(N3654,$B$3:$B$498,0),1)</f>
        <v>147</v>
      </c>
      <c r="P3654" s="78">
        <v>12</v>
      </c>
      <c r="Q3654" s="2">
        <f>INDEX(Остановки,MATCH(R3654,ИД_Остановки!$B$3:$B$467,0),1)</f>
        <v>103</v>
      </c>
      <c r="R3654" s="80" t="s">
        <v>288</v>
      </c>
      <c r="S3654" s="22">
        <v>1.1399999999999999</v>
      </c>
    </row>
    <row r="3655" spans="8:19" x14ac:dyDescent="0.25">
      <c r="H3655">
        <v>26</v>
      </c>
      <c r="I3655">
        <v>120</v>
      </c>
      <c r="J3655">
        <v>110</v>
      </c>
      <c r="K3655" t="b">
        <v>1</v>
      </c>
      <c r="N3655" s="75" t="s">
        <v>692</v>
      </c>
      <c r="O3655" s="2">
        <f>INDEX(Маршруты,MATCH(N3655,$B$3:$B$498,0),1)</f>
        <v>147</v>
      </c>
      <c r="P3655" s="78">
        <v>13</v>
      </c>
      <c r="Q3655" s="2">
        <f>INDEX(Остановки,MATCH(R3655,ИД_Остановки!$B$3:$B$467,0),1)</f>
        <v>380</v>
      </c>
      <c r="R3655" s="80" t="s">
        <v>438</v>
      </c>
      <c r="S3655" s="22">
        <v>0.5</v>
      </c>
    </row>
    <row r="3656" spans="8:19" x14ac:dyDescent="0.25">
      <c r="H3656">
        <v>26</v>
      </c>
      <c r="I3656">
        <v>125</v>
      </c>
      <c r="J3656">
        <v>110</v>
      </c>
      <c r="K3656" t="b">
        <v>1</v>
      </c>
      <c r="N3656" s="75" t="s">
        <v>692</v>
      </c>
      <c r="O3656" s="2">
        <f>INDEX(Маршруты,MATCH(N3656,$B$3:$B$498,0),1)</f>
        <v>147</v>
      </c>
      <c r="P3656" s="78">
        <v>14</v>
      </c>
      <c r="Q3656" s="2">
        <f>INDEX(Остановки,MATCH(R3656,ИД_Остановки!$B$3:$B$467,0),1)</f>
        <v>84</v>
      </c>
      <c r="R3656" s="80" t="s">
        <v>281</v>
      </c>
      <c r="S3656" s="22">
        <v>0.39</v>
      </c>
    </row>
    <row r="3657" spans="8:19" x14ac:dyDescent="0.25">
      <c r="H3657">
        <v>26</v>
      </c>
      <c r="I3657">
        <v>130</v>
      </c>
      <c r="J3657">
        <v>110</v>
      </c>
      <c r="K3657" t="b">
        <v>1</v>
      </c>
      <c r="N3657" s="75" t="s">
        <v>692</v>
      </c>
      <c r="O3657" s="2">
        <f>INDEX(Маршруты,MATCH(N3657,$B$3:$B$498,0),1)</f>
        <v>147</v>
      </c>
      <c r="P3657" s="78">
        <v>15</v>
      </c>
      <c r="Q3657" s="2">
        <f>INDEX(Остановки,MATCH(R3657,ИД_Остановки!$B$3:$B$467,0),1)</f>
        <v>105</v>
      </c>
      <c r="R3657" s="80" t="s">
        <v>615</v>
      </c>
      <c r="S3657" s="22">
        <v>0.54</v>
      </c>
    </row>
    <row r="3658" spans="8:19" x14ac:dyDescent="0.25">
      <c r="H3658">
        <v>26</v>
      </c>
      <c r="I3658">
        <v>135</v>
      </c>
      <c r="J3658">
        <v>110</v>
      </c>
      <c r="K3658" t="b">
        <v>1</v>
      </c>
      <c r="N3658" s="75" t="s">
        <v>692</v>
      </c>
      <c r="O3658" s="2">
        <f>INDEX(Маршруты,MATCH(N3658,$B$3:$B$498,0),1)</f>
        <v>147</v>
      </c>
      <c r="P3658" s="78">
        <v>16</v>
      </c>
      <c r="Q3658" s="2">
        <f>INDEX(Остановки,MATCH(R3658,ИД_Остановки!$B$3:$B$467,0),1)</f>
        <v>106</v>
      </c>
      <c r="R3658" s="80" t="s">
        <v>291</v>
      </c>
      <c r="S3658" s="22">
        <v>0.34</v>
      </c>
    </row>
    <row r="3659" spans="8:19" x14ac:dyDescent="0.25">
      <c r="H3659">
        <v>26</v>
      </c>
      <c r="I3659">
        <v>140</v>
      </c>
      <c r="J3659">
        <v>110</v>
      </c>
      <c r="K3659" t="b">
        <v>1</v>
      </c>
      <c r="N3659" s="75" t="s">
        <v>692</v>
      </c>
      <c r="O3659" s="2">
        <f>INDEX(Маршруты,MATCH(N3659,$B$3:$B$498,0),1)</f>
        <v>147</v>
      </c>
      <c r="P3659" s="78">
        <v>17</v>
      </c>
      <c r="Q3659" s="2">
        <f>INDEX(Остановки,MATCH(R3659,ИД_Остановки!$B$3:$B$467,0),1)</f>
        <v>86</v>
      </c>
      <c r="R3659" s="80" t="s">
        <v>61</v>
      </c>
      <c r="S3659" s="22">
        <v>0.66</v>
      </c>
    </row>
    <row r="3660" spans="8:19" x14ac:dyDescent="0.25">
      <c r="H3660">
        <v>26</v>
      </c>
      <c r="I3660">
        <v>145</v>
      </c>
      <c r="J3660">
        <v>110</v>
      </c>
      <c r="K3660" t="b">
        <v>1</v>
      </c>
      <c r="N3660" s="75" t="s">
        <v>692</v>
      </c>
      <c r="O3660" s="2">
        <f>INDEX(Маршруты,MATCH(N3660,$B$3:$B$498,0),1)</f>
        <v>147</v>
      </c>
      <c r="P3660" s="78">
        <v>18</v>
      </c>
      <c r="Q3660" s="2">
        <f>INDEX(Остановки,MATCH(R3660,ИД_Остановки!$B$3:$B$467,0),1)</f>
        <v>87</v>
      </c>
      <c r="R3660" s="80" t="s">
        <v>62</v>
      </c>
      <c r="S3660" s="22">
        <v>0.75</v>
      </c>
    </row>
    <row r="3661" spans="8:19" x14ac:dyDescent="0.25">
      <c r="H3661">
        <v>26</v>
      </c>
      <c r="I3661">
        <v>150</v>
      </c>
      <c r="J3661">
        <v>110</v>
      </c>
      <c r="K3661" t="b">
        <v>1</v>
      </c>
      <c r="N3661" s="75" t="s">
        <v>692</v>
      </c>
      <c r="O3661" s="2">
        <f>INDEX(Маршруты,MATCH(N3661,$B$3:$B$498,0),1)</f>
        <v>147</v>
      </c>
      <c r="P3661" s="78">
        <v>19</v>
      </c>
      <c r="Q3661" s="2">
        <f>INDEX(Остановки,MATCH(R3661,ИД_Остановки!$B$3:$B$467,0),1)</f>
        <v>88</v>
      </c>
      <c r="R3661" s="80" t="s">
        <v>63</v>
      </c>
      <c r="S3661" s="22">
        <v>0.45</v>
      </c>
    </row>
    <row r="3662" spans="8:19" x14ac:dyDescent="0.25">
      <c r="H3662">
        <v>26</v>
      </c>
      <c r="I3662">
        <v>155</v>
      </c>
      <c r="J3662">
        <v>110</v>
      </c>
      <c r="K3662" t="b">
        <v>1</v>
      </c>
      <c r="N3662" s="75" t="s">
        <v>692</v>
      </c>
      <c r="O3662" s="2">
        <f>INDEX(Маршруты,MATCH(N3662,$B$3:$B$498,0),1)</f>
        <v>147</v>
      </c>
      <c r="P3662" s="78">
        <v>20</v>
      </c>
      <c r="Q3662" s="2">
        <f>INDEX(Остановки,MATCH(R3662,ИД_Остановки!$B$3:$B$467,0),1)</f>
        <v>89</v>
      </c>
      <c r="R3662" s="80" t="s">
        <v>64</v>
      </c>
      <c r="S3662" s="22">
        <v>0.79</v>
      </c>
    </row>
    <row r="3663" spans="8:19" x14ac:dyDescent="0.25">
      <c r="H3663">
        <v>26</v>
      </c>
      <c r="I3663">
        <v>160</v>
      </c>
      <c r="J3663">
        <v>110</v>
      </c>
      <c r="K3663" t="b">
        <v>1</v>
      </c>
      <c r="N3663" s="75" t="s">
        <v>692</v>
      </c>
      <c r="O3663" s="2">
        <f>INDEX(Маршруты,MATCH(N3663,$B$3:$B$498,0),1)</f>
        <v>147</v>
      </c>
      <c r="P3663" s="78">
        <v>21</v>
      </c>
      <c r="Q3663" s="2">
        <f>INDEX(Остановки,MATCH(R3663,ИД_Остановки!$B$3:$B$467,0),1)</f>
        <v>90</v>
      </c>
      <c r="R3663" s="77" t="s">
        <v>282</v>
      </c>
      <c r="S3663" s="22">
        <v>0.54</v>
      </c>
    </row>
    <row r="3664" spans="8:19" x14ac:dyDescent="0.25">
      <c r="H3664">
        <v>26</v>
      </c>
      <c r="I3664">
        <v>165</v>
      </c>
      <c r="J3664">
        <v>110</v>
      </c>
      <c r="K3664" t="b">
        <v>1</v>
      </c>
      <c r="N3664" s="77" t="s">
        <v>693</v>
      </c>
      <c r="O3664" s="2">
        <f>INDEX(Маршруты,MATCH(N3664,$B$3:$B$498,0),1)</f>
        <v>148</v>
      </c>
      <c r="P3664" s="79">
        <v>1</v>
      </c>
      <c r="Q3664" s="2">
        <f>INDEX(Остановки,MATCH(R3664,ИД_Остановки!$B$3:$B$467,0),1)</f>
        <v>90</v>
      </c>
      <c r="R3664" s="77" t="s">
        <v>282</v>
      </c>
      <c r="S3664" s="36"/>
    </row>
    <row r="3665" spans="8:19" x14ac:dyDescent="0.25">
      <c r="H3665">
        <v>26</v>
      </c>
      <c r="I3665">
        <v>170</v>
      </c>
      <c r="J3665">
        <v>110</v>
      </c>
      <c r="K3665" t="b">
        <v>1</v>
      </c>
      <c r="N3665" s="77" t="s">
        <v>693</v>
      </c>
      <c r="O3665" s="2">
        <f>INDEX(Маршруты,MATCH(N3665,$B$3:$B$498,0),1)</f>
        <v>148</v>
      </c>
      <c r="P3665" s="79">
        <v>2</v>
      </c>
      <c r="Q3665" s="2">
        <f>INDEX(Остановки,MATCH(R3665,ИД_Остановки!$B$3:$B$467,0),1)</f>
        <v>89</v>
      </c>
      <c r="R3665" s="77" t="s">
        <v>64</v>
      </c>
      <c r="S3665" s="22">
        <v>0.54</v>
      </c>
    </row>
    <row r="3666" spans="8:19" x14ac:dyDescent="0.25">
      <c r="H3666">
        <v>26</v>
      </c>
      <c r="I3666">
        <v>175</v>
      </c>
      <c r="J3666">
        <v>110</v>
      </c>
      <c r="K3666" t="b">
        <v>1</v>
      </c>
      <c r="N3666" s="75" t="s">
        <v>693</v>
      </c>
      <c r="O3666" s="2">
        <f>INDEX(Маршруты,MATCH(N3666,$B$3:$B$498,0),1)</f>
        <v>148</v>
      </c>
      <c r="P3666" s="79">
        <v>3</v>
      </c>
      <c r="Q3666" s="2">
        <f>INDEX(Остановки,MATCH(R3666,ИД_Остановки!$B$3:$B$467,0),1)</f>
        <v>88</v>
      </c>
      <c r="R3666" s="77" t="s">
        <v>63</v>
      </c>
      <c r="S3666" s="22">
        <v>0.79</v>
      </c>
    </row>
    <row r="3667" spans="8:19" x14ac:dyDescent="0.25">
      <c r="H3667">
        <v>26</v>
      </c>
      <c r="I3667">
        <v>180</v>
      </c>
      <c r="J3667">
        <v>110</v>
      </c>
      <c r="K3667" t="b">
        <v>1</v>
      </c>
      <c r="N3667" s="75" t="s">
        <v>693</v>
      </c>
      <c r="O3667" s="2">
        <f>INDEX(Маршруты,MATCH(N3667,$B$3:$B$498,0),1)</f>
        <v>148</v>
      </c>
      <c r="P3667" s="79">
        <v>4</v>
      </c>
      <c r="Q3667" s="2">
        <f>INDEX(Остановки,MATCH(R3667,ИД_Остановки!$B$3:$B$467,0),1)</f>
        <v>87</v>
      </c>
      <c r="R3667" s="77" t="s">
        <v>62</v>
      </c>
      <c r="S3667" s="22">
        <v>0.45</v>
      </c>
    </row>
    <row r="3668" spans="8:19" x14ac:dyDescent="0.25">
      <c r="H3668">
        <v>26</v>
      </c>
      <c r="I3668">
        <v>185</v>
      </c>
      <c r="J3668">
        <v>110</v>
      </c>
      <c r="K3668" t="b">
        <v>1</v>
      </c>
      <c r="N3668" s="75" t="s">
        <v>693</v>
      </c>
      <c r="O3668" s="2">
        <f>INDEX(Маршруты,MATCH(N3668,$B$3:$B$498,0),1)</f>
        <v>148</v>
      </c>
      <c r="P3668" s="79">
        <v>5</v>
      </c>
      <c r="Q3668" s="2">
        <f>INDEX(Остановки,MATCH(R3668,ИД_Остановки!$B$3:$B$467,0),1)</f>
        <v>86</v>
      </c>
      <c r="R3668" s="77" t="s">
        <v>61</v>
      </c>
      <c r="S3668" s="22">
        <v>0.75</v>
      </c>
    </row>
    <row r="3669" spans="8:19" x14ac:dyDescent="0.25">
      <c r="H3669">
        <v>26</v>
      </c>
      <c r="I3669">
        <v>190</v>
      </c>
      <c r="J3669">
        <v>110</v>
      </c>
      <c r="K3669" t="b">
        <v>1</v>
      </c>
      <c r="N3669" s="75" t="s">
        <v>693</v>
      </c>
      <c r="O3669" s="2">
        <f>INDEX(Маршруты,MATCH(N3669,$B$3:$B$498,0),1)</f>
        <v>148</v>
      </c>
      <c r="P3669" s="79">
        <v>6</v>
      </c>
      <c r="Q3669" s="2">
        <f>INDEX(Остановки,MATCH(R3669,ИД_Остановки!$B$3:$B$467,0),1)</f>
        <v>106</v>
      </c>
      <c r="R3669" s="77" t="s">
        <v>291</v>
      </c>
      <c r="S3669" s="22">
        <v>0.66</v>
      </c>
    </row>
    <row r="3670" spans="8:19" x14ac:dyDescent="0.25">
      <c r="H3670">
        <v>26</v>
      </c>
      <c r="I3670">
        <v>195</v>
      </c>
      <c r="J3670">
        <v>110</v>
      </c>
      <c r="K3670" t="b">
        <v>1</v>
      </c>
      <c r="N3670" s="75" t="s">
        <v>693</v>
      </c>
      <c r="O3670" s="2">
        <f>INDEX(Маршруты,MATCH(N3670,$B$3:$B$498,0),1)</f>
        <v>148</v>
      </c>
      <c r="P3670" s="79">
        <v>7</v>
      </c>
      <c r="Q3670" s="2">
        <f>INDEX(Остановки,MATCH(R3670,ИД_Остановки!$B$3:$B$467,0),1)</f>
        <v>105</v>
      </c>
      <c r="R3670" s="77" t="s">
        <v>615</v>
      </c>
      <c r="S3670" s="22">
        <v>0.34</v>
      </c>
    </row>
    <row r="3671" spans="8:19" x14ac:dyDescent="0.25">
      <c r="H3671">
        <v>26</v>
      </c>
      <c r="I3671">
        <v>200</v>
      </c>
      <c r="J3671">
        <v>110</v>
      </c>
      <c r="K3671" t="b">
        <v>1</v>
      </c>
      <c r="N3671" s="75" t="s">
        <v>693</v>
      </c>
      <c r="O3671" s="2">
        <f>INDEX(Маршруты,MATCH(N3671,$B$3:$B$498,0),1)</f>
        <v>148</v>
      </c>
      <c r="P3671" s="79">
        <v>8</v>
      </c>
      <c r="Q3671" s="2">
        <f>INDEX(Остановки,MATCH(R3671,ИД_Остановки!$B$3:$B$467,0),1)</f>
        <v>84</v>
      </c>
      <c r="R3671" s="77" t="s">
        <v>281</v>
      </c>
      <c r="S3671" s="22">
        <v>0.54</v>
      </c>
    </row>
    <row r="3672" spans="8:19" x14ac:dyDescent="0.25">
      <c r="H3672">
        <v>26</v>
      </c>
      <c r="I3672">
        <v>205</v>
      </c>
      <c r="J3672">
        <v>110</v>
      </c>
      <c r="K3672" t="b">
        <v>1</v>
      </c>
      <c r="N3672" s="75" t="s">
        <v>693</v>
      </c>
      <c r="O3672" s="2">
        <f>INDEX(Маршруты,MATCH(N3672,$B$3:$B$498,0),1)</f>
        <v>148</v>
      </c>
      <c r="P3672" s="79">
        <v>9</v>
      </c>
      <c r="Q3672" s="2">
        <f>INDEX(Остановки,MATCH(R3672,ИД_Остановки!$B$3:$B$467,0),1)</f>
        <v>380</v>
      </c>
      <c r="R3672" s="77" t="s">
        <v>438</v>
      </c>
      <c r="S3672" s="22">
        <v>0.39</v>
      </c>
    </row>
    <row r="3673" spans="8:19" x14ac:dyDescent="0.25">
      <c r="H3673">
        <v>26</v>
      </c>
      <c r="I3673">
        <v>210</v>
      </c>
      <c r="J3673">
        <v>110</v>
      </c>
      <c r="K3673" t="b">
        <v>1</v>
      </c>
      <c r="N3673" s="75" t="s">
        <v>693</v>
      </c>
      <c r="O3673" s="2">
        <f>INDEX(Маршруты,MATCH(N3673,$B$3:$B$498,0),1)</f>
        <v>148</v>
      </c>
      <c r="P3673" s="79">
        <v>10</v>
      </c>
      <c r="Q3673" s="2">
        <f>INDEX(Остановки,MATCH(R3673,ИД_Остановки!$B$3:$B$467,0),1)</f>
        <v>103</v>
      </c>
      <c r="R3673" s="77" t="s">
        <v>288</v>
      </c>
      <c r="S3673" s="22">
        <v>0.5</v>
      </c>
    </row>
    <row r="3674" spans="8:19" x14ac:dyDescent="0.25">
      <c r="H3674">
        <v>26</v>
      </c>
      <c r="I3674">
        <v>215</v>
      </c>
      <c r="J3674">
        <v>110</v>
      </c>
      <c r="K3674" t="b">
        <v>1</v>
      </c>
      <c r="N3674" s="75" t="s">
        <v>693</v>
      </c>
      <c r="O3674" s="2">
        <f>INDEX(Маршруты,MATCH(N3674,$B$3:$B$498,0),1)</f>
        <v>148</v>
      </c>
      <c r="P3674" s="79">
        <v>11</v>
      </c>
      <c r="Q3674" s="2">
        <f>INDEX(Остановки,MATCH(R3674,ИД_Остановки!$B$3:$B$467,0),1)</f>
        <v>391</v>
      </c>
      <c r="R3674" s="77" t="s">
        <v>448</v>
      </c>
      <c r="S3674" s="22">
        <v>1.1399999999999999</v>
      </c>
    </row>
    <row r="3675" spans="8:19" x14ac:dyDescent="0.25">
      <c r="H3675">
        <v>26</v>
      </c>
      <c r="I3675">
        <v>220</v>
      </c>
      <c r="J3675">
        <v>110</v>
      </c>
      <c r="K3675" t="b">
        <v>1</v>
      </c>
      <c r="N3675" s="75" t="s">
        <v>693</v>
      </c>
      <c r="O3675" s="2">
        <f>INDEX(Маршруты,MATCH(N3675,$B$3:$B$498,0),1)</f>
        <v>148</v>
      </c>
      <c r="P3675" s="79">
        <v>12</v>
      </c>
      <c r="Q3675" s="2">
        <f>INDEX(Остановки,MATCH(R3675,ИД_Остановки!$B$3:$B$467,0),1)</f>
        <v>134</v>
      </c>
      <c r="R3675" s="77" t="s">
        <v>308</v>
      </c>
      <c r="S3675" s="22">
        <v>0.26</v>
      </c>
    </row>
    <row r="3676" spans="8:19" x14ac:dyDescent="0.25">
      <c r="H3676">
        <v>26</v>
      </c>
      <c r="I3676">
        <v>225</v>
      </c>
      <c r="J3676">
        <v>110</v>
      </c>
      <c r="K3676" t="b">
        <v>1</v>
      </c>
      <c r="N3676" s="75" t="s">
        <v>693</v>
      </c>
      <c r="O3676" s="2">
        <f>INDEX(Маршруты,MATCH(N3676,$B$3:$B$498,0),1)</f>
        <v>148</v>
      </c>
      <c r="P3676" s="79">
        <v>13</v>
      </c>
      <c r="Q3676" s="2">
        <f>INDEX(Остановки,MATCH(R3676,ИД_Остановки!$B$3:$B$467,0),1)</f>
        <v>133</v>
      </c>
      <c r="R3676" s="77" t="s">
        <v>82</v>
      </c>
      <c r="S3676" s="22">
        <v>0.3</v>
      </c>
    </row>
    <row r="3677" spans="8:19" x14ac:dyDescent="0.25">
      <c r="H3677">
        <v>26</v>
      </c>
      <c r="I3677">
        <v>230</v>
      </c>
      <c r="J3677">
        <v>110</v>
      </c>
      <c r="K3677" t="b">
        <v>1</v>
      </c>
      <c r="N3677" s="75" t="s">
        <v>693</v>
      </c>
      <c r="O3677" s="2">
        <f>INDEX(Маршруты,MATCH(N3677,$B$3:$B$498,0),1)</f>
        <v>148</v>
      </c>
      <c r="P3677" s="79">
        <v>14</v>
      </c>
      <c r="Q3677" s="2">
        <f>INDEX(Остановки,MATCH(R3677,ИД_Остановки!$B$3:$B$467,0),1)</f>
        <v>132</v>
      </c>
      <c r="R3677" s="77" t="s">
        <v>307</v>
      </c>
      <c r="S3677" s="22">
        <v>0.49</v>
      </c>
    </row>
    <row r="3678" spans="8:19" x14ac:dyDescent="0.25">
      <c r="H3678">
        <v>26</v>
      </c>
      <c r="I3678">
        <v>235</v>
      </c>
      <c r="J3678">
        <v>110</v>
      </c>
      <c r="K3678" t="b">
        <v>1</v>
      </c>
      <c r="N3678" s="75" t="s">
        <v>693</v>
      </c>
      <c r="O3678" s="2">
        <f>INDEX(Маршруты,MATCH(N3678,$B$3:$B$498,0),1)</f>
        <v>148</v>
      </c>
      <c r="P3678" s="79">
        <v>15</v>
      </c>
      <c r="Q3678" s="2">
        <f>INDEX(Остановки,MATCH(R3678,ИД_Остановки!$B$3:$B$467,0),1)</f>
        <v>131</v>
      </c>
      <c r="R3678" s="77" t="s">
        <v>306</v>
      </c>
      <c r="S3678" s="22">
        <v>0.56999999999999995</v>
      </c>
    </row>
    <row r="3679" spans="8:19" x14ac:dyDescent="0.25">
      <c r="H3679">
        <v>26</v>
      </c>
      <c r="I3679">
        <v>240</v>
      </c>
      <c r="J3679">
        <v>110</v>
      </c>
      <c r="K3679" t="b">
        <v>1</v>
      </c>
      <c r="N3679" s="75" t="s">
        <v>693</v>
      </c>
      <c r="O3679" s="2">
        <f>INDEX(Маршруты,MATCH(N3679,$B$3:$B$498,0),1)</f>
        <v>148</v>
      </c>
      <c r="P3679" s="79">
        <v>16</v>
      </c>
      <c r="Q3679" s="2">
        <f>INDEX(Остановки,MATCH(R3679,ИД_Остановки!$B$3:$B$467,0),1)</f>
        <v>130</v>
      </c>
      <c r="R3679" s="77" t="s">
        <v>305</v>
      </c>
      <c r="S3679" s="22">
        <v>0.39</v>
      </c>
    </row>
    <row r="3680" spans="8:19" x14ac:dyDescent="0.25">
      <c r="H3680">
        <v>26</v>
      </c>
      <c r="I3680">
        <v>245</v>
      </c>
      <c r="J3680">
        <v>110</v>
      </c>
      <c r="K3680" t="b">
        <v>1</v>
      </c>
      <c r="N3680" s="75" t="s">
        <v>693</v>
      </c>
      <c r="O3680" s="2">
        <f>INDEX(Маршруты,MATCH(N3680,$B$3:$B$498,0),1)</f>
        <v>148</v>
      </c>
      <c r="P3680" s="79">
        <v>17</v>
      </c>
      <c r="Q3680" s="2">
        <f>INDEX(Остановки,MATCH(R3680,ИД_Остановки!$B$3:$B$467,0),1)</f>
        <v>145</v>
      </c>
      <c r="R3680" s="77" t="s">
        <v>87</v>
      </c>
      <c r="S3680" s="22">
        <v>0.63</v>
      </c>
    </row>
    <row r="3681" spans="8:19" x14ac:dyDescent="0.25">
      <c r="H3681">
        <v>26</v>
      </c>
      <c r="I3681">
        <v>250</v>
      </c>
      <c r="J3681">
        <v>110</v>
      </c>
      <c r="K3681" t="b">
        <v>1</v>
      </c>
      <c r="N3681" s="75" t="s">
        <v>693</v>
      </c>
      <c r="O3681" s="2">
        <f>INDEX(Маршруты,MATCH(N3681,$B$3:$B$498,0),1)</f>
        <v>148</v>
      </c>
      <c r="P3681" s="79">
        <v>18</v>
      </c>
      <c r="Q3681" s="2">
        <f>INDEX(Остановки,MATCH(R3681,ИД_Остановки!$B$3:$B$467,0),1)</f>
        <v>47</v>
      </c>
      <c r="R3681" s="77" t="s">
        <v>259</v>
      </c>
      <c r="S3681" s="22">
        <v>0.77</v>
      </c>
    </row>
    <row r="3682" spans="8:19" x14ac:dyDescent="0.25">
      <c r="H3682">
        <v>26</v>
      </c>
      <c r="I3682">
        <v>255</v>
      </c>
      <c r="J3682">
        <v>110</v>
      </c>
      <c r="K3682" t="b">
        <v>1</v>
      </c>
      <c r="N3682" s="75" t="s">
        <v>693</v>
      </c>
      <c r="O3682" s="2">
        <f>INDEX(Маршруты,MATCH(N3682,$B$3:$B$498,0),1)</f>
        <v>148</v>
      </c>
      <c r="P3682" s="79">
        <v>19</v>
      </c>
      <c r="Q3682" s="2">
        <f>INDEX(Остановки,MATCH(R3682,ИД_Остановки!$B$3:$B$467,0),1)</f>
        <v>46</v>
      </c>
      <c r="R3682" s="77" t="s">
        <v>41</v>
      </c>
      <c r="S3682" s="22">
        <v>0.5</v>
      </c>
    </row>
    <row r="3683" spans="8:19" x14ac:dyDescent="0.25">
      <c r="H3683">
        <v>26</v>
      </c>
      <c r="I3683">
        <v>260</v>
      </c>
      <c r="J3683">
        <v>110</v>
      </c>
      <c r="K3683" t="b">
        <v>1</v>
      </c>
      <c r="N3683" s="75" t="s">
        <v>693</v>
      </c>
      <c r="O3683" s="2">
        <f>INDEX(Маршруты,MATCH(N3683,$B$3:$B$498,0),1)</f>
        <v>148</v>
      </c>
      <c r="P3683" s="79">
        <v>20</v>
      </c>
      <c r="Q3683" s="2">
        <f>INDEX(Остановки,MATCH(R3683,ИД_Остановки!$B$3:$B$467,0),1)</f>
        <v>45</v>
      </c>
      <c r="R3683" s="77" t="s">
        <v>40</v>
      </c>
      <c r="S3683" s="22">
        <v>0.45</v>
      </c>
    </row>
    <row r="3684" spans="8:19" x14ac:dyDescent="0.25">
      <c r="H3684">
        <v>26</v>
      </c>
      <c r="I3684">
        <v>265</v>
      </c>
      <c r="J3684">
        <v>110</v>
      </c>
      <c r="K3684" t="b">
        <v>1</v>
      </c>
      <c r="N3684" s="75" t="s">
        <v>693</v>
      </c>
      <c r="O3684" s="2">
        <f>INDEX(Маршруты,MATCH(N3684,$B$3:$B$498,0),1)</f>
        <v>148</v>
      </c>
      <c r="P3684" s="79">
        <v>21</v>
      </c>
      <c r="Q3684" s="2">
        <f>INDEX(Остановки,MATCH(R3684,ИД_Остановки!$B$3:$B$467,0),1)</f>
        <v>44</v>
      </c>
      <c r="R3684" s="77" t="s">
        <v>258</v>
      </c>
      <c r="S3684" s="22">
        <v>0.39</v>
      </c>
    </row>
    <row r="3685" spans="8:19" x14ac:dyDescent="0.25">
      <c r="H3685">
        <v>26</v>
      </c>
      <c r="I3685">
        <v>270</v>
      </c>
      <c r="J3685">
        <v>110</v>
      </c>
      <c r="K3685" t="b">
        <v>1</v>
      </c>
      <c r="N3685" s="77" t="s">
        <v>694</v>
      </c>
      <c r="O3685" s="2">
        <f>INDEX(Маршруты,MATCH(N3685,$B$3:$B$498,0),1)</f>
        <v>149</v>
      </c>
      <c r="P3685" s="79">
        <v>1</v>
      </c>
      <c r="Q3685" s="2">
        <f>INDEX(Остановки,MATCH(R3685,ИД_Остановки!$B$3:$B$467,0),1)</f>
        <v>248</v>
      </c>
      <c r="R3685" s="77" t="s">
        <v>617</v>
      </c>
      <c r="S3685" s="36"/>
    </row>
    <row r="3686" spans="8:19" x14ac:dyDescent="0.25">
      <c r="H3686">
        <v>26</v>
      </c>
      <c r="I3686">
        <v>275</v>
      </c>
      <c r="J3686">
        <v>110</v>
      </c>
      <c r="K3686" t="b">
        <v>1</v>
      </c>
      <c r="N3686" s="77" t="s">
        <v>694</v>
      </c>
      <c r="O3686" s="2">
        <f>INDEX(Маршруты,MATCH(N3686,$B$3:$B$498,0),1)</f>
        <v>149</v>
      </c>
      <c r="P3686" s="79">
        <v>2</v>
      </c>
      <c r="Q3686" s="2">
        <f>INDEX(Остановки,MATCH(R3686,ИД_Остановки!$B$3:$B$467,0),1)</f>
        <v>249</v>
      </c>
      <c r="R3686" s="77" t="s">
        <v>372</v>
      </c>
      <c r="S3686" s="22">
        <v>0.77</v>
      </c>
    </row>
    <row r="3687" spans="8:19" x14ac:dyDescent="0.25">
      <c r="H3687">
        <v>26</v>
      </c>
      <c r="I3687">
        <v>280</v>
      </c>
      <c r="J3687">
        <v>110</v>
      </c>
      <c r="K3687" t="b">
        <v>1</v>
      </c>
      <c r="N3687" s="75" t="s">
        <v>694</v>
      </c>
      <c r="O3687" s="2">
        <f>INDEX(Маршруты,MATCH(N3687,$B$3:$B$498,0),1)</f>
        <v>149</v>
      </c>
      <c r="P3687" s="79">
        <v>3</v>
      </c>
      <c r="Q3687" s="2">
        <f>INDEX(Остановки,MATCH(R3687,ИД_Остановки!$B$3:$B$467,0),1)</f>
        <v>250</v>
      </c>
      <c r="R3687" s="77" t="s">
        <v>373</v>
      </c>
      <c r="S3687" s="22">
        <v>0.32</v>
      </c>
    </row>
    <row r="3688" spans="8:19" x14ac:dyDescent="0.25">
      <c r="H3688">
        <v>26</v>
      </c>
      <c r="I3688">
        <v>285</v>
      </c>
      <c r="J3688">
        <v>110</v>
      </c>
      <c r="K3688" t="b">
        <v>1</v>
      </c>
      <c r="N3688" s="75" t="s">
        <v>694</v>
      </c>
      <c r="O3688" s="2">
        <f>INDEX(Маршруты,MATCH(N3688,$B$3:$B$498,0),1)</f>
        <v>149</v>
      </c>
      <c r="P3688" s="79">
        <v>4</v>
      </c>
      <c r="Q3688" s="2">
        <f>INDEX(Остановки,MATCH(R3688,ИД_Остановки!$B$3:$B$467,0),1)</f>
        <v>222</v>
      </c>
      <c r="R3688" s="77" t="s">
        <v>354</v>
      </c>
      <c r="S3688" s="22">
        <v>0.64</v>
      </c>
    </row>
    <row r="3689" spans="8:19" x14ac:dyDescent="0.25">
      <c r="H3689">
        <v>26</v>
      </c>
      <c r="I3689">
        <v>290</v>
      </c>
      <c r="J3689">
        <v>110</v>
      </c>
      <c r="K3689" t="b">
        <v>1</v>
      </c>
      <c r="N3689" s="75" t="s">
        <v>694</v>
      </c>
      <c r="O3689" s="2">
        <f>INDEX(Маршруты,MATCH(N3689,$B$3:$B$498,0),1)</f>
        <v>149</v>
      </c>
      <c r="P3689" s="79">
        <v>5</v>
      </c>
      <c r="Q3689" s="2">
        <f>INDEX(Остановки,MATCH(R3689,ИД_Остановки!$B$3:$B$467,0),1)</f>
        <v>243</v>
      </c>
      <c r="R3689" s="77" t="s">
        <v>368</v>
      </c>
      <c r="S3689" s="22">
        <v>0.36</v>
      </c>
    </row>
    <row r="3690" spans="8:19" x14ac:dyDescent="0.25">
      <c r="H3690">
        <v>26</v>
      </c>
      <c r="I3690">
        <v>295</v>
      </c>
      <c r="J3690">
        <v>110</v>
      </c>
      <c r="K3690" t="b">
        <v>1</v>
      </c>
      <c r="N3690" s="75" t="s">
        <v>694</v>
      </c>
      <c r="O3690" s="2">
        <f>INDEX(Маршруты,MATCH(N3690,$B$3:$B$498,0),1)</f>
        <v>149</v>
      </c>
      <c r="P3690" s="79">
        <v>6</v>
      </c>
      <c r="Q3690" s="2">
        <f>INDEX(Остановки,MATCH(R3690,ИД_Остановки!$B$3:$B$467,0),1)</f>
        <v>251</v>
      </c>
      <c r="R3690" s="77" t="s">
        <v>164</v>
      </c>
      <c r="S3690" s="22">
        <v>0.7</v>
      </c>
    </row>
    <row r="3691" spans="8:19" x14ac:dyDescent="0.25">
      <c r="H3691">
        <v>26</v>
      </c>
      <c r="I3691">
        <v>300</v>
      </c>
      <c r="J3691">
        <v>110</v>
      </c>
      <c r="K3691" t="b">
        <v>1</v>
      </c>
      <c r="N3691" s="75" t="s">
        <v>694</v>
      </c>
      <c r="O3691" s="2">
        <f>INDEX(Маршруты,MATCH(N3691,$B$3:$B$498,0),1)</f>
        <v>149</v>
      </c>
      <c r="P3691" s="79">
        <v>7</v>
      </c>
      <c r="Q3691" s="2">
        <f>INDEX(Остановки,MATCH(R3691,ИД_Остановки!$B$3:$B$467,0),1)</f>
        <v>244</v>
      </c>
      <c r="R3691" s="77" t="s">
        <v>133</v>
      </c>
      <c r="S3691" s="22">
        <v>0.64</v>
      </c>
    </row>
    <row r="3692" spans="8:19" x14ac:dyDescent="0.25">
      <c r="H3692">
        <v>26</v>
      </c>
      <c r="I3692">
        <v>305</v>
      </c>
      <c r="J3692">
        <v>110</v>
      </c>
      <c r="K3692" t="b">
        <v>1</v>
      </c>
      <c r="N3692" s="75" t="s">
        <v>694</v>
      </c>
      <c r="O3692" s="2">
        <f>INDEX(Маршруты,MATCH(N3692,$B$3:$B$498,0),1)</f>
        <v>149</v>
      </c>
      <c r="P3692" s="79">
        <v>8</v>
      </c>
      <c r="Q3692" s="2">
        <f>INDEX(Остановки,MATCH(R3692,ИД_Остановки!$B$3:$B$467,0),1)</f>
        <v>258</v>
      </c>
      <c r="R3692" s="77" t="s">
        <v>378</v>
      </c>
      <c r="S3692" s="22">
        <v>0.215</v>
      </c>
    </row>
    <row r="3693" spans="8:19" x14ac:dyDescent="0.25">
      <c r="H3693">
        <v>26</v>
      </c>
      <c r="I3693">
        <v>310</v>
      </c>
      <c r="J3693">
        <v>110</v>
      </c>
      <c r="K3693" t="b">
        <v>1</v>
      </c>
      <c r="N3693" s="75" t="s">
        <v>694</v>
      </c>
      <c r="O3693" s="2">
        <f>INDEX(Маршруты,MATCH(N3693,$B$3:$B$498,0),1)</f>
        <v>149</v>
      </c>
      <c r="P3693" s="79">
        <v>9</v>
      </c>
      <c r="Q3693" s="2">
        <f>INDEX(Остановки,MATCH(R3693,ИД_Остановки!$B$3:$B$467,0),1)</f>
        <v>245</v>
      </c>
      <c r="R3693" s="77" t="s">
        <v>369</v>
      </c>
      <c r="S3693" s="22">
        <v>0.3</v>
      </c>
    </row>
    <row r="3694" spans="8:19" x14ac:dyDescent="0.25">
      <c r="H3694">
        <v>26</v>
      </c>
      <c r="I3694">
        <v>315</v>
      </c>
      <c r="J3694">
        <v>110</v>
      </c>
      <c r="K3694" t="b">
        <v>1</v>
      </c>
      <c r="N3694" s="75" t="s">
        <v>694</v>
      </c>
      <c r="O3694" s="2">
        <f>INDEX(Маршруты,MATCH(N3694,$B$3:$B$498,0),1)</f>
        <v>149</v>
      </c>
      <c r="P3694" s="79">
        <v>10</v>
      </c>
      <c r="Q3694" s="2">
        <f>INDEX(Остановки,MATCH(R3694,ИД_Остановки!$B$3:$B$467,0),1)</f>
        <v>236</v>
      </c>
      <c r="R3694" s="77" t="s">
        <v>130</v>
      </c>
      <c r="S3694" s="22">
        <v>0.38</v>
      </c>
    </row>
    <row r="3695" spans="8:19" x14ac:dyDescent="0.25">
      <c r="H3695">
        <v>26</v>
      </c>
      <c r="I3695">
        <v>320</v>
      </c>
      <c r="J3695">
        <v>110</v>
      </c>
      <c r="K3695" t="b">
        <v>1</v>
      </c>
      <c r="N3695" s="75" t="s">
        <v>694</v>
      </c>
      <c r="O3695" s="2">
        <f>INDEX(Маршруты,MATCH(N3695,$B$3:$B$498,0),1)</f>
        <v>149</v>
      </c>
      <c r="P3695" s="79">
        <v>11</v>
      </c>
      <c r="Q3695" s="2">
        <f>INDEX(Остановки,MATCH(R3695,ИД_Остановки!$B$3:$B$467,0),1)</f>
        <v>252</v>
      </c>
      <c r="R3695" s="77" t="s">
        <v>135</v>
      </c>
      <c r="S3695" s="22">
        <v>0.59</v>
      </c>
    </row>
    <row r="3696" spans="8:19" x14ac:dyDescent="0.25">
      <c r="H3696">
        <v>26</v>
      </c>
      <c r="I3696">
        <v>325</v>
      </c>
      <c r="J3696">
        <v>110</v>
      </c>
      <c r="K3696" t="b">
        <v>1</v>
      </c>
      <c r="N3696" s="75" t="s">
        <v>694</v>
      </c>
      <c r="O3696" s="2">
        <f>INDEX(Маршруты,MATCH(N3696,$B$3:$B$498,0),1)</f>
        <v>149</v>
      </c>
      <c r="P3696" s="79">
        <v>12</v>
      </c>
      <c r="Q3696" s="2">
        <f>INDEX(Остановки,MATCH(R3696,ИД_Остановки!$B$3:$B$467,0),1)</f>
        <v>288</v>
      </c>
      <c r="R3696" s="77" t="s">
        <v>388</v>
      </c>
      <c r="S3696" s="22">
        <v>0.28999999999999998</v>
      </c>
    </row>
    <row r="3697" spans="8:19" x14ac:dyDescent="0.25">
      <c r="H3697">
        <v>26</v>
      </c>
      <c r="I3697">
        <v>330</v>
      </c>
      <c r="J3697">
        <v>110</v>
      </c>
      <c r="K3697" t="b">
        <v>1</v>
      </c>
      <c r="N3697" s="75" t="s">
        <v>694</v>
      </c>
      <c r="O3697" s="2">
        <f>INDEX(Маршруты,MATCH(N3697,$B$3:$B$498,0),1)</f>
        <v>149</v>
      </c>
      <c r="P3697" s="79">
        <v>13</v>
      </c>
      <c r="Q3697" s="2">
        <f>INDEX(Остановки,MATCH(R3697,ИД_Остановки!$B$3:$B$467,0),1)</f>
        <v>254</v>
      </c>
      <c r="R3697" s="77" t="s">
        <v>136</v>
      </c>
      <c r="S3697" s="22">
        <v>0.79</v>
      </c>
    </row>
    <row r="3698" spans="8:19" x14ac:dyDescent="0.25">
      <c r="H3698">
        <v>26</v>
      </c>
      <c r="I3698">
        <v>335</v>
      </c>
      <c r="J3698">
        <v>110</v>
      </c>
      <c r="K3698" t="b">
        <v>1</v>
      </c>
      <c r="N3698" s="75" t="s">
        <v>694</v>
      </c>
      <c r="O3698" s="2">
        <f>INDEX(Маршруты,MATCH(N3698,$B$3:$B$498,0),1)</f>
        <v>149</v>
      </c>
      <c r="P3698" s="79">
        <v>14</v>
      </c>
      <c r="Q3698" s="2">
        <f>INDEX(Остановки,MATCH(R3698,ИД_Остановки!$B$3:$B$467,0),1)</f>
        <v>160</v>
      </c>
      <c r="R3698" s="77" t="s">
        <v>323</v>
      </c>
      <c r="S3698" s="22">
        <v>0.49</v>
      </c>
    </row>
    <row r="3699" spans="8:19" x14ac:dyDescent="0.25">
      <c r="H3699">
        <v>26</v>
      </c>
      <c r="I3699">
        <v>340</v>
      </c>
      <c r="J3699">
        <v>110</v>
      </c>
      <c r="K3699" t="b">
        <v>1</v>
      </c>
      <c r="N3699" s="75" t="s">
        <v>694</v>
      </c>
      <c r="O3699" s="2">
        <f>INDEX(Маршруты,MATCH(N3699,$B$3:$B$498,0),1)</f>
        <v>149</v>
      </c>
      <c r="P3699" s="79">
        <v>15</v>
      </c>
      <c r="Q3699" s="2">
        <f>INDEX(Остановки,MATCH(R3699,ИД_Остановки!$B$3:$B$467,0),1)</f>
        <v>337</v>
      </c>
      <c r="R3699" s="77" t="s">
        <v>407</v>
      </c>
      <c r="S3699" s="22">
        <v>0.6</v>
      </c>
    </row>
    <row r="3700" spans="8:19" x14ac:dyDescent="0.25">
      <c r="H3700">
        <v>26</v>
      </c>
      <c r="I3700">
        <v>345</v>
      </c>
      <c r="J3700">
        <v>110</v>
      </c>
      <c r="K3700" t="b">
        <v>1</v>
      </c>
      <c r="N3700" s="75" t="s">
        <v>694</v>
      </c>
      <c r="O3700" s="2">
        <f>INDEX(Маршруты,MATCH(N3700,$B$3:$B$498,0),1)</f>
        <v>149</v>
      </c>
      <c r="P3700" s="79">
        <v>16</v>
      </c>
      <c r="Q3700" s="2">
        <f>INDEX(Остановки,MATCH(R3700,ИД_Остановки!$B$3:$B$467,0),1)</f>
        <v>441</v>
      </c>
      <c r="R3700" s="77" t="s">
        <v>645</v>
      </c>
      <c r="S3700" s="22">
        <v>0.65</v>
      </c>
    </row>
    <row r="3701" spans="8:19" x14ac:dyDescent="0.25">
      <c r="H3701">
        <v>26</v>
      </c>
      <c r="I3701">
        <v>350</v>
      </c>
      <c r="J3701">
        <v>110</v>
      </c>
      <c r="K3701" t="b">
        <v>1</v>
      </c>
      <c r="N3701" s="78" t="s">
        <v>695</v>
      </c>
      <c r="O3701" s="2">
        <f>INDEX(Маршруты,MATCH(N3701,$B$3:$B$498,0),1)</f>
        <v>150</v>
      </c>
      <c r="P3701" s="79">
        <v>1</v>
      </c>
      <c r="Q3701" s="2">
        <f>INDEX(Остановки,MATCH(R3701,ИД_Остановки!$B$3:$B$467,0),1)</f>
        <v>441</v>
      </c>
      <c r="R3701" s="77" t="s">
        <v>645</v>
      </c>
      <c r="S3701" s="36"/>
    </row>
    <row r="3702" spans="8:19" x14ac:dyDescent="0.25">
      <c r="H3702">
        <v>26</v>
      </c>
      <c r="I3702">
        <v>355</v>
      </c>
      <c r="J3702">
        <v>110</v>
      </c>
      <c r="K3702" t="b">
        <v>1</v>
      </c>
      <c r="N3702" s="78" t="s">
        <v>695</v>
      </c>
      <c r="O3702" s="2">
        <f>INDEX(Маршруты,MATCH(N3702,$B$3:$B$498,0),1)</f>
        <v>150</v>
      </c>
      <c r="P3702" s="79">
        <v>2</v>
      </c>
      <c r="Q3702" s="2">
        <f>INDEX(Остановки,MATCH(R3702,ИД_Остановки!$B$3:$B$467,0),1)</f>
        <v>337</v>
      </c>
      <c r="R3702" s="77" t="s">
        <v>407</v>
      </c>
      <c r="S3702" s="22">
        <v>0.65</v>
      </c>
    </row>
    <row r="3703" spans="8:19" x14ac:dyDescent="0.25">
      <c r="H3703">
        <v>26</v>
      </c>
      <c r="I3703">
        <v>360</v>
      </c>
      <c r="J3703">
        <v>110</v>
      </c>
      <c r="K3703" t="b">
        <v>1</v>
      </c>
      <c r="N3703" s="74" t="s">
        <v>695</v>
      </c>
      <c r="O3703" s="2">
        <f>INDEX(Маршруты,MATCH(N3703,$B$3:$B$498,0),1)</f>
        <v>150</v>
      </c>
      <c r="P3703" s="79">
        <v>3</v>
      </c>
      <c r="Q3703" s="2">
        <f>INDEX(Остановки,MATCH(R3703,ИД_Остановки!$B$3:$B$467,0),1)</f>
        <v>160</v>
      </c>
      <c r="R3703" s="77" t="s">
        <v>323</v>
      </c>
      <c r="S3703" s="22">
        <v>0.6</v>
      </c>
    </row>
    <row r="3704" spans="8:19" x14ac:dyDescent="0.25">
      <c r="H3704">
        <v>26</v>
      </c>
      <c r="I3704">
        <v>365</v>
      </c>
      <c r="J3704">
        <v>110</v>
      </c>
      <c r="K3704" t="b">
        <v>1</v>
      </c>
      <c r="N3704" s="74" t="s">
        <v>695</v>
      </c>
      <c r="O3704" s="2">
        <f>INDEX(Маршруты,MATCH(N3704,$B$3:$B$498,0),1)</f>
        <v>150</v>
      </c>
      <c r="P3704" s="79">
        <v>4</v>
      </c>
      <c r="Q3704" s="2">
        <f>INDEX(Остановки,MATCH(R3704,ИД_Остановки!$B$3:$B$467,0),1)</f>
        <v>254</v>
      </c>
      <c r="R3704" s="77" t="s">
        <v>136</v>
      </c>
      <c r="S3704" s="22">
        <v>0.49</v>
      </c>
    </row>
    <row r="3705" spans="8:19" x14ac:dyDescent="0.25">
      <c r="H3705">
        <v>26</v>
      </c>
      <c r="I3705">
        <v>370</v>
      </c>
      <c r="J3705">
        <v>110</v>
      </c>
      <c r="K3705" t="b">
        <v>1</v>
      </c>
      <c r="N3705" s="74" t="s">
        <v>695</v>
      </c>
      <c r="O3705" s="2">
        <f>INDEX(Маршруты,MATCH(N3705,$B$3:$B$498,0),1)</f>
        <v>150</v>
      </c>
      <c r="P3705" s="79">
        <v>5</v>
      </c>
      <c r="Q3705" s="2">
        <f>INDEX(Остановки,MATCH(R3705,ИД_Остановки!$B$3:$B$467,0),1)</f>
        <v>288</v>
      </c>
      <c r="R3705" s="77" t="s">
        <v>388</v>
      </c>
      <c r="S3705" s="22">
        <v>0.79</v>
      </c>
    </row>
    <row r="3706" spans="8:19" x14ac:dyDescent="0.25">
      <c r="H3706">
        <v>26</v>
      </c>
      <c r="I3706">
        <v>375</v>
      </c>
      <c r="J3706">
        <v>110</v>
      </c>
      <c r="K3706" t="b">
        <v>1</v>
      </c>
      <c r="N3706" s="74" t="s">
        <v>695</v>
      </c>
      <c r="O3706" s="2">
        <f>INDEX(Маршруты,MATCH(N3706,$B$3:$B$498,0),1)</f>
        <v>150</v>
      </c>
      <c r="P3706" s="79">
        <v>6</v>
      </c>
      <c r="Q3706" s="2">
        <f>INDEX(Остановки,MATCH(R3706,ИД_Остановки!$B$3:$B$467,0),1)</f>
        <v>252</v>
      </c>
      <c r="R3706" s="77" t="s">
        <v>135</v>
      </c>
      <c r="S3706" s="22">
        <v>0.28999999999999998</v>
      </c>
    </row>
    <row r="3707" spans="8:19" x14ac:dyDescent="0.25">
      <c r="H3707">
        <v>26</v>
      </c>
      <c r="I3707">
        <v>380</v>
      </c>
      <c r="J3707">
        <v>110</v>
      </c>
      <c r="K3707" t="b">
        <v>1</v>
      </c>
      <c r="N3707" s="74" t="s">
        <v>695</v>
      </c>
      <c r="O3707" s="2">
        <f>INDEX(Маршруты,MATCH(N3707,$B$3:$B$498,0),1)</f>
        <v>150</v>
      </c>
      <c r="P3707" s="79">
        <v>7</v>
      </c>
      <c r="Q3707" s="2">
        <f>INDEX(Остановки,MATCH(R3707,ИД_Остановки!$B$3:$B$467,0),1)</f>
        <v>236</v>
      </c>
      <c r="R3707" s="77" t="s">
        <v>130</v>
      </c>
      <c r="S3707" s="22">
        <v>0.59</v>
      </c>
    </row>
    <row r="3708" spans="8:19" x14ac:dyDescent="0.25">
      <c r="H3708">
        <v>26</v>
      </c>
      <c r="I3708">
        <v>385</v>
      </c>
      <c r="J3708">
        <v>110</v>
      </c>
      <c r="K3708" t="b">
        <v>1</v>
      </c>
      <c r="N3708" s="74" t="s">
        <v>695</v>
      </c>
      <c r="O3708" s="2">
        <f>INDEX(Маршруты,MATCH(N3708,$B$3:$B$498,0),1)</f>
        <v>150</v>
      </c>
      <c r="P3708" s="79">
        <v>8</v>
      </c>
      <c r="Q3708" s="2">
        <f>INDEX(Остановки,MATCH(R3708,ИД_Остановки!$B$3:$B$467,0),1)</f>
        <v>245</v>
      </c>
      <c r="R3708" s="77" t="s">
        <v>369</v>
      </c>
      <c r="S3708" s="22">
        <v>0.38</v>
      </c>
    </row>
    <row r="3709" spans="8:19" x14ac:dyDescent="0.25">
      <c r="H3709">
        <v>26</v>
      </c>
      <c r="I3709">
        <v>390</v>
      </c>
      <c r="J3709">
        <v>110</v>
      </c>
      <c r="K3709" t="b">
        <v>1</v>
      </c>
      <c r="N3709" s="74" t="s">
        <v>695</v>
      </c>
      <c r="O3709" s="2">
        <f>INDEX(Маршруты,MATCH(N3709,$B$3:$B$498,0),1)</f>
        <v>150</v>
      </c>
      <c r="P3709" s="79">
        <v>9</v>
      </c>
      <c r="Q3709" s="2">
        <f>INDEX(Остановки,MATCH(R3709,ИД_Остановки!$B$3:$B$467,0),1)</f>
        <v>258</v>
      </c>
      <c r="R3709" s="77" t="s">
        <v>378</v>
      </c>
      <c r="S3709" s="22">
        <v>0.3</v>
      </c>
    </row>
    <row r="3710" spans="8:19" x14ac:dyDescent="0.25">
      <c r="H3710">
        <v>26</v>
      </c>
      <c r="I3710">
        <v>395</v>
      </c>
      <c r="J3710">
        <v>110</v>
      </c>
      <c r="K3710" t="b">
        <v>1</v>
      </c>
      <c r="N3710" s="74" t="s">
        <v>695</v>
      </c>
      <c r="O3710" s="2">
        <f>INDEX(Маршруты,MATCH(N3710,$B$3:$B$498,0),1)</f>
        <v>150</v>
      </c>
      <c r="P3710" s="79">
        <v>10</v>
      </c>
      <c r="Q3710" s="2">
        <f>INDEX(Остановки,MATCH(R3710,ИД_Остановки!$B$3:$B$467,0),1)</f>
        <v>244</v>
      </c>
      <c r="R3710" s="77" t="s">
        <v>133</v>
      </c>
      <c r="S3710" s="22">
        <v>0.215</v>
      </c>
    </row>
    <row r="3711" spans="8:19" x14ac:dyDescent="0.25">
      <c r="H3711">
        <v>26</v>
      </c>
      <c r="I3711">
        <v>400</v>
      </c>
      <c r="J3711">
        <v>110</v>
      </c>
      <c r="K3711" t="b">
        <v>1</v>
      </c>
      <c r="N3711" s="74" t="s">
        <v>695</v>
      </c>
      <c r="O3711" s="2">
        <f>INDEX(Маршруты,MATCH(N3711,$B$3:$B$498,0),1)</f>
        <v>150</v>
      </c>
      <c r="P3711" s="79">
        <v>11</v>
      </c>
      <c r="Q3711" s="2">
        <f>INDEX(Остановки,MATCH(R3711,ИД_Остановки!$B$3:$B$467,0),1)</f>
        <v>251</v>
      </c>
      <c r="R3711" s="77" t="s">
        <v>164</v>
      </c>
      <c r="S3711" s="22">
        <v>0.64</v>
      </c>
    </row>
    <row r="3712" spans="8:19" x14ac:dyDescent="0.25">
      <c r="H3712">
        <v>26</v>
      </c>
      <c r="I3712">
        <v>405</v>
      </c>
      <c r="J3712">
        <v>110</v>
      </c>
      <c r="K3712" t="b">
        <v>1</v>
      </c>
      <c r="N3712" s="74" t="s">
        <v>695</v>
      </c>
      <c r="O3712" s="2">
        <f>INDEX(Маршруты,MATCH(N3712,$B$3:$B$498,0),1)</f>
        <v>150</v>
      </c>
      <c r="P3712" s="79">
        <v>12</v>
      </c>
      <c r="Q3712" s="2">
        <f>INDEX(Остановки,MATCH(R3712,ИД_Остановки!$B$3:$B$467,0),1)</f>
        <v>243</v>
      </c>
      <c r="R3712" s="77" t="s">
        <v>368</v>
      </c>
      <c r="S3712" s="22">
        <v>0.7</v>
      </c>
    </row>
    <row r="3713" spans="8:19" x14ac:dyDescent="0.25">
      <c r="H3713">
        <v>26</v>
      </c>
      <c r="I3713">
        <v>410</v>
      </c>
      <c r="J3713">
        <v>110</v>
      </c>
      <c r="K3713" t="b">
        <v>1</v>
      </c>
      <c r="N3713" s="74" t="s">
        <v>695</v>
      </c>
      <c r="O3713" s="2">
        <f>INDEX(Маршруты,MATCH(N3713,$B$3:$B$498,0),1)</f>
        <v>150</v>
      </c>
      <c r="P3713" s="79">
        <v>13</v>
      </c>
      <c r="Q3713" s="2">
        <f>INDEX(Остановки,MATCH(R3713,ИД_Остановки!$B$3:$B$467,0),1)</f>
        <v>222</v>
      </c>
      <c r="R3713" s="77" t="s">
        <v>354</v>
      </c>
      <c r="S3713" s="22">
        <v>0.36</v>
      </c>
    </row>
    <row r="3714" spans="8:19" x14ac:dyDescent="0.25">
      <c r="H3714">
        <v>26</v>
      </c>
      <c r="I3714">
        <v>415</v>
      </c>
      <c r="J3714">
        <v>110</v>
      </c>
      <c r="K3714" t="b">
        <v>1</v>
      </c>
      <c r="N3714" s="74" t="s">
        <v>695</v>
      </c>
      <c r="O3714" s="2">
        <f>INDEX(Маршруты,MATCH(N3714,$B$3:$B$498,0),1)</f>
        <v>150</v>
      </c>
      <c r="P3714" s="79">
        <v>14</v>
      </c>
      <c r="Q3714" s="2">
        <f>INDEX(Остановки,MATCH(R3714,ИД_Остановки!$B$3:$B$467,0),1)</f>
        <v>250</v>
      </c>
      <c r="R3714" s="77" t="s">
        <v>373</v>
      </c>
      <c r="S3714" s="22">
        <v>0.64</v>
      </c>
    </row>
    <row r="3715" spans="8:19" x14ac:dyDescent="0.25">
      <c r="H3715">
        <v>26</v>
      </c>
      <c r="I3715">
        <v>420</v>
      </c>
      <c r="J3715">
        <v>110</v>
      </c>
      <c r="K3715" t="b">
        <v>1</v>
      </c>
      <c r="N3715" s="74" t="s">
        <v>695</v>
      </c>
      <c r="O3715" s="2">
        <f>INDEX(Маршруты,MATCH(N3715,$B$3:$B$498,0),1)</f>
        <v>150</v>
      </c>
      <c r="P3715" s="79">
        <v>15</v>
      </c>
      <c r="Q3715" s="2">
        <f>INDEX(Остановки,MATCH(R3715,ИД_Остановки!$B$3:$B$467,0),1)</f>
        <v>249</v>
      </c>
      <c r="R3715" s="77" t="s">
        <v>372</v>
      </c>
      <c r="S3715" s="22">
        <v>0.32</v>
      </c>
    </row>
    <row r="3716" spans="8:19" x14ac:dyDescent="0.25">
      <c r="H3716">
        <v>26</v>
      </c>
      <c r="I3716">
        <v>425</v>
      </c>
      <c r="J3716">
        <v>110</v>
      </c>
      <c r="K3716" t="b">
        <v>1</v>
      </c>
      <c r="N3716" s="74" t="s">
        <v>695</v>
      </c>
      <c r="O3716" s="2">
        <f>INDEX(Маршруты,MATCH(N3716,$B$3:$B$498,0),1)</f>
        <v>150</v>
      </c>
      <c r="P3716" s="79">
        <v>16</v>
      </c>
      <c r="Q3716" s="2">
        <f>INDEX(Остановки,MATCH(R3716,ИД_Остановки!$B$3:$B$467,0),1)</f>
        <v>248</v>
      </c>
      <c r="R3716" s="77" t="s">
        <v>617</v>
      </c>
      <c r="S3716" s="22">
        <v>0.77</v>
      </c>
    </row>
    <row r="3717" spans="8:19" x14ac:dyDescent="0.25">
      <c r="H3717">
        <v>26</v>
      </c>
      <c r="I3717">
        <v>430</v>
      </c>
      <c r="J3717">
        <v>110</v>
      </c>
      <c r="K3717" t="b">
        <v>1</v>
      </c>
    </row>
    <row r="3718" spans="8:19" x14ac:dyDescent="0.25">
      <c r="H3718">
        <v>26</v>
      </c>
      <c r="I3718">
        <v>435</v>
      </c>
      <c r="J3718">
        <v>110</v>
      </c>
      <c r="K3718" t="b">
        <v>1</v>
      </c>
    </row>
    <row r="3719" spans="8:19" x14ac:dyDescent="0.25">
      <c r="H3719">
        <v>26</v>
      </c>
      <c r="I3719">
        <v>440</v>
      </c>
      <c r="J3719">
        <v>110</v>
      </c>
      <c r="K3719" t="b">
        <v>1</v>
      </c>
    </row>
    <row r="3720" spans="8:19" x14ac:dyDescent="0.25">
      <c r="H3720">
        <v>26</v>
      </c>
      <c r="I3720">
        <v>445</v>
      </c>
      <c r="J3720">
        <v>110</v>
      </c>
      <c r="K3720" t="b">
        <v>1</v>
      </c>
    </row>
    <row r="3721" spans="8:19" x14ac:dyDescent="0.25">
      <c r="H3721">
        <v>26</v>
      </c>
      <c r="I3721">
        <v>450</v>
      </c>
      <c r="J3721">
        <v>110</v>
      </c>
      <c r="K3721" t="b">
        <v>1</v>
      </c>
    </row>
    <row r="3722" spans="8:19" x14ac:dyDescent="0.25">
      <c r="H3722">
        <v>26</v>
      </c>
      <c r="I3722">
        <v>455</v>
      </c>
      <c r="J3722">
        <v>110</v>
      </c>
      <c r="K3722" t="b">
        <v>1</v>
      </c>
    </row>
    <row r="3723" spans="8:19" x14ac:dyDescent="0.25">
      <c r="H3723">
        <v>26</v>
      </c>
      <c r="I3723">
        <v>460</v>
      </c>
      <c r="J3723">
        <v>110</v>
      </c>
      <c r="K3723" t="b">
        <v>1</v>
      </c>
    </row>
    <row r="3724" spans="8:19" x14ac:dyDescent="0.25">
      <c r="H3724">
        <v>26</v>
      </c>
      <c r="I3724">
        <v>465</v>
      </c>
      <c r="J3724">
        <v>110</v>
      </c>
      <c r="K3724" t="b">
        <v>1</v>
      </c>
    </row>
    <row r="3725" spans="8:19" x14ac:dyDescent="0.25">
      <c r="H3725">
        <v>26</v>
      </c>
      <c r="I3725">
        <v>470</v>
      </c>
      <c r="J3725">
        <v>110</v>
      </c>
      <c r="K3725" t="b">
        <v>1</v>
      </c>
    </row>
    <row r="3726" spans="8:19" x14ac:dyDescent="0.25">
      <c r="H3726">
        <v>26</v>
      </c>
      <c r="I3726">
        <v>475</v>
      </c>
      <c r="J3726">
        <v>110</v>
      </c>
      <c r="K3726" t="b">
        <v>1</v>
      </c>
    </row>
    <row r="3727" spans="8:19" x14ac:dyDescent="0.25">
      <c r="H3727">
        <v>26</v>
      </c>
      <c r="I3727">
        <v>480</v>
      </c>
      <c r="J3727">
        <v>110</v>
      </c>
      <c r="K3727" t="b">
        <v>1</v>
      </c>
    </row>
    <row r="3728" spans="8:19" x14ac:dyDescent="0.25">
      <c r="H3728">
        <v>26</v>
      </c>
      <c r="I3728">
        <v>485</v>
      </c>
      <c r="J3728">
        <v>110</v>
      </c>
      <c r="K3728" t="b">
        <v>1</v>
      </c>
    </row>
    <row r="3729" spans="8:11" x14ac:dyDescent="0.25">
      <c r="H3729">
        <v>26</v>
      </c>
      <c r="I3729">
        <v>490</v>
      </c>
      <c r="J3729">
        <v>110</v>
      </c>
      <c r="K3729" t="b">
        <v>1</v>
      </c>
    </row>
    <row r="3730" spans="8:11" x14ac:dyDescent="0.25">
      <c r="H3730">
        <v>26</v>
      </c>
      <c r="I3730">
        <v>495</v>
      </c>
      <c r="J3730">
        <v>110</v>
      </c>
      <c r="K3730" t="b">
        <v>1</v>
      </c>
    </row>
    <row r="3731" spans="8:11" x14ac:dyDescent="0.25">
      <c r="H3731">
        <v>26</v>
      </c>
      <c r="I3731">
        <v>500</v>
      </c>
      <c r="J3731">
        <v>110</v>
      </c>
      <c r="K3731" t="b">
        <v>1</v>
      </c>
    </row>
    <row r="3732" spans="8:11" x14ac:dyDescent="0.25">
      <c r="H3732">
        <v>26</v>
      </c>
      <c r="I3732">
        <v>505</v>
      </c>
      <c r="J3732">
        <v>110</v>
      </c>
      <c r="K3732" t="b">
        <v>1</v>
      </c>
    </row>
    <row r="3733" spans="8:11" x14ac:dyDescent="0.25">
      <c r="H3733">
        <v>26</v>
      </c>
      <c r="I3733">
        <v>510</v>
      </c>
      <c r="J3733">
        <v>110</v>
      </c>
      <c r="K3733" t="b">
        <v>1</v>
      </c>
    </row>
    <row r="3734" spans="8:11" x14ac:dyDescent="0.25">
      <c r="H3734">
        <v>26</v>
      </c>
      <c r="I3734">
        <v>515</v>
      </c>
      <c r="J3734">
        <v>110</v>
      </c>
      <c r="K3734" t="b">
        <v>1</v>
      </c>
    </row>
    <row r="3735" spans="8:11" x14ac:dyDescent="0.25">
      <c r="H3735">
        <v>26</v>
      </c>
      <c r="I3735">
        <v>520</v>
      </c>
      <c r="J3735">
        <v>110</v>
      </c>
      <c r="K3735" t="b">
        <v>1</v>
      </c>
    </row>
    <row r="3736" spans="8:11" x14ac:dyDescent="0.25">
      <c r="H3736">
        <v>26</v>
      </c>
      <c r="I3736">
        <v>525</v>
      </c>
      <c r="J3736">
        <v>110</v>
      </c>
      <c r="K3736" t="b">
        <v>1</v>
      </c>
    </row>
    <row r="3737" spans="8:11" x14ac:dyDescent="0.25">
      <c r="H3737">
        <v>26</v>
      </c>
      <c r="I3737">
        <v>530</v>
      </c>
      <c r="J3737">
        <v>110</v>
      </c>
      <c r="K3737" t="b">
        <v>1</v>
      </c>
    </row>
    <row r="3738" spans="8:11" x14ac:dyDescent="0.25">
      <c r="H3738">
        <v>26</v>
      </c>
      <c r="I3738">
        <v>535</v>
      </c>
      <c r="J3738">
        <v>110</v>
      </c>
      <c r="K3738" t="b">
        <v>1</v>
      </c>
    </row>
    <row r="3739" spans="8:11" x14ac:dyDescent="0.25">
      <c r="H3739">
        <v>26</v>
      </c>
      <c r="I3739">
        <v>540</v>
      </c>
      <c r="J3739">
        <v>110</v>
      </c>
      <c r="K3739" t="b">
        <v>1</v>
      </c>
    </row>
    <row r="3740" spans="8:11" x14ac:dyDescent="0.25">
      <c r="H3740">
        <v>26</v>
      </c>
      <c r="I3740">
        <v>545</v>
      </c>
      <c r="J3740">
        <v>110</v>
      </c>
      <c r="K3740" t="b">
        <v>1</v>
      </c>
    </row>
    <row r="3741" spans="8:11" x14ac:dyDescent="0.25">
      <c r="H3741">
        <v>26</v>
      </c>
      <c r="I3741">
        <v>550</v>
      </c>
      <c r="J3741">
        <v>110</v>
      </c>
      <c r="K3741" t="b">
        <v>1</v>
      </c>
    </row>
    <row r="3742" spans="8:11" x14ac:dyDescent="0.25">
      <c r="H3742">
        <v>26</v>
      </c>
      <c r="I3742">
        <v>555</v>
      </c>
      <c r="J3742">
        <v>110</v>
      </c>
      <c r="K3742" t="b">
        <v>1</v>
      </c>
    </row>
    <row r="3743" spans="8:11" x14ac:dyDescent="0.25">
      <c r="H3743">
        <v>26</v>
      </c>
      <c r="I3743">
        <v>560</v>
      </c>
      <c r="J3743">
        <v>110</v>
      </c>
      <c r="K3743" t="b">
        <v>1</v>
      </c>
    </row>
    <row r="3744" spans="8:11" x14ac:dyDescent="0.25">
      <c r="H3744">
        <v>26</v>
      </c>
      <c r="I3744">
        <v>565</v>
      </c>
      <c r="J3744">
        <v>110</v>
      </c>
      <c r="K3744" t="b">
        <v>1</v>
      </c>
    </row>
    <row r="3745" spans="8:11" x14ac:dyDescent="0.25">
      <c r="H3745">
        <v>26</v>
      </c>
      <c r="I3745">
        <v>570</v>
      </c>
      <c r="J3745">
        <v>110</v>
      </c>
      <c r="K3745" t="b">
        <v>1</v>
      </c>
    </row>
    <row r="3746" spans="8:11" x14ac:dyDescent="0.25">
      <c r="H3746">
        <v>26</v>
      </c>
      <c r="I3746">
        <v>575</v>
      </c>
      <c r="J3746">
        <v>110</v>
      </c>
      <c r="K3746" t="b">
        <v>1</v>
      </c>
    </row>
    <row r="3747" spans="8:11" x14ac:dyDescent="0.25">
      <c r="H3747">
        <v>26</v>
      </c>
      <c r="I3747">
        <v>580</v>
      </c>
      <c r="J3747">
        <v>110</v>
      </c>
      <c r="K3747" t="b">
        <v>1</v>
      </c>
    </row>
    <row r="3748" spans="8:11" x14ac:dyDescent="0.25">
      <c r="H3748">
        <v>26</v>
      </c>
      <c r="I3748">
        <v>585</v>
      </c>
      <c r="J3748">
        <v>110</v>
      </c>
      <c r="K3748" t="b">
        <v>1</v>
      </c>
    </row>
    <row r="3749" spans="8:11" x14ac:dyDescent="0.25">
      <c r="H3749">
        <v>26</v>
      </c>
      <c r="I3749">
        <v>590</v>
      </c>
      <c r="J3749">
        <v>110</v>
      </c>
      <c r="K3749" t="b">
        <v>1</v>
      </c>
    </row>
    <row r="3750" spans="8:11" x14ac:dyDescent="0.25">
      <c r="H3750">
        <v>26</v>
      </c>
      <c r="I3750">
        <v>595</v>
      </c>
      <c r="J3750">
        <v>110</v>
      </c>
      <c r="K3750" t="b">
        <v>1</v>
      </c>
    </row>
    <row r="3751" spans="8:11" x14ac:dyDescent="0.25">
      <c r="H3751">
        <v>26</v>
      </c>
      <c r="I3751">
        <v>600</v>
      </c>
      <c r="J3751">
        <v>110</v>
      </c>
      <c r="K3751" t="b">
        <v>1</v>
      </c>
    </row>
    <row r="3752" spans="8:11" x14ac:dyDescent="0.25">
      <c r="H3752">
        <v>26</v>
      </c>
      <c r="I3752">
        <v>605</v>
      </c>
      <c r="J3752">
        <v>110</v>
      </c>
      <c r="K3752" t="b">
        <v>1</v>
      </c>
    </row>
    <row r="3753" spans="8:11" x14ac:dyDescent="0.25">
      <c r="H3753">
        <v>26</v>
      </c>
      <c r="I3753">
        <v>610</v>
      </c>
      <c r="J3753">
        <v>110</v>
      </c>
      <c r="K3753" t="b">
        <v>1</v>
      </c>
    </row>
    <row r="3754" spans="8:11" x14ac:dyDescent="0.25">
      <c r="H3754">
        <v>26</v>
      </c>
      <c r="I3754">
        <v>615</v>
      </c>
      <c r="J3754">
        <v>110</v>
      </c>
      <c r="K3754" t="b">
        <v>1</v>
      </c>
    </row>
    <row r="3755" spans="8:11" x14ac:dyDescent="0.25">
      <c r="H3755">
        <v>26</v>
      </c>
      <c r="I3755">
        <v>620</v>
      </c>
      <c r="J3755">
        <v>110</v>
      </c>
      <c r="K3755" t="b">
        <v>1</v>
      </c>
    </row>
    <row r="3756" spans="8:11" x14ac:dyDescent="0.25">
      <c r="H3756">
        <v>26</v>
      </c>
      <c r="I3756">
        <v>625</v>
      </c>
      <c r="J3756">
        <v>110</v>
      </c>
      <c r="K3756" t="b">
        <v>1</v>
      </c>
    </row>
    <row r="3757" spans="8:11" x14ac:dyDescent="0.25">
      <c r="H3757">
        <v>26</v>
      </c>
      <c r="I3757">
        <v>630</v>
      </c>
      <c r="J3757">
        <v>110</v>
      </c>
      <c r="K3757" t="b">
        <v>1</v>
      </c>
    </row>
    <row r="3758" spans="8:11" x14ac:dyDescent="0.25">
      <c r="H3758">
        <v>26</v>
      </c>
      <c r="I3758">
        <v>635</v>
      </c>
      <c r="J3758">
        <v>110</v>
      </c>
      <c r="K3758" t="b">
        <v>1</v>
      </c>
    </row>
    <row r="3759" spans="8:11" x14ac:dyDescent="0.25">
      <c r="H3759">
        <v>26</v>
      </c>
      <c r="I3759">
        <v>640</v>
      </c>
      <c r="J3759">
        <v>110</v>
      </c>
      <c r="K3759" t="b">
        <v>1</v>
      </c>
    </row>
    <row r="3760" spans="8:11" x14ac:dyDescent="0.25">
      <c r="H3760">
        <v>26</v>
      </c>
      <c r="I3760">
        <v>645</v>
      </c>
      <c r="J3760">
        <v>110</v>
      </c>
      <c r="K3760" t="b">
        <v>1</v>
      </c>
    </row>
    <row r="3761" spans="8:11" x14ac:dyDescent="0.25">
      <c r="H3761">
        <v>26</v>
      </c>
      <c r="I3761">
        <v>650</v>
      </c>
      <c r="J3761">
        <v>110</v>
      </c>
      <c r="K3761" t="b">
        <v>1</v>
      </c>
    </row>
    <row r="3762" spans="8:11" x14ac:dyDescent="0.25">
      <c r="H3762">
        <v>26</v>
      </c>
      <c r="I3762">
        <v>655</v>
      </c>
      <c r="J3762">
        <v>110</v>
      </c>
      <c r="K3762" t="b">
        <v>1</v>
      </c>
    </row>
    <row r="3763" spans="8:11" x14ac:dyDescent="0.25">
      <c r="H3763">
        <v>26</v>
      </c>
      <c r="I3763">
        <v>660</v>
      </c>
      <c r="J3763">
        <v>110</v>
      </c>
      <c r="K3763" t="b">
        <v>1</v>
      </c>
    </row>
    <row r="3764" spans="8:11" x14ac:dyDescent="0.25">
      <c r="H3764">
        <v>26</v>
      </c>
      <c r="I3764">
        <v>665</v>
      </c>
      <c r="J3764">
        <v>110</v>
      </c>
      <c r="K3764" t="b">
        <v>1</v>
      </c>
    </row>
    <row r="3765" spans="8:11" x14ac:dyDescent="0.25">
      <c r="H3765">
        <v>26</v>
      </c>
      <c r="I3765">
        <v>670</v>
      </c>
      <c r="J3765">
        <v>110</v>
      </c>
      <c r="K3765" t="b">
        <v>1</v>
      </c>
    </row>
    <row r="3766" spans="8:11" x14ac:dyDescent="0.25">
      <c r="H3766">
        <v>26</v>
      </c>
      <c r="I3766">
        <v>675</v>
      </c>
      <c r="J3766">
        <v>110</v>
      </c>
      <c r="K3766" t="b">
        <v>1</v>
      </c>
    </row>
    <row r="3767" spans="8:11" x14ac:dyDescent="0.25">
      <c r="H3767">
        <v>26</v>
      </c>
      <c r="I3767">
        <v>680</v>
      </c>
      <c r="J3767">
        <v>110</v>
      </c>
      <c r="K3767" t="b">
        <v>1</v>
      </c>
    </row>
    <row r="3768" spans="8:11" x14ac:dyDescent="0.25">
      <c r="H3768">
        <v>26</v>
      </c>
      <c r="I3768">
        <v>685</v>
      </c>
      <c r="J3768">
        <v>110</v>
      </c>
      <c r="K3768" t="b">
        <v>1</v>
      </c>
    </row>
    <row r="3769" spans="8:11" x14ac:dyDescent="0.25">
      <c r="H3769">
        <v>26</v>
      </c>
      <c r="I3769">
        <v>690</v>
      </c>
      <c r="J3769">
        <v>110</v>
      </c>
      <c r="K3769" t="b">
        <v>1</v>
      </c>
    </row>
    <row r="3770" spans="8:11" x14ac:dyDescent="0.25">
      <c r="H3770">
        <v>26</v>
      </c>
      <c r="I3770">
        <v>695</v>
      </c>
      <c r="J3770">
        <v>110</v>
      </c>
      <c r="K3770" t="b">
        <v>1</v>
      </c>
    </row>
    <row r="3771" spans="8:11" x14ac:dyDescent="0.25">
      <c r="H3771">
        <v>26</v>
      </c>
      <c r="I3771">
        <v>700</v>
      </c>
      <c r="J3771">
        <v>110</v>
      </c>
      <c r="K3771" t="b">
        <v>1</v>
      </c>
    </row>
    <row r="3772" spans="8:11" x14ac:dyDescent="0.25">
      <c r="H3772">
        <v>26</v>
      </c>
      <c r="I3772">
        <v>705</v>
      </c>
      <c r="J3772">
        <v>110</v>
      </c>
      <c r="K3772" t="b">
        <v>1</v>
      </c>
    </row>
    <row r="3773" spans="8:11" x14ac:dyDescent="0.25">
      <c r="H3773">
        <v>26</v>
      </c>
      <c r="I3773">
        <v>710</v>
      </c>
      <c r="J3773">
        <v>110</v>
      </c>
      <c r="K3773" t="b">
        <v>1</v>
      </c>
    </row>
    <row r="3774" spans="8:11" x14ac:dyDescent="0.25">
      <c r="H3774">
        <v>26</v>
      </c>
      <c r="I3774">
        <v>715</v>
      </c>
      <c r="J3774">
        <v>110</v>
      </c>
      <c r="K3774" t="b">
        <v>1</v>
      </c>
    </row>
    <row r="3775" spans="8:11" x14ac:dyDescent="0.25">
      <c r="H3775">
        <v>26</v>
      </c>
      <c r="I3775">
        <v>720</v>
      </c>
      <c r="J3775">
        <v>110</v>
      </c>
      <c r="K3775" t="b">
        <v>1</v>
      </c>
    </row>
    <row r="3776" spans="8:11" x14ac:dyDescent="0.25">
      <c r="H3776">
        <v>26</v>
      </c>
      <c r="I3776">
        <v>725</v>
      </c>
      <c r="J3776">
        <v>110</v>
      </c>
      <c r="K3776" t="b">
        <v>1</v>
      </c>
    </row>
    <row r="3777" spans="8:11" x14ac:dyDescent="0.25">
      <c r="H3777">
        <v>26</v>
      </c>
      <c r="I3777">
        <v>730</v>
      </c>
      <c r="J3777">
        <v>110</v>
      </c>
      <c r="K3777" t="b">
        <v>1</v>
      </c>
    </row>
    <row r="3778" spans="8:11" x14ac:dyDescent="0.25">
      <c r="H3778">
        <v>26</v>
      </c>
      <c r="I3778">
        <v>735</v>
      </c>
      <c r="J3778">
        <v>110</v>
      </c>
      <c r="K3778" t="b">
        <v>1</v>
      </c>
    </row>
    <row r="3779" spans="8:11" x14ac:dyDescent="0.25">
      <c r="H3779">
        <v>26</v>
      </c>
      <c r="I3779">
        <v>740</v>
      </c>
      <c r="J3779">
        <v>110</v>
      </c>
      <c r="K3779" t="b">
        <v>1</v>
      </c>
    </row>
    <row r="3780" spans="8:11" x14ac:dyDescent="0.25">
      <c r="H3780">
        <v>26</v>
      </c>
      <c r="I3780">
        <v>745</v>
      </c>
      <c r="J3780">
        <v>110</v>
      </c>
      <c r="K3780" t="b">
        <v>1</v>
      </c>
    </row>
    <row r="3781" spans="8:11" x14ac:dyDescent="0.25">
      <c r="H3781">
        <v>26</v>
      </c>
      <c r="I3781">
        <v>750</v>
      </c>
      <c r="J3781">
        <v>110</v>
      </c>
      <c r="K3781" t="b">
        <v>1</v>
      </c>
    </row>
    <row r="3782" spans="8:11" x14ac:dyDescent="0.25">
      <c r="H3782">
        <v>26</v>
      </c>
      <c r="I3782">
        <v>755</v>
      </c>
      <c r="J3782">
        <v>110</v>
      </c>
      <c r="K3782" t="b">
        <v>1</v>
      </c>
    </row>
    <row r="3783" spans="8:11" x14ac:dyDescent="0.25">
      <c r="H3783">
        <v>26</v>
      </c>
      <c r="I3783">
        <v>760</v>
      </c>
      <c r="J3783">
        <v>110</v>
      </c>
      <c r="K3783" t="b">
        <v>1</v>
      </c>
    </row>
    <row r="3784" spans="8:11" x14ac:dyDescent="0.25">
      <c r="H3784">
        <v>26</v>
      </c>
      <c r="I3784">
        <v>765</v>
      </c>
      <c r="J3784">
        <v>110</v>
      </c>
      <c r="K3784" t="b">
        <v>1</v>
      </c>
    </row>
    <row r="3785" spans="8:11" x14ac:dyDescent="0.25">
      <c r="H3785">
        <v>26</v>
      </c>
      <c r="I3785">
        <v>770</v>
      </c>
      <c r="J3785">
        <v>110</v>
      </c>
      <c r="K3785" t="b">
        <v>1</v>
      </c>
    </row>
    <row r="3786" spans="8:11" x14ac:dyDescent="0.25">
      <c r="H3786">
        <v>26</v>
      </c>
      <c r="I3786">
        <v>775</v>
      </c>
      <c r="J3786">
        <v>110</v>
      </c>
      <c r="K3786" t="b">
        <v>1</v>
      </c>
    </row>
    <row r="3787" spans="8:11" x14ac:dyDescent="0.25">
      <c r="H3787">
        <v>26</v>
      </c>
      <c r="I3787">
        <v>780</v>
      </c>
      <c r="J3787">
        <v>110</v>
      </c>
      <c r="K3787" t="b">
        <v>1</v>
      </c>
    </row>
    <row r="3788" spans="8:11" x14ac:dyDescent="0.25">
      <c r="H3788">
        <v>26</v>
      </c>
      <c r="I3788">
        <v>785</v>
      </c>
      <c r="J3788">
        <v>110</v>
      </c>
      <c r="K3788" t="b">
        <v>1</v>
      </c>
    </row>
    <row r="3789" spans="8:11" x14ac:dyDescent="0.25">
      <c r="H3789">
        <v>26</v>
      </c>
      <c r="I3789">
        <v>790</v>
      </c>
      <c r="J3789">
        <v>110</v>
      </c>
      <c r="K3789" t="b">
        <v>1</v>
      </c>
    </row>
    <row r="3790" spans="8:11" x14ac:dyDescent="0.25">
      <c r="H3790">
        <v>26</v>
      </c>
      <c r="I3790">
        <v>795</v>
      </c>
      <c r="J3790">
        <v>110</v>
      </c>
      <c r="K3790" t="b">
        <v>1</v>
      </c>
    </row>
    <row r="3791" spans="8:11" x14ac:dyDescent="0.25">
      <c r="H3791">
        <v>26</v>
      </c>
      <c r="I3791">
        <v>800</v>
      </c>
      <c r="J3791">
        <v>110</v>
      </c>
      <c r="K3791" t="b">
        <v>1</v>
      </c>
    </row>
    <row r="3792" spans="8:11" x14ac:dyDescent="0.25">
      <c r="H3792">
        <v>26</v>
      </c>
      <c r="I3792">
        <v>805</v>
      </c>
      <c r="J3792">
        <v>110</v>
      </c>
      <c r="K3792" t="b">
        <v>1</v>
      </c>
    </row>
    <row r="3793" spans="8:11" x14ac:dyDescent="0.25">
      <c r="H3793">
        <v>26</v>
      </c>
      <c r="I3793">
        <v>810</v>
      </c>
      <c r="J3793">
        <v>110</v>
      </c>
      <c r="K3793" t="b">
        <v>1</v>
      </c>
    </row>
    <row r="3794" spans="8:11" x14ac:dyDescent="0.25">
      <c r="H3794">
        <v>26</v>
      </c>
      <c r="I3794">
        <v>815</v>
      </c>
      <c r="J3794">
        <v>110</v>
      </c>
      <c r="K3794" t="b">
        <v>1</v>
      </c>
    </row>
    <row r="3795" spans="8:11" x14ac:dyDescent="0.25">
      <c r="H3795">
        <v>26</v>
      </c>
      <c r="I3795">
        <v>820</v>
      </c>
      <c r="J3795">
        <v>110</v>
      </c>
      <c r="K3795" t="b">
        <v>1</v>
      </c>
    </row>
    <row r="3796" spans="8:11" x14ac:dyDescent="0.25">
      <c r="H3796">
        <v>26</v>
      </c>
      <c r="I3796">
        <v>825</v>
      </c>
      <c r="J3796">
        <v>110</v>
      </c>
      <c r="K3796" t="b">
        <v>1</v>
      </c>
    </row>
    <row r="3797" spans="8:11" x14ac:dyDescent="0.25">
      <c r="H3797">
        <v>26</v>
      </c>
      <c r="I3797">
        <v>830</v>
      </c>
      <c r="J3797">
        <v>110</v>
      </c>
      <c r="K3797" t="b">
        <v>1</v>
      </c>
    </row>
    <row r="3798" spans="8:11" x14ac:dyDescent="0.25">
      <c r="H3798">
        <v>26</v>
      </c>
      <c r="I3798">
        <v>835</v>
      </c>
      <c r="J3798">
        <v>110</v>
      </c>
      <c r="K3798" t="b">
        <v>1</v>
      </c>
    </row>
    <row r="3799" spans="8:11" x14ac:dyDescent="0.25">
      <c r="H3799">
        <v>26</v>
      </c>
      <c r="I3799">
        <v>840</v>
      </c>
      <c r="J3799">
        <v>110</v>
      </c>
      <c r="K3799" t="b">
        <v>1</v>
      </c>
    </row>
    <row r="3800" spans="8:11" x14ac:dyDescent="0.25">
      <c r="H3800">
        <v>26</v>
      </c>
      <c r="I3800">
        <v>845</v>
      </c>
      <c r="J3800">
        <v>110</v>
      </c>
      <c r="K3800" t="b">
        <v>1</v>
      </c>
    </row>
    <row r="3801" spans="8:11" x14ac:dyDescent="0.25">
      <c r="H3801">
        <v>26</v>
      </c>
      <c r="I3801">
        <v>850</v>
      </c>
      <c r="J3801">
        <v>110</v>
      </c>
      <c r="K3801" t="b">
        <v>1</v>
      </c>
    </row>
    <row r="3802" spans="8:11" x14ac:dyDescent="0.25">
      <c r="H3802">
        <v>26</v>
      </c>
      <c r="I3802">
        <v>855</v>
      </c>
      <c r="J3802">
        <v>110</v>
      </c>
      <c r="K3802" t="b">
        <v>1</v>
      </c>
    </row>
    <row r="3803" spans="8:11" x14ac:dyDescent="0.25">
      <c r="H3803">
        <v>26</v>
      </c>
      <c r="I3803">
        <v>860</v>
      </c>
      <c r="J3803">
        <v>110</v>
      </c>
      <c r="K3803" t="b">
        <v>1</v>
      </c>
    </row>
    <row r="3804" spans="8:11" x14ac:dyDescent="0.25">
      <c r="H3804">
        <v>26</v>
      </c>
      <c r="I3804">
        <v>865</v>
      </c>
      <c r="J3804">
        <v>110</v>
      </c>
      <c r="K3804" t="b">
        <v>1</v>
      </c>
    </row>
    <row r="3805" spans="8:11" x14ac:dyDescent="0.25">
      <c r="H3805">
        <v>26</v>
      </c>
      <c r="I3805">
        <v>870</v>
      </c>
      <c r="J3805">
        <v>110</v>
      </c>
      <c r="K3805" t="b">
        <v>1</v>
      </c>
    </row>
    <row r="3806" spans="8:11" x14ac:dyDescent="0.25">
      <c r="H3806">
        <v>26</v>
      </c>
      <c r="I3806">
        <v>875</v>
      </c>
      <c r="J3806">
        <v>110</v>
      </c>
      <c r="K3806" t="b">
        <v>1</v>
      </c>
    </row>
    <row r="3807" spans="8:11" x14ac:dyDescent="0.25">
      <c r="H3807">
        <v>26</v>
      </c>
      <c r="I3807">
        <v>880</v>
      </c>
      <c r="J3807">
        <v>110</v>
      </c>
      <c r="K3807" t="b">
        <v>1</v>
      </c>
    </row>
    <row r="3808" spans="8:11" x14ac:dyDescent="0.25">
      <c r="H3808">
        <v>26</v>
      </c>
      <c r="I3808">
        <v>885</v>
      </c>
      <c r="J3808">
        <v>110</v>
      </c>
      <c r="K3808" t="b">
        <v>1</v>
      </c>
    </row>
    <row r="3809" spans="8:11" x14ac:dyDescent="0.25">
      <c r="H3809">
        <v>26</v>
      </c>
      <c r="I3809">
        <v>890</v>
      </c>
      <c r="J3809">
        <v>110</v>
      </c>
      <c r="K3809" t="b">
        <v>1</v>
      </c>
    </row>
    <row r="3810" spans="8:11" x14ac:dyDescent="0.25">
      <c r="H3810">
        <v>26</v>
      </c>
      <c r="I3810">
        <v>895</v>
      </c>
      <c r="J3810">
        <v>110</v>
      </c>
      <c r="K3810" t="b">
        <v>1</v>
      </c>
    </row>
    <row r="3811" spans="8:11" x14ac:dyDescent="0.25">
      <c r="H3811">
        <v>26</v>
      </c>
      <c r="I3811">
        <v>900</v>
      </c>
      <c r="J3811">
        <v>110</v>
      </c>
      <c r="K3811" t="b">
        <v>1</v>
      </c>
    </row>
    <row r="3812" spans="8:11" x14ac:dyDescent="0.25">
      <c r="H3812">
        <v>26</v>
      </c>
      <c r="I3812">
        <v>905</v>
      </c>
      <c r="J3812">
        <v>110</v>
      </c>
      <c r="K3812" t="b">
        <v>1</v>
      </c>
    </row>
    <row r="3813" spans="8:11" x14ac:dyDescent="0.25">
      <c r="H3813">
        <v>26</v>
      </c>
      <c r="I3813">
        <v>910</v>
      </c>
      <c r="J3813">
        <v>110</v>
      </c>
      <c r="K3813" t="b">
        <v>1</v>
      </c>
    </row>
    <row r="3814" spans="8:11" x14ac:dyDescent="0.25">
      <c r="H3814">
        <v>26</v>
      </c>
      <c r="I3814">
        <v>915</v>
      </c>
      <c r="J3814">
        <v>110</v>
      </c>
      <c r="K3814" t="b">
        <v>1</v>
      </c>
    </row>
    <row r="3815" spans="8:11" x14ac:dyDescent="0.25">
      <c r="H3815">
        <v>26</v>
      </c>
      <c r="I3815">
        <v>920</v>
      </c>
      <c r="J3815">
        <v>110</v>
      </c>
      <c r="K3815" t="b">
        <v>1</v>
      </c>
    </row>
    <row r="3816" spans="8:11" x14ac:dyDescent="0.25">
      <c r="H3816">
        <v>26</v>
      </c>
      <c r="I3816">
        <v>925</v>
      </c>
      <c r="J3816">
        <v>110</v>
      </c>
      <c r="K3816" t="b">
        <v>1</v>
      </c>
    </row>
    <row r="3817" spans="8:11" x14ac:dyDescent="0.25">
      <c r="H3817">
        <v>26</v>
      </c>
      <c r="I3817">
        <v>930</v>
      </c>
      <c r="J3817">
        <v>110</v>
      </c>
      <c r="K3817" t="b">
        <v>1</v>
      </c>
    </row>
    <row r="3818" spans="8:11" x14ac:dyDescent="0.25">
      <c r="H3818">
        <v>26</v>
      </c>
      <c r="I3818">
        <v>935</v>
      </c>
      <c r="J3818">
        <v>110</v>
      </c>
      <c r="K3818" t="b">
        <v>1</v>
      </c>
    </row>
    <row r="3819" spans="8:11" x14ac:dyDescent="0.25">
      <c r="H3819">
        <v>26</v>
      </c>
      <c r="I3819">
        <v>940</v>
      </c>
      <c r="J3819">
        <v>110</v>
      </c>
      <c r="K3819" t="b">
        <v>1</v>
      </c>
    </row>
    <row r="3820" spans="8:11" x14ac:dyDescent="0.25">
      <c r="H3820">
        <v>26</v>
      </c>
      <c r="I3820">
        <v>945</v>
      </c>
      <c r="J3820">
        <v>110</v>
      </c>
      <c r="K3820" t="b">
        <v>1</v>
      </c>
    </row>
    <row r="3821" spans="8:11" x14ac:dyDescent="0.25">
      <c r="H3821">
        <v>26</v>
      </c>
      <c r="I3821">
        <v>950</v>
      </c>
      <c r="J3821">
        <v>110</v>
      </c>
      <c r="K3821" t="b">
        <v>1</v>
      </c>
    </row>
    <row r="3822" spans="8:11" x14ac:dyDescent="0.25">
      <c r="H3822">
        <v>26</v>
      </c>
      <c r="I3822">
        <v>955</v>
      </c>
      <c r="J3822">
        <v>110</v>
      </c>
      <c r="K3822" t="b">
        <v>1</v>
      </c>
    </row>
    <row r="3823" spans="8:11" x14ac:dyDescent="0.25">
      <c r="H3823">
        <v>27</v>
      </c>
      <c r="I3823">
        <v>0</v>
      </c>
      <c r="J3823">
        <v>115</v>
      </c>
      <c r="K3823" t="b">
        <v>1</v>
      </c>
    </row>
    <row r="3824" spans="8:11" x14ac:dyDescent="0.25">
      <c r="H3824">
        <v>27</v>
      </c>
      <c r="I3824">
        <v>31</v>
      </c>
      <c r="J3824">
        <v>115</v>
      </c>
      <c r="K3824" t="b">
        <v>1</v>
      </c>
    </row>
    <row r="3825" spans="8:11" x14ac:dyDescent="0.25">
      <c r="H3825">
        <v>27</v>
      </c>
      <c r="I3825">
        <v>62</v>
      </c>
      <c r="J3825">
        <v>115</v>
      </c>
      <c r="K3825" t="b">
        <v>1</v>
      </c>
    </row>
    <row r="3826" spans="8:11" x14ac:dyDescent="0.25">
      <c r="H3826">
        <v>27</v>
      </c>
      <c r="I3826">
        <v>93</v>
      </c>
      <c r="J3826">
        <v>115</v>
      </c>
      <c r="K3826" t="b">
        <v>1</v>
      </c>
    </row>
    <row r="3827" spans="8:11" x14ac:dyDescent="0.25">
      <c r="H3827">
        <v>27</v>
      </c>
      <c r="I3827">
        <v>124</v>
      </c>
      <c r="J3827">
        <v>115</v>
      </c>
      <c r="K3827" t="b">
        <v>1</v>
      </c>
    </row>
    <row r="3828" spans="8:11" x14ac:dyDescent="0.25">
      <c r="H3828">
        <v>27</v>
      </c>
      <c r="I3828">
        <v>155</v>
      </c>
      <c r="J3828">
        <v>115</v>
      </c>
      <c r="K3828" t="b">
        <v>1</v>
      </c>
    </row>
    <row r="3829" spans="8:11" x14ac:dyDescent="0.25">
      <c r="H3829">
        <v>27</v>
      </c>
      <c r="I3829">
        <v>186</v>
      </c>
      <c r="J3829">
        <v>115</v>
      </c>
      <c r="K3829" t="b">
        <v>1</v>
      </c>
    </row>
    <row r="3830" spans="8:11" x14ac:dyDescent="0.25">
      <c r="H3830">
        <v>27</v>
      </c>
      <c r="I3830">
        <v>217</v>
      </c>
      <c r="J3830">
        <v>115</v>
      </c>
      <c r="K3830" t="b">
        <v>1</v>
      </c>
    </row>
    <row r="3831" spans="8:11" x14ac:dyDescent="0.25">
      <c r="H3831">
        <v>27</v>
      </c>
      <c r="I3831">
        <v>248</v>
      </c>
      <c r="J3831">
        <v>115</v>
      </c>
      <c r="K3831" t="b">
        <v>1</v>
      </c>
    </row>
    <row r="3832" spans="8:11" x14ac:dyDescent="0.25">
      <c r="H3832">
        <v>27</v>
      </c>
      <c r="I3832">
        <v>279</v>
      </c>
      <c r="J3832">
        <v>115</v>
      </c>
      <c r="K3832" t="b">
        <v>1</v>
      </c>
    </row>
    <row r="3833" spans="8:11" x14ac:dyDescent="0.25">
      <c r="H3833">
        <v>27</v>
      </c>
      <c r="I3833">
        <v>310</v>
      </c>
      <c r="J3833">
        <v>115</v>
      </c>
      <c r="K3833" t="b">
        <v>1</v>
      </c>
    </row>
    <row r="3834" spans="8:11" x14ac:dyDescent="0.25">
      <c r="H3834">
        <v>27</v>
      </c>
      <c r="I3834">
        <v>341</v>
      </c>
      <c r="J3834">
        <v>115</v>
      </c>
      <c r="K3834" t="b">
        <v>1</v>
      </c>
    </row>
    <row r="3835" spans="8:11" x14ac:dyDescent="0.25">
      <c r="H3835">
        <v>27</v>
      </c>
      <c r="I3835">
        <v>372</v>
      </c>
      <c r="J3835">
        <v>115</v>
      </c>
      <c r="K3835" t="b">
        <v>1</v>
      </c>
    </row>
    <row r="3836" spans="8:11" x14ac:dyDescent="0.25">
      <c r="H3836">
        <v>27</v>
      </c>
      <c r="I3836">
        <v>403</v>
      </c>
      <c r="J3836">
        <v>115</v>
      </c>
      <c r="K3836" t="b">
        <v>1</v>
      </c>
    </row>
    <row r="3837" spans="8:11" x14ac:dyDescent="0.25">
      <c r="H3837">
        <v>27</v>
      </c>
      <c r="I3837">
        <v>434</v>
      </c>
      <c r="J3837">
        <v>115</v>
      </c>
      <c r="K3837" t="b">
        <v>1</v>
      </c>
    </row>
    <row r="3838" spans="8:11" x14ac:dyDescent="0.25">
      <c r="H3838">
        <v>27</v>
      </c>
      <c r="I3838">
        <v>465</v>
      </c>
      <c r="J3838">
        <v>115</v>
      </c>
      <c r="K3838" t="b">
        <v>1</v>
      </c>
    </row>
    <row r="3839" spans="8:11" x14ac:dyDescent="0.25">
      <c r="H3839">
        <v>27</v>
      </c>
      <c r="I3839">
        <v>496</v>
      </c>
      <c r="J3839">
        <v>115</v>
      </c>
      <c r="K3839" t="b">
        <v>1</v>
      </c>
    </row>
    <row r="3840" spans="8:11" x14ac:dyDescent="0.25">
      <c r="H3840">
        <v>27</v>
      </c>
      <c r="I3840">
        <v>527</v>
      </c>
      <c r="J3840">
        <v>115</v>
      </c>
      <c r="K3840" t="b">
        <v>1</v>
      </c>
    </row>
    <row r="3841" spans="8:11" x14ac:dyDescent="0.25">
      <c r="H3841">
        <v>27</v>
      </c>
      <c r="I3841">
        <v>558</v>
      </c>
      <c r="J3841">
        <v>115</v>
      </c>
      <c r="K3841" t="b">
        <v>1</v>
      </c>
    </row>
    <row r="3842" spans="8:11" x14ac:dyDescent="0.25">
      <c r="H3842">
        <v>27</v>
      </c>
      <c r="I3842">
        <v>589</v>
      </c>
      <c r="J3842">
        <v>115</v>
      </c>
      <c r="K3842" t="b">
        <v>1</v>
      </c>
    </row>
    <row r="3843" spans="8:11" x14ac:dyDescent="0.25">
      <c r="H3843">
        <v>27</v>
      </c>
      <c r="I3843">
        <v>620</v>
      </c>
      <c r="J3843">
        <v>115</v>
      </c>
      <c r="K3843" t="b">
        <v>1</v>
      </c>
    </row>
    <row r="3844" spans="8:11" x14ac:dyDescent="0.25">
      <c r="H3844">
        <v>27</v>
      </c>
      <c r="I3844">
        <v>651</v>
      </c>
      <c r="J3844">
        <v>115</v>
      </c>
      <c r="K3844" t="b">
        <v>1</v>
      </c>
    </row>
    <row r="3845" spans="8:11" x14ac:dyDescent="0.25">
      <c r="H3845">
        <v>27</v>
      </c>
      <c r="I3845">
        <v>682</v>
      </c>
      <c r="J3845">
        <v>115</v>
      </c>
      <c r="K3845" t="b">
        <v>1</v>
      </c>
    </row>
    <row r="3846" spans="8:11" x14ac:dyDescent="0.25">
      <c r="H3846">
        <v>27</v>
      </c>
      <c r="I3846">
        <v>713</v>
      </c>
      <c r="J3846">
        <v>115</v>
      </c>
      <c r="K3846" t="b">
        <v>1</v>
      </c>
    </row>
    <row r="3847" spans="8:11" x14ac:dyDescent="0.25">
      <c r="H3847">
        <v>27</v>
      </c>
      <c r="I3847">
        <v>744</v>
      </c>
      <c r="J3847">
        <v>115</v>
      </c>
      <c r="K3847" t="b">
        <v>1</v>
      </c>
    </row>
    <row r="3848" spans="8:11" x14ac:dyDescent="0.25">
      <c r="H3848">
        <v>27</v>
      </c>
      <c r="I3848">
        <v>775</v>
      </c>
      <c r="J3848">
        <v>115</v>
      </c>
      <c r="K3848" t="b">
        <v>1</v>
      </c>
    </row>
    <row r="3849" spans="8:11" x14ac:dyDescent="0.25">
      <c r="H3849">
        <v>27</v>
      </c>
      <c r="I3849">
        <v>806</v>
      </c>
      <c r="J3849">
        <v>115</v>
      </c>
      <c r="K3849" t="b">
        <v>1</v>
      </c>
    </row>
    <row r="3850" spans="8:11" x14ac:dyDescent="0.25">
      <c r="H3850">
        <v>27</v>
      </c>
      <c r="I3850">
        <v>837</v>
      </c>
      <c r="J3850">
        <v>115</v>
      </c>
      <c r="K3850" t="b">
        <v>1</v>
      </c>
    </row>
    <row r="3851" spans="8:11" x14ac:dyDescent="0.25">
      <c r="H3851">
        <v>27</v>
      </c>
      <c r="I3851">
        <v>868</v>
      </c>
      <c r="J3851">
        <v>115</v>
      </c>
      <c r="K3851" t="b">
        <v>1</v>
      </c>
    </row>
    <row r="3852" spans="8:11" x14ac:dyDescent="0.25">
      <c r="H3852">
        <v>27</v>
      </c>
      <c r="I3852">
        <v>899</v>
      </c>
      <c r="J3852">
        <v>115</v>
      </c>
      <c r="K3852" t="b">
        <v>1</v>
      </c>
    </row>
    <row r="3853" spans="8:11" x14ac:dyDescent="0.25">
      <c r="H3853">
        <v>28</v>
      </c>
      <c r="I3853">
        <v>0</v>
      </c>
      <c r="J3853">
        <v>115</v>
      </c>
      <c r="K3853" t="b">
        <v>1</v>
      </c>
    </row>
    <row r="3854" spans="8:11" x14ac:dyDescent="0.25">
      <c r="H3854">
        <v>28</v>
      </c>
      <c r="I3854">
        <v>31</v>
      </c>
      <c r="J3854">
        <v>115</v>
      </c>
      <c r="K3854" t="b">
        <v>1</v>
      </c>
    </row>
    <row r="3855" spans="8:11" x14ac:dyDescent="0.25">
      <c r="H3855">
        <v>28</v>
      </c>
      <c r="I3855">
        <v>62</v>
      </c>
      <c r="J3855">
        <v>115</v>
      </c>
      <c r="K3855" t="b">
        <v>1</v>
      </c>
    </row>
    <row r="3856" spans="8:11" x14ac:dyDescent="0.25">
      <c r="H3856">
        <v>28</v>
      </c>
      <c r="I3856">
        <v>93</v>
      </c>
      <c r="J3856">
        <v>115</v>
      </c>
      <c r="K3856" t="b">
        <v>1</v>
      </c>
    </row>
    <row r="3857" spans="8:11" x14ac:dyDescent="0.25">
      <c r="H3857">
        <v>28</v>
      </c>
      <c r="I3857">
        <v>124</v>
      </c>
      <c r="J3857">
        <v>115</v>
      </c>
      <c r="K3857" t="b">
        <v>1</v>
      </c>
    </row>
    <row r="3858" spans="8:11" x14ac:dyDescent="0.25">
      <c r="H3858">
        <v>28</v>
      </c>
      <c r="I3858">
        <v>155</v>
      </c>
      <c r="J3858">
        <v>115</v>
      </c>
      <c r="K3858" t="b">
        <v>1</v>
      </c>
    </row>
    <row r="3859" spans="8:11" x14ac:dyDescent="0.25">
      <c r="H3859">
        <v>28</v>
      </c>
      <c r="I3859">
        <v>186</v>
      </c>
      <c r="J3859">
        <v>115</v>
      </c>
      <c r="K3859" t="b">
        <v>1</v>
      </c>
    </row>
    <row r="3860" spans="8:11" x14ac:dyDescent="0.25">
      <c r="H3860">
        <v>28</v>
      </c>
      <c r="I3860">
        <v>217</v>
      </c>
      <c r="J3860">
        <v>115</v>
      </c>
      <c r="K3860" t="b">
        <v>1</v>
      </c>
    </row>
    <row r="3861" spans="8:11" x14ac:dyDescent="0.25">
      <c r="H3861">
        <v>28</v>
      </c>
      <c r="I3861">
        <v>248</v>
      </c>
      <c r="J3861">
        <v>115</v>
      </c>
      <c r="K3861" t="b">
        <v>1</v>
      </c>
    </row>
    <row r="3862" spans="8:11" x14ac:dyDescent="0.25">
      <c r="H3862">
        <v>28</v>
      </c>
      <c r="I3862">
        <v>279</v>
      </c>
      <c r="J3862">
        <v>115</v>
      </c>
      <c r="K3862" t="b">
        <v>1</v>
      </c>
    </row>
    <row r="3863" spans="8:11" x14ac:dyDescent="0.25">
      <c r="H3863">
        <v>28</v>
      </c>
      <c r="I3863">
        <v>310</v>
      </c>
      <c r="J3863">
        <v>115</v>
      </c>
      <c r="K3863" t="b">
        <v>1</v>
      </c>
    </row>
    <row r="3864" spans="8:11" x14ac:dyDescent="0.25">
      <c r="H3864">
        <v>28</v>
      </c>
      <c r="I3864">
        <v>341</v>
      </c>
      <c r="J3864">
        <v>115</v>
      </c>
      <c r="K3864" t="b">
        <v>1</v>
      </c>
    </row>
    <row r="3865" spans="8:11" x14ac:dyDescent="0.25">
      <c r="H3865">
        <v>28</v>
      </c>
      <c r="I3865">
        <v>372</v>
      </c>
      <c r="J3865">
        <v>115</v>
      </c>
      <c r="K3865" t="b">
        <v>1</v>
      </c>
    </row>
    <row r="3866" spans="8:11" x14ac:dyDescent="0.25">
      <c r="H3866">
        <v>28</v>
      </c>
      <c r="I3866">
        <v>403</v>
      </c>
      <c r="J3866">
        <v>115</v>
      </c>
      <c r="K3866" t="b">
        <v>1</v>
      </c>
    </row>
    <row r="3867" spans="8:11" x14ac:dyDescent="0.25">
      <c r="H3867">
        <v>28</v>
      </c>
      <c r="I3867">
        <v>434</v>
      </c>
      <c r="J3867">
        <v>115</v>
      </c>
      <c r="K3867" t="b">
        <v>1</v>
      </c>
    </row>
    <row r="3868" spans="8:11" x14ac:dyDescent="0.25">
      <c r="H3868">
        <v>28</v>
      </c>
      <c r="I3868">
        <v>465</v>
      </c>
      <c r="J3868">
        <v>115</v>
      </c>
      <c r="K3868" t="b">
        <v>1</v>
      </c>
    </row>
    <row r="3869" spans="8:11" x14ac:dyDescent="0.25">
      <c r="H3869">
        <v>28</v>
      </c>
      <c r="I3869">
        <v>496</v>
      </c>
      <c r="J3869">
        <v>115</v>
      </c>
      <c r="K3869" t="b">
        <v>1</v>
      </c>
    </row>
    <row r="3870" spans="8:11" x14ac:dyDescent="0.25">
      <c r="H3870">
        <v>28</v>
      </c>
      <c r="I3870">
        <v>527</v>
      </c>
      <c r="J3870">
        <v>115</v>
      </c>
      <c r="K3870" t="b">
        <v>1</v>
      </c>
    </row>
    <row r="3871" spans="8:11" x14ac:dyDescent="0.25">
      <c r="H3871">
        <v>28</v>
      </c>
      <c r="I3871">
        <v>558</v>
      </c>
      <c r="J3871">
        <v>115</v>
      </c>
      <c r="K3871" t="b">
        <v>1</v>
      </c>
    </row>
    <row r="3872" spans="8:11" x14ac:dyDescent="0.25">
      <c r="H3872">
        <v>28</v>
      </c>
      <c r="I3872">
        <v>589</v>
      </c>
      <c r="J3872">
        <v>115</v>
      </c>
      <c r="K3872" t="b">
        <v>1</v>
      </c>
    </row>
    <row r="3873" spans="8:11" x14ac:dyDescent="0.25">
      <c r="H3873">
        <v>28</v>
      </c>
      <c r="I3873">
        <v>620</v>
      </c>
      <c r="J3873">
        <v>115</v>
      </c>
      <c r="K3873" t="b">
        <v>1</v>
      </c>
    </row>
    <row r="3874" spans="8:11" x14ac:dyDescent="0.25">
      <c r="H3874">
        <v>28</v>
      </c>
      <c r="I3874">
        <v>651</v>
      </c>
      <c r="J3874">
        <v>115</v>
      </c>
      <c r="K3874" t="b">
        <v>1</v>
      </c>
    </row>
    <row r="3875" spans="8:11" x14ac:dyDescent="0.25">
      <c r="H3875">
        <v>28</v>
      </c>
      <c r="I3875">
        <v>682</v>
      </c>
      <c r="J3875">
        <v>115</v>
      </c>
      <c r="K3875" t="b">
        <v>1</v>
      </c>
    </row>
    <row r="3876" spans="8:11" x14ac:dyDescent="0.25">
      <c r="H3876">
        <v>28</v>
      </c>
      <c r="I3876">
        <v>713</v>
      </c>
      <c r="J3876">
        <v>115</v>
      </c>
      <c r="K3876" t="b">
        <v>1</v>
      </c>
    </row>
    <row r="3877" spans="8:11" x14ac:dyDescent="0.25">
      <c r="H3877">
        <v>28</v>
      </c>
      <c r="I3877">
        <v>744</v>
      </c>
      <c r="J3877">
        <v>115</v>
      </c>
      <c r="K3877" t="b">
        <v>1</v>
      </c>
    </row>
    <row r="3878" spans="8:11" x14ac:dyDescent="0.25">
      <c r="H3878">
        <v>28</v>
      </c>
      <c r="I3878">
        <v>775</v>
      </c>
      <c r="J3878">
        <v>115</v>
      </c>
      <c r="K3878" t="b">
        <v>1</v>
      </c>
    </row>
    <row r="3879" spans="8:11" x14ac:dyDescent="0.25">
      <c r="H3879">
        <v>28</v>
      </c>
      <c r="I3879">
        <v>806</v>
      </c>
      <c r="J3879">
        <v>115</v>
      </c>
      <c r="K3879" t="b">
        <v>1</v>
      </c>
    </row>
    <row r="3880" spans="8:11" x14ac:dyDescent="0.25">
      <c r="H3880">
        <v>28</v>
      </c>
      <c r="I3880">
        <v>837</v>
      </c>
      <c r="J3880">
        <v>115</v>
      </c>
      <c r="K3880" t="b">
        <v>1</v>
      </c>
    </row>
    <row r="3881" spans="8:11" x14ac:dyDescent="0.25">
      <c r="H3881">
        <v>28</v>
      </c>
      <c r="I3881">
        <v>868</v>
      </c>
      <c r="J3881">
        <v>115</v>
      </c>
      <c r="K3881" t="b">
        <v>1</v>
      </c>
    </row>
    <row r="3882" spans="8:11" x14ac:dyDescent="0.25">
      <c r="H3882">
        <v>28</v>
      </c>
      <c r="I3882">
        <v>899</v>
      </c>
      <c r="J3882">
        <v>115</v>
      </c>
      <c r="K3882" t="b">
        <v>1</v>
      </c>
    </row>
    <row r="3883" spans="8:11" x14ac:dyDescent="0.25">
      <c r="H3883">
        <v>29</v>
      </c>
      <c r="I3883">
        <v>0</v>
      </c>
      <c r="J3883">
        <v>115</v>
      </c>
      <c r="K3883" t="b">
        <v>1</v>
      </c>
    </row>
    <row r="3884" spans="8:11" x14ac:dyDescent="0.25">
      <c r="H3884">
        <v>29</v>
      </c>
      <c r="I3884">
        <v>21</v>
      </c>
      <c r="J3884">
        <v>115</v>
      </c>
      <c r="K3884" t="b">
        <v>1</v>
      </c>
    </row>
    <row r="3885" spans="8:11" x14ac:dyDescent="0.25">
      <c r="H3885">
        <v>29</v>
      </c>
      <c r="I3885">
        <v>42</v>
      </c>
      <c r="J3885">
        <v>115</v>
      </c>
      <c r="K3885" t="b">
        <v>1</v>
      </c>
    </row>
    <row r="3886" spans="8:11" x14ac:dyDescent="0.25">
      <c r="H3886">
        <v>29</v>
      </c>
      <c r="I3886">
        <v>63</v>
      </c>
      <c r="J3886">
        <v>115</v>
      </c>
      <c r="K3886" t="b">
        <v>1</v>
      </c>
    </row>
    <row r="3887" spans="8:11" x14ac:dyDescent="0.25">
      <c r="H3887">
        <v>29</v>
      </c>
      <c r="I3887">
        <v>84</v>
      </c>
      <c r="J3887">
        <v>115</v>
      </c>
      <c r="K3887" t="b">
        <v>1</v>
      </c>
    </row>
    <row r="3888" spans="8:11" x14ac:dyDescent="0.25">
      <c r="H3888">
        <v>29</v>
      </c>
      <c r="I3888">
        <v>105</v>
      </c>
      <c r="J3888">
        <v>115</v>
      </c>
      <c r="K3888" t="b">
        <v>1</v>
      </c>
    </row>
    <row r="3889" spans="8:11" x14ac:dyDescent="0.25">
      <c r="H3889">
        <v>29</v>
      </c>
      <c r="I3889">
        <v>126</v>
      </c>
      <c r="J3889">
        <v>115</v>
      </c>
      <c r="K3889" t="b">
        <v>1</v>
      </c>
    </row>
    <row r="3890" spans="8:11" x14ac:dyDescent="0.25">
      <c r="H3890">
        <v>29</v>
      </c>
      <c r="I3890">
        <v>147</v>
      </c>
      <c r="J3890">
        <v>115</v>
      </c>
      <c r="K3890" t="b">
        <v>1</v>
      </c>
    </row>
    <row r="3891" spans="8:11" x14ac:dyDescent="0.25">
      <c r="H3891">
        <v>29</v>
      </c>
      <c r="I3891">
        <v>168</v>
      </c>
      <c r="J3891">
        <v>115</v>
      </c>
      <c r="K3891" t="b">
        <v>1</v>
      </c>
    </row>
    <row r="3892" spans="8:11" x14ac:dyDescent="0.25">
      <c r="H3892">
        <v>29</v>
      </c>
      <c r="I3892">
        <v>189</v>
      </c>
      <c r="J3892">
        <v>115</v>
      </c>
      <c r="K3892" t="b">
        <v>1</v>
      </c>
    </row>
    <row r="3893" spans="8:11" x14ac:dyDescent="0.25">
      <c r="H3893">
        <v>29</v>
      </c>
      <c r="I3893">
        <v>210</v>
      </c>
      <c r="J3893">
        <v>115</v>
      </c>
      <c r="K3893" t="b">
        <v>1</v>
      </c>
    </row>
    <row r="3894" spans="8:11" x14ac:dyDescent="0.25">
      <c r="H3894">
        <v>29</v>
      </c>
      <c r="I3894">
        <v>231</v>
      </c>
      <c r="J3894">
        <v>115</v>
      </c>
      <c r="K3894" t="b">
        <v>1</v>
      </c>
    </row>
    <row r="3895" spans="8:11" x14ac:dyDescent="0.25">
      <c r="H3895">
        <v>29</v>
      </c>
      <c r="I3895">
        <v>252</v>
      </c>
      <c r="J3895">
        <v>115</v>
      </c>
      <c r="K3895" t="b">
        <v>1</v>
      </c>
    </row>
    <row r="3896" spans="8:11" x14ac:dyDescent="0.25">
      <c r="H3896">
        <v>29</v>
      </c>
      <c r="I3896">
        <v>273</v>
      </c>
      <c r="J3896">
        <v>115</v>
      </c>
      <c r="K3896" t="b">
        <v>1</v>
      </c>
    </row>
    <row r="3897" spans="8:11" x14ac:dyDescent="0.25">
      <c r="H3897">
        <v>29</v>
      </c>
      <c r="I3897">
        <v>294</v>
      </c>
      <c r="J3897">
        <v>115</v>
      </c>
      <c r="K3897" t="b">
        <v>1</v>
      </c>
    </row>
    <row r="3898" spans="8:11" x14ac:dyDescent="0.25">
      <c r="H3898">
        <v>29</v>
      </c>
      <c r="I3898">
        <v>315</v>
      </c>
      <c r="J3898">
        <v>115</v>
      </c>
      <c r="K3898" t="b">
        <v>1</v>
      </c>
    </row>
    <row r="3899" spans="8:11" x14ac:dyDescent="0.25">
      <c r="H3899">
        <v>29</v>
      </c>
      <c r="I3899">
        <v>336</v>
      </c>
      <c r="J3899">
        <v>115</v>
      </c>
      <c r="K3899" t="b">
        <v>1</v>
      </c>
    </row>
    <row r="3900" spans="8:11" x14ac:dyDescent="0.25">
      <c r="H3900">
        <v>29</v>
      </c>
      <c r="I3900">
        <v>357</v>
      </c>
      <c r="J3900">
        <v>115</v>
      </c>
      <c r="K3900" t="b">
        <v>1</v>
      </c>
    </row>
    <row r="3901" spans="8:11" x14ac:dyDescent="0.25">
      <c r="H3901">
        <v>29</v>
      </c>
      <c r="I3901">
        <v>378</v>
      </c>
      <c r="J3901">
        <v>115</v>
      </c>
      <c r="K3901" t="b">
        <v>1</v>
      </c>
    </row>
    <row r="3902" spans="8:11" x14ac:dyDescent="0.25">
      <c r="H3902">
        <v>29</v>
      </c>
      <c r="I3902">
        <v>399</v>
      </c>
      <c r="J3902">
        <v>115</v>
      </c>
      <c r="K3902" t="b">
        <v>1</v>
      </c>
    </row>
    <row r="3903" spans="8:11" x14ac:dyDescent="0.25">
      <c r="H3903">
        <v>29</v>
      </c>
      <c r="I3903">
        <v>420</v>
      </c>
      <c r="J3903">
        <v>115</v>
      </c>
      <c r="K3903" t="b">
        <v>1</v>
      </c>
    </row>
    <row r="3904" spans="8:11" x14ac:dyDescent="0.25">
      <c r="H3904">
        <v>29</v>
      </c>
      <c r="I3904">
        <v>441</v>
      </c>
      <c r="J3904">
        <v>115</v>
      </c>
      <c r="K3904" t="b">
        <v>1</v>
      </c>
    </row>
    <row r="3905" spans="8:11" x14ac:dyDescent="0.25">
      <c r="H3905">
        <v>29</v>
      </c>
      <c r="I3905">
        <v>462</v>
      </c>
      <c r="J3905">
        <v>115</v>
      </c>
      <c r="K3905" t="b">
        <v>1</v>
      </c>
    </row>
    <row r="3906" spans="8:11" x14ac:dyDescent="0.25">
      <c r="H3906">
        <v>29</v>
      </c>
      <c r="I3906">
        <v>483</v>
      </c>
      <c r="J3906">
        <v>115</v>
      </c>
      <c r="K3906" t="b">
        <v>1</v>
      </c>
    </row>
    <row r="3907" spans="8:11" x14ac:dyDescent="0.25">
      <c r="H3907">
        <v>29</v>
      </c>
      <c r="I3907">
        <v>504</v>
      </c>
      <c r="J3907">
        <v>115</v>
      </c>
      <c r="K3907" t="b">
        <v>1</v>
      </c>
    </row>
    <row r="3908" spans="8:11" x14ac:dyDescent="0.25">
      <c r="H3908">
        <v>29</v>
      </c>
      <c r="I3908">
        <v>525</v>
      </c>
      <c r="J3908">
        <v>115</v>
      </c>
      <c r="K3908" t="b">
        <v>1</v>
      </c>
    </row>
    <row r="3909" spans="8:11" x14ac:dyDescent="0.25">
      <c r="H3909">
        <v>29</v>
      </c>
      <c r="I3909">
        <v>546</v>
      </c>
      <c r="J3909">
        <v>115</v>
      </c>
      <c r="K3909" t="b">
        <v>1</v>
      </c>
    </row>
    <row r="3910" spans="8:11" x14ac:dyDescent="0.25">
      <c r="H3910">
        <v>29</v>
      </c>
      <c r="I3910">
        <v>567</v>
      </c>
      <c r="J3910">
        <v>115</v>
      </c>
      <c r="K3910" t="b">
        <v>1</v>
      </c>
    </row>
    <row r="3911" spans="8:11" x14ac:dyDescent="0.25">
      <c r="H3911">
        <v>29</v>
      </c>
      <c r="I3911">
        <v>588</v>
      </c>
      <c r="J3911">
        <v>115</v>
      </c>
      <c r="K3911" t="b">
        <v>1</v>
      </c>
    </row>
    <row r="3912" spans="8:11" x14ac:dyDescent="0.25">
      <c r="H3912">
        <v>29</v>
      </c>
      <c r="I3912">
        <v>609</v>
      </c>
      <c r="J3912">
        <v>115</v>
      </c>
      <c r="K3912" t="b">
        <v>1</v>
      </c>
    </row>
    <row r="3913" spans="8:11" x14ac:dyDescent="0.25">
      <c r="H3913">
        <v>29</v>
      </c>
      <c r="I3913">
        <v>630</v>
      </c>
      <c r="J3913">
        <v>115</v>
      </c>
      <c r="K3913" t="b">
        <v>1</v>
      </c>
    </row>
    <row r="3914" spans="8:11" x14ac:dyDescent="0.25">
      <c r="H3914">
        <v>29</v>
      </c>
      <c r="I3914">
        <v>651</v>
      </c>
      <c r="J3914">
        <v>115</v>
      </c>
      <c r="K3914" t="b">
        <v>1</v>
      </c>
    </row>
    <row r="3915" spans="8:11" x14ac:dyDescent="0.25">
      <c r="H3915">
        <v>29</v>
      </c>
      <c r="I3915">
        <v>672</v>
      </c>
      <c r="J3915">
        <v>115</v>
      </c>
      <c r="K3915" t="b">
        <v>1</v>
      </c>
    </row>
    <row r="3916" spans="8:11" x14ac:dyDescent="0.25">
      <c r="H3916">
        <v>29</v>
      </c>
      <c r="I3916">
        <v>693</v>
      </c>
      <c r="J3916">
        <v>115</v>
      </c>
      <c r="K3916" t="b">
        <v>1</v>
      </c>
    </row>
    <row r="3917" spans="8:11" x14ac:dyDescent="0.25">
      <c r="H3917">
        <v>29</v>
      </c>
      <c r="I3917">
        <v>714</v>
      </c>
      <c r="J3917">
        <v>115</v>
      </c>
      <c r="K3917" t="b">
        <v>1</v>
      </c>
    </row>
    <row r="3918" spans="8:11" x14ac:dyDescent="0.25">
      <c r="H3918">
        <v>29</v>
      </c>
      <c r="I3918">
        <v>735</v>
      </c>
      <c r="J3918">
        <v>115</v>
      </c>
      <c r="K3918" t="b">
        <v>1</v>
      </c>
    </row>
    <row r="3919" spans="8:11" x14ac:dyDescent="0.25">
      <c r="H3919">
        <v>29</v>
      </c>
      <c r="I3919">
        <v>756</v>
      </c>
      <c r="J3919">
        <v>115</v>
      </c>
      <c r="K3919" t="b">
        <v>1</v>
      </c>
    </row>
    <row r="3920" spans="8:11" x14ac:dyDescent="0.25">
      <c r="H3920">
        <v>29</v>
      </c>
      <c r="I3920">
        <v>777</v>
      </c>
      <c r="J3920">
        <v>115</v>
      </c>
      <c r="K3920" t="b">
        <v>1</v>
      </c>
    </row>
    <row r="3921" spans="8:11" x14ac:dyDescent="0.25">
      <c r="H3921">
        <v>29</v>
      </c>
      <c r="I3921">
        <v>798</v>
      </c>
      <c r="J3921">
        <v>115</v>
      </c>
      <c r="K3921" t="b">
        <v>1</v>
      </c>
    </row>
    <row r="3922" spans="8:11" x14ac:dyDescent="0.25">
      <c r="H3922">
        <v>29</v>
      </c>
      <c r="I3922">
        <v>819</v>
      </c>
      <c r="J3922">
        <v>115</v>
      </c>
      <c r="K3922" t="b">
        <v>1</v>
      </c>
    </row>
    <row r="3923" spans="8:11" x14ac:dyDescent="0.25">
      <c r="H3923">
        <v>29</v>
      </c>
      <c r="I3923">
        <v>840</v>
      </c>
      <c r="J3923">
        <v>115</v>
      </c>
      <c r="K3923" t="b">
        <v>1</v>
      </c>
    </row>
    <row r="3924" spans="8:11" x14ac:dyDescent="0.25">
      <c r="H3924">
        <v>29</v>
      </c>
      <c r="I3924">
        <v>861</v>
      </c>
      <c r="J3924">
        <v>115</v>
      </c>
      <c r="K3924" t="b">
        <v>1</v>
      </c>
    </row>
    <row r="3925" spans="8:11" x14ac:dyDescent="0.25">
      <c r="H3925">
        <v>29</v>
      </c>
      <c r="I3925">
        <v>882</v>
      </c>
      <c r="J3925">
        <v>115</v>
      </c>
      <c r="K3925" t="b">
        <v>1</v>
      </c>
    </row>
    <row r="3926" spans="8:11" x14ac:dyDescent="0.25">
      <c r="H3926">
        <v>29</v>
      </c>
      <c r="I3926">
        <v>903</v>
      </c>
      <c r="J3926">
        <v>115</v>
      </c>
      <c r="K3926" t="b">
        <v>1</v>
      </c>
    </row>
    <row r="3927" spans="8:11" x14ac:dyDescent="0.25">
      <c r="H3927">
        <v>29</v>
      </c>
      <c r="I3927">
        <v>924</v>
      </c>
      <c r="J3927">
        <v>115</v>
      </c>
      <c r="K3927" t="b">
        <v>1</v>
      </c>
    </row>
    <row r="3928" spans="8:11" x14ac:dyDescent="0.25">
      <c r="H3928">
        <v>30</v>
      </c>
      <c r="I3928">
        <v>0</v>
      </c>
      <c r="J3928">
        <v>115</v>
      </c>
      <c r="K3928" t="b">
        <v>1</v>
      </c>
    </row>
    <row r="3929" spans="8:11" x14ac:dyDescent="0.25">
      <c r="H3929">
        <v>30</v>
      </c>
      <c r="I3929">
        <v>21</v>
      </c>
      <c r="J3929">
        <v>115</v>
      </c>
      <c r="K3929" t="b">
        <v>1</v>
      </c>
    </row>
    <row r="3930" spans="8:11" x14ac:dyDescent="0.25">
      <c r="H3930">
        <v>30</v>
      </c>
      <c r="I3930">
        <v>42</v>
      </c>
      <c r="J3930">
        <v>115</v>
      </c>
      <c r="K3930" t="b">
        <v>1</v>
      </c>
    </row>
    <row r="3931" spans="8:11" x14ac:dyDescent="0.25">
      <c r="H3931">
        <v>30</v>
      </c>
      <c r="I3931">
        <v>63</v>
      </c>
      <c r="J3931">
        <v>115</v>
      </c>
      <c r="K3931" t="b">
        <v>1</v>
      </c>
    </row>
    <row r="3932" spans="8:11" x14ac:dyDescent="0.25">
      <c r="H3932">
        <v>30</v>
      </c>
      <c r="I3932">
        <v>84</v>
      </c>
      <c r="J3932">
        <v>115</v>
      </c>
      <c r="K3932" t="b">
        <v>1</v>
      </c>
    </row>
    <row r="3933" spans="8:11" x14ac:dyDescent="0.25">
      <c r="H3933">
        <v>30</v>
      </c>
      <c r="I3933">
        <v>105</v>
      </c>
      <c r="J3933">
        <v>115</v>
      </c>
      <c r="K3933" t="b">
        <v>1</v>
      </c>
    </row>
    <row r="3934" spans="8:11" x14ac:dyDescent="0.25">
      <c r="H3934">
        <v>30</v>
      </c>
      <c r="I3934">
        <v>126</v>
      </c>
      <c r="J3934">
        <v>115</v>
      </c>
      <c r="K3934" t="b">
        <v>1</v>
      </c>
    </row>
    <row r="3935" spans="8:11" x14ac:dyDescent="0.25">
      <c r="H3935">
        <v>30</v>
      </c>
      <c r="I3935">
        <v>147</v>
      </c>
      <c r="J3935">
        <v>115</v>
      </c>
      <c r="K3935" t="b">
        <v>1</v>
      </c>
    </row>
    <row r="3936" spans="8:11" x14ac:dyDescent="0.25">
      <c r="H3936">
        <v>30</v>
      </c>
      <c r="I3936">
        <v>168</v>
      </c>
      <c r="J3936">
        <v>115</v>
      </c>
      <c r="K3936" t="b">
        <v>1</v>
      </c>
    </row>
    <row r="3937" spans="8:11" x14ac:dyDescent="0.25">
      <c r="H3937">
        <v>30</v>
      </c>
      <c r="I3937">
        <v>189</v>
      </c>
      <c r="J3937">
        <v>115</v>
      </c>
      <c r="K3937" t="b">
        <v>1</v>
      </c>
    </row>
    <row r="3938" spans="8:11" x14ac:dyDescent="0.25">
      <c r="H3938">
        <v>30</v>
      </c>
      <c r="I3938">
        <v>210</v>
      </c>
      <c r="J3938">
        <v>115</v>
      </c>
      <c r="K3938" t="b">
        <v>1</v>
      </c>
    </row>
    <row r="3939" spans="8:11" x14ac:dyDescent="0.25">
      <c r="H3939">
        <v>30</v>
      </c>
      <c r="I3939">
        <v>231</v>
      </c>
      <c r="J3939">
        <v>115</v>
      </c>
      <c r="K3939" t="b">
        <v>1</v>
      </c>
    </row>
    <row r="3940" spans="8:11" x14ac:dyDescent="0.25">
      <c r="H3940">
        <v>30</v>
      </c>
      <c r="I3940">
        <v>252</v>
      </c>
      <c r="J3940">
        <v>115</v>
      </c>
      <c r="K3940" t="b">
        <v>1</v>
      </c>
    </row>
    <row r="3941" spans="8:11" x14ac:dyDescent="0.25">
      <c r="H3941">
        <v>30</v>
      </c>
      <c r="I3941">
        <v>273</v>
      </c>
      <c r="J3941">
        <v>115</v>
      </c>
      <c r="K3941" t="b">
        <v>1</v>
      </c>
    </row>
    <row r="3942" spans="8:11" x14ac:dyDescent="0.25">
      <c r="H3942">
        <v>30</v>
      </c>
      <c r="I3942">
        <v>294</v>
      </c>
      <c r="J3942">
        <v>115</v>
      </c>
      <c r="K3942" t="b">
        <v>1</v>
      </c>
    </row>
    <row r="3943" spans="8:11" x14ac:dyDescent="0.25">
      <c r="H3943">
        <v>30</v>
      </c>
      <c r="I3943">
        <v>315</v>
      </c>
      <c r="J3943">
        <v>115</v>
      </c>
      <c r="K3943" t="b">
        <v>1</v>
      </c>
    </row>
    <row r="3944" spans="8:11" x14ac:dyDescent="0.25">
      <c r="H3944">
        <v>30</v>
      </c>
      <c r="I3944">
        <v>336</v>
      </c>
      <c r="J3944">
        <v>115</v>
      </c>
      <c r="K3944" t="b">
        <v>1</v>
      </c>
    </row>
    <row r="3945" spans="8:11" x14ac:dyDescent="0.25">
      <c r="H3945">
        <v>30</v>
      </c>
      <c r="I3945">
        <v>357</v>
      </c>
      <c r="J3945">
        <v>115</v>
      </c>
      <c r="K3945" t="b">
        <v>1</v>
      </c>
    </row>
    <row r="3946" spans="8:11" x14ac:dyDescent="0.25">
      <c r="H3946">
        <v>30</v>
      </c>
      <c r="I3946">
        <v>378</v>
      </c>
      <c r="J3946">
        <v>115</v>
      </c>
      <c r="K3946" t="b">
        <v>1</v>
      </c>
    </row>
    <row r="3947" spans="8:11" x14ac:dyDescent="0.25">
      <c r="H3947">
        <v>30</v>
      </c>
      <c r="I3947">
        <v>399</v>
      </c>
      <c r="J3947">
        <v>115</v>
      </c>
      <c r="K3947" t="b">
        <v>1</v>
      </c>
    </row>
    <row r="3948" spans="8:11" x14ac:dyDescent="0.25">
      <c r="H3948">
        <v>30</v>
      </c>
      <c r="I3948">
        <v>420</v>
      </c>
      <c r="J3948">
        <v>115</v>
      </c>
      <c r="K3948" t="b">
        <v>1</v>
      </c>
    </row>
    <row r="3949" spans="8:11" x14ac:dyDescent="0.25">
      <c r="H3949">
        <v>30</v>
      </c>
      <c r="I3949">
        <v>441</v>
      </c>
      <c r="J3949">
        <v>115</v>
      </c>
      <c r="K3949" t="b">
        <v>1</v>
      </c>
    </row>
    <row r="3950" spans="8:11" x14ac:dyDescent="0.25">
      <c r="H3950">
        <v>30</v>
      </c>
      <c r="I3950">
        <v>462</v>
      </c>
      <c r="J3950">
        <v>115</v>
      </c>
      <c r="K3950" t="b">
        <v>1</v>
      </c>
    </row>
    <row r="3951" spans="8:11" x14ac:dyDescent="0.25">
      <c r="H3951">
        <v>30</v>
      </c>
      <c r="I3951">
        <v>483</v>
      </c>
      <c r="J3951">
        <v>115</v>
      </c>
      <c r="K3951" t="b">
        <v>1</v>
      </c>
    </row>
    <row r="3952" spans="8:11" x14ac:dyDescent="0.25">
      <c r="H3952">
        <v>30</v>
      </c>
      <c r="I3952">
        <v>504</v>
      </c>
      <c r="J3952">
        <v>115</v>
      </c>
      <c r="K3952" t="b">
        <v>1</v>
      </c>
    </row>
    <row r="3953" spans="8:11" x14ac:dyDescent="0.25">
      <c r="H3953">
        <v>30</v>
      </c>
      <c r="I3953">
        <v>525</v>
      </c>
      <c r="J3953">
        <v>115</v>
      </c>
      <c r="K3953" t="b">
        <v>1</v>
      </c>
    </row>
    <row r="3954" spans="8:11" x14ac:dyDescent="0.25">
      <c r="H3954">
        <v>30</v>
      </c>
      <c r="I3954">
        <v>546</v>
      </c>
      <c r="J3954">
        <v>115</v>
      </c>
      <c r="K3954" t="b">
        <v>1</v>
      </c>
    </row>
    <row r="3955" spans="8:11" x14ac:dyDescent="0.25">
      <c r="H3955">
        <v>30</v>
      </c>
      <c r="I3955">
        <v>567</v>
      </c>
      <c r="J3955">
        <v>115</v>
      </c>
      <c r="K3955" t="b">
        <v>1</v>
      </c>
    </row>
    <row r="3956" spans="8:11" x14ac:dyDescent="0.25">
      <c r="H3956">
        <v>30</v>
      </c>
      <c r="I3956">
        <v>588</v>
      </c>
      <c r="J3956">
        <v>115</v>
      </c>
      <c r="K3956" t="b">
        <v>1</v>
      </c>
    </row>
    <row r="3957" spans="8:11" x14ac:dyDescent="0.25">
      <c r="H3957">
        <v>30</v>
      </c>
      <c r="I3957">
        <v>609</v>
      </c>
      <c r="J3957">
        <v>115</v>
      </c>
      <c r="K3957" t="b">
        <v>1</v>
      </c>
    </row>
    <row r="3958" spans="8:11" x14ac:dyDescent="0.25">
      <c r="H3958">
        <v>30</v>
      </c>
      <c r="I3958">
        <v>630</v>
      </c>
      <c r="J3958">
        <v>115</v>
      </c>
      <c r="K3958" t="b">
        <v>1</v>
      </c>
    </row>
    <row r="3959" spans="8:11" x14ac:dyDescent="0.25">
      <c r="H3959">
        <v>30</v>
      </c>
      <c r="I3959">
        <v>651</v>
      </c>
      <c r="J3959">
        <v>115</v>
      </c>
      <c r="K3959" t="b">
        <v>1</v>
      </c>
    </row>
    <row r="3960" spans="8:11" x14ac:dyDescent="0.25">
      <c r="H3960">
        <v>30</v>
      </c>
      <c r="I3960">
        <v>672</v>
      </c>
      <c r="J3960">
        <v>115</v>
      </c>
      <c r="K3960" t="b">
        <v>1</v>
      </c>
    </row>
    <row r="3961" spans="8:11" x14ac:dyDescent="0.25">
      <c r="H3961">
        <v>30</v>
      </c>
      <c r="I3961">
        <v>693</v>
      </c>
      <c r="J3961">
        <v>115</v>
      </c>
      <c r="K3961" t="b">
        <v>1</v>
      </c>
    </row>
    <row r="3962" spans="8:11" x14ac:dyDescent="0.25">
      <c r="H3962">
        <v>30</v>
      </c>
      <c r="I3962">
        <v>714</v>
      </c>
      <c r="J3962">
        <v>115</v>
      </c>
      <c r="K3962" t="b">
        <v>1</v>
      </c>
    </row>
    <row r="3963" spans="8:11" x14ac:dyDescent="0.25">
      <c r="H3963">
        <v>30</v>
      </c>
      <c r="I3963">
        <v>735</v>
      </c>
      <c r="J3963">
        <v>115</v>
      </c>
      <c r="K3963" t="b">
        <v>1</v>
      </c>
    </row>
    <row r="3964" spans="8:11" x14ac:dyDescent="0.25">
      <c r="H3964">
        <v>30</v>
      </c>
      <c r="I3964">
        <v>756</v>
      </c>
      <c r="J3964">
        <v>115</v>
      </c>
      <c r="K3964" t="b">
        <v>1</v>
      </c>
    </row>
    <row r="3965" spans="8:11" x14ac:dyDescent="0.25">
      <c r="H3965">
        <v>30</v>
      </c>
      <c r="I3965">
        <v>777</v>
      </c>
      <c r="J3965">
        <v>115</v>
      </c>
      <c r="K3965" t="b">
        <v>1</v>
      </c>
    </row>
    <row r="3966" spans="8:11" x14ac:dyDescent="0.25">
      <c r="H3966">
        <v>30</v>
      </c>
      <c r="I3966">
        <v>798</v>
      </c>
      <c r="J3966">
        <v>115</v>
      </c>
      <c r="K3966" t="b">
        <v>1</v>
      </c>
    </row>
    <row r="3967" spans="8:11" x14ac:dyDescent="0.25">
      <c r="H3967">
        <v>30</v>
      </c>
      <c r="I3967">
        <v>819</v>
      </c>
      <c r="J3967">
        <v>115</v>
      </c>
      <c r="K3967" t="b">
        <v>1</v>
      </c>
    </row>
    <row r="3968" spans="8:11" x14ac:dyDescent="0.25">
      <c r="H3968">
        <v>30</v>
      </c>
      <c r="I3968">
        <v>840</v>
      </c>
      <c r="J3968">
        <v>115</v>
      </c>
      <c r="K3968" t="b">
        <v>1</v>
      </c>
    </row>
    <row r="3969" spans="8:11" x14ac:dyDescent="0.25">
      <c r="H3969">
        <v>30</v>
      </c>
      <c r="I3969">
        <v>861</v>
      </c>
      <c r="J3969">
        <v>115</v>
      </c>
      <c r="K3969" t="b">
        <v>1</v>
      </c>
    </row>
    <row r="3970" spans="8:11" x14ac:dyDescent="0.25">
      <c r="H3970">
        <v>30</v>
      </c>
      <c r="I3970">
        <v>882</v>
      </c>
      <c r="J3970">
        <v>115</v>
      </c>
      <c r="K3970" t="b">
        <v>1</v>
      </c>
    </row>
    <row r="3971" spans="8:11" x14ac:dyDescent="0.25">
      <c r="H3971">
        <v>30</v>
      </c>
      <c r="I3971">
        <v>903</v>
      </c>
      <c r="J3971">
        <v>115</v>
      </c>
      <c r="K3971" t="b">
        <v>1</v>
      </c>
    </row>
    <row r="3972" spans="8:11" x14ac:dyDescent="0.25">
      <c r="H3972">
        <v>30</v>
      </c>
      <c r="I3972">
        <v>924</v>
      </c>
      <c r="J3972">
        <v>115</v>
      </c>
      <c r="K3972" t="b">
        <v>1</v>
      </c>
    </row>
    <row r="3973" spans="8:11" x14ac:dyDescent="0.25">
      <c r="H3973">
        <v>31</v>
      </c>
      <c r="I3973">
        <v>0</v>
      </c>
      <c r="J3973">
        <v>115</v>
      </c>
      <c r="K3973" t="b">
        <v>1</v>
      </c>
    </row>
    <row r="3974" spans="8:11" x14ac:dyDescent="0.25">
      <c r="H3974">
        <v>31</v>
      </c>
      <c r="I3974">
        <v>6</v>
      </c>
      <c r="J3974">
        <v>115</v>
      </c>
      <c r="K3974" t="b">
        <v>1</v>
      </c>
    </row>
    <row r="3975" spans="8:11" x14ac:dyDescent="0.25">
      <c r="H3975">
        <v>31</v>
      </c>
      <c r="I3975">
        <v>12</v>
      </c>
      <c r="J3975">
        <v>115</v>
      </c>
      <c r="K3975" t="b">
        <v>1</v>
      </c>
    </row>
    <row r="3976" spans="8:11" x14ac:dyDescent="0.25">
      <c r="H3976">
        <v>31</v>
      </c>
      <c r="I3976">
        <v>18</v>
      </c>
      <c r="J3976">
        <v>115</v>
      </c>
      <c r="K3976" t="b">
        <v>1</v>
      </c>
    </row>
    <row r="3977" spans="8:11" x14ac:dyDescent="0.25">
      <c r="H3977">
        <v>31</v>
      </c>
      <c r="I3977">
        <v>24</v>
      </c>
      <c r="J3977">
        <v>115</v>
      </c>
      <c r="K3977" t="b">
        <v>1</v>
      </c>
    </row>
    <row r="3978" spans="8:11" x14ac:dyDescent="0.25">
      <c r="H3978">
        <v>31</v>
      </c>
      <c r="I3978">
        <v>30</v>
      </c>
      <c r="J3978">
        <v>115</v>
      </c>
      <c r="K3978" t="b">
        <v>1</v>
      </c>
    </row>
    <row r="3979" spans="8:11" x14ac:dyDescent="0.25">
      <c r="H3979">
        <v>31</v>
      </c>
      <c r="I3979">
        <v>36</v>
      </c>
      <c r="J3979">
        <v>115</v>
      </c>
      <c r="K3979" t="b">
        <v>1</v>
      </c>
    </row>
    <row r="3980" spans="8:11" x14ac:dyDescent="0.25">
      <c r="H3980">
        <v>31</v>
      </c>
      <c r="I3980">
        <v>42</v>
      </c>
      <c r="J3980">
        <v>115</v>
      </c>
      <c r="K3980" t="b">
        <v>1</v>
      </c>
    </row>
    <row r="3981" spans="8:11" x14ac:dyDescent="0.25">
      <c r="H3981">
        <v>31</v>
      </c>
      <c r="I3981">
        <v>48</v>
      </c>
      <c r="J3981">
        <v>115</v>
      </c>
      <c r="K3981" t="b">
        <v>1</v>
      </c>
    </row>
    <row r="3982" spans="8:11" x14ac:dyDescent="0.25">
      <c r="H3982">
        <v>31</v>
      </c>
      <c r="I3982">
        <v>54</v>
      </c>
      <c r="J3982">
        <v>115</v>
      </c>
      <c r="K3982" t="b">
        <v>1</v>
      </c>
    </row>
    <row r="3983" spans="8:11" x14ac:dyDescent="0.25">
      <c r="H3983">
        <v>31</v>
      </c>
      <c r="I3983">
        <v>60</v>
      </c>
      <c r="J3983">
        <v>115</v>
      </c>
      <c r="K3983" t="b">
        <v>1</v>
      </c>
    </row>
    <row r="3984" spans="8:11" x14ac:dyDescent="0.25">
      <c r="H3984">
        <v>31</v>
      </c>
      <c r="I3984">
        <v>66</v>
      </c>
      <c r="J3984">
        <v>115</v>
      </c>
      <c r="K3984" t="b">
        <v>1</v>
      </c>
    </row>
    <row r="3985" spans="8:11" x14ac:dyDescent="0.25">
      <c r="H3985">
        <v>31</v>
      </c>
      <c r="I3985">
        <v>72</v>
      </c>
      <c r="J3985">
        <v>115</v>
      </c>
      <c r="K3985" t="b">
        <v>1</v>
      </c>
    </row>
    <row r="3986" spans="8:11" x14ac:dyDescent="0.25">
      <c r="H3986">
        <v>31</v>
      </c>
      <c r="I3986">
        <v>78</v>
      </c>
      <c r="J3986">
        <v>115</v>
      </c>
      <c r="K3986" t="b">
        <v>1</v>
      </c>
    </row>
    <row r="3987" spans="8:11" x14ac:dyDescent="0.25">
      <c r="H3987">
        <v>31</v>
      </c>
      <c r="I3987">
        <v>84</v>
      </c>
      <c r="J3987">
        <v>115</v>
      </c>
      <c r="K3987" t="b">
        <v>1</v>
      </c>
    </row>
    <row r="3988" spans="8:11" x14ac:dyDescent="0.25">
      <c r="H3988">
        <v>31</v>
      </c>
      <c r="I3988">
        <v>90</v>
      </c>
      <c r="J3988">
        <v>115</v>
      </c>
      <c r="K3988" t="b">
        <v>1</v>
      </c>
    </row>
    <row r="3989" spans="8:11" x14ac:dyDescent="0.25">
      <c r="H3989">
        <v>31</v>
      </c>
      <c r="I3989">
        <v>96</v>
      </c>
      <c r="J3989">
        <v>115</v>
      </c>
      <c r="K3989" t="b">
        <v>1</v>
      </c>
    </row>
    <row r="3990" spans="8:11" x14ac:dyDescent="0.25">
      <c r="H3990">
        <v>31</v>
      </c>
      <c r="I3990">
        <v>102</v>
      </c>
      <c r="J3990">
        <v>115</v>
      </c>
      <c r="K3990" t="b">
        <v>1</v>
      </c>
    </row>
    <row r="3991" spans="8:11" x14ac:dyDescent="0.25">
      <c r="H3991">
        <v>31</v>
      </c>
      <c r="I3991">
        <v>108</v>
      </c>
      <c r="J3991">
        <v>115</v>
      </c>
      <c r="K3991" t="b">
        <v>1</v>
      </c>
    </row>
    <row r="3992" spans="8:11" x14ac:dyDescent="0.25">
      <c r="H3992">
        <v>31</v>
      </c>
      <c r="I3992">
        <v>114</v>
      </c>
      <c r="J3992">
        <v>115</v>
      </c>
      <c r="K3992" t="b">
        <v>1</v>
      </c>
    </row>
    <row r="3993" spans="8:11" x14ac:dyDescent="0.25">
      <c r="H3993">
        <v>31</v>
      </c>
      <c r="I3993">
        <v>120</v>
      </c>
      <c r="J3993">
        <v>115</v>
      </c>
      <c r="K3993" t="b">
        <v>1</v>
      </c>
    </row>
    <row r="3994" spans="8:11" x14ac:dyDescent="0.25">
      <c r="H3994">
        <v>31</v>
      </c>
      <c r="I3994">
        <v>126</v>
      </c>
      <c r="J3994">
        <v>115</v>
      </c>
      <c r="K3994" t="b">
        <v>1</v>
      </c>
    </row>
    <row r="3995" spans="8:11" x14ac:dyDescent="0.25">
      <c r="H3995">
        <v>31</v>
      </c>
      <c r="I3995">
        <v>132</v>
      </c>
      <c r="J3995">
        <v>115</v>
      </c>
      <c r="K3995" t="b">
        <v>1</v>
      </c>
    </row>
    <row r="3996" spans="8:11" x14ac:dyDescent="0.25">
      <c r="H3996">
        <v>31</v>
      </c>
      <c r="I3996">
        <v>138</v>
      </c>
      <c r="J3996">
        <v>115</v>
      </c>
      <c r="K3996" t="b">
        <v>1</v>
      </c>
    </row>
    <row r="3997" spans="8:11" x14ac:dyDescent="0.25">
      <c r="H3997">
        <v>31</v>
      </c>
      <c r="I3997">
        <v>144</v>
      </c>
      <c r="J3997">
        <v>115</v>
      </c>
      <c r="K3997" t="b">
        <v>1</v>
      </c>
    </row>
    <row r="3998" spans="8:11" x14ac:dyDescent="0.25">
      <c r="H3998">
        <v>31</v>
      </c>
      <c r="I3998">
        <v>150</v>
      </c>
      <c r="J3998">
        <v>115</v>
      </c>
      <c r="K3998" t="b">
        <v>1</v>
      </c>
    </row>
    <row r="3999" spans="8:11" x14ac:dyDescent="0.25">
      <c r="H3999">
        <v>31</v>
      </c>
      <c r="I3999">
        <v>156</v>
      </c>
      <c r="J3999">
        <v>115</v>
      </c>
      <c r="K3999" t="b">
        <v>1</v>
      </c>
    </row>
    <row r="4000" spans="8:11" x14ac:dyDescent="0.25">
      <c r="H4000">
        <v>31</v>
      </c>
      <c r="I4000">
        <v>162</v>
      </c>
      <c r="J4000">
        <v>115</v>
      </c>
      <c r="K4000" t="b">
        <v>1</v>
      </c>
    </row>
    <row r="4001" spans="8:11" x14ac:dyDescent="0.25">
      <c r="H4001">
        <v>31</v>
      </c>
      <c r="I4001">
        <v>168</v>
      </c>
      <c r="J4001">
        <v>115</v>
      </c>
      <c r="K4001" t="b">
        <v>1</v>
      </c>
    </row>
    <row r="4002" spans="8:11" x14ac:dyDescent="0.25">
      <c r="H4002">
        <v>31</v>
      </c>
      <c r="I4002">
        <v>174</v>
      </c>
      <c r="J4002">
        <v>115</v>
      </c>
      <c r="K4002" t="b">
        <v>1</v>
      </c>
    </row>
    <row r="4003" spans="8:11" x14ac:dyDescent="0.25">
      <c r="H4003">
        <v>31</v>
      </c>
      <c r="I4003">
        <v>180</v>
      </c>
      <c r="J4003">
        <v>115</v>
      </c>
      <c r="K4003" t="b">
        <v>1</v>
      </c>
    </row>
    <row r="4004" spans="8:11" x14ac:dyDescent="0.25">
      <c r="H4004">
        <v>31</v>
      </c>
      <c r="I4004">
        <v>186</v>
      </c>
      <c r="J4004">
        <v>115</v>
      </c>
      <c r="K4004" t="b">
        <v>1</v>
      </c>
    </row>
    <row r="4005" spans="8:11" x14ac:dyDescent="0.25">
      <c r="H4005">
        <v>31</v>
      </c>
      <c r="I4005">
        <v>192</v>
      </c>
      <c r="J4005">
        <v>115</v>
      </c>
      <c r="K4005" t="b">
        <v>1</v>
      </c>
    </row>
    <row r="4006" spans="8:11" x14ac:dyDescent="0.25">
      <c r="H4006">
        <v>31</v>
      </c>
      <c r="I4006">
        <v>198</v>
      </c>
      <c r="J4006">
        <v>115</v>
      </c>
      <c r="K4006" t="b">
        <v>1</v>
      </c>
    </row>
    <row r="4007" spans="8:11" x14ac:dyDescent="0.25">
      <c r="H4007">
        <v>31</v>
      </c>
      <c r="I4007">
        <v>204</v>
      </c>
      <c r="J4007">
        <v>115</v>
      </c>
      <c r="K4007" t="b">
        <v>1</v>
      </c>
    </row>
    <row r="4008" spans="8:11" x14ac:dyDescent="0.25">
      <c r="H4008">
        <v>31</v>
      </c>
      <c r="I4008">
        <v>210</v>
      </c>
      <c r="J4008">
        <v>115</v>
      </c>
      <c r="K4008" t="b">
        <v>1</v>
      </c>
    </row>
    <row r="4009" spans="8:11" x14ac:dyDescent="0.25">
      <c r="H4009">
        <v>31</v>
      </c>
      <c r="I4009">
        <v>216</v>
      </c>
      <c r="J4009">
        <v>115</v>
      </c>
      <c r="K4009" t="b">
        <v>1</v>
      </c>
    </row>
    <row r="4010" spans="8:11" x14ac:dyDescent="0.25">
      <c r="H4010">
        <v>31</v>
      </c>
      <c r="I4010">
        <v>222</v>
      </c>
      <c r="J4010">
        <v>115</v>
      </c>
      <c r="K4010" t="b">
        <v>1</v>
      </c>
    </row>
    <row r="4011" spans="8:11" x14ac:dyDescent="0.25">
      <c r="H4011">
        <v>31</v>
      </c>
      <c r="I4011">
        <v>228</v>
      </c>
      <c r="J4011">
        <v>115</v>
      </c>
      <c r="K4011" t="b">
        <v>1</v>
      </c>
    </row>
    <row r="4012" spans="8:11" x14ac:dyDescent="0.25">
      <c r="H4012">
        <v>31</v>
      </c>
      <c r="I4012">
        <v>234</v>
      </c>
      <c r="J4012">
        <v>115</v>
      </c>
      <c r="K4012" t="b">
        <v>1</v>
      </c>
    </row>
    <row r="4013" spans="8:11" x14ac:dyDescent="0.25">
      <c r="H4013">
        <v>31</v>
      </c>
      <c r="I4013">
        <v>240</v>
      </c>
      <c r="J4013">
        <v>115</v>
      </c>
      <c r="K4013" t="b">
        <v>1</v>
      </c>
    </row>
    <row r="4014" spans="8:11" x14ac:dyDescent="0.25">
      <c r="H4014">
        <v>31</v>
      </c>
      <c r="I4014">
        <v>246</v>
      </c>
      <c r="J4014">
        <v>115</v>
      </c>
      <c r="K4014" t="b">
        <v>1</v>
      </c>
    </row>
    <row r="4015" spans="8:11" x14ac:dyDescent="0.25">
      <c r="H4015">
        <v>31</v>
      </c>
      <c r="I4015">
        <v>252</v>
      </c>
      <c r="J4015">
        <v>115</v>
      </c>
      <c r="K4015" t="b">
        <v>1</v>
      </c>
    </row>
    <row r="4016" spans="8:11" x14ac:dyDescent="0.25">
      <c r="H4016">
        <v>31</v>
      </c>
      <c r="I4016">
        <v>258</v>
      </c>
      <c r="J4016">
        <v>115</v>
      </c>
      <c r="K4016" t="b">
        <v>1</v>
      </c>
    </row>
    <row r="4017" spans="8:11" x14ac:dyDescent="0.25">
      <c r="H4017">
        <v>31</v>
      </c>
      <c r="I4017">
        <v>264</v>
      </c>
      <c r="J4017">
        <v>115</v>
      </c>
      <c r="K4017" t="b">
        <v>1</v>
      </c>
    </row>
    <row r="4018" spans="8:11" x14ac:dyDescent="0.25">
      <c r="H4018">
        <v>31</v>
      </c>
      <c r="I4018">
        <v>270</v>
      </c>
      <c r="J4018">
        <v>115</v>
      </c>
      <c r="K4018" t="b">
        <v>1</v>
      </c>
    </row>
    <row r="4019" spans="8:11" x14ac:dyDescent="0.25">
      <c r="H4019">
        <v>31</v>
      </c>
      <c r="I4019">
        <v>276</v>
      </c>
      <c r="J4019">
        <v>115</v>
      </c>
      <c r="K4019" t="b">
        <v>1</v>
      </c>
    </row>
    <row r="4020" spans="8:11" x14ac:dyDescent="0.25">
      <c r="H4020">
        <v>31</v>
      </c>
      <c r="I4020">
        <v>282</v>
      </c>
      <c r="J4020">
        <v>115</v>
      </c>
      <c r="K4020" t="b">
        <v>1</v>
      </c>
    </row>
    <row r="4021" spans="8:11" x14ac:dyDescent="0.25">
      <c r="H4021">
        <v>31</v>
      </c>
      <c r="I4021">
        <v>288</v>
      </c>
      <c r="J4021">
        <v>115</v>
      </c>
      <c r="K4021" t="b">
        <v>1</v>
      </c>
    </row>
    <row r="4022" spans="8:11" x14ac:dyDescent="0.25">
      <c r="H4022">
        <v>31</v>
      </c>
      <c r="I4022">
        <v>294</v>
      </c>
      <c r="J4022">
        <v>115</v>
      </c>
      <c r="K4022" t="b">
        <v>1</v>
      </c>
    </row>
    <row r="4023" spans="8:11" x14ac:dyDescent="0.25">
      <c r="H4023">
        <v>31</v>
      </c>
      <c r="I4023">
        <v>300</v>
      </c>
      <c r="J4023">
        <v>115</v>
      </c>
      <c r="K4023" t="b">
        <v>1</v>
      </c>
    </row>
    <row r="4024" spans="8:11" x14ac:dyDescent="0.25">
      <c r="H4024">
        <v>31</v>
      </c>
      <c r="I4024">
        <v>306</v>
      </c>
      <c r="J4024">
        <v>115</v>
      </c>
      <c r="K4024" t="b">
        <v>1</v>
      </c>
    </row>
    <row r="4025" spans="8:11" x14ac:dyDescent="0.25">
      <c r="H4025">
        <v>31</v>
      </c>
      <c r="I4025">
        <v>312</v>
      </c>
      <c r="J4025">
        <v>115</v>
      </c>
      <c r="K4025" t="b">
        <v>1</v>
      </c>
    </row>
    <row r="4026" spans="8:11" x14ac:dyDescent="0.25">
      <c r="H4026">
        <v>31</v>
      </c>
      <c r="I4026">
        <v>318</v>
      </c>
      <c r="J4026">
        <v>115</v>
      </c>
      <c r="K4026" t="b">
        <v>1</v>
      </c>
    </row>
    <row r="4027" spans="8:11" x14ac:dyDescent="0.25">
      <c r="H4027">
        <v>31</v>
      </c>
      <c r="I4027">
        <v>324</v>
      </c>
      <c r="J4027">
        <v>115</v>
      </c>
      <c r="K4027" t="b">
        <v>1</v>
      </c>
    </row>
    <row r="4028" spans="8:11" x14ac:dyDescent="0.25">
      <c r="H4028">
        <v>31</v>
      </c>
      <c r="I4028">
        <v>330</v>
      </c>
      <c r="J4028">
        <v>115</v>
      </c>
      <c r="K4028" t="b">
        <v>1</v>
      </c>
    </row>
    <row r="4029" spans="8:11" x14ac:dyDescent="0.25">
      <c r="H4029">
        <v>31</v>
      </c>
      <c r="I4029">
        <v>336</v>
      </c>
      <c r="J4029">
        <v>115</v>
      </c>
      <c r="K4029" t="b">
        <v>1</v>
      </c>
    </row>
    <row r="4030" spans="8:11" x14ac:dyDescent="0.25">
      <c r="H4030">
        <v>31</v>
      </c>
      <c r="I4030">
        <v>342</v>
      </c>
      <c r="J4030">
        <v>115</v>
      </c>
      <c r="K4030" t="b">
        <v>1</v>
      </c>
    </row>
    <row r="4031" spans="8:11" x14ac:dyDescent="0.25">
      <c r="H4031">
        <v>31</v>
      </c>
      <c r="I4031">
        <v>348</v>
      </c>
      <c r="J4031">
        <v>115</v>
      </c>
      <c r="K4031" t="b">
        <v>1</v>
      </c>
    </row>
    <row r="4032" spans="8:11" x14ac:dyDescent="0.25">
      <c r="H4032">
        <v>31</v>
      </c>
      <c r="I4032">
        <v>354</v>
      </c>
      <c r="J4032">
        <v>115</v>
      </c>
      <c r="K4032" t="b">
        <v>1</v>
      </c>
    </row>
    <row r="4033" spans="8:11" x14ac:dyDescent="0.25">
      <c r="H4033">
        <v>31</v>
      </c>
      <c r="I4033">
        <v>360</v>
      </c>
      <c r="J4033">
        <v>115</v>
      </c>
      <c r="K4033" t="b">
        <v>1</v>
      </c>
    </row>
    <row r="4034" spans="8:11" x14ac:dyDescent="0.25">
      <c r="H4034">
        <v>31</v>
      </c>
      <c r="I4034">
        <v>366</v>
      </c>
      <c r="J4034">
        <v>115</v>
      </c>
      <c r="K4034" t="b">
        <v>1</v>
      </c>
    </row>
    <row r="4035" spans="8:11" x14ac:dyDescent="0.25">
      <c r="H4035">
        <v>31</v>
      </c>
      <c r="I4035">
        <v>372</v>
      </c>
      <c r="J4035">
        <v>115</v>
      </c>
      <c r="K4035" t="b">
        <v>1</v>
      </c>
    </row>
    <row r="4036" spans="8:11" x14ac:dyDescent="0.25">
      <c r="H4036">
        <v>31</v>
      </c>
      <c r="I4036">
        <v>378</v>
      </c>
      <c r="J4036">
        <v>115</v>
      </c>
      <c r="K4036" t="b">
        <v>1</v>
      </c>
    </row>
    <row r="4037" spans="8:11" x14ac:dyDescent="0.25">
      <c r="H4037">
        <v>31</v>
      </c>
      <c r="I4037">
        <v>384</v>
      </c>
      <c r="J4037">
        <v>115</v>
      </c>
      <c r="K4037" t="b">
        <v>1</v>
      </c>
    </row>
    <row r="4038" spans="8:11" x14ac:dyDescent="0.25">
      <c r="H4038">
        <v>31</v>
      </c>
      <c r="I4038">
        <v>390</v>
      </c>
      <c r="J4038">
        <v>115</v>
      </c>
      <c r="K4038" t="b">
        <v>1</v>
      </c>
    </row>
    <row r="4039" spans="8:11" x14ac:dyDescent="0.25">
      <c r="H4039">
        <v>31</v>
      </c>
      <c r="I4039">
        <v>396</v>
      </c>
      <c r="J4039">
        <v>115</v>
      </c>
      <c r="K4039" t="b">
        <v>1</v>
      </c>
    </row>
    <row r="4040" spans="8:11" x14ac:dyDescent="0.25">
      <c r="H4040">
        <v>31</v>
      </c>
      <c r="I4040">
        <v>402</v>
      </c>
      <c r="J4040">
        <v>115</v>
      </c>
      <c r="K4040" t="b">
        <v>1</v>
      </c>
    </row>
    <row r="4041" spans="8:11" x14ac:dyDescent="0.25">
      <c r="H4041">
        <v>31</v>
      </c>
      <c r="I4041">
        <v>408</v>
      </c>
      <c r="J4041">
        <v>115</v>
      </c>
      <c r="K4041" t="b">
        <v>1</v>
      </c>
    </row>
    <row r="4042" spans="8:11" x14ac:dyDescent="0.25">
      <c r="H4042">
        <v>31</v>
      </c>
      <c r="I4042">
        <v>414</v>
      </c>
      <c r="J4042">
        <v>115</v>
      </c>
      <c r="K4042" t="b">
        <v>1</v>
      </c>
    </row>
    <row r="4043" spans="8:11" x14ac:dyDescent="0.25">
      <c r="H4043">
        <v>31</v>
      </c>
      <c r="I4043">
        <v>420</v>
      </c>
      <c r="J4043">
        <v>115</v>
      </c>
      <c r="K4043" t="b">
        <v>1</v>
      </c>
    </row>
    <row r="4044" spans="8:11" x14ac:dyDescent="0.25">
      <c r="H4044">
        <v>31</v>
      </c>
      <c r="I4044">
        <v>426</v>
      </c>
      <c r="J4044">
        <v>115</v>
      </c>
      <c r="K4044" t="b">
        <v>1</v>
      </c>
    </row>
    <row r="4045" spans="8:11" x14ac:dyDescent="0.25">
      <c r="H4045">
        <v>31</v>
      </c>
      <c r="I4045">
        <v>432</v>
      </c>
      <c r="J4045">
        <v>115</v>
      </c>
      <c r="K4045" t="b">
        <v>1</v>
      </c>
    </row>
    <row r="4046" spans="8:11" x14ac:dyDescent="0.25">
      <c r="H4046">
        <v>31</v>
      </c>
      <c r="I4046">
        <v>438</v>
      </c>
      <c r="J4046">
        <v>115</v>
      </c>
      <c r="K4046" t="b">
        <v>1</v>
      </c>
    </row>
    <row r="4047" spans="8:11" x14ac:dyDescent="0.25">
      <c r="H4047">
        <v>31</v>
      </c>
      <c r="I4047">
        <v>444</v>
      </c>
      <c r="J4047">
        <v>115</v>
      </c>
      <c r="K4047" t="b">
        <v>1</v>
      </c>
    </row>
    <row r="4048" spans="8:11" x14ac:dyDescent="0.25">
      <c r="H4048">
        <v>31</v>
      </c>
      <c r="I4048">
        <v>450</v>
      </c>
      <c r="J4048">
        <v>115</v>
      </c>
      <c r="K4048" t="b">
        <v>1</v>
      </c>
    </row>
    <row r="4049" spans="8:11" x14ac:dyDescent="0.25">
      <c r="H4049">
        <v>31</v>
      </c>
      <c r="I4049">
        <v>456</v>
      </c>
      <c r="J4049">
        <v>115</v>
      </c>
      <c r="K4049" t="b">
        <v>1</v>
      </c>
    </row>
    <row r="4050" spans="8:11" x14ac:dyDescent="0.25">
      <c r="H4050">
        <v>31</v>
      </c>
      <c r="I4050">
        <v>462</v>
      </c>
      <c r="J4050">
        <v>115</v>
      </c>
      <c r="K4050" t="b">
        <v>1</v>
      </c>
    </row>
    <row r="4051" spans="8:11" x14ac:dyDescent="0.25">
      <c r="H4051">
        <v>31</v>
      </c>
      <c r="I4051">
        <v>468</v>
      </c>
      <c r="J4051">
        <v>115</v>
      </c>
      <c r="K4051" t="b">
        <v>1</v>
      </c>
    </row>
    <row r="4052" spans="8:11" x14ac:dyDescent="0.25">
      <c r="H4052">
        <v>31</v>
      </c>
      <c r="I4052">
        <v>474</v>
      </c>
      <c r="J4052">
        <v>115</v>
      </c>
      <c r="K4052" t="b">
        <v>1</v>
      </c>
    </row>
    <row r="4053" spans="8:11" x14ac:dyDescent="0.25">
      <c r="H4053">
        <v>31</v>
      </c>
      <c r="I4053">
        <v>480</v>
      </c>
      <c r="J4053">
        <v>115</v>
      </c>
      <c r="K4053" t="b">
        <v>1</v>
      </c>
    </row>
    <row r="4054" spans="8:11" x14ac:dyDescent="0.25">
      <c r="H4054">
        <v>31</v>
      </c>
      <c r="I4054">
        <v>486</v>
      </c>
      <c r="J4054">
        <v>115</v>
      </c>
      <c r="K4054" t="b">
        <v>1</v>
      </c>
    </row>
    <row r="4055" spans="8:11" x14ac:dyDescent="0.25">
      <c r="H4055">
        <v>31</v>
      </c>
      <c r="I4055">
        <v>492</v>
      </c>
      <c r="J4055">
        <v>115</v>
      </c>
      <c r="K4055" t="b">
        <v>1</v>
      </c>
    </row>
    <row r="4056" spans="8:11" x14ac:dyDescent="0.25">
      <c r="H4056">
        <v>31</v>
      </c>
      <c r="I4056">
        <v>498</v>
      </c>
      <c r="J4056">
        <v>115</v>
      </c>
      <c r="K4056" t="b">
        <v>1</v>
      </c>
    </row>
    <row r="4057" spans="8:11" x14ac:dyDescent="0.25">
      <c r="H4057">
        <v>31</v>
      </c>
      <c r="I4057">
        <v>504</v>
      </c>
      <c r="J4057">
        <v>115</v>
      </c>
      <c r="K4057" t="b">
        <v>1</v>
      </c>
    </row>
    <row r="4058" spans="8:11" x14ac:dyDescent="0.25">
      <c r="H4058">
        <v>31</v>
      </c>
      <c r="I4058">
        <v>510</v>
      </c>
      <c r="J4058">
        <v>115</v>
      </c>
      <c r="K4058" t="b">
        <v>1</v>
      </c>
    </row>
    <row r="4059" spans="8:11" x14ac:dyDescent="0.25">
      <c r="H4059">
        <v>31</v>
      </c>
      <c r="I4059">
        <v>516</v>
      </c>
      <c r="J4059">
        <v>115</v>
      </c>
      <c r="K4059" t="b">
        <v>1</v>
      </c>
    </row>
    <row r="4060" spans="8:11" x14ac:dyDescent="0.25">
      <c r="H4060">
        <v>31</v>
      </c>
      <c r="I4060">
        <v>522</v>
      </c>
      <c r="J4060">
        <v>115</v>
      </c>
      <c r="K4060" t="b">
        <v>1</v>
      </c>
    </row>
    <row r="4061" spans="8:11" x14ac:dyDescent="0.25">
      <c r="H4061">
        <v>31</v>
      </c>
      <c r="I4061">
        <v>528</v>
      </c>
      <c r="J4061">
        <v>115</v>
      </c>
      <c r="K4061" t="b">
        <v>1</v>
      </c>
    </row>
    <row r="4062" spans="8:11" x14ac:dyDescent="0.25">
      <c r="H4062">
        <v>31</v>
      </c>
      <c r="I4062">
        <v>534</v>
      </c>
      <c r="J4062">
        <v>115</v>
      </c>
      <c r="K4062" t="b">
        <v>1</v>
      </c>
    </row>
    <row r="4063" spans="8:11" x14ac:dyDescent="0.25">
      <c r="H4063">
        <v>31</v>
      </c>
      <c r="I4063">
        <v>540</v>
      </c>
      <c r="J4063">
        <v>115</v>
      </c>
      <c r="K4063" t="b">
        <v>1</v>
      </c>
    </row>
    <row r="4064" spans="8:11" x14ac:dyDescent="0.25">
      <c r="H4064">
        <v>31</v>
      </c>
      <c r="I4064">
        <v>546</v>
      </c>
      <c r="J4064">
        <v>115</v>
      </c>
      <c r="K4064" t="b">
        <v>1</v>
      </c>
    </row>
    <row r="4065" spans="8:11" x14ac:dyDescent="0.25">
      <c r="H4065">
        <v>31</v>
      </c>
      <c r="I4065">
        <v>552</v>
      </c>
      <c r="J4065">
        <v>115</v>
      </c>
      <c r="K4065" t="b">
        <v>1</v>
      </c>
    </row>
    <row r="4066" spans="8:11" x14ac:dyDescent="0.25">
      <c r="H4066">
        <v>31</v>
      </c>
      <c r="I4066">
        <v>558</v>
      </c>
      <c r="J4066">
        <v>115</v>
      </c>
      <c r="K4066" t="b">
        <v>1</v>
      </c>
    </row>
    <row r="4067" spans="8:11" x14ac:dyDescent="0.25">
      <c r="H4067">
        <v>31</v>
      </c>
      <c r="I4067">
        <v>564</v>
      </c>
      <c r="J4067">
        <v>115</v>
      </c>
      <c r="K4067" t="b">
        <v>1</v>
      </c>
    </row>
    <row r="4068" spans="8:11" x14ac:dyDescent="0.25">
      <c r="H4068">
        <v>31</v>
      </c>
      <c r="I4068">
        <v>570</v>
      </c>
      <c r="J4068">
        <v>115</v>
      </c>
      <c r="K4068" t="b">
        <v>1</v>
      </c>
    </row>
    <row r="4069" spans="8:11" x14ac:dyDescent="0.25">
      <c r="H4069">
        <v>31</v>
      </c>
      <c r="I4069">
        <v>576</v>
      </c>
      <c r="J4069">
        <v>115</v>
      </c>
      <c r="K4069" t="b">
        <v>1</v>
      </c>
    </row>
    <row r="4070" spans="8:11" x14ac:dyDescent="0.25">
      <c r="H4070">
        <v>31</v>
      </c>
      <c r="I4070">
        <v>582</v>
      </c>
      <c r="J4070">
        <v>115</v>
      </c>
      <c r="K4070" t="b">
        <v>1</v>
      </c>
    </row>
    <row r="4071" spans="8:11" x14ac:dyDescent="0.25">
      <c r="H4071">
        <v>31</v>
      </c>
      <c r="I4071">
        <v>588</v>
      </c>
      <c r="J4071">
        <v>115</v>
      </c>
      <c r="K4071" t="b">
        <v>1</v>
      </c>
    </row>
    <row r="4072" spans="8:11" x14ac:dyDescent="0.25">
      <c r="H4072">
        <v>31</v>
      </c>
      <c r="I4072">
        <v>594</v>
      </c>
      <c r="J4072">
        <v>115</v>
      </c>
      <c r="K4072" t="b">
        <v>1</v>
      </c>
    </row>
    <row r="4073" spans="8:11" x14ac:dyDescent="0.25">
      <c r="H4073">
        <v>31</v>
      </c>
      <c r="I4073">
        <v>600</v>
      </c>
      <c r="J4073">
        <v>115</v>
      </c>
      <c r="K4073" t="b">
        <v>1</v>
      </c>
    </row>
    <row r="4074" spans="8:11" x14ac:dyDescent="0.25">
      <c r="H4074">
        <v>31</v>
      </c>
      <c r="I4074">
        <v>606</v>
      </c>
      <c r="J4074">
        <v>115</v>
      </c>
      <c r="K4074" t="b">
        <v>1</v>
      </c>
    </row>
    <row r="4075" spans="8:11" x14ac:dyDescent="0.25">
      <c r="H4075">
        <v>31</v>
      </c>
      <c r="I4075">
        <v>612</v>
      </c>
      <c r="J4075">
        <v>115</v>
      </c>
      <c r="K4075" t="b">
        <v>1</v>
      </c>
    </row>
    <row r="4076" spans="8:11" x14ac:dyDescent="0.25">
      <c r="H4076">
        <v>31</v>
      </c>
      <c r="I4076">
        <v>618</v>
      </c>
      <c r="J4076">
        <v>115</v>
      </c>
      <c r="K4076" t="b">
        <v>1</v>
      </c>
    </row>
    <row r="4077" spans="8:11" x14ac:dyDescent="0.25">
      <c r="H4077">
        <v>31</v>
      </c>
      <c r="I4077">
        <v>624</v>
      </c>
      <c r="J4077">
        <v>115</v>
      </c>
      <c r="K4077" t="b">
        <v>1</v>
      </c>
    </row>
    <row r="4078" spans="8:11" x14ac:dyDescent="0.25">
      <c r="H4078">
        <v>31</v>
      </c>
      <c r="I4078">
        <v>630</v>
      </c>
      <c r="J4078">
        <v>115</v>
      </c>
      <c r="K4078" t="b">
        <v>1</v>
      </c>
    </row>
    <row r="4079" spans="8:11" x14ac:dyDescent="0.25">
      <c r="H4079">
        <v>31</v>
      </c>
      <c r="I4079">
        <v>636</v>
      </c>
      <c r="J4079">
        <v>115</v>
      </c>
      <c r="K4079" t="b">
        <v>1</v>
      </c>
    </row>
    <row r="4080" spans="8:11" x14ac:dyDescent="0.25">
      <c r="H4080">
        <v>31</v>
      </c>
      <c r="I4080">
        <v>642</v>
      </c>
      <c r="J4080">
        <v>115</v>
      </c>
      <c r="K4080" t="b">
        <v>1</v>
      </c>
    </row>
    <row r="4081" spans="8:11" x14ac:dyDescent="0.25">
      <c r="H4081">
        <v>31</v>
      </c>
      <c r="I4081">
        <v>648</v>
      </c>
      <c r="J4081">
        <v>115</v>
      </c>
      <c r="K4081" t="b">
        <v>1</v>
      </c>
    </row>
    <row r="4082" spans="8:11" x14ac:dyDescent="0.25">
      <c r="H4082">
        <v>31</v>
      </c>
      <c r="I4082">
        <v>654</v>
      </c>
      <c r="J4082">
        <v>115</v>
      </c>
      <c r="K4082" t="b">
        <v>1</v>
      </c>
    </row>
    <row r="4083" spans="8:11" x14ac:dyDescent="0.25">
      <c r="H4083">
        <v>31</v>
      </c>
      <c r="I4083">
        <v>660</v>
      </c>
      <c r="J4083">
        <v>115</v>
      </c>
      <c r="K4083" t="b">
        <v>1</v>
      </c>
    </row>
    <row r="4084" spans="8:11" x14ac:dyDescent="0.25">
      <c r="H4084">
        <v>31</v>
      </c>
      <c r="I4084">
        <v>666</v>
      </c>
      <c r="J4084">
        <v>115</v>
      </c>
      <c r="K4084" t="b">
        <v>1</v>
      </c>
    </row>
    <row r="4085" spans="8:11" x14ac:dyDescent="0.25">
      <c r="H4085">
        <v>31</v>
      </c>
      <c r="I4085">
        <v>672</v>
      </c>
      <c r="J4085">
        <v>115</v>
      </c>
      <c r="K4085" t="b">
        <v>1</v>
      </c>
    </row>
    <row r="4086" spans="8:11" x14ac:dyDescent="0.25">
      <c r="H4086">
        <v>31</v>
      </c>
      <c r="I4086">
        <v>678</v>
      </c>
      <c r="J4086">
        <v>115</v>
      </c>
      <c r="K4086" t="b">
        <v>1</v>
      </c>
    </row>
    <row r="4087" spans="8:11" x14ac:dyDescent="0.25">
      <c r="H4087">
        <v>31</v>
      </c>
      <c r="I4087">
        <v>684</v>
      </c>
      <c r="J4087">
        <v>115</v>
      </c>
      <c r="K4087" t="b">
        <v>1</v>
      </c>
    </row>
    <row r="4088" spans="8:11" x14ac:dyDescent="0.25">
      <c r="H4088">
        <v>31</v>
      </c>
      <c r="I4088">
        <v>690</v>
      </c>
      <c r="J4088">
        <v>115</v>
      </c>
      <c r="K4088" t="b">
        <v>1</v>
      </c>
    </row>
    <row r="4089" spans="8:11" x14ac:dyDescent="0.25">
      <c r="H4089">
        <v>31</v>
      </c>
      <c r="I4089">
        <v>696</v>
      </c>
      <c r="J4089">
        <v>115</v>
      </c>
      <c r="K4089" t="b">
        <v>1</v>
      </c>
    </row>
    <row r="4090" spans="8:11" x14ac:dyDescent="0.25">
      <c r="H4090">
        <v>31</v>
      </c>
      <c r="I4090">
        <v>702</v>
      </c>
      <c r="J4090">
        <v>115</v>
      </c>
      <c r="K4090" t="b">
        <v>1</v>
      </c>
    </row>
    <row r="4091" spans="8:11" x14ac:dyDescent="0.25">
      <c r="H4091">
        <v>31</v>
      </c>
      <c r="I4091">
        <v>708</v>
      </c>
      <c r="J4091">
        <v>115</v>
      </c>
      <c r="K4091" t="b">
        <v>1</v>
      </c>
    </row>
    <row r="4092" spans="8:11" x14ac:dyDescent="0.25">
      <c r="H4092">
        <v>31</v>
      </c>
      <c r="I4092">
        <v>714</v>
      </c>
      <c r="J4092">
        <v>115</v>
      </c>
      <c r="K4092" t="b">
        <v>1</v>
      </c>
    </row>
    <row r="4093" spans="8:11" x14ac:dyDescent="0.25">
      <c r="H4093">
        <v>31</v>
      </c>
      <c r="I4093">
        <v>720</v>
      </c>
      <c r="J4093">
        <v>115</v>
      </c>
      <c r="K4093" t="b">
        <v>1</v>
      </c>
    </row>
    <row r="4094" spans="8:11" x14ac:dyDescent="0.25">
      <c r="H4094">
        <v>31</v>
      </c>
      <c r="I4094">
        <v>726</v>
      </c>
      <c r="J4094">
        <v>115</v>
      </c>
      <c r="K4094" t="b">
        <v>1</v>
      </c>
    </row>
    <row r="4095" spans="8:11" x14ac:dyDescent="0.25">
      <c r="H4095">
        <v>31</v>
      </c>
      <c r="I4095">
        <v>732</v>
      </c>
      <c r="J4095">
        <v>115</v>
      </c>
      <c r="K4095" t="b">
        <v>1</v>
      </c>
    </row>
    <row r="4096" spans="8:11" x14ac:dyDescent="0.25">
      <c r="H4096">
        <v>31</v>
      </c>
      <c r="I4096">
        <v>738</v>
      </c>
      <c r="J4096">
        <v>115</v>
      </c>
      <c r="K4096" t="b">
        <v>1</v>
      </c>
    </row>
    <row r="4097" spans="8:11" x14ac:dyDescent="0.25">
      <c r="H4097">
        <v>31</v>
      </c>
      <c r="I4097">
        <v>744</v>
      </c>
      <c r="J4097">
        <v>115</v>
      </c>
      <c r="K4097" t="b">
        <v>1</v>
      </c>
    </row>
    <row r="4098" spans="8:11" x14ac:dyDescent="0.25">
      <c r="H4098">
        <v>31</v>
      </c>
      <c r="I4098">
        <v>750</v>
      </c>
      <c r="J4098">
        <v>115</v>
      </c>
      <c r="K4098" t="b">
        <v>1</v>
      </c>
    </row>
    <row r="4099" spans="8:11" x14ac:dyDescent="0.25">
      <c r="H4099">
        <v>31</v>
      </c>
      <c r="I4099">
        <v>756</v>
      </c>
      <c r="J4099">
        <v>115</v>
      </c>
      <c r="K4099" t="b">
        <v>1</v>
      </c>
    </row>
    <row r="4100" spans="8:11" x14ac:dyDescent="0.25">
      <c r="H4100">
        <v>31</v>
      </c>
      <c r="I4100">
        <v>762</v>
      </c>
      <c r="J4100">
        <v>115</v>
      </c>
      <c r="K4100" t="b">
        <v>1</v>
      </c>
    </row>
    <row r="4101" spans="8:11" x14ac:dyDescent="0.25">
      <c r="H4101">
        <v>31</v>
      </c>
      <c r="I4101">
        <v>768</v>
      </c>
      <c r="J4101">
        <v>115</v>
      </c>
      <c r="K4101" t="b">
        <v>1</v>
      </c>
    </row>
    <row r="4102" spans="8:11" x14ac:dyDescent="0.25">
      <c r="H4102">
        <v>31</v>
      </c>
      <c r="I4102">
        <v>774</v>
      </c>
      <c r="J4102">
        <v>115</v>
      </c>
      <c r="K4102" t="b">
        <v>1</v>
      </c>
    </row>
    <row r="4103" spans="8:11" x14ac:dyDescent="0.25">
      <c r="H4103">
        <v>31</v>
      </c>
      <c r="I4103">
        <v>780</v>
      </c>
      <c r="J4103">
        <v>115</v>
      </c>
      <c r="K4103" t="b">
        <v>1</v>
      </c>
    </row>
    <row r="4104" spans="8:11" x14ac:dyDescent="0.25">
      <c r="H4104">
        <v>31</v>
      </c>
      <c r="I4104">
        <v>786</v>
      </c>
      <c r="J4104">
        <v>115</v>
      </c>
      <c r="K4104" t="b">
        <v>1</v>
      </c>
    </row>
    <row r="4105" spans="8:11" x14ac:dyDescent="0.25">
      <c r="H4105">
        <v>31</v>
      </c>
      <c r="I4105">
        <v>792</v>
      </c>
      <c r="J4105">
        <v>115</v>
      </c>
      <c r="K4105" t="b">
        <v>1</v>
      </c>
    </row>
    <row r="4106" spans="8:11" x14ac:dyDescent="0.25">
      <c r="H4106">
        <v>31</v>
      </c>
      <c r="I4106">
        <v>798</v>
      </c>
      <c r="J4106">
        <v>115</v>
      </c>
      <c r="K4106" t="b">
        <v>1</v>
      </c>
    </row>
    <row r="4107" spans="8:11" x14ac:dyDescent="0.25">
      <c r="H4107">
        <v>31</v>
      </c>
      <c r="I4107">
        <v>804</v>
      </c>
      <c r="J4107">
        <v>115</v>
      </c>
      <c r="K4107" t="b">
        <v>1</v>
      </c>
    </row>
    <row r="4108" spans="8:11" x14ac:dyDescent="0.25">
      <c r="H4108">
        <v>31</v>
      </c>
      <c r="I4108">
        <v>810</v>
      </c>
      <c r="J4108">
        <v>115</v>
      </c>
      <c r="K4108" t="b">
        <v>1</v>
      </c>
    </row>
    <row r="4109" spans="8:11" x14ac:dyDescent="0.25">
      <c r="H4109">
        <v>31</v>
      </c>
      <c r="I4109">
        <v>816</v>
      </c>
      <c r="J4109">
        <v>115</v>
      </c>
      <c r="K4109" t="b">
        <v>1</v>
      </c>
    </row>
    <row r="4110" spans="8:11" x14ac:dyDescent="0.25">
      <c r="H4110">
        <v>31</v>
      </c>
      <c r="I4110">
        <v>822</v>
      </c>
      <c r="J4110">
        <v>115</v>
      </c>
      <c r="K4110" t="b">
        <v>1</v>
      </c>
    </row>
    <row r="4111" spans="8:11" x14ac:dyDescent="0.25">
      <c r="H4111">
        <v>31</v>
      </c>
      <c r="I4111">
        <v>828</v>
      </c>
      <c r="J4111">
        <v>115</v>
      </c>
      <c r="K4111" t="b">
        <v>1</v>
      </c>
    </row>
    <row r="4112" spans="8:11" x14ac:dyDescent="0.25">
      <c r="H4112">
        <v>31</v>
      </c>
      <c r="I4112">
        <v>834</v>
      </c>
      <c r="J4112">
        <v>115</v>
      </c>
      <c r="K4112" t="b">
        <v>1</v>
      </c>
    </row>
    <row r="4113" spans="8:11" x14ac:dyDescent="0.25">
      <c r="H4113">
        <v>31</v>
      </c>
      <c r="I4113">
        <v>840</v>
      </c>
      <c r="J4113">
        <v>115</v>
      </c>
      <c r="K4113" t="b">
        <v>1</v>
      </c>
    </row>
    <row r="4114" spans="8:11" x14ac:dyDescent="0.25">
      <c r="H4114">
        <v>31</v>
      </c>
      <c r="I4114">
        <v>846</v>
      </c>
      <c r="J4114">
        <v>115</v>
      </c>
      <c r="K4114" t="b">
        <v>1</v>
      </c>
    </row>
    <row r="4115" spans="8:11" x14ac:dyDescent="0.25">
      <c r="H4115">
        <v>31</v>
      </c>
      <c r="I4115">
        <v>852</v>
      </c>
      <c r="J4115">
        <v>115</v>
      </c>
      <c r="K4115" t="b">
        <v>1</v>
      </c>
    </row>
    <row r="4116" spans="8:11" x14ac:dyDescent="0.25">
      <c r="H4116">
        <v>31</v>
      </c>
      <c r="I4116">
        <v>858</v>
      </c>
      <c r="J4116">
        <v>115</v>
      </c>
      <c r="K4116" t="b">
        <v>1</v>
      </c>
    </row>
    <row r="4117" spans="8:11" x14ac:dyDescent="0.25">
      <c r="H4117">
        <v>31</v>
      </c>
      <c r="I4117">
        <v>864</v>
      </c>
      <c r="J4117">
        <v>115</v>
      </c>
      <c r="K4117" t="b">
        <v>1</v>
      </c>
    </row>
    <row r="4118" spans="8:11" x14ac:dyDescent="0.25">
      <c r="H4118">
        <v>31</v>
      </c>
      <c r="I4118">
        <v>870</v>
      </c>
      <c r="J4118">
        <v>115</v>
      </c>
      <c r="K4118" t="b">
        <v>1</v>
      </c>
    </row>
    <row r="4119" spans="8:11" x14ac:dyDescent="0.25">
      <c r="H4119">
        <v>31</v>
      </c>
      <c r="I4119">
        <v>876</v>
      </c>
      <c r="J4119">
        <v>115</v>
      </c>
      <c r="K4119" t="b">
        <v>1</v>
      </c>
    </row>
    <row r="4120" spans="8:11" x14ac:dyDescent="0.25">
      <c r="H4120">
        <v>31</v>
      </c>
      <c r="I4120">
        <v>882</v>
      </c>
      <c r="J4120">
        <v>115</v>
      </c>
      <c r="K4120" t="b">
        <v>1</v>
      </c>
    </row>
    <row r="4121" spans="8:11" x14ac:dyDescent="0.25">
      <c r="H4121">
        <v>31</v>
      </c>
      <c r="I4121">
        <v>888</v>
      </c>
      <c r="J4121">
        <v>115</v>
      </c>
      <c r="K4121" t="b">
        <v>1</v>
      </c>
    </row>
    <row r="4122" spans="8:11" x14ac:dyDescent="0.25">
      <c r="H4122">
        <v>31</v>
      </c>
      <c r="I4122">
        <v>894</v>
      </c>
      <c r="J4122">
        <v>115</v>
      </c>
      <c r="K4122" t="b">
        <v>1</v>
      </c>
    </row>
    <row r="4123" spans="8:11" x14ac:dyDescent="0.25">
      <c r="H4123">
        <v>31</v>
      </c>
      <c r="I4123">
        <v>900</v>
      </c>
      <c r="J4123">
        <v>115</v>
      </c>
      <c r="K4123" t="b">
        <v>1</v>
      </c>
    </row>
    <row r="4124" spans="8:11" x14ac:dyDescent="0.25">
      <c r="H4124">
        <v>31</v>
      </c>
      <c r="I4124">
        <v>906</v>
      </c>
      <c r="J4124">
        <v>115</v>
      </c>
      <c r="K4124" t="b">
        <v>1</v>
      </c>
    </row>
    <row r="4125" spans="8:11" x14ac:dyDescent="0.25">
      <c r="H4125">
        <v>31</v>
      </c>
      <c r="I4125">
        <v>912</v>
      </c>
      <c r="J4125">
        <v>115</v>
      </c>
      <c r="K4125" t="b">
        <v>1</v>
      </c>
    </row>
    <row r="4126" spans="8:11" x14ac:dyDescent="0.25">
      <c r="H4126">
        <v>31</v>
      </c>
      <c r="I4126">
        <v>918</v>
      </c>
      <c r="J4126">
        <v>115</v>
      </c>
      <c r="K4126" t="b">
        <v>1</v>
      </c>
    </row>
    <row r="4127" spans="8:11" x14ac:dyDescent="0.25">
      <c r="H4127">
        <v>31</v>
      </c>
      <c r="I4127">
        <v>924</v>
      </c>
      <c r="J4127">
        <v>115</v>
      </c>
      <c r="K4127" t="b">
        <v>1</v>
      </c>
    </row>
    <row r="4128" spans="8:11" x14ac:dyDescent="0.25">
      <c r="H4128">
        <v>31</v>
      </c>
      <c r="I4128">
        <v>930</v>
      </c>
      <c r="J4128">
        <v>115</v>
      </c>
      <c r="K4128" t="b">
        <v>1</v>
      </c>
    </row>
    <row r="4129" spans="8:11" x14ac:dyDescent="0.25">
      <c r="H4129">
        <v>31</v>
      </c>
      <c r="I4129">
        <v>936</v>
      </c>
      <c r="J4129">
        <v>115</v>
      </c>
      <c r="K4129" t="b">
        <v>1</v>
      </c>
    </row>
    <row r="4130" spans="8:11" x14ac:dyDescent="0.25">
      <c r="H4130">
        <v>31</v>
      </c>
      <c r="I4130">
        <v>942</v>
      </c>
      <c r="J4130">
        <v>115</v>
      </c>
      <c r="K4130" t="b">
        <v>1</v>
      </c>
    </row>
    <row r="4131" spans="8:11" x14ac:dyDescent="0.25">
      <c r="H4131">
        <v>31</v>
      </c>
      <c r="I4131">
        <v>948</v>
      </c>
      <c r="J4131">
        <v>115</v>
      </c>
      <c r="K4131" t="b">
        <v>1</v>
      </c>
    </row>
    <row r="4132" spans="8:11" x14ac:dyDescent="0.25">
      <c r="H4132">
        <v>31</v>
      </c>
      <c r="I4132">
        <v>954</v>
      </c>
      <c r="J4132">
        <v>115</v>
      </c>
      <c r="K4132" t="b">
        <v>1</v>
      </c>
    </row>
    <row r="4133" spans="8:11" x14ac:dyDescent="0.25">
      <c r="H4133">
        <v>32</v>
      </c>
      <c r="I4133">
        <v>0</v>
      </c>
      <c r="J4133">
        <v>115</v>
      </c>
      <c r="K4133" t="b">
        <v>1</v>
      </c>
    </row>
    <row r="4134" spans="8:11" x14ac:dyDescent="0.25">
      <c r="H4134">
        <v>32</v>
      </c>
      <c r="I4134">
        <v>6</v>
      </c>
      <c r="J4134">
        <v>115</v>
      </c>
      <c r="K4134" t="b">
        <v>1</v>
      </c>
    </row>
    <row r="4135" spans="8:11" x14ac:dyDescent="0.25">
      <c r="H4135">
        <v>32</v>
      </c>
      <c r="I4135">
        <v>12</v>
      </c>
      <c r="J4135">
        <v>115</v>
      </c>
      <c r="K4135" t="b">
        <v>1</v>
      </c>
    </row>
    <row r="4136" spans="8:11" x14ac:dyDescent="0.25">
      <c r="H4136">
        <v>32</v>
      </c>
      <c r="I4136">
        <v>18</v>
      </c>
      <c r="J4136">
        <v>115</v>
      </c>
      <c r="K4136" t="b">
        <v>1</v>
      </c>
    </row>
    <row r="4137" spans="8:11" x14ac:dyDescent="0.25">
      <c r="H4137">
        <v>32</v>
      </c>
      <c r="I4137">
        <v>24</v>
      </c>
      <c r="J4137">
        <v>115</v>
      </c>
      <c r="K4137" t="b">
        <v>1</v>
      </c>
    </row>
    <row r="4138" spans="8:11" x14ac:dyDescent="0.25">
      <c r="H4138">
        <v>32</v>
      </c>
      <c r="I4138">
        <v>30</v>
      </c>
      <c r="J4138">
        <v>115</v>
      </c>
      <c r="K4138" t="b">
        <v>1</v>
      </c>
    </row>
    <row r="4139" spans="8:11" x14ac:dyDescent="0.25">
      <c r="H4139">
        <v>32</v>
      </c>
      <c r="I4139">
        <v>36</v>
      </c>
      <c r="J4139">
        <v>115</v>
      </c>
      <c r="K4139" t="b">
        <v>1</v>
      </c>
    </row>
    <row r="4140" spans="8:11" x14ac:dyDescent="0.25">
      <c r="H4140">
        <v>32</v>
      </c>
      <c r="I4140">
        <v>42</v>
      </c>
      <c r="J4140">
        <v>115</v>
      </c>
      <c r="K4140" t="b">
        <v>1</v>
      </c>
    </row>
    <row r="4141" spans="8:11" x14ac:dyDescent="0.25">
      <c r="H4141">
        <v>32</v>
      </c>
      <c r="I4141">
        <v>48</v>
      </c>
      <c r="J4141">
        <v>115</v>
      </c>
      <c r="K4141" t="b">
        <v>1</v>
      </c>
    </row>
    <row r="4142" spans="8:11" x14ac:dyDescent="0.25">
      <c r="H4142">
        <v>32</v>
      </c>
      <c r="I4142">
        <v>54</v>
      </c>
      <c r="J4142">
        <v>115</v>
      </c>
      <c r="K4142" t="b">
        <v>1</v>
      </c>
    </row>
    <row r="4143" spans="8:11" x14ac:dyDescent="0.25">
      <c r="H4143">
        <v>32</v>
      </c>
      <c r="I4143">
        <v>60</v>
      </c>
      <c r="J4143">
        <v>115</v>
      </c>
      <c r="K4143" t="b">
        <v>1</v>
      </c>
    </row>
    <row r="4144" spans="8:11" x14ac:dyDescent="0.25">
      <c r="H4144">
        <v>32</v>
      </c>
      <c r="I4144">
        <v>66</v>
      </c>
      <c r="J4144">
        <v>115</v>
      </c>
      <c r="K4144" t="b">
        <v>1</v>
      </c>
    </row>
    <row r="4145" spans="8:11" x14ac:dyDescent="0.25">
      <c r="H4145">
        <v>32</v>
      </c>
      <c r="I4145">
        <v>72</v>
      </c>
      <c r="J4145">
        <v>115</v>
      </c>
      <c r="K4145" t="b">
        <v>1</v>
      </c>
    </row>
    <row r="4146" spans="8:11" x14ac:dyDescent="0.25">
      <c r="H4146">
        <v>32</v>
      </c>
      <c r="I4146">
        <v>78</v>
      </c>
      <c r="J4146">
        <v>115</v>
      </c>
      <c r="K4146" t="b">
        <v>1</v>
      </c>
    </row>
    <row r="4147" spans="8:11" x14ac:dyDescent="0.25">
      <c r="H4147">
        <v>32</v>
      </c>
      <c r="I4147">
        <v>84</v>
      </c>
      <c r="J4147">
        <v>115</v>
      </c>
      <c r="K4147" t="b">
        <v>1</v>
      </c>
    </row>
    <row r="4148" spans="8:11" x14ac:dyDescent="0.25">
      <c r="H4148">
        <v>32</v>
      </c>
      <c r="I4148">
        <v>90</v>
      </c>
      <c r="J4148">
        <v>115</v>
      </c>
      <c r="K4148" t="b">
        <v>1</v>
      </c>
    </row>
    <row r="4149" spans="8:11" x14ac:dyDescent="0.25">
      <c r="H4149">
        <v>32</v>
      </c>
      <c r="I4149">
        <v>96</v>
      </c>
      <c r="J4149">
        <v>115</v>
      </c>
      <c r="K4149" t="b">
        <v>1</v>
      </c>
    </row>
    <row r="4150" spans="8:11" x14ac:dyDescent="0.25">
      <c r="H4150">
        <v>32</v>
      </c>
      <c r="I4150">
        <v>102</v>
      </c>
      <c r="J4150">
        <v>115</v>
      </c>
      <c r="K4150" t="b">
        <v>1</v>
      </c>
    </row>
    <row r="4151" spans="8:11" x14ac:dyDescent="0.25">
      <c r="H4151">
        <v>32</v>
      </c>
      <c r="I4151">
        <v>108</v>
      </c>
      <c r="J4151">
        <v>115</v>
      </c>
      <c r="K4151" t="b">
        <v>1</v>
      </c>
    </row>
    <row r="4152" spans="8:11" x14ac:dyDescent="0.25">
      <c r="H4152">
        <v>32</v>
      </c>
      <c r="I4152">
        <v>114</v>
      </c>
      <c r="J4152">
        <v>115</v>
      </c>
      <c r="K4152" t="b">
        <v>1</v>
      </c>
    </row>
    <row r="4153" spans="8:11" x14ac:dyDescent="0.25">
      <c r="H4153">
        <v>32</v>
      </c>
      <c r="I4153">
        <v>120</v>
      </c>
      <c r="J4153">
        <v>115</v>
      </c>
      <c r="K4153" t="b">
        <v>1</v>
      </c>
    </row>
    <row r="4154" spans="8:11" x14ac:dyDescent="0.25">
      <c r="H4154">
        <v>32</v>
      </c>
      <c r="I4154">
        <v>126</v>
      </c>
      <c r="J4154">
        <v>115</v>
      </c>
      <c r="K4154" t="b">
        <v>1</v>
      </c>
    </row>
    <row r="4155" spans="8:11" x14ac:dyDescent="0.25">
      <c r="H4155">
        <v>32</v>
      </c>
      <c r="I4155">
        <v>132</v>
      </c>
      <c r="J4155">
        <v>115</v>
      </c>
      <c r="K4155" t="b">
        <v>1</v>
      </c>
    </row>
    <row r="4156" spans="8:11" x14ac:dyDescent="0.25">
      <c r="H4156">
        <v>32</v>
      </c>
      <c r="I4156">
        <v>138</v>
      </c>
      <c r="J4156">
        <v>115</v>
      </c>
      <c r="K4156" t="b">
        <v>1</v>
      </c>
    </row>
    <row r="4157" spans="8:11" x14ac:dyDescent="0.25">
      <c r="H4157">
        <v>32</v>
      </c>
      <c r="I4157">
        <v>144</v>
      </c>
      <c r="J4157">
        <v>115</v>
      </c>
      <c r="K4157" t="b">
        <v>1</v>
      </c>
    </row>
    <row r="4158" spans="8:11" x14ac:dyDescent="0.25">
      <c r="H4158">
        <v>32</v>
      </c>
      <c r="I4158">
        <v>150</v>
      </c>
      <c r="J4158">
        <v>115</v>
      </c>
      <c r="K4158" t="b">
        <v>1</v>
      </c>
    </row>
    <row r="4159" spans="8:11" x14ac:dyDescent="0.25">
      <c r="H4159">
        <v>32</v>
      </c>
      <c r="I4159">
        <v>156</v>
      </c>
      <c r="J4159">
        <v>115</v>
      </c>
      <c r="K4159" t="b">
        <v>1</v>
      </c>
    </row>
    <row r="4160" spans="8:11" x14ac:dyDescent="0.25">
      <c r="H4160">
        <v>32</v>
      </c>
      <c r="I4160">
        <v>162</v>
      </c>
      <c r="J4160">
        <v>115</v>
      </c>
      <c r="K4160" t="b">
        <v>1</v>
      </c>
    </row>
    <row r="4161" spans="8:11" x14ac:dyDescent="0.25">
      <c r="H4161">
        <v>32</v>
      </c>
      <c r="I4161">
        <v>168</v>
      </c>
      <c r="J4161">
        <v>115</v>
      </c>
      <c r="K4161" t="b">
        <v>1</v>
      </c>
    </row>
    <row r="4162" spans="8:11" x14ac:dyDescent="0.25">
      <c r="H4162">
        <v>32</v>
      </c>
      <c r="I4162">
        <v>174</v>
      </c>
      <c r="J4162">
        <v>115</v>
      </c>
      <c r="K4162" t="b">
        <v>1</v>
      </c>
    </row>
    <row r="4163" spans="8:11" x14ac:dyDescent="0.25">
      <c r="H4163">
        <v>32</v>
      </c>
      <c r="I4163">
        <v>180</v>
      </c>
      <c r="J4163">
        <v>115</v>
      </c>
      <c r="K4163" t="b">
        <v>1</v>
      </c>
    </row>
    <row r="4164" spans="8:11" x14ac:dyDescent="0.25">
      <c r="H4164">
        <v>32</v>
      </c>
      <c r="I4164">
        <v>186</v>
      </c>
      <c r="J4164">
        <v>115</v>
      </c>
      <c r="K4164" t="b">
        <v>1</v>
      </c>
    </row>
    <row r="4165" spans="8:11" x14ac:dyDescent="0.25">
      <c r="H4165">
        <v>32</v>
      </c>
      <c r="I4165">
        <v>192</v>
      </c>
      <c r="J4165">
        <v>115</v>
      </c>
      <c r="K4165" t="b">
        <v>1</v>
      </c>
    </row>
    <row r="4166" spans="8:11" x14ac:dyDescent="0.25">
      <c r="H4166">
        <v>32</v>
      </c>
      <c r="I4166">
        <v>198</v>
      </c>
      <c r="J4166">
        <v>115</v>
      </c>
      <c r="K4166" t="b">
        <v>1</v>
      </c>
    </row>
    <row r="4167" spans="8:11" x14ac:dyDescent="0.25">
      <c r="H4167">
        <v>32</v>
      </c>
      <c r="I4167">
        <v>204</v>
      </c>
      <c r="J4167">
        <v>115</v>
      </c>
      <c r="K4167" t="b">
        <v>1</v>
      </c>
    </row>
    <row r="4168" spans="8:11" x14ac:dyDescent="0.25">
      <c r="H4168">
        <v>32</v>
      </c>
      <c r="I4168">
        <v>210</v>
      </c>
      <c r="J4168">
        <v>115</v>
      </c>
      <c r="K4168" t="b">
        <v>1</v>
      </c>
    </row>
    <row r="4169" spans="8:11" x14ac:dyDescent="0.25">
      <c r="H4169">
        <v>32</v>
      </c>
      <c r="I4169">
        <v>216</v>
      </c>
      <c r="J4169">
        <v>115</v>
      </c>
      <c r="K4169" t="b">
        <v>1</v>
      </c>
    </row>
    <row r="4170" spans="8:11" x14ac:dyDescent="0.25">
      <c r="H4170">
        <v>32</v>
      </c>
      <c r="I4170">
        <v>222</v>
      </c>
      <c r="J4170">
        <v>115</v>
      </c>
      <c r="K4170" t="b">
        <v>1</v>
      </c>
    </row>
    <row r="4171" spans="8:11" x14ac:dyDescent="0.25">
      <c r="H4171">
        <v>32</v>
      </c>
      <c r="I4171">
        <v>228</v>
      </c>
      <c r="J4171">
        <v>115</v>
      </c>
      <c r="K4171" t="b">
        <v>1</v>
      </c>
    </row>
    <row r="4172" spans="8:11" x14ac:dyDescent="0.25">
      <c r="H4172">
        <v>32</v>
      </c>
      <c r="I4172">
        <v>234</v>
      </c>
      <c r="J4172">
        <v>115</v>
      </c>
      <c r="K4172" t="b">
        <v>1</v>
      </c>
    </row>
    <row r="4173" spans="8:11" x14ac:dyDescent="0.25">
      <c r="H4173">
        <v>32</v>
      </c>
      <c r="I4173">
        <v>240</v>
      </c>
      <c r="J4173">
        <v>115</v>
      </c>
      <c r="K4173" t="b">
        <v>1</v>
      </c>
    </row>
    <row r="4174" spans="8:11" x14ac:dyDescent="0.25">
      <c r="H4174">
        <v>32</v>
      </c>
      <c r="I4174">
        <v>246</v>
      </c>
      <c r="J4174">
        <v>115</v>
      </c>
      <c r="K4174" t="b">
        <v>1</v>
      </c>
    </row>
    <row r="4175" spans="8:11" x14ac:dyDescent="0.25">
      <c r="H4175">
        <v>32</v>
      </c>
      <c r="I4175">
        <v>252</v>
      </c>
      <c r="J4175">
        <v>115</v>
      </c>
      <c r="K4175" t="b">
        <v>1</v>
      </c>
    </row>
    <row r="4176" spans="8:11" x14ac:dyDescent="0.25">
      <c r="H4176">
        <v>32</v>
      </c>
      <c r="I4176">
        <v>258</v>
      </c>
      <c r="J4176">
        <v>115</v>
      </c>
      <c r="K4176" t="b">
        <v>1</v>
      </c>
    </row>
    <row r="4177" spans="8:11" x14ac:dyDescent="0.25">
      <c r="H4177">
        <v>32</v>
      </c>
      <c r="I4177">
        <v>264</v>
      </c>
      <c r="J4177">
        <v>115</v>
      </c>
      <c r="K4177" t="b">
        <v>1</v>
      </c>
    </row>
    <row r="4178" spans="8:11" x14ac:dyDescent="0.25">
      <c r="H4178">
        <v>32</v>
      </c>
      <c r="I4178">
        <v>270</v>
      </c>
      <c r="J4178">
        <v>115</v>
      </c>
      <c r="K4178" t="b">
        <v>1</v>
      </c>
    </row>
    <row r="4179" spans="8:11" x14ac:dyDescent="0.25">
      <c r="H4179">
        <v>32</v>
      </c>
      <c r="I4179">
        <v>276</v>
      </c>
      <c r="J4179">
        <v>115</v>
      </c>
      <c r="K4179" t="b">
        <v>1</v>
      </c>
    </row>
    <row r="4180" spans="8:11" x14ac:dyDescent="0.25">
      <c r="H4180">
        <v>32</v>
      </c>
      <c r="I4180">
        <v>282</v>
      </c>
      <c r="J4180">
        <v>115</v>
      </c>
      <c r="K4180" t="b">
        <v>1</v>
      </c>
    </row>
    <row r="4181" spans="8:11" x14ac:dyDescent="0.25">
      <c r="H4181">
        <v>32</v>
      </c>
      <c r="I4181">
        <v>288</v>
      </c>
      <c r="J4181">
        <v>115</v>
      </c>
      <c r="K4181" t="b">
        <v>1</v>
      </c>
    </row>
    <row r="4182" spans="8:11" x14ac:dyDescent="0.25">
      <c r="H4182">
        <v>32</v>
      </c>
      <c r="I4182">
        <v>294</v>
      </c>
      <c r="J4182">
        <v>115</v>
      </c>
      <c r="K4182" t="b">
        <v>1</v>
      </c>
    </row>
    <row r="4183" spans="8:11" x14ac:dyDescent="0.25">
      <c r="H4183">
        <v>32</v>
      </c>
      <c r="I4183">
        <v>300</v>
      </c>
      <c r="J4183">
        <v>115</v>
      </c>
      <c r="K4183" t="b">
        <v>1</v>
      </c>
    </row>
    <row r="4184" spans="8:11" x14ac:dyDescent="0.25">
      <c r="H4184">
        <v>32</v>
      </c>
      <c r="I4184">
        <v>306</v>
      </c>
      <c r="J4184">
        <v>115</v>
      </c>
      <c r="K4184" t="b">
        <v>1</v>
      </c>
    </row>
    <row r="4185" spans="8:11" x14ac:dyDescent="0.25">
      <c r="H4185">
        <v>32</v>
      </c>
      <c r="I4185">
        <v>312</v>
      </c>
      <c r="J4185">
        <v>115</v>
      </c>
      <c r="K4185" t="b">
        <v>1</v>
      </c>
    </row>
    <row r="4186" spans="8:11" x14ac:dyDescent="0.25">
      <c r="H4186">
        <v>32</v>
      </c>
      <c r="I4186">
        <v>318</v>
      </c>
      <c r="J4186">
        <v>115</v>
      </c>
      <c r="K4186" t="b">
        <v>1</v>
      </c>
    </row>
    <row r="4187" spans="8:11" x14ac:dyDescent="0.25">
      <c r="H4187">
        <v>32</v>
      </c>
      <c r="I4187">
        <v>324</v>
      </c>
      <c r="J4187">
        <v>115</v>
      </c>
      <c r="K4187" t="b">
        <v>1</v>
      </c>
    </row>
    <row r="4188" spans="8:11" x14ac:dyDescent="0.25">
      <c r="H4188">
        <v>32</v>
      </c>
      <c r="I4188">
        <v>330</v>
      </c>
      <c r="J4188">
        <v>115</v>
      </c>
      <c r="K4188" t="b">
        <v>1</v>
      </c>
    </row>
    <row r="4189" spans="8:11" x14ac:dyDescent="0.25">
      <c r="H4189">
        <v>32</v>
      </c>
      <c r="I4189">
        <v>336</v>
      </c>
      <c r="J4189">
        <v>115</v>
      </c>
      <c r="K4189" t="b">
        <v>1</v>
      </c>
    </row>
    <row r="4190" spans="8:11" x14ac:dyDescent="0.25">
      <c r="H4190">
        <v>32</v>
      </c>
      <c r="I4190">
        <v>342</v>
      </c>
      <c r="J4190">
        <v>115</v>
      </c>
      <c r="K4190" t="b">
        <v>1</v>
      </c>
    </row>
    <row r="4191" spans="8:11" x14ac:dyDescent="0.25">
      <c r="H4191">
        <v>32</v>
      </c>
      <c r="I4191">
        <v>348</v>
      </c>
      <c r="J4191">
        <v>115</v>
      </c>
      <c r="K4191" t="b">
        <v>1</v>
      </c>
    </row>
    <row r="4192" spans="8:11" x14ac:dyDescent="0.25">
      <c r="H4192">
        <v>32</v>
      </c>
      <c r="I4192">
        <v>354</v>
      </c>
      <c r="J4192">
        <v>115</v>
      </c>
      <c r="K4192" t="b">
        <v>1</v>
      </c>
    </row>
    <row r="4193" spans="8:11" x14ac:dyDescent="0.25">
      <c r="H4193">
        <v>32</v>
      </c>
      <c r="I4193">
        <v>360</v>
      </c>
      <c r="J4193">
        <v>115</v>
      </c>
      <c r="K4193" t="b">
        <v>1</v>
      </c>
    </row>
    <row r="4194" spans="8:11" x14ac:dyDescent="0.25">
      <c r="H4194">
        <v>32</v>
      </c>
      <c r="I4194">
        <v>366</v>
      </c>
      <c r="J4194">
        <v>115</v>
      </c>
      <c r="K4194" t="b">
        <v>1</v>
      </c>
    </row>
    <row r="4195" spans="8:11" x14ac:dyDescent="0.25">
      <c r="H4195">
        <v>32</v>
      </c>
      <c r="I4195">
        <v>372</v>
      </c>
      <c r="J4195">
        <v>115</v>
      </c>
      <c r="K4195" t="b">
        <v>1</v>
      </c>
    </row>
    <row r="4196" spans="8:11" x14ac:dyDescent="0.25">
      <c r="H4196">
        <v>32</v>
      </c>
      <c r="I4196">
        <v>378</v>
      </c>
      <c r="J4196">
        <v>115</v>
      </c>
      <c r="K4196" t="b">
        <v>1</v>
      </c>
    </row>
    <row r="4197" spans="8:11" x14ac:dyDescent="0.25">
      <c r="H4197">
        <v>32</v>
      </c>
      <c r="I4197">
        <v>384</v>
      </c>
      <c r="J4197">
        <v>115</v>
      </c>
      <c r="K4197" t="b">
        <v>1</v>
      </c>
    </row>
    <row r="4198" spans="8:11" x14ac:dyDescent="0.25">
      <c r="H4198">
        <v>32</v>
      </c>
      <c r="I4198">
        <v>390</v>
      </c>
      <c r="J4198">
        <v>115</v>
      </c>
      <c r="K4198" t="b">
        <v>1</v>
      </c>
    </row>
    <row r="4199" spans="8:11" x14ac:dyDescent="0.25">
      <c r="H4199">
        <v>32</v>
      </c>
      <c r="I4199">
        <v>396</v>
      </c>
      <c r="J4199">
        <v>115</v>
      </c>
      <c r="K4199" t="b">
        <v>1</v>
      </c>
    </row>
    <row r="4200" spans="8:11" x14ac:dyDescent="0.25">
      <c r="H4200">
        <v>32</v>
      </c>
      <c r="I4200">
        <v>402</v>
      </c>
      <c r="J4200">
        <v>115</v>
      </c>
      <c r="K4200" t="b">
        <v>1</v>
      </c>
    </row>
    <row r="4201" spans="8:11" x14ac:dyDescent="0.25">
      <c r="H4201">
        <v>32</v>
      </c>
      <c r="I4201">
        <v>408</v>
      </c>
      <c r="J4201">
        <v>115</v>
      </c>
      <c r="K4201" t="b">
        <v>1</v>
      </c>
    </row>
    <row r="4202" spans="8:11" x14ac:dyDescent="0.25">
      <c r="H4202">
        <v>32</v>
      </c>
      <c r="I4202">
        <v>414</v>
      </c>
      <c r="J4202">
        <v>115</v>
      </c>
      <c r="K4202" t="b">
        <v>1</v>
      </c>
    </row>
    <row r="4203" spans="8:11" x14ac:dyDescent="0.25">
      <c r="H4203">
        <v>32</v>
      </c>
      <c r="I4203">
        <v>420</v>
      </c>
      <c r="J4203">
        <v>115</v>
      </c>
      <c r="K4203" t="b">
        <v>1</v>
      </c>
    </row>
    <row r="4204" spans="8:11" x14ac:dyDescent="0.25">
      <c r="H4204">
        <v>32</v>
      </c>
      <c r="I4204">
        <v>426</v>
      </c>
      <c r="J4204">
        <v>115</v>
      </c>
      <c r="K4204" t="b">
        <v>1</v>
      </c>
    </row>
    <row r="4205" spans="8:11" x14ac:dyDescent="0.25">
      <c r="H4205">
        <v>32</v>
      </c>
      <c r="I4205">
        <v>432</v>
      </c>
      <c r="J4205">
        <v>115</v>
      </c>
      <c r="K4205" t="b">
        <v>1</v>
      </c>
    </row>
    <row r="4206" spans="8:11" x14ac:dyDescent="0.25">
      <c r="H4206">
        <v>32</v>
      </c>
      <c r="I4206">
        <v>438</v>
      </c>
      <c r="J4206">
        <v>115</v>
      </c>
      <c r="K4206" t="b">
        <v>1</v>
      </c>
    </row>
    <row r="4207" spans="8:11" x14ac:dyDescent="0.25">
      <c r="H4207">
        <v>32</v>
      </c>
      <c r="I4207">
        <v>444</v>
      </c>
      <c r="J4207">
        <v>115</v>
      </c>
      <c r="K4207" t="b">
        <v>1</v>
      </c>
    </row>
    <row r="4208" spans="8:11" x14ac:dyDescent="0.25">
      <c r="H4208">
        <v>32</v>
      </c>
      <c r="I4208">
        <v>450</v>
      </c>
      <c r="J4208">
        <v>115</v>
      </c>
      <c r="K4208" t="b">
        <v>1</v>
      </c>
    </row>
    <row r="4209" spans="8:11" x14ac:dyDescent="0.25">
      <c r="H4209">
        <v>32</v>
      </c>
      <c r="I4209">
        <v>456</v>
      </c>
      <c r="J4209">
        <v>115</v>
      </c>
      <c r="K4209" t="b">
        <v>1</v>
      </c>
    </row>
    <row r="4210" spans="8:11" x14ac:dyDescent="0.25">
      <c r="H4210">
        <v>32</v>
      </c>
      <c r="I4210">
        <v>462</v>
      </c>
      <c r="J4210">
        <v>115</v>
      </c>
      <c r="K4210" t="b">
        <v>1</v>
      </c>
    </row>
    <row r="4211" spans="8:11" x14ac:dyDescent="0.25">
      <c r="H4211">
        <v>32</v>
      </c>
      <c r="I4211">
        <v>468</v>
      </c>
      <c r="J4211">
        <v>115</v>
      </c>
      <c r="K4211" t="b">
        <v>1</v>
      </c>
    </row>
    <row r="4212" spans="8:11" x14ac:dyDescent="0.25">
      <c r="H4212">
        <v>32</v>
      </c>
      <c r="I4212">
        <v>474</v>
      </c>
      <c r="J4212">
        <v>115</v>
      </c>
      <c r="K4212" t="b">
        <v>1</v>
      </c>
    </row>
    <row r="4213" spans="8:11" x14ac:dyDescent="0.25">
      <c r="H4213">
        <v>32</v>
      </c>
      <c r="I4213">
        <v>480</v>
      </c>
      <c r="J4213">
        <v>115</v>
      </c>
      <c r="K4213" t="b">
        <v>1</v>
      </c>
    </row>
    <row r="4214" spans="8:11" x14ac:dyDescent="0.25">
      <c r="H4214">
        <v>32</v>
      </c>
      <c r="I4214">
        <v>486</v>
      </c>
      <c r="J4214">
        <v>115</v>
      </c>
      <c r="K4214" t="b">
        <v>1</v>
      </c>
    </row>
    <row r="4215" spans="8:11" x14ac:dyDescent="0.25">
      <c r="H4215">
        <v>32</v>
      </c>
      <c r="I4215">
        <v>492</v>
      </c>
      <c r="J4215">
        <v>115</v>
      </c>
      <c r="K4215" t="b">
        <v>1</v>
      </c>
    </row>
    <row r="4216" spans="8:11" x14ac:dyDescent="0.25">
      <c r="H4216">
        <v>32</v>
      </c>
      <c r="I4216">
        <v>498</v>
      </c>
      <c r="J4216">
        <v>115</v>
      </c>
      <c r="K4216" t="b">
        <v>1</v>
      </c>
    </row>
    <row r="4217" spans="8:11" x14ac:dyDescent="0.25">
      <c r="H4217">
        <v>32</v>
      </c>
      <c r="I4217">
        <v>504</v>
      </c>
      <c r="J4217">
        <v>115</v>
      </c>
      <c r="K4217" t="b">
        <v>1</v>
      </c>
    </row>
    <row r="4218" spans="8:11" x14ac:dyDescent="0.25">
      <c r="H4218">
        <v>32</v>
      </c>
      <c r="I4218">
        <v>510</v>
      </c>
      <c r="J4218">
        <v>115</v>
      </c>
      <c r="K4218" t="b">
        <v>1</v>
      </c>
    </row>
    <row r="4219" spans="8:11" x14ac:dyDescent="0.25">
      <c r="H4219">
        <v>32</v>
      </c>
      <c r="I4219">
        <v>516</v>
      </c>
      <c r="J4219">
        <v>115</v>
      </c>
      <c r="K4219" t="b">
        <v>1</v>
      </c>
    </row>
    <row r="4220" spans="8:11" x14ac:dyDescent="0.25">
      <c r="H4220">
        <v>32</v>
      </c>
      <c r="I4220">
        <v>522</v>
      </c>
      <c r="J4220">
        <v>115</v>
      </c>
      <c r="K4220" t="b">
        <v>1</v>
      </c>
    </row>
    <row r="4221" spans="8:11" x14ac:dyDescent="0.25">
      <c r="H4221">
        <v>32</v>
      </c>
      <c r="I4221">
        <v>528</v>
      </c>
      <c r="J4221">
        <v>115</v>
      </c>
      <c r="K4221" t="b">
        <v>1</v>
      </c>
    </row>
    <row r="4222" spans="8:11" x14ac:dyDescent="0.25">
      <c r="H4222">
        <v>32</v>
      </c>
      <c r="I4222">
        <v>534</v>
      </c>
      <c r="J4222">
        <v>115</v>
      </c>
      <c r="K4222" t="b">
        <v>1</v>
      </c>
    </row>
    <row r="4223" spans="8:11" x14ac:dyDescent="0.25">
      <c r="H4223">
        <v>32</v>
      </c>
      <c r="I4223">
        <v>540</v>
      </c>
      <c r="J4223">
        <v>115</v>
      </c>
      <c r="K4223" t="b">
        <v>1</v>
      </c>
    </row>
    <row r="4224" spans="8:11" x14ac:dyDescent="0.25">
      <c r="H4224">
        <v>32</v>
      </c>
      <c r="I4224">
        <v>546</v>
      </c>
      <c r="J4224">
        <v>115</v>
      </c>
      <c r="K4224" t="b">
        <v>1</v>
      </c>
    </row>
    <row r="4225" spans="8:11" x14ac:dyDescent="0.25">
      <c r="H4225">
        <v>32</v>
      </c>
      <c r="I4225">
        <v>552</v>
      </c>
      <c r="J4225">
        <v>115</v>
      </c>
      <c r="K4225" t="b">
        <v>1</v>
      </c>
    </row>
    <row r="4226" spans="8:11" x14ac:dyDescent="0.25">
      <c r="H4226">
        <v>32</v>
      </c>
      <c r="I4226">
        <v>558</v>
      </c>
      <c r="J4226">
        <v>115</v>
      </c>
      <c r="K4226" t="b">
        <v>1</v>
      </c>
    </row>
    <row r="4227" spans="8:11" x14ac:dyDescent="0.25">
      <c r="H4227">
        <v>32</v>
      </c>
      <c r="I4227">
        <v>564</v>
      </c>
      <c r="J4227">
        <v>115</v>
      </c>
      <c r="K4227" t="b">
        <v>1</v>
      </c>
    </row>
    <row r="4228" spans="8:11" x14ac:dyDescent="0.25">
      <c r="H4228">
        <v>32</v>
      </c>
      <c r="I4228">
        <v>570</v>
      </c>
      <c r="J4228">
        <v>115</v>
      </c>
      <c r="K4228" t="b">
        <v>1</v>
      </c>
    </row>
    <row r="4229" spans="8:11" x14ac:dyDescent="0.25">
      <c r="H4229">
        <v>32</v>
      </c>
      <c r="I4229">
        <v>576</v>
      </c>
      <c r="J4229">
        <v>115</v>
      </c>
      <c r="K4229" t="b">
        <v>1</v>
      </c>
    </row>
    <row r="4230" spans="8:11" x14ac:dyDescent="0.25">
      <c r="H4230">
        <v>32</v>
      </c>
      <c r="I4230">
        <v>582</v>
      </c>
      <c r="J4230">
        <v>115</v>
      </c>
      <c r="K4230" t="b">
        <v>1</v>
      </c>
    </row>
    <row r="4231" spans="8:11" x14ac:dyDescent="0.25">
      <c r="H4231">
        <v>32</v>
      </c>
      <c r="I4231">
        <v>588</v>
      </c>
      <c r="J4231">
        <v>115</v>
      </c>
      <c r="K4231" t="b">
        <v>1</v>
      </c>
    </row>
    <row r="4232" spans="8:11" x14ac:dyDescent="0.25">
      <c r="H4232">
        <v>32</v>
      </c>
      <c r="I4232">
        <v>594</v>
      </c>
      <c r="J4232">
        <v>115</v>
      </c>
      <c r="K4232" t="b">
        <v>1</v>
      </c>
    </row>
    <row r="4233" spans="8:11" x14ac:dyDescent="0.25">
      <c r="H4233">
        <v>32</v>
      </c>
      <c r="I4233">
        <v>600</v>
      </c>
      <c r="J4233">
        <v>115</v>
      </c>
      <c r="K4233" t="b">
        <v>1</v>
      </c>
    </row>
    <row r="4234" spans="8:11" x14ac:dyDescent="0.25">
      <c r="H4234">
        <v>32</v>
      </c>
      <c r="I4234">
        <v>606</v>
      </c>
      <c r="J4234">
        <v>115</v>
      </c>
      <c r="K4234" t="b">
        <v>1</v>
      </c>
    </row>
    <row r="4235" spans="8:11" x14ac:dyDescent="0.25">
      <c r="H4235">
        <v>32</v>
      </c>
      <c r="I4235">
        <v>612</v>
      </c>
      <c r="J4235">
        <v>115</v>
      </c>
      <c r="K4235" t="b">
        <v>1</v>
      </c>
    </row>
    <row r="4236" spans="8:11" x14ac:dyDescent="0.25">
      <c r="H4236">
        <v>32</v>
      </c>
      <c r="I4236">
        <v>618</v>
      </c>
      <c r="J4236">
        <v>115</v>
      </c>
      <c r="K4236" t="b">
        <v>1</v>
      </c>
    </row>
    <row r="4237" spans="8:11" x14ac:dyDescent="0.25">
      <c r="H4237">
        <v>32</v>
      </c>
      <c r="I4237">
        <v>624</v>
      </c>
      <c r="J4237">
        <v>115</v>
      </c>
      <c r="K4237" t="b">
        <v>1</v>
      </c>
    </row>
    <row r="4238" spans="8:11" x14ac:dyDescent="0.25">
      <c r="H4238">
        <v>32</v>
      </c>
      <c r="I4238">
        <v>630</v>
      </c>
      <c r="J4238">
        <v>115</v>
      </c>
      <c r="K4238" t="b">
        <v>1</v>
      </c>
    </row>
    <row r="4239" spans="8:11" x14ac:dyDescent="0.25">
      <c r="H4239">
        <v>32</v>
      </c>
      <c r="I4239">
        <v>636</v>
      </c>
      <c r="J4239">
        <v>115</v>
      </c>
      <c r="K4239" t="b">
        <v>1</v>
      </c>
    </row>
    <row r="4240" spans="8:11" x14ac:dyDescent="0.25">
      <c r="H4240">
        <v>32</v>
      </c>
      <c r="I4240">
        <v>642</v>
      </c>
      <c r="J4240">
        <v>115</v>
      </c>
      <c r="K4240" t="b">
        <v>1</v>
      </c>
    </row>
    <row r="4241" spans="8:11" x14ac:dyDescent="0.25">
      <c r="H4241">
        <v>32</v>
      </c>
      <c r="I4241">
        <v>648</v>
      </c>
      <c r="J4241">
        <v>115</v>
      </c>
      <c r="K4241" t="b">
        <v>1</v>
      </c>
    </row>
    <row r="4242" spans="8:11" x14ac:dyDescent="0.25">
      <c r="H4242">
        <v>32</v>
      </c>
      <c r="I4242">
        <v>654</v>
      </c>
      <c r="J4242">
        <v>115</v>
      </c>
      <c r="K4242" t="b">
        <v>1</v>
      </c>
    </row>
    <row r="4243" spans="8:11" x14ac:dyDescent="0.25">
      <c r="H4243">
        <v>32</v>
      </c>
      <c r="I4243">
        <v>660</v>
      </c>
      <c r="J4243">
        <v>115</v>
      </c>
      <c r="K4243" t="b">
        <v>1</v>
      </c>
    </row>
    <row r="4244" spans="8:11" x14ac:dyDescent="0.25">
      <c r="H4244">
        <v>32</v>
      </c>
      <c r="I4244">
        <v>666</v>
      </c>
      <c r="J4244">
        <v>115</v>
      </c>
      <c r="K4244" t="b">
        <v>1</v>
      </c>
    </row>
    <row r="4245" spans="8:11" x14ac:dyDescent="0.25">
      <c r="H4245">
        <v>32</v>
      </c>
      <c r="I4245">
        <v>672</v>
      </c>
      <c r="J4245">
        <v>115</v>
      </c>
      <c r="K4245" t="b">
        <v>1</v>
      </c>
    </row>
    <row r="4246" spans="8:11" x14ac:dyDescent="0.25">
      <c r="H4246">
        <v>32</v>
      </c>
      <c r="I4246">
        <v>678</v>
      </c>
      <c r="J4246">
        <v>115</v>
      </c>
      <c r="K4246" t="b">
        <v>1</v>
      </c>
    </row>
    <row r="4247" spans="8:11" x14ac:dyDescent="0.25">
      <c r="H4247">
        <v>32</v>
      </c>
      <c r="I4247">
        <v>684</v>
      </c>
      <c r="J4247">
        <v>115</v>
      </c>
      <c r="K4247" t="b">
        <v>1</v>
      </c>
    </row>
    <row r="4248" spans="8:11" x14ac:dyDescent="0.25">
      <c r="H4248">
        <v>32</v>
      </c>
      <c r="I4248">
        <v>690</v>
      </c>
      <c r="J4248">
        <v>115</v>
      </c>
      <c r="K4248" t="b">
        <v>1</v>
      </c>
    </row>
    <row r="4249" spans="8:11" x14ac:dyDescent="0.25">
      <c r="H4249">
        <v>32</v>
      </c>
      <c r="I4249">
        <v>696</v>
      </c>
      <c r="J4249">
        <v>115</v>
      </c>
      <c r="K4249" t="b">
        <v>1</v>
      </c>
    </row>
    <row r="4250" spans="8:11" x14ac:dyDescent="0.25">
      <c r="H4250">
        <v>32</v>
      </c>
      <c r="I4250">
        <v>702</v>
      </c>
      <c r="J4250">
        <v>115</v>
      </c>
      <c r="K4250" t="b">
        <v>1</v>
      </c>
    </row>
    <row r="4251" spans="8:11" x14ac:dyDescent="0.25">
      <c r="H4251">
        <v>32</v>
      </c>
      <c r="I4251">
        <v>708</v>
      </c>
      <c r="J4251">
        <v>115</v>
      </c>
      <c r="K4251" t="b">
        <v>1</v>
      </c>
    </row>
    <row r="4252" spans="8:11" x14ac:dyDescent="0.25">
      <c r="H4252">
        <v>32</v>
      </c>
      <c r="I4252">
        <v>714</v>
      </c>
      <c r="J4252">
        <v>115</v>
      </c>
      <c r="K4252" t="b">
        <v>1</v>
      </c>
    </row>
    <row r="4253" spans="8:11" x14ac:dyDescent="0.25">
      <c r="H4253">
        <v>32</v>
      </c>
      <c r="I4253">
        <v>720</v>
      </c>
      <c r="J4253">
        <v>115</v>
      </c>
      <c r="K4253" t="b">
        <v>1</v>
      </c>
    </row>
    <row r="4254" spans="8:11" x14ac:dyDescent="0.25">
      <c r="H4254">
        <v>32</v>
      </c>
      <c r="I4254">
        <v>726</v>
      </c>
      <c r="J4254">
        <v>115</v>
      </c>
      <c r="K4254" t="b">
        <v>1</v>
      </c>
    </row>
    <row r="4255" spans="8:11" x14ac:dyDescent="0.25">
      <c r="H4255">
        <v>32</v>
      </c>
      <c r="I4255">
        <v>732</v>
      </c>
      <c r="J4255">
        <v>115</v>
      </c>
      <c r="K4255" t="b">
        <v>1</v>
      </c>
    </row>
    <row r="4256" spans="8:11" x14ac:dyDescent="0.25">
      <c r="H4256">
        <v>32</v>
      </c>
      <c r="I4256">
        <v>738</v>
      </c>
      <c r="J4256">
        <v>115</v>
      </c>
      <c r="K4256" t="b">
        <v>1</v>
      </c>
    </row>
    <row r="4257" spans="8:11" x14ac:dyDescent="0.25">
      <c r="H4257">
        <v>32</v>
      </c>
      <c r="I4257">
        <v>744</v>
      </c>
      <c r="J4257">
        <v>115</v>
      </c>
      <c r="K4257" t="b">
        <v>1</v>
      </c>
    </row>
    <row r="4258" spans="8:11" x14ac:dyDescent="0.25">
      <c r="H4258">
        <v>32</v>
      </c>
      <c r="I4258">
        <v>750</v>
      </c>
      <c r="J4258">
        <v>115</v>
      </c>
      <c r="K4258" t="b">
        <v>1</v>
      </c>
    </row>
    <row r="4259" spans="8:11" x14ac:dyDescent="0.25">
      <c r="H4259">
        <v>32</v>
      </c>
      <c r="I4259">
        <v>756</v>
      </c>
      <c r="J4259">
        <v>115</v>
      </c>
      <c r="K4259" t="b">
        <v>1</v>
      </c>
    </row>
    <row r="4260" spans="8:11" x14ac:dyDescent="0.25">
      <c r="H4260">
        <v>32</v>
      </c>
      <c r="I4260">
        <v>762</v>
      </c>
      <c r="J4260">
        <v>115</v>
      </c>
      <c r="K4260" t="b">
        <v>1</v>
      </c>
    </row>
    <row r="4261" spans="8:11" x14ac:dyDescent="0.25">
      <c r="H4261">
        <v>32</v>
      </c>
      <c r="I4261">
        <v>768</v>
      </c>
      <c r="J4261">
        <v>115</v>
      </c>
      <c r="K4261" t="b">
        <v>1</v>
      </c>
    </row>
    <row r="4262" spans="8:11" x14ac:dyDescent="0.25">
      <c r="H4262">
        <v>32</v>
      </c>
      <c r="I4262">
        <v>774</v>
      </c>
      <c r="J4262">
        <v>115</v>
      </c>
      <c r="K4262" t="b">
        <v>1</v>
      </c>
    </row>
    <row r="4263" spans="8:11" x14ac:dyDescent="0.25">
      <c r="H4263">
        <v>32</v>
      </c>
      <c r="I4263">
        <v>780</v>
      </c>
      <c r="J4263">
        <v>115</v>
      </c>
      <c r="K4263" t="b">
        <v>1</v>
      </c>
    </row>
    <row r="4264" spans="8:11" x14ac:dyDescent="0.25">
      <c r="H4264">
        <v>32</v>
      </c>
      <c r="I4264">
        <v>786</v>
      </c>
      <c r="J4264">
        <v>115</v>
      </c>
      <c r="K4264" t="b">
        <v>1</v>
      </c>
    </row>
    <row r="4265" spans="8:11" x14ac:dyDescent="0.25">
      <c r="H4265">
        <v>32</v>
      </c>
      <c r="I4265">
        <v>792</v>
      </c>
      <c r="J4265">
        <v>115</v>
      </c>
      <c r="K4265" t="b">
        <v>1</v>
      </c>
    </row>
    <row r="4266" spans="8:11" x14ac:dyDescent="0.25">
      <c r="H4266">
        <v>32</v>
      </c>
      <c r="I4266">
        <v>798</v>
      </c>
      <c r="J4266">
        <v>115</v>
      </c>
      <c r="K4266" t="b">
        <v>1</v>
      </c>
    </row>
    <row r="4267" spans="8:11" x14ac:dyDescent="0.25">
      <c r="H4267">
        <v>32</v>
      </c>
      <c r="I4267">
        <v>804</v>
      </c>
      <c r="J4267">
        <v>115</v>
      </c>
      <c r="K4267" t="b">
        <v>1</v>
      </c>
    </row>
    <row r="4268" spans="8:11" x14ac:dyDescent="0.25">
      <c r="H4268">
        <v>32</v>
      </c>
      <c r="I4268">
        <v>810</v>
      </c>
      <c r="J4268">
        <v>115</v>
      </c>
      <c r="K4268" t="b">
        <v>1</v>
      </c>
    </row>
    <row r="4269" spans="8:11" x14ac:dyDescent="0.25">
      <c r="H4269">
        <v>32</v>
      </c>
      <c r="I4269">
        <v>816</v>
      </c>
      <c r="J4269">
        <v>115</v>
      </c>
      <c r="K4269" t="b">
        <v>1</v>
      </c>
    </row>
    <row r="4270" spans="8:11" x14ac:dyDescent="0.25">
      <c r="H4270">
        <v>32</v>
      </c>
      <c r="I4270">
        <v>822</v>
      </c>
      <c r="J4270">
        <v>115</v>
      </c>
      <c r="K4270" t="b">
        <v>1</v>
      </c>
    </row>
    <row r="4271" spans="8:11" x14ac:dyDescent="0.25">
      <c r="H4271">
        <v>32</v>
      </c>
      <c r="I4271">
        <v>828</v>
      </c>
      <c r="J4271">
        <v>115</v>
      </c>
      <c r="K4271" t="b">
        <v>1</v>
      </c>
    </row>
    <row r="4272" spans="8:11" x14ac:dyDescent="0.25">
      <c r="H4272">
        <v>32</v>
      </c>
      <c r="I4272">
        <v>834</v>
      </c>
      <c r="J4272">
        <v>115</v>
      </c>
      <c r="K4272" t="b">
        <v>1</v>
      </c>
    </row>
    <row r="4273" spans="8:11" x14ac:dyDescent="0.25">
      <c r="H4273">
        <v>32</v>
      </c>
      <c r="I4273">
        <v>840</v>
      </c>
      <c r="J4273">
        <v>115</v>
      </c>
      <c r="K4273" t="b">
        <v>1</v>
      </c>
    </row>
    <row r="4274" spans="8:11" x14ac:dyDescent="0.25">
      <c r="H4274">
        <v>32</v>
      </c>
      <c r="I4274">
        <v>846</v>
      </c>
      <c r="J4274">
        <v>115</v>
      </c>
      <c r="K4274" t="b">
        <v>1</v>
      </c>
    </row>
    <row r="4275" spans="8:11" x14ac:dyDescent="0.25">
      <c r="H4275">
        <v>32</v>
      </c>
      <c r="I4275">
        <v>852</v>
      </c>
      <c r="J4275">
        <v>115</v>
      </c>
      <c r="K4275" t="b">
        <v>1</v>
      </c>
    </row>
    <row r="4276" spans="8:11" x14ac:dyDescent="0.25">
      <c r="H4276">
        <v>32</v>
      </c>
      <c r="I4276">
        <v>858</v>
      </c>
      <c r="J4276">
        <v>115</v>
      </c>
      <c r="K4276" t="b">
        <v>1</v>
      </c>
    </row>
    <row r="4277" spans="8:11" x14ac:dyDescent="0.25">
      <c r="H4277">
        <v>32</v>
      </c>
      <c r="I4277">
        <v>864</v>
      </c>
      <c r="J4277">
        <v>115</v>
      </c>
      <c r="K4277" t="b">
        <v>1</v>
      </c>
    </row>
    <row r="4278" spans="8:11" x14ac:dyDescent="0.25">
      <c r="H4278">
        <v>32</v>
      </c>
      <c r="I4278">
        <v>870</v>
      </c>
      <c r="J4278">
        <v>115</v>
      </c>
      <c r="K4278" t="b">
        <v>1</v>
      </c>
    </row>
    <row r="4279" spans="8:11" x14ac:dyDescent="0.25">
      <c r="H4279">
        <v>32</v>
      </c>
      <c r="I4279">
        <v>876</v>
      </c>
      <c r="J4279">
        <v>115</v>
      </c>
      <c r="K4279" t="b">
        <v>1</v>
      </c>
    </row>
    <row r="4280" spans="8:11" x14ac:dyDescent="0.25">
      <c r="H4280">
        <v>32</v>
      </c>
      <c r="I4280">
        <v>882</v>
      </c>
      <c r="J4280">
        <v>115</v>
      </c>
      <c r="K4280" t="b">
        <v>1</v>
      </c>
    </row>
    <row r="4281" spans="8:11" x14ac:dyDescent="0.25">
      <c r="H4281">
        <v>32</v>
      </c>
      <c r="I4281">
        <v>888</v>
      </c>
      <c r="J4281">
        <v>115</v>
      </c>
      <c r="K4281" t="b">
        <v>1</v>
      </c>
    </row>
    <row r="4282" spans="8:11" x14ac:dyDescent="0.25">
      <c r="H4282">
        <v>32</v>
      </c>
      <c r="I4282">
        <v>894</v>
      </c>
      <c r="J4282">
        <v>115</v>
      </c>
      <c r="K4282" t="b">
        <v>1</v>
      </c>
    </row>
    <row r="4283" spans="8:11" x14ac:dyDescent="0.25">
      <c r="H4283">
        <v>32</v>
      </c>
      <c r="I4283">
        <v>900</v>
      </c>
      <c r="J4283">
        <v>115</v>
      </c>
      <c r="K4283" t="b">
        <v>1</v>
      </c>
    </row>
    <row r="4284" spans="8:11" x14ac:dyDescent="0.25">
      <c r="H4284">
        <v>32</v>
      </c>
      <c r="I4284">
        <v>906</v>
      </c>
      <c r="J4284">
        <v>115</v>
      </c>
      <c r="K4284" t="b">
        <v>1</v>
      </c>
    </row>
    <row r="4285" spans="8:11" x14ac:dyDescent="0.25">
      <c r="H4285">
        <v>32</v>
      </c>
      <c r="I4285">
        <v>912</v>
      </c>
      <c r="J4285">
        <v>115</v>
      </c>
      <c r="K4285" t="b">
        <v>1</v>
      </c>
    </row>
    <row r="4286" spans="8:11" x14ac:dyDescent="0.25">
      <c r="H4286">
        <v>32</v>
      </c>
      <c r="I4286">
        <v>918</v>
      </c>
      <c r="J4286">
        <v>115</v>
      </c>
      <c r="K4286" t="b">
        <v>1</v>
      </c>
    </row>
    <row r="4287" spans="8:11" x14ac:dyDescent="0.25">
      <c r="H4287">
        <v>32</v>
      </c>
      <c r="I4287">
        <v>924</v>
      </c>
      <c r="J4287">
        <v>115</v>
      </c>
      <c r="K4287" t="b">
        <v>1</v>
      </c>
    </row>
    <row r="4288" spans="8:11" x14ac:dyDescent="0.25">
      <c r="H4288">
        <v>32</v>
      </c>
      <c r="I4288">
        <v>930</v>
      </c>
      <c r="J4288">
        <v>115</v>
      </c>
      <c r="K4288" t="b">
        <v>1</v>
      </c>
    </row>
    <row r="4289" spans="8:11" x14ac:dyDescent="0.25">
      <c r="H4289">
        <v>32</v>
      </c>
      <c r="I4289">
        <v>936</v>
      </c>
      <c r="J4289">
        <v>115</v>
      </c>
      <c r="K4289" t="b">
        <v>1</v>
      </c>
    </row>
    <row r="4290" spans="8:11" x14ac:dyDescent="0.25">
      <c r="H4290">
        <v>32</v>
      </c>
      <c r="I4290">
        <v>942</v>
      </c>
      <c r="J4290">
        <v>115</v>
      </c>
      <c r="K4290" t="b">
        <v>1</v>
      </c>
    </row>
    <row r="4291" spans="8:11" x14ac:dyDescent="0.25">
      <c r="H4291">
        <v>32</v>
      </c>
      <c r="I4291">
        <v>948</v>
      </c>
      <c r="J4291">
        <v>115</v>
      </c>
      <c r="K4291" t="b">
        <v>1</v>
      </c>
    </row>
    <row r="4292" spans="8:11" x14ac:dyDescent="0.25">
      <c r="H4292">
        <v>32</v>
      </c>
      <c r="I4292">
        <v>954</v>
      </c>
      <c r="J4292">
        <v>115</v>
      </c>
      <c r="K4292" t="b">
        <v>1</v>
      </c>
    </row>
    <row r="4293" spans="8:11" x14ac:dyDescent="0.25">
      <c r="H4293">
        <v>33</v>
      </c>
      <c r="I4293">
        <v>0</v>
      </c>
      <c r="J4293">
        <v>115</v>
      </c>
      <c r="K4293" t="b">
        <v>1</v>
      </c>
    </row>
    <row r="4294" spans="8:11" x14ac:dyDescent="0.25">
      <c r="H4294">
        <v>33</v>
      </c>
      <c r="I4294">
        <v>2</v>
      </c>
      <c r="J4294">
        <v>115</v>
      </c>
      <c r="K4294" t="b">
        <v>1</v>
      </c>
    </row>
    <row r="4295" spans="8:11" x14ac:dyDescent="0.25">
      <c r="H4295">
        <v>33</v>
      </c>
      <c r="I4295">
        <v>4</v>
      </c>
      <c r="J4295">
        <v>115</v>
      </c>
      <c r="K4295" t="b">
        <v>1</v>
      </c>
    </row>
    <row r="4296" spans="8:11" x14ac:dyDescent="0.25">
      <c r="H4296">
        <v>33</v>
      </c>
      <c r="I4296">
        <v>6</v>
      </c>
      <c r="J4296">
        <v>115</v>
      </c>
      <c r="K4296" t="b">
        <v>1</v>
      </c>
    </row>
    <row r="4297" spans="8:11" x14ac:dyDescent="0.25">
      <c r="H4297">
        <v>33</v>
      </c>
      <c r="I4297">
        <v>8</v>
      </c>
      <c r="J4297">
        <v>115</v>
      </c>
      <c r="K4297" t="b">
        <v>1</v>
      </c>
    </row>
    <row r="4298" spans="8:11" x14ac:dyDescent="0.25">
      <c r="H4298">
        <v>33</v>
      </c>
      <c r="I4298">
        <v>10</v>
      </c>
      <c r="J4298">
        <v>115</v>
      </c>
      <c r="K4298" t="b">
        <v>1</v>
      </c>
    </row>
    <row r="4299" spans="8:11" x14ac:dyDescent="0.25">
      <c r="H4299">
        <v>33</v>
      </c>
      <c r="I4299">
        <v>12</v>
      </c>
      <c r="J4299">
        <v>115</v>
      </c>
      <c r="K4299" t="b">
        <v>1</v>
      </c>
    </row>
    <row r="4300" spans="8:11" x14ac:dyDescent="0.25">
      <c r="H4300">
        <v>33</v>
      </c>
      <c r="I4300">
        <v>14</v>
      </c>
      <c r="J4300">
        <v>115</v>
      </c>
      <c r="K4300" t="b">
        <v>1</v>
      </c>
    </row>
    <row r="4301" spans="8:11" x14ac:dyDescent="0.25">
      <c r="H4301">
        <v>33</v>
      </c>
      <c r="I4301">
        <v>16</v>
      </c>
      <c r="J4301">
        <v>115</v>
      </c>
      <c r="K4301" t="b">
        <v>1</v>
      </c>
    </row>
    <row r="4302" spans="8:11" x14ac:dyDescent="0.25">
      <c r="H4302">
        <v>33</v>
      </c>
      <c r="I4302">
        <v>18</v>
      </c>
      <c r="J4302">
        <v>115</v>
      </c>
      <c r="K4302" t="b">
        <v>1</v>
      </c>
    </row>
    <row r="4303" spans="8:11" x14ac:dyDescent="0.25">
      <c r="H4303">
        <v>33</v>
      </c>
      <c r="I4303">
        <v>20</v>
      </c>
      <c r="J4303">
        <v>115</v>
      </c>
      <c r="K4303" t="b">
        <v>1</v>
      </c>
    </row>
    <row r="4304" spans="8:11" x14ac:dyDescent="0.25">
      <c r="H4304">
        <v>33</v>
      </c>
      <c r="I4304">
        <v>22</v>
      </c>
      <c r="J4304">
        <v>115</v>
      </c>
      <c r="K4304" t="b">
        <v>1</v>
      </c>
    </row>
    <row r="4305" spans="8:11" x14ac:dyDescent="0.25">
      <c r="H4305">
        <v>33</v>
      </c>
      <c r="I4305">
        <v>24</v>
      </c>
      <c r="J4305">
        <v>115</v>
      </c>
      <c r="K4305" t="b">
        <v>1</v>
      </c>
    </row>
    <row r="4306" spans="8:11" x14ac:dyDescent="0.25">
      <c r="H4306">
        <v>33</v>
      </c>
      <c r="I4306">
        <v>26</v>
      </c>
      <c r="J4306">
        <v>115</v>
      </c>
      <c r="K4306" t="b">
        <v>1</v>
      </c>
    </row>
    <row r="4307" spans="8:11" x14ac:dyDescent="0.25">
      <c r="H4307">
        <v>33</v>
      </c>
      <c r="I4307">
        <v>28</v>
      </c>
      <c r="J4307">
        <v>115</v>
      </c>
      <c r="K4307" t="b">
        <v>1</v>
      </c>
    </row>
    <row r="4308" spans="8:11" x14ac:dyDescent="0.25">
      <c r="H4308">
        <v>33</v>
      </c>
      <c r="I4308">
        <v>30</v>
      </c>
      <c r="J4308">
        <v>115</v>
      </c>
      <c r="K4308" t="b">
        <v>1</v>
      </c>
    </row>
    <row r="4309" spans="8:11" x14ac:dyDescent="0.25">
      <c r="H4309">
        <v>33</v>
      </c>
      <c r="I4309">
        <v>32</v>
      </c>
      <c r="J4309">
        <v>115</v>
      </c>
      <c r="K4309" t="b">
        <v>1</v>
      </c>
    </row>
    <row r="4310" spans="8:11" x14ac:dyDescent="0.25">
      <c r="H4310">
        <v>33</v>
      </c>
      <c r="I4310">
        <v>34</v>
      </c>
      <c r="J4310">
        <v>115</v>
      </c>
      <c r="K4310" t="b">
        <v>1</v>
      </c>
    </row>
    <row r="4311" spans="8:11" x14ac:dyDescent="0.25">
      <c r="H4311">
        <v>33</v>
      </c>
      <c r="I4311">
        <v>36</v>
      </c>
      <c r="J4311">
        <v>115</v>
      </c>
      <c r="K4311" t="b">
        <v>1</v>
      </c>
    </row>
    <row r="4312" spans="8:11" x14ac:dyDescent="0.25">
      <c r="H4312">
        <v>33</v>
      </c>
      <c r="I4312">
        <v>38</v>
      </c>
      <c r="J4312">
        <v>115</v>
      </c>
      <c r="K4312" t="b">
        <v>1</v>
      </c>
    </row>
    <row r="4313" spans="8:11" x14ac:dyDescent="0.25">
      <c r="H4313">
        <v>33</v>
      </c>
      <c r="I4313">
        <v>40</v>
      </c>
      <c r="J4313">
        <v>115</v>
      </c>
      <c r="K4313" t="b">
        <v>1</v>
      </c>
    </row>
    <row r="4314" spans="8:11" x14ac:dyDescent="0.25">
      <c r="H4314">
        <v>33</v>
      </c>
      <c r="I4314">
        <v>42</v>
      </c>
      <c r="J4314">
        <v>115</v>
      </c>
      <c r="K4314" t="b">
        <v>1</v>
      </c>
    </row>
    <row r="4315" spans="8:11" x14ac:dyDescent="0.25">
      <c r="H4315">
        <v>33</v>
      </c>
      <c r="I4315">
        <v>44</v>
      </c>
      <c r="J4315">
        <v>115</v>
      </c>
      <c r="K4315" t="b">
        <v>1</v>
      </c>
    </row>
    <row r="4316" spans="8:11" x14ac:dyDescent="0.25">
      <c r="H4316">
        <v>33</v>
      </c>
      <c r="I4316">
        <v>46</v>
      </c>
      <c r="J4316">
        <v>115</v>
      </c>
      <c r="K4316" t="b">
        <v>1</v>
      </c>
    </row>
    <row r="4317" spans="8:11" x14ac:dyDescent="0.25">
      <c r="H4317">
        <v>33</v>
      </c>
      <c r="I4317">
        <v>48</v>
      </c>
      <c r="J4317">
        <v>115</v>
      </c>
      <c r="K4317" t="b">
        <v>1</v>
      </c>
    </row>
    <row r="4318" spans="8:11" x14ac:dyDescent="0.25">
      <c r="H4318">
        <v>33</v>
      </c>
      <c r="I4318">
        <v>50</v>
      </c>
      <c r="J4318">
        <v>115</v>
      </c>
      <c r="K4318" t="b">
        <v>1</v>
      </c>
    </row>
    <row r="4319" spans="8:11" x14ac:dyDescent="0.25">
      <c r="H4319">
        <v>33</v>
      </c>
      <c r="I4319">
        <v>52</v>
      </c>
      <c r="J4319">
        <v>115</v>
      </c>
      <c r="K4319" t="b">
        <v>1</v>
      </c>
    </row>
    <row r="4320" spans="8:11" x14ac:dyDescent="0.25">
      <c r="H4320">
        <v>33</v>
      </c>
      <c r="I4320">
        <v>54</v>
      </c>
      <c r="J4320">
        <v>115</v>
      </c>
      <c r="K4320" t="b">
        <v>1</v>
      </c>
    </row>
    <row r="4321" spans="8:11" x14ac:dyDescent="0.25">
      <c r="H4321">
        <v>33</v>
      </c>
      <c r="I4321">
        <v>56</v>
      </c>
      <c r="J4321">
        <v>115</v>
      </c>
      <c r="K4321" t="b">
        <v>1</v>
      </c>
    </row>
    <row r="4322" spans="8:11" x14ac:dyDescent="0.25">
      <c r="H4322">
        <v>33</v>
      </c>
      <c r="I4322">
        <v>58</v>
      </c>
      <c r="J4322">
        <v>115</v>
      </c>
      <c r="K4322" t="b">
        <v>1</v>
      </c>
    </row>
    <row r="4323" spans="8:11" x14ac:dyDescent="0.25">
      <c r="H4323">
        <v>33</v>
      </c>
      <c r="I4323">
        <v>60</v>
      </c>
      <c r="J4323">
        <v>115</v>
      </c>
      <c r="K4323" t="b">
        <v>1</v>
      </c>
    </row>
    <row r="4324" spans="8:11" x14ac:dyDescent="0.25">
      <c r="H4324">
        <v>33</v>
      </c>
      <c r="I4324">
        <v>62</v>
      </c>
      <c r="J4324">
        <v>115</v>
      </c>
      <c r="K4324" t="b">
        <v>1</v>
      </c>
    </row>
    <row r="4325" spans="8:11" x14ac:dyDescent="0.25">
      <c r="H4325">
        <v>33</v>
      </c>
      <c r="I4325">
        <v>64</v>
      </c>
      <c r="J4325">
        <v>115</v>
      </c>
      <c r="K4325" t="b">
        <v>1</v>
      </c>
    </row>
    <row r="4326" spans="8:11" x14ac:dyDescent="0.25">
      <c r="H4326">
        <v>33</v>
      </c>
      <c r="I4326">
        <v>66</v>
      </c>
      <c r="J4326">
        <v>115</v>
      </c>
      <c r="K4326" t="b">
        <v>1</v>
      </c>
    </row>
    <row r="4327" spans="8:11" x14ac:dyDescent="0.25">
      <c r="H4327">
        <v>33</v>
      </c>
      <c r="I4327">
        <v>68</v>
      </c>
      <c r="J4327">
        <v>115</v>
      </c>
      <c r="K4327" t="b">
        <v>1</v>
      </c>
    </row>
    <row r="4328" spans="8:11" x14ac:dyDescent="0.25">
      <c r="H4328">
        <v>33</v>
      </c>
      <c r="I4328">
        <v>70</v>
      </c>
      <c r="J4328">
        <v>115</v>
      </c>
      <c r="K4328" t="b">
        <v>1</v>
      </c>
    </row>
    <row r="4329" spans="8:11" x14ac:dyDescent="0.25">
      <c r="H4329">
        <v>33</v>
      </c>
      <c r="I4329">
        <v>72</v>
      </c>
      <c r="J4329">
        <v>115</v>
      </c>
      <c r="K4329" t="b">
        <v>1</v>
      </c>
    </row>
    <row r="4330" spans="8:11" x14ac:dyDescent="0.25">
      <c r="H4330">
        <v>33</v>
      </c>
      <c r="I4330">
        <v>74</v>
      </c>
      <c r="J4330">
        <v>115</v>
      </c>
      <c r="K4330" t="b">
        <v>1</v>
      </c>
    </row>
    <row r="4331" spans="8:11" x14ac:dyDescent="0.25">
      <c r="H4331">
        <v>33</v>
      </c>
      <c r="I4331">
        <v>76</v>
      </c>
      <c r="J4331">
        <v>115</v>
      </c>
      <c r="K4331" t="b">
        <v>1</v>
      </c>
    </row>
    <row r="4332" spans="8:11" x14ac:dyDescent="0.25">
      <c r="H4332">
        <v>33</v>
      </c>
      <c r="I4332">
        <v>78</v>
      </c>
      <c r="J4332">
        <v>115</v>
      </c>
      <c r="K4332" t="b">
        <v>1</v>
      </c>
    </row>
    <row r="4333" spans="8:11" x14ac:dyDescent="0.25">
      <c r="H4333">
        <v>33</v>
      </c>
      <c r="I4333">
        <v>80</v>
      </c>
      <c r="J4333">
        <v>115</v>
      </c>
      <c r="K4333" t="b">
        <v>1</v>
      </c>
    </row>
    <row r="4334" spans="8:11" x14ac:dyDescent="0.25">
      <c r="H4334">
        <v>33</v>
      </c>
      <c r="I4334">
        <v>82</v>
      </c>
      <c r="J4334">
        <v>115</v>
      </c>
      <c r="K4334" t="b">
        <v>1</v>
      </c>
    </row>
    <row r="4335" spans="8:11" x14ac:dyDescent="0.25">
      <c r="H4335">
        <v>33</v>
      </c>
      <c r="I4335">
        <v>84</v>
      </c>
      <c r="J4335">
        <v>115</v>
      </c>
      <c r="K4335" t="b">
        <v>1</v>
      </c>
    </row>
    <row r="4336" spans="8:11" x14ac:dyDescent="0.25">
      <c r="H4336">
        <v>33</v>
      </c>
      <c r="I4336">
        <v>86</v>
      </c>
      <c r="J4336">
        <v>115</v>
      </c>
      <c r="K4336" t="b">
        <v>1</v>
      </c>
    </row>
    <row r="4337" spans="8:11" x14ac:dyDescent="0.25">
      <c r="H4337">
        <v>33</v>
      </c>
      <c r="I4337">
        <v>88</v>
      </c>
      <c r="J4337">
        <v>115</v>
      </c>
      <c r="K4337" t="b">
        <v>1</v>
      </c>
    </row>
    <row r="4338" spans="8:11" x14ac:dyDescent="0.25">
      <c r="H4338">
        <v>33</v>
      </c>
      <c r="I4338">
        <v>90</v>
      </c>
      <c r="J4338">
        <v>115</v>
      </c>
      <c r="K4338" t="b">
        <v>1</v>
      </c>
    </row>
    <row r="4339" spans="8:11" x14ac:dyDescent="0.25">
      <c r="H4339">
        <v>33</v>
      </c>
      <c r="I4339">
        <v>92</v>
      </c>
      <c r="J4339">
        <v>115</v>
      </c>
      <c r="K4339" t="b">
        <v>1</v>
      </c>
    </row>
    <row r="4340" spans="8:11" x14ac:dyDescent="0.25">
      <c r="H4340">
        <v>33</v>
      </c>
      <c r="I4340">
        <v>94</v>
      </c>
      <c r="J4340">
        <v>115</v>
      </c>
      <c r="K4340" t="b">
        <v>1</v>
      </c>
    </row>
    <row r="4341" spans="8:11" x14ac:dyDescent="0.25">
      <c r="H4341">
        <v>33</v>
      </c>
      <c r="I4341">
        <v>96</v>
      </c>
      <c r="J4341">
        <v>115</v>
      </c>
      <c r="K4341" t="b">
        <v>1</v>
      </c>
    </row>
    <row r="4342" spans="8:11" x14ac:dyDescent="0.25">
      <c r="H4342">
        <v>33</v>
      </c>
      <c r="I4342">
        <v>98</v>
      </c>
      <c r="J4342">
        <v>115</v>
      </c>
      <c r="K4342" t="b">
        <v>1</v>
      </c>
    </row>
    <row r="4343" spans="8:11" x14ac:dyDescent="0.25">
      <c r="H4343">
        <v>33</v>
      </c>
      <c r="I4343">
        <v>100</v>
      </c>
      <c r="J4343">
        <v>115</v>
      </c>
      <c r="K4343" t="b">
        <v>1</v>
      </c>
    </row>
    <row r="4344" spans="8:11" x14ac:dyDescent="0.25">
      <c r="H4344">
        <v>33</v>
      </c>
      <c r="I4344">
        <v>102</v>
      </c>
      <c r="J4344">
        <v>115</v>
      </c>
      <c r="K4344" t="b">
        <v>1</v>
      </c>
    </row>
    <row r="4345" spans="8:11" x14ac:dyDescent="0.25">
      <c r="H4345">
        <v>33</v>
      </c>
      <c r="I4345">
        <v>104</v>
      </c>
      <c r="J4345">
        <v>115</v>
      </c>
      <c r="K4345" t="b">
        <v>1</v>
      </c>
    </row>
    <row r="4346" spans="8:11" x14ac:dyDescent="0.25">
      <c r="H4346">
        <v>33</v>
      </c>
      <c r="I4346">
        <v>106</v>
      </c>
      <c r="J4346">
        <v>115</v>
      </c>
      <c r="K4346" t="b">
        <v>1</v>
      </c>
    </row>
    <row r="4347" spans="8:11" x14ac:dyDescent="0.25">
      <c r="H4347">
        <v>33</v>
      </c>
      <c r="I4347">
        <v>108</v>
      </c>
      <c r="J4347">
        <v>115</v>
      </c>
      <c r="K4347" t="b">
        <v>1</v>
      </c>
    </row>
    <row r="4348" spans="8:11" x14ac:dyDescent="0.25">
      <c r="H4348">
        <v>33</v>
      </c>
      <c r="I4348">
        <v>110</v>
      </c>
      <c r="J4348">
        <v>115</v>
      </c>
      <c r="K4348" t="b">
        <v>1</v>
      </c>
    </row>
    <row r="4349" spans="8:11" x14ac:dyDescent="0.25">
      <c r="H4349">
        <v>33</v>
      </c>
      <c r="I4349">
        <v>112</v>
      </c>
      <c r="J4349">
        <v>115</v>
      </c>
      <c r="K4349" t="b">
        <v>1</v>
      </c>
    </row>
    <row r="4350" spans="8:11" x14ac:dyDescent="0.25">
      <c r="H4350">
        <v>33</v>
      </c>
      <c r="I4350">
        <v>114</v>
      </c>
      <c r="J4350">
        <v>115</v>
      </c>
      <c r="K4350" t="b">
        <v>1</v>
      </c>
    </row>
    <row r="4351" spans="8:11" x14ac:dyDescent="0.25">
      <c r="H4351">
        <v>33</v>
      </c>
      <c r="I4351">
        <v>116</v>
      </c>
      <c r="J4351">
        <v>115</v>
      </c>
      <c r="K4351" t="b">
        <v>1</v>
      </c>
    </row>
    <row r="4352" spans="8:11" x14ac:dyDescent="0.25">
      <c r="H4352">
        <v>33</v>
      </c>
      <c r="I4352">
        <v>118</v>
      </c>
      <c r="J4352">
        <v>115</v>
      </c>
      <c r="K4352" t="b">
        <v>1</v>
      </c>
    </row>
    <row r="4353" spans="8:11" x14ac:dyDescent="0.25">
      <c r="H4353">
        <v>33</v>
      </c>
      <c r="I4353">
        <v>120</v>
      </c>
      <c r="J4353">
        <v>115</v>
      </c>
      <c r="K4353" t="b">
        <v>1</v>
      </c>
    </row>
    <row r="4354" spans="8:11" x14ac:dyDescent="0.25">
      <c r="H4354">
        <v>33</v>
      </c>
      <c r="I4354">
        <v>122</v>
      </c>
      <c r="J4354">
        <v>115</v>
      </c>
      <c r="K4354" t="b">
        <v>1</v>
      </c>
    </row>
    <row r="4355" spans="8:11" x14ac:dyDescent="0.25">
      <c r="H4355">
        <v>33</v>
      </c>
      <c r="I4355">
        <v>124</v>
      </c>
      <c r="J4355">
        <v>115</v>
      </c>
      <c r="K4355" t="b">
        <v>1</v>
      </c>
    </row>
    <row r="4356" spans="8:11" x14ac:dyDescent="0.25">
      <c r="H4356">
        <v>33</v>
      </c>
      <c r="I4356">
        <v>126</v>
      </c>
      <c r="J4356">
        <v>115</v>
      </c>
      <c r="K4356" t="b">
        <v>1</v>
      </c>
    </row>
    <row r="4357" spans="8:11" x14ac:dyDescent="0.25">
      <c r="H4357">
        <v>33</v>
      </c>
      <c r="I4357">
        <v>128</v>
      </c>
      <c r="J4357">
        <v>115</v>
      </c>
      <c r="K4357" t="b">
        <v>1</v>
      </c>
    </row>
    <row r="4358" spans="8:11" x14ac:dyDescent="0.25">
      <c r="H4358">
        <v>33</v>
      </c>
      <c r="I4358">
        <v>130</v>
      </c>
      <c r="J4358">
        <v>115</v>
      </c>
      <c r="K4358" t="b">
        <v>1</v>
      </c>
    </row>
    <row r="4359" spans="8:11" x14ac:dyDescent="0.25">
      <c r="H4359">
        <v>33</v>
      </c>
      <c r="I4359">
        <v>132</v>
      </c>
      <c r="J4359">
        <v>115</v>
      </c>
      <c r="K4359" t="b">
        <v>1</v>
      </c>
    </row>
    <row r="4360" spans="8:11" x14ac:dyDescent="0.25">
      <c r="H4360">
        <v>33</v>
      </c>
      <c r="I4360">
        <v>134</v>
      </c>
      <c r="J4360">
        <v>115</v>
      </c>
      <c r="K4360" t="b">
        <v>1</v>
      </c>
    </row>
    <row r="4361" spans="8:11" x14ac:dyDescent="0.25">
      <c r="H4361">
        <v>33</v>
      </c>
      <c r="I4361">
        <v>136</v>
      </c>
      <c r="J4361">
        <v>115</v>
      </c>
      <c r="K4361" t="b">
        <v>1</v>
      </c>
    </row>
    <row r="4362" spans="8:11" x14ac:dyDescent="0.25">
      <c r="H4362">
        <v>33</v>
      </c>
      <c r="I4362">
        <v>138</v>
      </c>
      <c r="J4362">
        <v>115</v>
      </c>
      <c r="K4362" t="b">
        <v>1</v>
      </c>
    </row>
    <row r="4363" spans="8:11" x14ac:dyDescent="0.25">
      <c r="H4363">
        <v>33</v>
      </c>
      <c r="I4363">
        <v>140</v>
      </c>
      <c r="J4363">
        <v>115</v>
      </c>
      <c r="K4363" t="b">
        <v>1</v>
      </c>
    </row>
    <row r="4364" spans="8:11" x14ac:dyDescent="0.25">
      <c r="H4364">
        <v>33</v>
      </c>
      <c r="I4364">
        <v>142</v>
      </c>
      <c r="J4364">
        <v>115</v>
      </c>
      <c r="K4364" t="b">
        <v>1</v>
      </c>
    </row>
    <row r="4365" spans="8:11" x14ac:dyDescent="0.25">
      <c r="H4365">
        <v>33</v>
      </c>
      <c r="I4365">
        <v>144</v>
      </c>
      <c r="J4365">
        <v>115</v>
      </c>
      <c r="K4365" t="b">
        <v>1</v>
      </c>
    </row>
    <row r="4366" spans="8:11" x14ac:dyDescent="0.25">
      <c r="H4366">
        <v>33</v>
      </c>
      <c r="I4366">
        <v>146</v>
      </c>
      <c r="J4366">
        <v>115</v>
      </c>
      <c r="K4366" t="b">
        <v>1</v>
      </c>
    </row>
    <row r="4367" spans="8:11" x14ac:dyDescent="0.25">
      <c r="H4367">
        <v>33</v>
      </c>
      <c r="I4367">
        <v>148</v>
      </c>
      <c r="J4367">
        <v>115</v>
      </c>
      <c r="K4367" t="b">
        <v>1</v>
      </c>
    </row>
    <row r="4368" spans="8:11" x14ac:dyDescent="0.25">
      <c r="H4368">
        <v>33</v>
      </c>
      <c r="I4368">
        <v>150</v>
      </c>
      <c r="J4368">
        <v>115</v>
      </c>
      <c r="K4368" t="b">
        <v>1</v>
      </c>
    </row>
    <row r="4369" spans="8:11" x14ac:dyDescent="0.25">
      <c r="H4369">
        <v>33</v>
      </c>
      <c r="I4369">
        <v>152</v>
      </c>
      <c r="J4369">
        <v>115</v>
      </c>
      <c r="K4369" t="b">
        <v>1</v>
      </c>
    </row>
    <row r="4370" spans="8:11" x14ac:dyDescent="0.25">
      <c r="H4370">
        <v>33</v>
      </c>
      <c r="I4370">
        <v>154</v>
      </c>
      <c r="J4370">
        <v>115</v>
      </c>
      <c r="K4370" t="b">
        <v>1</v>
      </c>
    </row>
    <row r="4371" spans="8:11" x14ac:dyDescent="0.25">
      <c r="H4371">
        <v>33</v>
      </c>
      <c r="I4371">
        <v>156</v>
      </c>
      <c r="J4371">
        <v>115</v>
      </c>
      <c r="K4371" t="b">
        <v>1</v>
      </c>
    </row>
    <row r="4372" spans="8:11" x14ac:dyDescent="0.25">
      <c r="H4372">
        <v>33</v>
      </c>
      <c r="I4372">
        <v>158</v>
      </c>
      <c r="J4372">
        <v>115</v>
      </c>
      <c r="K4372" t="b">
        <v>1</v>
      </c>
    </row>
    <row r="4373" spans="8:11" x14ac:dyDescent="0.25">
      <c r="H4373">
        <v>33</v>
      </c>
      <c r="I4373">
        <v>160</v>
      </c>
      <c r="J4373">
        <v>115</v>
      </c>
      <c r="K4373" t="b">
        <v>1</v>
      </c>
    </row>
    <row r="4374" spans="8:11" x14ac:dyDescent="0.25">
      <c r="H4374">
        <v>33</v>
      </c>
      <c r="I4374">
        <v>162</v>
      </c>
      <c r="J4374">
        <v>115</v>
      </c>
      <c r="K4374" t="b">
        <v>1</v>
      </c>
    </row>
    <row r="4375" spans="8:11" x14ac:dyDescent="0.25">
      <c r="H4375">
        <v>33</v>
      </c>
      <c r="I4375">
        <v>164</v>
      </c>
      <c r="J4375">
        <v>115</v>
      </c>
      <c r="K4375" t="b">
        <v>1</v>
      </c>
    </row>
    <row r="4376" spans="8:11" x14ac:dyDescent="0.25">
      <c r="H4376">
        <v>33</v>
      </c>
      <c r="I4376">
        <v>166</v>
      </c>
      <c r="J4376">
        <v>115</v>
      </c>
      <c r="K4376" t="b">
        <v>1</v>
      </c>
    </row>
    <row r="4377" spans="8:11" x14ac:dyDescent="0.25">
      <c r="H4377">
        <v>33</v>
      </c>
      <c r="I4377">
        <v>168</v>
      </c>
      <c r="J4377">
        <v>115</v>
      </c>
      <c r="K4377" t="b">
        <v>1</v>
      </c>
    </row>
    <row r="4378" spans="8:11" x14ac:dyDescent="0.25">
      <c r="H4378">
        <v>33</v>
      </c>
      <c r="I4378">
        <v>170</v>
      </c>
      <c r="J4378">
        <v>115</v>
      </c>
      <c r="K4378" t="b">
        <v>1</v>
      </c>
    </row>
    <row r="4379" spans="8:11" x14ac:dyDescent="0.25">
      <c r="H4379">
        <v>33</v>
      </c>
      <c r="I4379">
        <v>172</v>
      </c>
      <c r="J4379">
        <v>115</v>
      </c>
      <c r="K4379" t="b">
        <v>1</v>
      </c>
    </row>
    <row r="4380" spans="8:11" x14ac:dyDescent="0.25">
      <c r="H4380">
        <v>33</v>
      </c>
      <c r="I4380">
        <v>174</v>
      </c>
      <c r="J4380">
        <v>115</v>
      </c>
      <c r="K4380" t="b">
        <v>1</v>
      </c>
    </row>
    <row r="4381" spans="8:11" x14ac:dyDescent="0.25">
      <c r="H4381">
        <v>33</v>
      </c>
      <c r="I4381">
        <v>176</v>
      </c>
      <c r="J4381">
        <v>115</v>
      </c>
      <c r="K4381" t="b">
        <v>1</v>
      </c>
    </row>
    <row r="4382" spans="8:11" x14ac:dyDescent="0.25">
      <c r="H4382">
        <v>33</v>
      </c>
      <c r="I4382">
        <v>178</v>
      </c>
      <c r="J4382">
        <v>115</v>
      </c>
      <c r="K4382" t="b">
        <v>1</v>
      </c>
    </row>
    <row r="4383" spans="8:11" x14ac:dyDescent="0.25">
      <c r="H4383">
        <v>33</v>
      </c>
      <c r="I4383">
        <v>180</v>
      </c>
      <c r="J4383">
        <v>115</v>
      </c>
      <c r="K4383" t="b">
        <v>1</v>
      </c>
    </row>
    <row r="4384" spans="8:11" x14ac:dyDescent="0.25">
      <c r="H4384">
        <v>33</v>
      </c>
      <c r="I4384">
        <v>182</v>
      </c>
      <c r="J4384">
        <v>115</v>
      </c>
      <c r="K4384" t="b">
        <v>1</v>
      </c>
    </row>
    <row r="4385" spans="8:11" x14ac:dyDescent="0.25">
      <c r="H4385">
        <v>33</v>
      </c>
      <c r="I4385">
        <v>184</v>
      </c>
      <c r="J4385">
        <v>115</v>
      </c>
      <c r="K4385" t="b">
        <v>1</v>
      </c>
    </row>
    <row r="4386" spans="8:11" x14ac:dyDescent="0.25">
      <c r="H4386">
        <v>33</v>
      </c>
      <c r="I4386">
        <v>186</v>
      </c>
      <c r="J4386">
        <v>115</v>
      </c>
      <c r="K4386" t="b">
        <v>1</v>
      </c>
    </row>
    <row r="4387" spans="8:11" x14ac:dyDescent="0.25">
      <c r="H4387">
        <v>33</v>
      </c>
      <c r="I4387">
        <v>188</v>
      </c>
      <c r="J4387">
        <v>115</v>
      </c>
      <c r="K4387" t="b">
        <v>1</v>
      </c>
    </row>
    <row r="4388" spans="8:11" x14ac:dyDescent="0.25">
      <c r="H4388">
        <v>33</v>
      </c>
      <c r="I4388">
        <v>190</v>
      </c>
      <c r="J4388">
        <v>115</v>
      </c>
      <c r="K4388" t="b">
        <v>1</v>
      </c>
    </row>
    <row r="4389" spans="8:11" x14ac:dyDescent="0.25">
      <c r="H4389">
        <v>33</v>
      </c>
      <c r="I4389">
        <v>192</v>
      </c>
      <c r="J4389">
        <v>115</v>
      </c>
      <c r="K4389" t="b">
        <v>1</v>
      </c>
    </row>
    <row r="4390" spans="8:11" x14ac:dyDescent="0.25">
      <c r="H4390">
        <v>33</v>
      </c>
      <c r="I4390">
        <v>194</v>
      </c>
      <c r="J4390">
        <v>115</v>
      </c>
      <c r="K4390" t="b">
        <v>1</v>
      </c>
    </row>
    <row r="4391" spans="8:11" x14ac:dyDescent="0.25">
      <c r="H4391">
        <v>33</v>
      </c>
      <c r="I4391">
        <v>196</v>
      </c>
      <c r="J4391">
        <v>115</v>
      </c>
      <c r="K4391" t="b">
        <v>1</v>
      </c>
    </row>
    <row r="4392" spans="8:11" x14ac:dyDescent="0.25">
      <c r="H4392">
        <v>33</v>
      </c>
      <c r="I4392">
        <v>198</v>
      </c>
      <c r="J4392">
        <v>115</v>
      </c>
      <c r="K4392" t="b">
        <v>1</v>
      </c>
    </row>
    <row r="4393" spans="8:11" x14ac:dyDescent="0.25">
      <c r="H4393">
        <v>33</v>
      </c>
      <c r="I4393">
        <v>200</v>
      </c>
      <c r="J4393">
        <v>115</v>
      </c>
      <c r="K4393" t="b">
        <v>1</v>
      </c>
    </row>
    <row r="4394" spans="8:11" x14ac:dyDescent="0.25">
      <c r="H4394">
        <v>33</v>
      </c>
      <c r="I4394">
        <v>202</v>
      </c>
      <c r="J4394">
        <v>115</v>
      </c>
      <c r="K4394" t="b">
        <v>1</v>
      </c>
    </row>
    <row r="4395" spans="8:11" x14ac:dyDescent="0.25">
      <c r="H4395">
        <v>33</v>
      </c>
      <c r="I4395">
        <v>204</v>
      </c>
      <c r="J4395">
        <v>115</v>
      </c>
      <c r="K4395" t="b">
        <v>1</v>
      </c>
    </row>
    <row r="4396" spans="8:11" x14ac:dyDescent="0.25">
      <c r="H4396">
        <v>33</v>
      </c>
      <c r="I4396">
        <v>206</v>
      </c>
      <c r="J4396">
        <v>115</v>
      </c>
      <c r="K4396" t="b">
        <v>1</v>
      </c>
    </row>
    <row r="4397" spans="8:11" x14ac:dyDescent="0.25">
      <c r="H4397">
        <v>33</v>
      </c>
      <c r="I4397">
        <v>208</v>
      </c>
      <c r="J4397">
        <v>115</v>
      </c>
      <c r="K4397" t="b">
        <v>1</v>
      </c>
    </row>
    <row r="4398" spans="8:11" x14ac:dyDescent="0.25">
      <c r="H4398">
        <v>33</v>
      </c>
      <c r="I4398">
        <v>210</v>
      </c>
      <c r="J4398">
        <v>115</v>
      </c>
      <c r="K4398" t="b">
        <v>1</v>
      </c>
    </row>
    <row r="4399" spans="8:11" x14ac:dyDescent="0.25">
      <c r="H4399">
        <v>33</v>
      </c>
      <c r="I4399">
        <v>212</v>
      </c>
      <c r="J4399">
        <v>115</v>
      </c>
      <c r="K4399" t="b">
        <v>1</v>
      </c>
    </row>
    <row r="4400" spans="8:11" x14ac:dyDescent="0.25">
      <c r="H4400">
        <v>33</v>
      </c>
      <c r="I4400">
        <v>214</v>
      </c>
      <c r="J4400">
        <v>115</v>
      </c>
      <c r="K4400" t="b">
        <v>1</v>
      </c>
    </row>
    <row r="4401" spans="8:11" x14ac:dyDescent="0.25">
      <c r="H4401">
        <v>33</v>
      </c>
      <c r="I4401">
        <v>216</v>
      </c>
      <c r="J4401">
        <v>115</v>
      </c>
      <c r="K4401" t="b">
        <v>1</v>
      </c>
    </row>
    <row r="4402" spans="8:11" x14ac:dyDescent="0.25">
      <c r="H4402">
        <v>33</v>
      </c>
      <c r="I4402">
        <v>218</v>
      </c>
      <c r="J4402">
        <v>115</v>
      </c>
      <c r="K4402" t="b">
        <v>1</v>
      </c>
    </row>
    <row r="4403" spans="8:11" x14ac:dyDescent="0.25">
      <c r="H4403">
        <v>33</v>
      </c>
      <c r="I4403">
        <v>220</v>
      </c>
      <c r="J4403">
        <v>115</v>
      </c>
      <c r="K4403" t="b">
        <v>1</v>
      </c>
    </row>
    <row r="4404" spans="8:11" x14ac:dyDescent="0.25">
      <c r="H4404">
        <v>33</v>
      </c>
      <c r="I4404">
        <v>222</v>
      </c>
      <c r="J4404">
        <v>115</v>
      </c>
      <c r="K4404" t="b">
        <v>1</v>
      </c>
    </row>
    <row r="4405" spans="8:11" x14ac:dyDescent="0.25">
      <c r="H4405">
        <v>33</v>
      </c>
      <c r="I4405">
        <v>224</v>
      </c>
      <c r="J4405">
        <v>115</v>
      </c>
      <c r="K4405" t="b">
        <v>1</v>
      </c>
    </row>
    <row r="4406" spans="8:11" x14ac:dyDescent="0.25">
      <c r="H4406">
        <v>33</v>
      </c>
      <c r="I4406">
        <v>226</v>
      </c>
      <c r="J4406">
        <v>115</v>
      </c>
      <c r="K4406" t="b">
        <v>1</v>
      </c>
    </row>
    <row r="4407" spans="8:11" x14ac:dyDescent="0.25">
      <c r="H4407">
        <v>33</v>
      </c>
      <c r="I4407">
        <v>228</v>
      </c>
      <c r="J4407">
        <v>115</v>
      </c>
      <c r="K4407" t="b">
        <v>1</v>
      </c>
    </row>
    <row r="4408" spans="8:11" x14ac:dyDescent="0.25">
      <c r="H4408">
        <v>33</v>
      </c>
      <c r="I4408">
        <v>230</v>
      </c>
      <c r="J4408">
        <v>115</v>
      </c>
      <c r="K4408" t="b">
        <v>1</v>
      </c>
    </row>
    <row r="4409" spans="8:11" x14ac:dyDescent="0.25">
      <c r="H4409">
        <v>33</v>
      </c>
      <c r="I4409">
        <v>232</v>
      </c>
      <c r="J4409">
        <v>115</v>
      </c>
      <c r="K4409" t="b">
        <v>1</v>
      </c>
    </row>
    <row r="4410" spans="8:11" x14ac:dyDescent="0.25">
      <c r="H4410">
        <v>33</v>
      </c>
      <c r="I4410">
        <v>234</v>
      </c>
      <c r="J4410">
        <v>115</v>
      </c>
      <c r="K4410" t="b">
        <v>1</v>
      </c>
    </row>
    <row r="4411" spans="8:11" x14ac:dyDescent="0.25">
      <c r="H4411">
        <v>33</v>
      </c>
      <c r="I4411">
        <v>236</v>
      </c>
      <c r="J4411">
        <v>115</v>
      </c>
      <c r="K4411" t="b">
        <v>1</v>
      </c>
    </row>
    <row r="4412" spans="8:11" x14ac:dyDescent="0.25">
      <c r="H4412">
        <v>33</v>
      </c>
      <c r="I4412">
        <v>238</v>
      </c>
      <c r="J4412">
        <v>115</v>
      </c>
      <c r="K4412" t="b">
        <v>1</v>
      </c>
    </row>
    <row r="4413" spans="8:11" x14ac:dyDescent="0.25">
      <c r="H4413">
        <v>33</v>
      </c>
      <c r="I4413">
        <v>240</v>
      </c>
      <c r="J4413">
        <v>115</v>
      </c>
      <c r="K4413" t="b">
        <v>1</v>
      </c>
    </row>
    <row r="4414" spans="8:11" x14ac:dyDescent="0.25">
      <c r="H4414">
        <v>33</v>
      </c>
      <c r="I4414">
        <v>242</v>
      </c>
      <c r="J4414">
        <v>115</v>
      </c>
      <c r="K4414" t="b">
        <v>1</v>
      </c>
    </row>
    <row r="4415" spans="8:11" x14ac:dyDescent="0.25">
      <c r="H4415">
        <v>33</v>
      </c>
      <c r="I4415">
        <v>244</v>
      </c>
      <c r="J4415">
        <v>115</v>
      </c>
      <c r="K4415" t="b">
        <v>1</v>
      </c>
    </row>
    <row r="4416" spans="8:11" x14ac:dyDescent="0.25">
      <c r="H4416">
        <v>33</v>
      </c>
      <c r="I4416">
        <v>246</v>
      </c>
      <c r="J4416">
        <v>115</v>
      </c>
      <c r="K4416" t="b">
        <v>1</v>
      </c>
    </row>
    <row r="4417" spans="8:11" x14ac:dyDescent="0.25">
      <c r="H4417">
        <v>33</v>
      </c>
      <c r="I4417">
        <v>248</v>
      </c>
      <c r="J4417">
        <v>115</v>
      </c>
      <c r="K4417" t="b">
        <v>1</v>
      </c>
    </row>
    <row r="4418" spans="8:11" x14ac:dyDescent="0.25">
      <c r="H4418">
        <v>33</v>
      </c>
      <c r="I4418">
        <v>250</v>
      </c>
      <c r="J4418">
        <v>115</v>
      </c>
      <c r="K4418" t="b">
        <v>1</v>
      </c>
    </row>
    <row r="4419" spans="8:11" x14ac:dyDescent="0.25">
      <c r="H4419">
        <v>33</v>
      </c>
      <c r="I4419">
        <v>252</v>
      </c>
      <c r="J4419">
        <v>115</v>
      </c>
      <c r="K4419" t="b">
        <v>1</v>
      </c>
    </row>
    <row r="4420" spans="8:11" x14ac:dyDescent="0.25">
      <c r="H4420">
        <v>33</v>
      </c>
      <c r="I4420">
        <v>254</v>
      </c>
      <c r="J4420">
        <v>115</v>
      </c>
      <c r="K4420" t="b">
        <v>1</v>
      </c>
    </row>
    <row r="4421" spans="8:11" x14ac:dyDescent="0.25">
      <c r="H4421">
        <v>33</v>
      </c>
      <c r="I4421">
        <v>256</v>
      </c>
      <c r="J4421">
        <v>115</v>
      </c>
      <c r="K4421" t="b">
        <v>1</v>
      </c>
    </row>
    <row r="4422" spans="8:11" x14ac:dyDescent="0.25">
      <c r="H4422">
        <v>33</v>
      </c>
      <c r="I4422">
        <v>258</v>
      </c>
      <c r="J4422">
        <v>115</v>
      </c>
      <c r="K4422" t="b">
        <v>1</v>
      </c>
    </row>
    <row r="4423" spans="8:11" x14ac:dyDescent="0.25">
      <c r="H4423">
        <v>33</v>
      </c>
      <c r="I4423">
        <v>260</v>
      </c>
      <c r="J4423">
        <v>115</v>
      </c>
      <c r="K4423" t="b">
        <v>1</v>
      </c>
    </row>
    <row r="4424" spans="8:11" x14ac:dyDescent="0.25">
      <c r="H4424">
        <v>33</v>
      </c>
      <c r="I4424">
        <v>262</v>
      </c>
      <c r="J4424">
        <v>115</v>
      </c>
      <c r="K4424" t="b">
        <v>1</v>
      </c>
    </row>
    <row r="4425" spans="8:11" x14ac:dyDescent="0.25">
      <c r="H4425">
        <v>33</v>
      </c>
      <c r="I4425">
        <v>264</v>
      </c>
      <c r="J4425">
        <v>115</v>
      </c>
      <c r="K4425" t="b">
        <v>1</v>
      </c>
    </row>
    <row r="4426" spans="8:11" x14ac:dyDescent="0.25">
      <c r="H4426">
        <v>33</v>
      </c>
      <c r="I4426">
        <v>266</v>
      </c>
      <c r="J4426">
        <v>115</v>
      </c>
      <c r="K4426" t="b">
        <v>1</v>
      </c>
    </row>
    <row r="4427" spans="8:11" x14ac:dyDescent="0.25">
      <c r="H4427">
        <v>33</v>
      </c>
      <c r="I4427">
        <v>268</v>
      </c>
      <c r="J4427">
        <v>115</v>
      </c>
      <c r="K4427" t="b">
        <v>1</v>
      </c>
    </row>
    <row r="4428" spans="8:11" x14ac:dyDescent="0.25">
      <c r="H4428">
        <v>33</v>
      </c>
      <c r="I4428">
        <v>270</v>
      </c>
      <c r="J4428">
        <v>115</v>
      </c>
      <c r="K4428" t="b">
        <v>1</v>
      </c>
    </row>
    <row r="4429" spans="8:11" x14ac:dyDescent="0.25">
      <c r="H4429">
        <v>33</v>
      </c>
      <c r="I4429">
        <v>272</v>
      </c>
      <c r="J4429">
        <v>115</v>
      </c>
      <c r="K4429" t="b">
        <v>1</v>
      </c>
    </row>
    <row r="4430" spans="8:11" x14ac:dyDescent="0.25">
      <c r="H4430">
        <v>33</v>
      </c>
      <c r="I4430">
        <v>274</v>
      </c>
      <c r="J4430">
        <v>115</v>
      </c>
      <c r="K4430" t="b">
        <v>1</v>
      </c>
    </row>
    <row r="4431" spans="8:11" x14ac:dyDescent="0.25">
      <c r="H4431">
        <v>33</v>
      </c>
      <c r="I4431">
        <v>276</v>
      </c>
      <c r="J4431">
        <v>115</v>
      </c>
      <c r="K4431" t="b">
        <v>1</v>
      </c>
    </row>
    <row r="4432" spans="8:11" x14ac:dyDescent="0.25">
      <c r="H4432">
        <v>33</v>
      </c>
      <c r="I4432">
        <v>278</v>
      </c>
      <c r="J4432">
        <v>115</v>
      </c>
      <c r="K4432" t="b">
        <v>1</v>
      </c>
    </row>
    <row r="4433" spans="8:11" x14ac:dyDescent="0.25">
      <c r="H4433">
        <v>33</v>
      </c>
      <c r="I4433">
        <v>280</v>
      </c>
      <c r="J4433">
        <v>115</v>
      </c>
      <c r="K4433" t="b">
        <v>1</v>
      </c>
    </row>
    <row r="4434" spans="8:11" x14ac:dyDescent="0.25">
      <c r="H4434">
        <v>33</v>
      </c>
      <c r="I4434">
        <v>282</v>
      </c>
      <c r="J4434">
        <v>115</v>
      </c>
      <c r="K4434" t="b">
        <v>1</v>
      </c>
    </row>
    <row r="4435" spans="8:11" x14ac:dyDescent="0.25">
      <c r="H4435">
        <v>33</v>
      </c>
      <c r="I4435">
        <v>284</v>
      </c>
      <c r="J4435">
        <v>115</v>
      </c>
      <c r="K4435" t="b">
        <v>1</v>
      </c>
    </row>
    <row r="4436" spans="8:11" x14ac:dyDescent="0.25">
      <c r="H4436">
        <v>33</v>
      </c>
      <c r="I4436">
        <v>286</v>
      </c>
      <c r="J4436">
        <v>115</v>
      </c>
      <c r="K4436" t="b">
        <v>1</v>
      </c>
    </row>
    <row r="4437" spans="8:11" x14ac:dyDescent="0.25">
      <c r="H4437">
        <v>33</v>
      </c>
      <c r="I4437">
        <v>288</v>
      </c>
      <c r="J4437">
        <v>115</v>
      </c>
      <c r="K4437" t="b">
        <v>1</v>
      </c>
    </row>
    <row r="4438" spans="8:11" x14ac:dyDescent="0.25">
      <c r="H4438">
        <v>33</v>
      </c>
      <c r="I4438">
        <v>290</v>
      </c>
      <c r="J4438">
        <v>115</v>
      </c>
      <c r="K4438" t="b">
        <v>1</v>
      </c>
    </row>
    <row r="4439" spans="8:11" x14ac:dyDescent="0.25">
      <c r="H4439">
        <v>33</v>
      </c>
      <c r="I4439">
        <v>292</v>
      </c>
      <c r="J4439">
        <v>115</v>
      </c>
      <c r="K4439" t="b">
        <v>1</v>
      </c>
    </row>
    <row r="4440" spans="8:11" x14ac:dyDescent="0.25">
      <c r="H4440">
        <v>33</v>
      </c>
      <c r="I4440">
        <v>294</v>
      </c>
      <c r="J4440">
        <v>115</v>
      </c>
      <c r="K4440" t="b">
        <v>1</v>
      </c>
    </row>
    <row r="4441" spans="8:11" x14ac:dyDescent="0.25">
      <c r="H4441">
        <v>33</v>
      </c>
      <c r="I4441">
        <v>296</v>
      </c>
      <c r="J4441">
        <v>115</v>
      </c>
      <c r="K4441" t="b">
        <v>1</v>
      </c>
    </row>
    <row r="4442" spans="8:11" x14ac:dyDescent="0.25">
      <c r="H4442">
        <v>33</v>
      </c>
      <c r="I4442">
        <v>298</v>
      </c>
      <c r="J4442">
        <v>115</v>
      </c>
      <c r="K4442" t="b">
        <v>1</v>
      </c>
    </row>
    <row r="4443" spans="8:11" x14ac:dyDescent="0.25">
      <c r="H4443">
        <v>33</v>
      </c>
      <c r="I4443">
        <v>300</v>
      </c>
      <c r="J4443">
        <v>115</v>
      </c>
      <c r="K4443" t="b">
        <v>1</v>
      </c>
    </row>
    <row r="4444" spans="8:11" x14ac:dyDescent="0.25">
      <c r="H4444">
        <v>33</v>
      </c>
      <c r="I4444">
        <v>302</v>
      </c>
      <c r="J4444">
        <v>115</v>
      </c>
      <c r="K4444" t="b">
        <v>1</v>
      </c>
    </row>
    <row r="4445" spans="8:11" x14ac:dyDescent="0.25">
      <c r="H4445">
        <v>33</v>
      </c>
      <c r="I4445">
        <v>304</v>
      </c>
      <c r="J4445">
        <v>115</v>
      </c>
      <c r="K4445" t="b">
        <v>1</v>
      </c>
    </row>
    <row r="4446" spans="8:11" x14ac:dyDescent="0.25">
      <c r="H4446">
        <v>33</v>
      </c>
      <c r="I4446">
        <v>306</v>
      </c>
      <c r="J4446">
        <v>115</v>
      </c>
      <c r="K4446" t="b">
        <v>1</v>
      </c>
    </row>
    <row r="4447" spans="8:11" x14ac:dyDescent="0.25">
      <c r="H4447">
        <v>33</v>
      </c>
      <c r="I4447">
        <v>308</v>
      </c>
      <c r="J4447">
        <v>115</v>
      </c>
      <c r="K4447" t="b">
        <v>1</v>
      </c>
    </row>
    <row r="4448" spans="8:11" x14ac:dyDescent="0.25">
      <c r="H4448">
        <v>33</v>
      </c>
      <c r="I4448">
        <v>310</v>
      </c>
      <c r="J4448">
        <v>115</v>
      </c>
      <c r="K4448" t="b">
        <v>1</v>
      </c>
    </row>
    <row r="4449" spans="8:11" x14ac:dyDescent="0.25">
      <c r="H4449">
        <v>33</v>
      </c>
      <c r="I4449">
        <v>312</v>
      </c>
      <c r="J4449">
        <v>115</v>
      </c>
      <c r="K4449" t="b">
        <v>1</v>
      </c>
    </row>
    <row r="4450" spans="8:11" x14ac:dyDescent="0.25">
      <c r="H4450">
        <v>33</v>
      </c>
      <c r="I4450">
        <v>314</v>
      </c>
      <c r="J4450">
        <v>115</v>
      </c>
      <c r="K4450" t="b">
        <v>1</v>
      </c>
    </row>
    <row r="4451" spans="8:11" x14ac:dyDescent="0.25">
      <c r="H4451">
        <v>33</v>
      </c>
      <c r="I4451">
        <v>316</v>
      </c>
      <c r="J4451">
        <v>115</v>
      </c>
      <c r="K4451" t="b">
        <v>1</v>
      </c>
    </row>
    <row r="4452" spans="8:11" x14ac:dyDescent="0.25">
      <c r="H4452">
        <v>33</v>
      </c>
      <c r="I4452">
        <v>318</v>
      </c>
      <c r="J4452">
        <v>115</v>
      </c>
      <c r="K4452" t="b">
        <v>1</v>
      </c>
    </row>
    <row r="4453" spans="8:11" x14ac:dyDescent="0.25">
      <c r="H4453">
        <v>33</v>
      </c>
      <c r="I4453">
        <v>320</v>
      </c>
      <c r="J4453">
        <v>115</v>
      </c>
      <c r="K4453" t="b">
        <v>1</v>
      </c>
    </row>
    <row r="4454" spans="8:11" x14ac:dyDescent="0.25">
      <c r="H4454">
        <v>33</v>
      </c>
      <c r="I4454">
        <v>322</v>
      </c>
      <c r="J4454">
        <v>115</v>
      </c>
      <c r="K4454" t="b">
        <v>1</v>
      </c>
    </row>
    <row r="4455" spans="8:11" x14ac:dyDescent="0.25">
      <c r="H4455">
        <v>33</v>
      </c>
      <c r="I4455">
        <v>324</v>
      </c>
      <c r="J4455">
        <v>115</v>
      </c>
      <c r="K4455" t="b">
        <v>1</v>
      </c>
    </row>
    <row r="4456" spans="8:11" x14ac:dyDescent="0.25">
      <c r="H4456">
        <v>33</v>
      </c>
      <c r="I4456">
        <v>326</v>
      </c>
      <c r="J4456">
        <v>115</v>
      </c>
      <c r="K4456" t="b">
        <v>1</v>
      </c>
    </row>
    <row r="4457" spans="8:11" x14ac:dyDescent="0.25">
      <c r="H4457">
        <v>33</v>
      </c>
      <c r="I4457">
        <v>328</v>
      </c>
      <c r="J4457">
        <v>115</v>
      </c>
      <c r="K4457" t="b">
        <v>1</v>
      </c>
    </row>
    <row r="4458" spans="8:11" x14ac:dyDescent="0.25">
      <c r="H4458">
        <v>33</v>
      </c>
      <c r="I4458">
        <v>330</v>
      </c>
      <c r="J4458">
        <v>115</v>
      </c>
      <c r="K4458" t="b">
        <v>1</v>
      </c>
    </row>
    <row r="4459" spans="8:11" x14ac:dyDescent="0.25">
      <c r="H4459">
        <v>33</v>
      </c>
      <c r="I4459">
        <v>332</v>
      </c>
      <c r="J4459">
        <v>115</v>
      </c>
      <c r="K4459" t="b">
        <v>1</v>
      </c>
    </row>
    <row r="4460" spans="8:11" x14ac:dyDescent="0.25">
      <c r="H4460">
        <v>33</v>
      </c>
      <c r="I4460">
        <v>334</v>
      </c>
      <c r="J4460">
        <v>115</v>
      </c>
      <c r="K4460" t="b">
        <v>1</v>
      </c>
    </row>
    <row r="4461" spans="8:11" x14ac:dyDescent="0.25">
      <c r="H4461">
        <v>33</v>
      </c>
      <c r="I4461">
        <v>336</v>
      </c>
      <c r="J4461">
        <v>115</v>
      </c>
      <c r="K4461" t="b">
        <v>1</v>
      </c>
    </row>
    <row r="4462" spans="8:11" x14ac:dyDescent="0.25">
      <c r="H4462">
        <v>33</v>
      </c>
      <c r="I4462">
        <v>338</v>
      </c>
      <c r="J4462">
        <v>115</v>
      </c>
      <c r="K4462" t="b">
        <v>1</v>
      </c>
    </row>
    <row r="4463" spans="8:11" x14ac:dyDescent="0.25">
      <c r="H4463">
        <v>33</v>
      </c>
      <c r="I4463">
        <v>340</v>
      </c>
      <c r="J4463">
        <v>115</v>
      </c>
      <c r="K4463" t="b">
        <v>1</v>
      </c>
    </row>
    <row r="4464" spans="8:11" x14ac:dyDescent="0.25">
      <c r="H4464">
        <v>33</v>
      </c>
      <c r="I4464">
        <v>342</v>
      </c>
      <c r="J4464">
        <v>115</v>
      </c>
      <c r="K4464" t="b">
        <v>1</v>
      </c>
    </row>
    <row r="4465" spans="8:11" x14ac:dyDescent="0.25">
      <c r="H4465">
        <v>33</v>
      </c>
      <c r="I4465">
        <v>344</v>
      </c>
      <c r="J4465">
        <v>115</v>
      </c>
      <c r="K4465" t="b">
        <v>1</v>
      </c>
    </row>
    <row r="4466" spans="8:11" x14ac:dyDescent="0.25">
      <c r="H4466">
        <v>33</v>
      </c>
      <c r="I4466">
        <v>346</v>
      </c>
      <c r="J4466">
        <v>115</v>
      </c>
      <c r="K4466" t="b">
        <v>1</v>
      </c>
    </row>
    <row r="4467" spans="8:11" x14ac:dyDescent="0.25">
      <c r="H4467">
        <v>33</v>
      </c>
      <c r="I4467">
        <v>348</v>
      </c>
      <c r="J4467">
        <v>115</v>
      </c>
      <c r="K4467" t="b">
        <v>1</v>
      </c>
    </row>
    <row r="4468" spans="8:11" x14ac:dyDescent="0.25">
      <c r="H4468">
        <v>33</v>
      </c>
      <c r="I4468">
        <v>350</v>
      </c>
      <c r="J4468">
        <v>115</v>
      </c>
      <c r="K4468" t="b">
        <v>1</v>
      </c>
    </row>
    <row r="4469" spans="8:11" x14ac:dyDescent="0.25">
      <c r="H4469">
        <v>33</v>
      </c>
      <c r="I4469">
        <v>352</v>
      </c>
      <c r="J4469">
        <v>115</v>
      </c>
      <c r="K4469" t="b">
        <v>1</v>
      </c>
    </row>
    <row r="4470" spans="8:11" x14ac:dyDescent="0.25">
      <c r="H4470">
        <v>33</v>
      </c>
      <c r="I4470">
        <v>354</v>
      </c>
      <c r="J4470">
        <v>115</v>
      </c>
      <c r="K4470" t="b">
        <v>1</v>
      </c>
    </row>
    <row r="4471" spans="8:11" x14ac:dyDescent="0.25">
      <c r="H4471">
        <v>33</v>
      </c>
      <c r="I4471">
        <v>356</v>
      </c>
      <c r="J4471">
        <v>115</v>
      </c>
      <c r="K4471" t="b">
        <v>1</v>
      </c>
    </row>
    <row r="4472" spans="8:11" x14ac:dyDescent="0.25">
      <c r="H4472">
        <v>33</v>
      </c>
      <c r="I4472">
        <v>358</v>
      </c>
      <c r="J4472">
        <v>115</v>
      </c>
      <c r="K4472" t="b">
        <v>1</v>
      </c>
    </row>
    <row r="4473" spans="8:11" x14ac:dyDescent="0.25">
      <c r="H4473">
        <v>33</v>
      </c>
      <c r="I4473">
        <v>360</v>
      </c>
      <c r="J4473">
        <v>115</v>
      </c>
      <c r="K4473" t="b">
        <v>1</v>
      </c>
    </row>
    <row r="4474" spans="8:11" x14ac:dyDescent="0.25">
      <c r="H4474">
        <v>33</v>
      </c>
      <c r="I4474">
        <v>362</v>
      </c>
      <c r="J4474">
        <v>115</v>
      </c>
      <c r="K4474" t="b">
        <v>1</v>
      </c>
    </row>
    <row r="4475" spans="8:11" x14ac:dyDescent="0.25">
      <c r="H4475">
        <v>33</v>
      </c>
      <c r="I4475">
        <v>364</v>
      </c>
      <c r="J4475">
        <v>115</v>
      </c>
      <c r="K4475" t="b">
        <v>1</v>
      </c>
    </row>
    <row r="4476" spans="8:11" x14ac:dyDescent="0.25">
      <c r="H4476">
        <v>33</v>
      </c>
      <c r="I4476">
        <v>366</v>
      </c>
      <c r="J4476">
        <v>115</v>
      </c>
      <c r="K4476" t="b">
        <v>1</v>
      </c>
    </row>
    <row r="4477" spans="8:11" x14ac:dyDescent="0.25">
      <c r="H4477">
        <v>33</v>
      </c>
      <c r="I4477">
        <v>368</v>
      </c>
      <c r="J4477">
        <v>115</v>
      </c>
      <c r="K4477" t="b">
        <v>1</v>
      </c>
    </row>
    <row r="4478" spans="8:11" x14ac:dyDescent="0.25">
      <c r="H4478">
        <v>33</v>
      </c>
      <c r="I4478">
        <v>370</v>
      </c>
      <c r="J4478">
        <v>115</v>
      </c>
      <c r="K4478" t="b">
        <v>1</v>
      </c>
    </row>
    <row r="4479" spans="8:11" x14ac:dyDescent="0.25">
      <c r="H4479">
        <v>33</v>
      </c>
      <c r="I4479">
        <v>372</v>
      </c>
      <c r="J4479">
        <v>115</v>
      </c>
      <c r="K4479" t="b">
        <v>1</v>
      </c>
    </row>
    <row r="4480" spans="8:11" x14ac:dyDescent="0.25">
      <c r="H4480">
        <v>33</v>
      </c>
      <c r="I4480">
        <v>374</v>
      </c>
      <c r="J4480">
        <v>115</v>
      </c>
      <c r="K4480" t="b">
        <v>1</v>
      </c>
    </row>
    <row r="4481" spans="8:11" x14ac:dyDescent="0.25">
      <c r="H4481">
        <v>33</v>
      </c>
      <c r="I4481">
        <v>376</v>
      </c>
      <c r="J4481">
        <v>115</v>
      </c>
      <c r="K4481" t="b">
        <v>1</v>
      </c>
    </row>
    <row r="4482" spans="8:11" x14ac:dyDescent="0.25">
      <c r="H4482">
        <v>33</v>
      </c>
      <c r="I4482">
        <v>378</v>
      </c>
      <c r="J4482">
        <v>115</v>
      </c>
      <c r="K4482" t="b">
        <v>1</v>
      </c>
    </row>
    <row r="4483" spans="8:11" x14ac:dyDescent="0.25">
      <c r="H4483">
        <v>33</v>
      </c>
      <c r="I4483">
        <v>380</v>
      </c>
      <c r="J4483">
        <v>115</v>
      </c>
      <c r="K4483" t="b">
        <v>1</v>
      </c>
    </row>
    <row r="4484" spans="8:11" x14ac:dyDescent="0.25">
      <c r="H4484">
        <v>33</v>
      </c>
      <c r="I4484">
        <v>382</v>
      </c>
      <c r="J4484">
        <v>115</v>
      </c>
      <c r="K4484" t="b">
        <v>1</v>
      </c>
    </row>
    <row r="4485" spans="8:11" x14ac:dyDescent="0.25">
      <c r="H4485">
        <v>33</v>
      </c>
      <c r="I4485">
        <v>384</v>
      </c>
      <c r="J4485">
        <v>115</v>
      </c>
      <c r="K4485" t="b">
        <v>1</v>
      </c>
    </row>
    <row r="4486" spans="8:11" x14ac:dyDescent="0.25">
      <c r="H4486">
        <v>33</v>
      </c>
      <c r="I4486">
        <v>386</v>
      </c>
      <c r="J4486">
        <v>115</v>
      </c>
      <c r="K4486" t="b">
        <v>1</v>
      </c>
    </row>
    <row r="4487" spans="8:11" x14ac:dyDescent="0.25">
      <c r="H4487">
        <v>33</v>
      </c>
      <c r="I4487">
        <v>388</v>
      </c>
      <c r="J4487">
        <v>115</v>
      </c>
      <c r="K4487" t="b">
        <v>1</v>
      </c>
    </row>
    <row r="4488" spans="8:11" x14ac:dyDescent="0.25">
      <c r="H4488">
        <v>33</v>
      </c>
      <c r="I4488">
        <v>390</v>
      </c>
      <c r="J4488">
        <v>115</v>
      </c>
      <c r="K4488" t="b">
        <v>1</v>
      </c>
    </row>
    <row r="4489" spans="8:11" x14ac:dyDescent="0.25">
      <c r="H4489">
        <v>33</v>
      </c>
      <c r="I4489">
        <v>392</v>
      </c>
      <c r="J4489">
        <v>115</v>
      </c>
      <c r="K4489" t="b">
        <v>1</v>
      </c>
    </row>
    <row r="4490" spans="8:11" x14ac:dyDescent="0.25">
      <c r="H4490">
        <v>33</v>
      </c>
      <c r="I4490">
        <v>394</v>
      </c>
      <c r="J4490">
        <v>115</v>
      </c>
      <c r="K4490" t="b">
        <v>1</v>
      </c>
    </row>
    <row r="4491" spans="8:11" x14ac:dyDescent="0.25">
      <c r="H4491">
        <v>33</v>
      </c>
      <c r="I4491">
        <v>396</v>
      </c>
      <c r="J4491">
        <v>115</v>
      </c>
      <c r="K4491" t="b">
        <v>1</v>
      </c>
    </row>
    <row r="4492" spans="8:11" x14ac:dyDescent="0.25">
      <c r="H4492">
        <v>33</v>
      </c>
      <c r="I4492">
        <v>398</v>
      </c>
      <c r="J4492">
        <v>115</v>
      </c>
      <c r="K4492" t="b">
        <v>1</v>
      </c>
    </row>
    <row r="4493" spans="8:11" x14ac:dyDescent="0.25">
      <c r="H4493">
        <v>33</v>
      </c>
      <c r="I4493">
        <v>400</v>
      </c>
      <c r="J4493">
        <v>115</v>
      </c>
      <c r="K4493" t="b">
        <v>1</v>
      </c>
    </row>
    <row r="4494" spans="8:11" x14ac:dyDescent="0.25">
      <c r="H4494">
        <v>33</v>
      </c>
      <c r="I4494">
        <v>402</v>
      </c>
      <c r="J4494">
        <v>115</v>
      </c>
      <c r="K4494" t="b">
        <v>1</v>
      </c>
    </row>
    <row r="4495" spans="8:11" x14ac:dyDescent="0.25">
      <c r="H4495">
        <v>33</v>
      </c>
      <c r="I4495">
        <v>404</v>
      </c>
      <c r="J4495">
        <v>115</v>
      </c>
      <c r="K4495" t="b">
        <v>1</v>
      </c>
    </row>
    <row r="4496" spans="8:11" x14ac:dyDescent="0.25">
      <c r="H4496">
        <v>33</v>
      </c>
      <c r="I4496">
        <v>406</v>
      </c>
      <c r="J4496">
        <v>115</v>
      </c>
      <c r="K4496" t="b">
        <v>1</v>
      </c>
    </row>
    <row r="4497" spans="8:11" x14ac:dyDescent="0.25">
      <c r="H4497">
        <v>33</v>
      </c>
      <c r="I4497">
        <v>408</v>
      </c>
      <c r="J4497">
        <v>115</v>
      </c>
      <c r="K4497" t="b">
        <v>1</v>
      </c>
    </row>
    <row r="4498" spans="8:11" x14ac:dyDescent="0.25">
      <c r="H4498">
        <v>33</v>
      </c>
      <c r="I4498">
        <v>410</v>
      </c>
      <c r="J4498">
        <v>115</v>
      </c>
      <c r="K4498" t="b">
        <v>1</v>
      </c>
    </row>
    <row r="4499" spans="8:11" x14ac:dyDescent="0.25">
      <c r="H4499">
        <v>33</v>
      </c>
      <c r="I4499">
        <v>412</v>
      </c>
      <c r="J4499">
        <v>115</v>
      </c>
      <c r="K4499" t="b">
        <v>1</v>
      </c>
    </row>
    <row r="4500" spans="8:11" x14ac:dyDescent="0.25">
      <c r="H4500">
        <v>33</v>
      </c>
      <c r="I4500">
        <v>414</v>
      </c>
      <c r="J4500">
        <v>115</v>
      </c>
      <c r="K4500" t="b">
        <v>1</v>
      </c>
    </row>
    <row r="4501" spans="8:11" x14ac:dyDescent="0.25">
      <c r="H4501">
        <v>33</v>
      </c>
      <c r="I4501">
        <v>416</v>
      </c>
      <c r="J4501">
        <v>115</v>
      </c>
      <c r="K4501" t="b">
        <v>1</v>
      </c>
    </row>
    <row r="4502" spans="8:11" x14ac:dyDescent="0.25">
      <c r="H4502">
        <v>33</v>
      </c>
      <c r="I4502">
        <v>418</v>
      </c>
      <c r="J4502">
        <v>115</v>
      </c>
      <c r="K4502" t="b">
        <v>1</v>
      </c>
    </row>
    <row r="4503" spans="8:11" x14ac:dyDescent="0.25">
      <c r="H4503">
        <v>33</v>
      </c>
      <c r="I4503">
        <v>420</v>
      </c>
      <c r="J4503">
        <v>115</v>
      </c>
      <c r="K4503" t="b">
        <v>1</v>
      </c>
    </row>
    <row r="4504" spans="8:11" x14ac:dyDescent="0.25">
      <c r="H4504">
        <v>33</v>
      </c>
      <c r="I4504">
        <v>422</v>
      </c>
      <c r="J4504">
        <v>115</v>
      </c>
      <c r="K4504" t="b">
        <v>1</v>
      </c>
    </row>
    <row r="4505" spans="8:11" x14ac:dyDescent="0.25">
      <c r="H4505">
        <v>33</v>
      </c>
      <c r="I4505">
        <v>424</v>
      </c>
      <c r="J4505">
        <v>115</v>
      </c>
      <c r="K4505" t="b">
        <v>1</v>
      </c>
    </row>
    <row r="4506" spans="8:11" x14ac:dyDescent="0.25">
      <c r="H4506">
        <v>33</v>
      </c>
      <c r="I4506">
        <v>426</v>
      </c>
      <c r="J4506">
        <v>115</v>
      </c>
      <c r="K4506" t="b">
        <v>1</v>
      </c>
    </row>
    <row r="4507" spans="8:11" x14ac:dyDescent="0.25">
      <c r="H4507">
        <v>33</v>
      </c>
      <c r="I4507">
        <v>428</v>
      </c>
      <c r="J4507">
        <v>115</v>
      </c>
      <c r="K4507" t="b">
        <v>1</v>
      </c>
    </row>
    <row r="4508" spans="8:11" x14ac:dyDescent="0.25">
      <c r="H4508">
        <v>33</v>
      </c>
      <c r="I4508">
        <v>430</v>
      </c>
      <c r="J4508">
        <v>115</v>
      </c>
      <c r="K4508" t="b">
        <v>1</v>
      </c>
    </row>
    <row r="4509" spans="8:11" x14ac:dyDescent="0.25">
      <c r="H4509">
        <v>33</v>
      </c>
      <c r="I4509">
        <v>432</v>
      </c>
      <c r="J4509">
        <v>115</v>
      </c>
      <c r="K4509" t="b">
        <v>1</v>
      </c>
    </row>
    <row r="4510" spans="8:11" x14ac:dyDescent="0.25">
      <c r="H4510">
        <v>33</v>
      </c>
      <c r="I4510">
        <v>434</v>
      </c>
      <c r="J4510">
        <v>115</v>
      </c>
      <c r="K4510" t="b">
        <v>1</v>
      </c>
    </row>
    <row r="4511" spans="8:11" x14ac:dyDescent="0.25">
      <c r="H4511">
        <v>33</v>
      </c>
      <c r="I4511">
        <v>436</v>
      </c>
      <c r="J4511">
        <v>115</v>
      </c>
      <c r="K4511" t="b">
        <v>1</v>
      </c>
    </row>
    <row r="4512" spans="8:11" x14ac:dyDescent="0.25">
      <c r="H4512">
        <v>33</v>
      </c>
      <c r="I4512">
        <v>438</v>
      </c>
      <c r="J4512">
        <v>115</v>
      </c>
      <c r="K4512" t="b">
        <v>1</v>
      </c>
    </row>
    <row r="4513" spans="8:11" x14ac:dyDescent="0.25">
      <c r="H4513">
        <v>33</v>
      </c>
      <c r="I4513">
        <v>440</v>
      </c>
      <c r="J4513">
        <v>115</v>
      </c>
      <c r="K4513" t="b">
        <v>1</v>
      </c>
    </row>
    <row r="4514" spans="8:11" x14ac:dyDescent="0.25">
      <c r="H4514">
        <v>33</v>
      </c>
      <c r="I4514">
        <v>442</v>
      </c>
      <c r="J4514">
        <v>115</v>
      </c>
      <c r="K4514" t="b">
        <v>1</v>
      </c>
    </row>
    <row r="4515" spans="8:11" x14ac:dyDescent="0.25">
      <c r="H4515">
        <v>33</v>
      </c>
      <c r="I4515">
        <v>444</v>
      </c>
      <c r="J4515">
        <v>115</v>
      </c>
      <c r="K4515" t="b">
        <v>1</v>
      </c>
    </row>
    <row r="4516" spans="8:11" x14ac:dyDescent="0.25">
      <c r="H4516">
        <v>33</v>
      </c>
      <c r="I4516">
        <v>446</v>
      </c>
      <c r="J4516">
        <v>115</v>
      </c>
      <c r="K4516" t="b">
        <v>1</v>
      </c>
    </row>
    <row r="4517" spans="8:11" x14ac:dyDescent="0.25">
      <c r="H4517">
        <v>33</v>
      </c>
      <c r="I4517">
        <v>448</v>
      </c>
      <c r="J4517">
        <v>115</v>
      </c>
      <c r="K4517" t="b">
        <v>1</v>
      </c>
    </row>
    <row r="4518" spans="8:11" x14ac:dyDescent="0.25">
      <c r="H4518">
        <v>33</v>
      </c>
      <c r="I4518">
        <v>450</v>
      </c>
      <c r="J4518">
        <v>115</v>
      </c>
      <c r="K4518" t="b">
        <v>1</v>
      </c>
    </row>
    <row r="4519" spans="8:11" x14ac:dyDescent="0.25">
      <c r="H4519">
        <v>33</v>
      </c>
      <c r="I4519">
        <v>452</v>
      </c>
      <c r="J4519">
        <v>115</v>
      </c>
      <c r="K4519" t="b">
        <v>1</v>
      </c>
    </row>
    <row r="4520" spans="8:11" x14ac:dyDescent="0.25">
      <c r="H4520">
        <v>33</v>
      </c>
      <c r="I4520">
        <v>454</v>
      </c>
      <c r="J4520">
        <v>115</v>
      </c>
      <c r="K4520" t="b">
        <v>1</v>
      </c>
    </row>
    <row r="4521" spans="8:11" x14ac:dyDescent="0.25">
      <c r="H4521">
        <v>33</v>
      </c>
      <c r="I4521">
        <v>456</v>
      </c>
      <c r="J4521">
        <v>115</v>
      </c>
      <c r="K4521" t="b">
        <v>1</v>
      </c>
    </row>
    <row r="4522" spans="8:11" x14ac:dyDescent="0.25">
      <c r="H4522">
        <v>33</v>
      </c>
      <c r="I4522">
        <v>458</v>
      </c>
      <c r="J4522">
        <v>115</v>
      </c>
      <c r="K4522" t="b">
        <v>1</v>
      </c>
    </row>
    <row r="4523" spans="8:11" x14ac:dyDescent="0.25">
      <c r="H4523">
        <v>33</v>
      </c>
      <c r="I4523">
        <v>460</v>
      </c>
      <c r="J4523">
        <v>115</v>
      </c>
      <c r="K4523" t="b">
        <v>1</v>
      </c>
    </row>
    <row r="4524" spans="8:11" x14ac:dyDescent="0.25">
      <c r="H4524">
        <v>33</v>
      </c>
      <c r="I4524">
        <v>462</v>
      </c>
      <c r="J4524">
        <v>115</v>
      </c>
      <c r="K4524" t="b">
        <v>1</v>
      </c>
    </row>
    <row r="4525" spans="8:11" x14ac:dyDescent="0.25">
      <c r="H4525">
        <v>33</v>
      </c>
      <c r="I4525">
        <v>464</v>
      </c>
      <c r="J4525">
        <v>115</v>
      </c>
      <c r="K4525" t="b">
        <v>1</v>
      </c>
    </row>
    <row r="4526" spans="8:11" x14ac:dyDescent="0.25">
      <c r="H4526">
        <v>33</v>
      </c>
      <c r="I4526">
        <v>466</v>
      </c>
      <c r="J4526">
        <v>115</v>
      </c>
      <c r="K4526" t="b">
        <v>1</v>
      </c>
    </row>
    <row r="4527" spans="8:11" x14ac:dyDescent="0.25">
      <c r="H4527">
        <v>33</v>
      </c>
      <c r="I4527">
        <v>468</v>
      </c>
      <c r="J4527">
        <v>115</v>
      </c>
      <c r="K4527" t="b">
        <v>1</v>
      </c>
    </row>
    <row r="4528" spans="8:11" x14ac:dyDescent="0.25">
      <c r="H4528">
        <v>33</v>
      </c>
      <c r="I4528">
        <v>470</v>
      </c>
      <c r="J4528">
        <v>115</v>
      </c>
      <c r="K4528" t="b">
        <v>1</v>
      </c>
    </row>
    <row r="4529" spans="8:11" x14ac:dyDescent="0.25">
      <c r="H4529">
        <v>33</v>
      </c>
      <c r="I4529">
        <v>472</v>
      </c>
      <c r="J4529">
        <v>115</v>
      </c>
      <c r="K4529" t="b">
        <v>1</v>
      </c>
    </row>
    <row r="4530" spans="8:11" x14ac:dyDescent="0.25">
      <c r="H4530">
        <v>33</v>
      </c>
      <c r="I4530">
        <v>474</v>
      </c>
      <c r="J4530">
        <v>115</v>
      </c>
      <c r="K4530" t="b">
        <v>1</v>
      </c>
    </row>
    <row r="4531" spans="8:11" x14ac:dyDescent="0.25">
      <c r="H4531">
        <v>33</v>
      </c>
      <c r="I4531">
        <v>476</v>
      </c>
      <c r="J4531">
        <v>115</v>
      </c>
      <c r="K4531" t="b">
        <v>1</v>
      </c>
    </row>
    <row r="4532" spans="8:11" x14ac:dyDescent="0.25">
      <c r="H4532">
        <v>33</v>
      </c>
      <c r="I4532">
        <v>478</v>
      </c>
      <c r="J4532">
        <v>115</v>
      </c>
      <c r="K4532" t="b">
        <v>1</v>
      </c>
    </row>
    <row r="4533" spans="8:11" x14ac:dyDescent="0.25">
      <c r="H4533">
        <v>33</v>
      </c>
      <c r="I4533">
        <v>480</v>
      </c>
      <c r="J4533">
        <v>115</v>
      </c>
      <c r="K4533" t="b">
        <v>1</v>
      </c>
    </row>
    <row r="4534" spans="8:11" x14ac:dyDescent="0.25">
      <c r="H4534">
        <v>33</v>
      </c>
      <c r="I4534">
        <v>482</v>
      </c>
      <c r="J4534">
        <v>115</v>
      </c>
      <c r="K4534" t="b">
        <v>1</v>
      </c>
    </row>
    <row r="4535" spans="8:11" x14ac:dyDescent="0.25">
      <c r="H4535">
        <v>33</v>
      </c>
      <c r="I4535">
        <v>484</v>
      </c>
      <c r="J4535">
        <v>115</v>
      </c>
      <c r="K4535" t="b">
        <v>1</v>
      </c>
    </row>
    <row r="4536" spans="8:11" x14ac:dyDescent="0.25">
      <c r="H4536">
        <v>33</v>
      </c>
      <c r="I4536">
        <v>486</v>
      </c>
      <c r="J4536">
        <v>115</v>
      </c>
      <c r="K4536" t="b">
        <v>1</v>
      </c>
    </row>
    <row r="4537" spans="8:11" x14ac:dyDescent="0.25">
      <c r="H4537">
        <v>33</v>
      </c>
      <c r="I4537">
        <v>488</v>
      </c>
      <c r="J4537">
        <v>115</v>
      </c>
      <c r="K4537" t="b">
        <v>1</v>
      </c>
    </row>
    <row r="4538" spans="8:11" x14ac:dyDescent="0.25">
      <c r="H4538">
        <v>33</v>
      </c>
      <c r="I4538">
        <v>490</v>
      </c>
      <c r="J4538">
        <v>115</v>
      </c>
      <c r="K4538" t="b">
        <v>1</v>
      </c>
    </row>
    <row r="4539" spans="8:11" x14ac:dyDescent="0.25">
      <c r="H4539">
        <v>33</v>
      </c>
      <c r="I4539">
        <v>492</v>
      </c>
      <c r="J4539">
        <v>115</v>
      </c>
      <c r="K4539" t="b">
        <v>1</v>
      </c>
    </row>
    <row r="4540" spans="8:11" x14ac:dyDescent="0.25">
      <c r="H4540">
        <v>33</v>
      </c>
      <c r="I4540">
        <v>494</v>
      </c>
      <c r="J4540">
        <v>115</v>
      </c>
      <c r="K4540" t="b">
        <v>1</v>
      </c>
    </row>
    <row r="4541" spans="8:11" x14ac:dyDescent="0.25">
      <c r="H4541">
        <v>33</v>
      </c>
      <c r="I4541">
        <v>496</v>
      </c>
      <c r="J4541">
        <v>115</v>
      </c>
      <c r="K4541" t="b">
        <v>1</v>
      </c>
    </row>
    <row r="4542" spans="8:11" x14ac:dyDescent="0.25">
      <c r="H4542">
        <v>33</v>
      </c>
      <c r="I4542">
        <v>498</v>
      </c>
      <c r="J4542">
        <v>115</v>
      </c>
      <c r="K4542" t="b">
        <v>1</v>
      </c>
    </row>
    <row r="4543" spans="8:11" x14ac:dyDescent="0.25">
      <c r="H4543">
        <v>33</v>
      </c>
      <c r="I4543">
        <v>500</v>
      </c>
      <c r="J4543">
        <v>115</v>
      </c>
      <c r="K4543" t="b">
        <v>1</v>
      </c>
    </row>
    <row r="4544" spans="8:11" x14ac:dyDescent="0.25">
      <c r="H4544">
        <v>33</v>
      </c>
      <c r="I4544">
        <v>502</v>
      </c>
      <c r="J4544">
        <v>115</v>
      </c>
      <c r="K4544" t="b">
        <v>1</v>
      </c>
    </row>
    <row r="4545" spans="8:11" x14ac:dyDescent="0.25">
      <c r="H4545">
        <v>33</v>
      </c>
      <c r="I4545">
        <v>504</v>
      </c>
      <c r="J4545">
        <v>115</v>
      </c>
      <c r="K4545" t="b">
        <v>1</v>
      </c>
    </row>
    <row r="4546" spans="8:11" x14ac:dyDescent="0.25">
      <c r="H4546">
        <v>33</v>
      </c>
      <c r="I4546">
        <v>506</v>
      </c>
      <c r="J4546">
        <v>115</v>
      </c>
      <c r="K4546" t="b">
        <v>1</v>
      </c>
    </row>
    <row r="4547" spans="8:11" x14ac:dyDescent="0.25">
      <c r="H4547">
        <v>33</v>
      </c>
      <c r="I4547">
        <v>508</v>
      </c>
      <c r="J4547">
        <v>115</v>
      </c>
      <c r="K4547" t="b">
        <v>1</v>
      </c>
    </row>
    <row r="4548" spans="8:11" x14ac:dyDescent="0.25">
      <c r="H4548">
        <v>33</v>
      </c>
      <c r="I4548">
        <v>510</v>
      </c>
      <c r="J4548">
        <v>115</v>
      </c>
      <c r="K4548" t="b">
        <v>1</v>
      </c>
    </row>
    <row r="4549" spans="8:11" x14ac:dyDescent="0.25">
      <c r="H4549">
        <v>33</v>
      </c>
      <c r="I4549">
        <v>512</v>
      </c>
      <c r="J4549">
        <v>115</v>
      </c>
      <c r="K4549" t="b">
        <v>1</v>
      </c>
    </row>
    <row r="4550" spans="8:11" x14ac:dyDescent="0.25">
      <c r="H4550">
        <v>33</v>
      </c>
      <c r="I4550">
        <v>514</v>
      </c>
      <c r="J4550">
        <v>115</v>
      </c>
      <c r="K4550" t="b">
        <v>1</v>
      </c>
    </row>
    <row r="4551" spans="8:11" x14ac:dyDescent="0.25">
      <c r="H4551">
        <v>33</v>
      </c>
      <c r="I4551">
        <v>516</v>
      </c>
      <c r="J4551">
        <v>115</v>
      </c>
      <c r="K4551" t="b">
        <v>1</v>
      </c>
    </row>
    <row r="4552" spans="8:11" x14ac:dyDescent="0.25">
      <c r="H4552">
        <v>33</v>
      </c>
      <c r="I4552">
        <v>518</v>
      </c>
      <c r="J4552">
        <v>115</v>
      </c>
      <c r="K4552" t="b">
        <v>1</v>
      </c>
    </row>
    <row r="4553" spans="8:11" x14ac:dyDescent="0.25">
      <c r="H4553">
        <v>33</v>
      </c>
      <c r="I4553">
        <v>520</v>
      </c>
      <c r="J4553">
        <v>115</v>
      </c>
      <c r="K4553" t="b">
        <v>1</v>
      </c>
    </row>
    <row r="4554" spans="8:11" x14ac:dyDescent="0.25">
      <c r="H4554">
        <v>33</v>
      </c>
      <c r="I4554">
        <v>522</v>
      </c>
      <c r="J4554">
        <v>115</v>
      </c>
      <c r="K4554" t="b">
        <v>1</v>
      </c>
    </row>
    <row r="4555" spans="8:11" x14ac:dyDescent="0.25">
      <c r="H4555">
        <v>33</v>
      </c>
      <c r="I4555">
        <v>524</v>
      </c>
      <c r="J4555">
        <v>115</v>
      </c>
      <c r="K4555" t="b">
        <v>1</v>
      </c>
    </row>
    <row r="4556" spans="8:11" x14ac:dyDescent="0.25">
      <c r="H4556">
        <v>33</v>
      </c>
      <c r="I4556">
        <v>526</v>
      </c>
      <c r="J4556">
        <v>115</v>
      </c>
      <c r="K4556" t="b">
        <v>1</v>
      </c>
    </row>
    <row r="4557" spans="8:11" x14ac:dyDescent="0.25">
      <c r="H4557">
        <v>33</v>
      </c>
      <c r="I4557">
        <v>528</v>
      </c>
      <c r="J4557">
        <v>115</v>
      </c>
      <c r="K4557" t="b">
        <v>1</v>
      </c>
    </row>
    <row r="4558" spans="8:11" x14ac:dyDescent="0.25">
      <c r="H4558">
        <v>33</v>
      </c>
      <c r="I4558">
        <v>530</v>
      </c>
      <c r="J4558">
        <v>115</v>
      </c>
      <c r="K4558" t="b">
        <v>1</v>
      </c>
    </row>
    <row r="4559" spans="8:11" x14ac:dyDescent="0.25">
      <c r="H4559">
        <v>33</v>
      </c>
      <c r="I4559">
        <v>532</v>
      </c>
      <c r="J4559">
        <v>115</v>
      </c>
      <c r="K4559" t="b">
        <v>1</v>
      </c>
    </row>
    <row r="4560" spans="8:11" x14ac:dyDescent="0.25">
      <c r="H4560">
        <v>33</v>
      </c>
      <c r="I4560">
        <v>534</v>
      </c>
      <c r="J4560">
        <v>115</v>
      </c>
      <c r="K4560" t="b">
        <v>1</v>
      </c>
    </row>
    <row r="4561" spans="8:11" x14ac:dyDescent="0.25">
      <c r="H4561">
        <v>33</v>
      </c>
      <c r="I4561">
        <v>536</v>
      </c>
      <c r="J4561">
        <v>115</v>
      </c>
      <c r="K4561" t="b">
        <v>1</v>
      </c>
    </row>
    <row r="4562" spans="8:11" x14ac:dyDescent="0.25">
      <c r="H4562">
        <v>33</v>
      </c>
      <c r="I4562">
        <v>538</v>
      </c>
      <c r="J4562">
        <v>115</v>
      </c>
      <c r="K4562" t="b">
        <v>1</v>
      </c>
    </row>
    <row r="4563" spans="8:11" x14ac:dyDescent="0.25">
      <c r="H4563">
        <v>33</v>
      </c>
      <c r="I4563">
        <v>540</v>
      </c>
      <c r="J4563">
        <v>115</v>
      </c>
      <c r="K4563" t="b">
        <v>1</v>
      </c>
    </row>
    <row r="4564" spans="8:11" x14ac:dyDescent="0.25">
      <c r="H4564">
        <v>33</v>
      </c>
      <c r="I4564">
        <v>542</v>
      </c>
      <c r="J4564">
        <v>115</v>
      </c>
      <c r="K4564" t="b">
        <v>1</v>
      </c>
    </row>
    <row r="4565" spans="8:11" x14ac:dyDescent="0.25">
      <c r="H4565">
        <v>33</v>
      </c>
      <c r="I4565">
        <v>544</v>
      </c>
      <c r="J4565">
        <v>115</v>
      </c>
      <c r="K4565" t="b">
        <v>1</v>
      </c>
    </row>
    <row r="4566" spans="8:11" x14ac:dyDescent="0.25">
      <c r="H4566">
        <v>33</v>
      </c>
      <c r="I4566">
        <v>546</v>
      </c>
      <c r="J4566">
        <v>115</v>
      </c>
      <c r="K4566" t="b">
        <v>1</v>
      </c>
    </row>
    <row r="4567" spans="8:11" x14ac:dyDescent="0.25">
      <c r="H4567">
        <v>33</v>
      </c>
      <c r="I4567">
        <v>548</v>
      </c>
      <c r="J4567">
        <v>115</v>
      </c>
      <c r="K4567" t="b">
        <v>1</v>
      </c>
    </row>
    <row r="4568" spans="8:11" x14ac:dyDescent="0.25">
      <c r="H4568">
        <v>33</v>
      </c>
      <c r="I4568">
        <v>550</v>
      </c>
      <c r="J4568">
        <v>115</v>
      </c>
      <c r="K4568" t="b">
        <v>1</v>
      </c>
    </row>
    <row r="4569" spans="8:11" x14ac:dyDescent="0.25">
      <c r="H4569">
        <v>33</v>
      </c>
      <c r="I4569">
        <v>552</v>
      </c>
      <c r="J4569">
        <v>115</v>
      </c>
      <c r="K4569" t="b">
        <v>1</v>
      </c>
    </row>
    <row r="4570" spans="8:11" x14ac:dyDescent="0.25">
      <c r="H4570">
        <v>33</v>
      </c>
      <c r="I4570">
        <v>554</v>
      </c>
      <c r="J4570">
        <v>115</v>
      </c>
      <c r="K4570" t="b">
        <v>1</v>
      </c>
    </row>
    <row r="4571" spans="8:11" x14ac:dyDescent="0.25">
      <c r="H4571">
        <v>33</v>
      </c>
      <c r="I4571">
        <v>556</v>
      </c>
      <c r="J4571">
        <v>115</v>
      </c>
      <c r="K4571" t="b">
        <v>1</v>
      </c>
    </row>
    <row r="4572" spans="8:11" x14ac:dyDescent="0.25">
      <c r="H4572">
        <v>33</v>
      </c>
      <c r="I4572">
        <v>558</v>
      </c>
      <c r="J4572">
        <v>115</v>
      </c>
      <c r="K4572" t="b">
        <v>1</v>
      </c>
    </row>
    <row r="4573" spans="8:11" x14ac:dyDescent="0.25">
      <c r="H4573">
        <v>33</v>
      </c>
      <c r="I4573">
        <v>560</v>
      </c>
      <c r="J4573">
        <v>115</v>
      </c>
      <c r="K4573" t="b">
        <v>1</v>
      </c>
    </row>
    <row r="4574" spans="8:11" x14ac:dyDescent="0.25">
      <c r="H4574">
        <v>33</v>
      </c>
      <c r="I4574">
        <v>562</v>
      </c>
      <c r="J4574">
        <v>115</v>
      </c>
      <c r="K4574" t="b">
        <v>1</v>
      </c>
    </row>
    <row r="4575" spans="8:11" x14ac:dyDescent="0.25">
      <c r="H4575">
        <v>33</v>
      </c>
      <c r="I4575">
        <v>564</v>
      </c>
      <c r="J4575">
        <v>115</v>
      </c>
      <c r="K4575" t="b">
        <v>1</v>
      </c>
    </row>
    <row r="4576" spans="8:11" x14ac:dyDescent="0.25">
      <c r="H4576">
        <v>33</v>
      </c>
      <c r="I4576">
        <v>566</v>
      </c>
      <c r="J4576">
        <v>115</v>
      </c>
      <c r="K4576" t="b">
        <v>1</v>
      </c>
    </row>
    <row r="4577" spans="8:11" x14ac:dyDescent="0.25">
      <c r="H4577">
        <v>33</v>
      </c>
      <c r="I4577">
        <v>568</v>
      </c>
      <c r="J4577">
        <v>115</v>
      </c>
      <c r="K4577" t="b">
        <v>1</v>
      </c>
    </row>
    <row r="4578" spans="8:11" x14ac:dyDescent="0.25">
      <c r="H4578">
        <v>33</v>
      </c>
      <c r="I4578">
        <v>570</v>
      </c>
      <c r="J4578">
        <v>115</v>
      </c>
      <c r="K4578" t="b">
        <v>1</v>
      </c>
    </row>
    <row r="4579" spans="8:11" x14ac:dyDescent="0.25">
      <c r="H4579">
        <v>33</v>
      </c>
      <c r="I4579">
        <v>572</v>
      </c>
      <c r="J4579">
        <v>115</v>
      </c>
      <c r="K4579" t="b">
        <v>1</v>
      </c>
    </row>
    <row r="4580" spans="8:11" x14ac:dyDescent="0.25">
      <c r="H4580">
        <v>33</v>
      </c>
      <c r="I4580">
        <v>574</v>
      </c>
      <c r="J4580">
        <v>115</v>
      </c>
      <c r="K4580" t="b">
        <v>1</v>
      </c>
    </row>
    <row r="4581" spans="8:11" x14ac:dyDescent="0.25">
      <c r="H4581">
        <v>33</v>
      </c>
      <c r="I4581">
        <v>576</v>
      </c>
      <c r="J4581">
        <v>115</v>
      </c>
      <c r="K4581" t="b">
        <v>1</v>
      </c>
    </row>
    <row r="4582" spans="8:11" x14ac:dyDescent="0.25">
      <c r="H4582">
        <v>33</v>
      </c>
      <c r="I4582">
        <v>578</v>
      </c>
      <c r="J4582">
        <v>115</v>
      </c>
      <c r="K4582" t="b">
        <v>1</v>
      </c>
    </row>
    <row r="4583" spans="8:11" x14ac:dyDescent="0.25">
      <c r="H4583">
        <v>33</v>
      </c>
      <c r="I4583">
        <v>580</v>
      </c>
      <c r="J4583">
        <v>115</v>
      </c>
      <c r="K4583" t="b">
        <v>1</v>
      </c>
    </row>
    <row r="4584" spans="8:11" x14ac:dyDescent="0.25">
      <c r="H4584">
        <v>33</v>
      </c>
      <c r="I4584">
        <v>582</v>
      </c>
      <c r="J4584">
        <v>115</v>
      </c>
      <c r="K4584" t="b">
        <v>1</v>
      </c>
    </row>
    <row r="4585" spans="8:11" x14ac:dyDescent="0.25">
      <c r="H4585">
        <v>33</v>
      </c>
      <c r="I4585">
        <v>584</v>
      </c>
      <c r="J4585">
        <v>115</v>
      </c>
      <c r="K4585" t="b">
        <v>1</v>
      </c>
    </row>
    <row r="4586" spans="8:11" x14ac:dyDescent="0.25">
      <c r="H4586">
        <v>33</v>
      </c>
      <c r="I4586">
        <v>586</v>
      </c>
      <c r="J4586">
        <v>115</v>
      </c>
      <c r="K4586" t="b">
        <v>1</v>
      </c>
    </row>
    <row r="4587" spans="8:11" x14ac:dyDescent="0.25">
      <c r="H4587">
        <v>33</v>
      </c>
      <c r="I4587">
        <v>588</v>
      </c>
      <c r="J4587">
        <v>115</v>
      </c>
      <c r="K4587" t="b">
        <v>1</v>
      </c>
    </row>
    <row r="4588" spans="8:11" x14ac:dyDescent="0.25">
      <c r="H4588">
        <v>33</v>
      </c>
      <c r="I4588">
        <v>590</v>
      </c>
      <c r="J4588">
        <v>115</v>
      </c>
      <c r="K4588" t="b">
        <v>1</v>
      </c>
    </row>
    <row r="4589" spans="8:11" x14ac:dyDescent="0.25">
      <c r="H4589">
        <v>33</v>
      </c>
      <c r="I4589">
        <v>592</v>
      </c>
      <c r="J4589">
        <v>115</v>
      </c>
      <c r="K4589" t="b">
        <v>1</v>
      </c>
    </row>
    <row r="4590" spans="8:11" x14ac:dyDescent="0.25">
      <c r="H4590">
        <v>33</v>
      </c>
      <c r="I4590">
        <v>594</v>
      </c>
      <c r="J4590">
        <v>115</v>
      </c>
      <c r="K4590" t="b">
        <v>1</v>
      </c>
    </row>
    <row r="4591" spans="8:11" x14ac:dyDescent="0.25">
      <c r="H4591">
        <v>33</v>
      </c>
      <c r="I4591">
        <v>596</v>
      </c>
      <c r="J4591">
        <v>115</v>
      </c>
      <c r="K4591" t="b">
        <v>1</v>
      </c>
    </row>
    <row r="4592" spans="8:11" x14ac:dyDescent="0.25">
      <c r="H4592">
        <v>33</v>
      </c>
      <c r="I4592">
        <v>598</v>
      </c>
      <c r="J4592">
        <v>115</v>
      </c>
      <c r="K4592" t="b">
        <v>1</v>
      </c>
    </row>
    <row r="4593" spans="8:11" x14ac:dyDescent="0.25">
      <c r="H4593">
        <v>33</v>
      </c>
      <c r="I4593">
        <v>600</v>
      </c>
      <c r="J4593">
        <v>115</v>
      </c>
      <c r="K4593" t="b">
        <v>1</v>
      </c>
    </row>
    <row r="4594" spans="8:11" x14ac:dyDescent="0.25">
      <c r="H4594">
        <v>33</v>
      </c>
      <c r="I4594">
        <v>602</v>
      </c>
      <c r="J4594">
        <v>115</v>
      </c>
      <c r="K4594" t="b">
        <v>1</v>
      </c>
    </row>
    <row r="4595" spans="8:11" x14ac:dyDescent="0.25">
      <c r="H4595">
        <v>33</v>
      </c>
      <c r="I4595">
        <v>604</v>
      </c>
      <c r="J4595">
        <v>115</v>
      </c>
      <c r="K4595" t="b">
        <v>1</v>
      </c>
    </row>
    <row r="4596" spans="8:11" x14ac:dyDescent="0.25">
      <c r="H4596">
        <v>33</v>
      </c>
      <c r="I4596">
        <v>606</v>
      </c>
      <c r="J4596">
        <v>115</v>
      </c>
      <c r="K4596" t="b">
        <v>1</v>
      </c>
    </row>
    <row r="4597" spans="8:11" x14ac:dyDescent="0.25">
      <c r="H4597">
        <v>33</v>
      </c>
      <c r="I4597">
        <v>608</v>
      </c>
      <c r="J4597">
        <v>115</v>
      </c>
      <c r="K4597" t="b">
        <v>1</v>
      </c>
    </row>
    <row r="4598" spans="8:11" x14ac:dyDescent="0.25">
      <c r="H4598">
        <v>33</v>
      </c>
      <c r="I4598">
        <v>610</v>
      </c>
      <c r="J4598">
        <v>115</v>
      </c>
      <c r="K4598" t="b">
        <v>1</v>
      </c>
    </row>
    <row r="4599" spans="8:11" x14ac:dyDescent="0.25">
      <c r="H4599">
        <v>33</v>
      </c>
      <c r="I4599">
        <v>612</v>
      </c>
      <c r="J4599">
        <v>115</v>
      </c>
      <c r="K4599" t="b">
        <v>1</v>
      </c>
    </row>
    <row r="4600" spans="8:11" x14ac:dyDescent="0.25">
      <c r="H4600">
        <v>33</v>
      </c>
      <c r="I4600">
        <v>614</v>
      </c>
      <c r="J4600">
        <v>115</v>
      </c>
      <c r="K4600" t="b">
        <v>1</v>
      </c>
    </row>
    <row r="4601" spans="8:11" x14ac:dyDescent="0.25">
      <c r="H4601">
        <v>33</v>
      </c>
      <c r="I4601">
        <v>616</v>
      </c>
      <c r="J4601">
        <v>115</v>
      </c>
      <c r="K4601" t="b">
        <v>1</v>
      </c>
    </row>
    <row r="4602" spans="8:11" x14ac:dyDescent="0.25">
      <c r="H4602">
        <v>33</v>
      </c>
      <c r="I4602">
        <v>618</v>
      </c>
      <c r="J4602">
        <v>115</v>
      </c>
      <c r="K4602" t="b">
        <v>1</v>
      </c>
    </row>
    <row r="4603" spans="8:11" x14ac:dyDescent="0.25">
      <c r="H4603">
        <v>33</v>
      </c>
      <c r="I4603">
        <v>620</v>
      </c>
      <c r="J4603">
        <v>115</v>
      </c>
      <c r="K4603" t="b">
        <v>1</v>
      </c>
    </row>
    <row r="4604" spans="8:11" x14ac:dyDescent="0.25">
      <c r="H4604">
        <v>33</v>
      </c>
      <c r="I4604">
        <v>622</v>
      </c>
      <c r="J4604">
        <v>115</v>
      </c>
      <c r="K4604" t="b">
        <v>1</v>
      </c>
    </row>
    <row r="4605" spans="8:11" x14ac:dyDescent="0.25">
      <c r="H4605">
        <v>33</v>
      </c>
      <c r="I4605">
        <v>624</v>
      </c>
      <c r="J4605">
        <v>115</v>
      </c>
      <c r="K4605" t="b">
        <v>1</v>
      </c>
    </row>
    <row r="4606" spans="8:11" x14ac:dyDescent="0.25">
      <c r="H4606">
        <v>33</v>
      </c>
      <c r="I4606">
        <v>626</v>
      </c>
      <c r="J4606">
        <v>115</v>
      </c>
      <c r="K4606" t="b">
        <v>1</v>
      </c>
    </row>
    <row r="4607" spans="8:11" x14ac:dyDescent="0.25">
      <c r="H4607">
        <v>33</v>
      </c>
      <c r="I4607">
        <v>628</v>
      </c>
      <c r="J4607">
        <v>115</v>
      </c>
      <c r="K4607" t="b">
        <v>1</v>
      </c>
    </row>
    <row r="4608" spans="8:11" x14ac:dyDescent="0.25">
      <c r="H4608">
        <v>33</v>
      </c>
      <c r="I4608">
        <v>630</v>
      </c>
      <c r="J4608">
        <v>115</v>
      </c>
      <c r="K4608" t="b">
        <v>1</v>
      </c>
    </row>
    <row r="4609" spans="8:11" x14ac:dyDescent="0.25">
      <c r="H4609">
        <v>33</v>
      </c>
      <c r="I4609">
        <v>632</v>
      </c>
      <c r="J4609">
        <v>115</v>
      </c>
      <c r="K4609" t="b">
        <v>1</v>
      </c>
    </row>
    <row r="4610" spans="8:11" x14ac:dyDescent="0.25">
      <c r="H4610">
        <v>33</v>
      </c>
      <c r="I4610">
        <v>634</v>
      </c>
      <c r="J4610">
        <v>115</v>
      </c>
      <c r="K4610" t="b">
        <v>1</v>
      </c>
    </row>
    <row r="4611" spans="8:11" x14ac:dyDescent="0.25">
      <c r="H4611">
        <v>33</v>
      </c>
      <c r="I4611">
        <v>636</v>
      </c>
      <c r="J4611">
        <v>115</v>
      </c>
      <c r="K4611" t="b">
        <v>1</v>
      </c>
    </row>
    <row r="4612" spans="8:11" x14ac:dyDescent="0.25">
      <c r="H4612">
        <v>33</v>
      </c>
      <c r="I4612">
        <v>638</v>
      </c>
      <c r="J4612">
        <v>115</v>
      </c>
      <c r="K4612" t="b">
        <v>1</v>
      </c>
    </row>
    <row r="4613" spans="8:11" x14ac:dyDescent="0.25">
      <c r="H4613">
        <v>33</v>
      </c>
      <c r="I4613">
        <v>640</v>
      </c>
      <c r="J4613">
        <v>115</v>
      </c>
      <c r="K4613" t="b">
        <v>1</v>
      </c>
    </row>
    <row r="4614" spans="8:11" x14ac:dyDescent="0.25">
      <c r="H4614">
        <v>33</v>
      </c>
      <c r="I4614">
        <v>642</v>
      </c>
      <c r="J4614">
        <v>115</v>
      </c>
      <c r="K4614" t="b">
        <v>1</v>
      </c>
    </row>
    <row r="4615" spans="8:11" x14ac:dyDescent="0.25">
      <c r="H4615">
        <v>33</v>
      </c>
      <c r="I4615">
        <v>644</v>
      </c>
      <c r="J4615">
        <v>115</v>
      </c>
      <c r="K4615" t="b">
        <v>1</v>
      </c>
    </row>
    <row r="4616" spans="8:11" x14ac:dyDescent="0.25">
      <c r="H4616">
        <v>33</v>
      </c>
      <c r="I4616">
        <v>646</v>
      </c>
      <c r="J4616">
        <v>115</v>
      </c>
      <c r="K4616" t="b">
        <v>1</v>
      </c>
    </row>
    <row r="4617" spans="8:11" x14ac:dyDescent="0.25">
      <c r="H4617">
        <v>33</v>
      </c>
      <c r="I4617">
        <v>648</v>
      </c>
      <c r="J4617">
        <v>115</v>
      </c>
      <c r="K4617" t="b">
        <v>1</v>
      </c>
    </row>
    <row r="4618" spans="8:11" x14ac:dyDescent="0.25">
      <c r="H4618">
        <v>33</v>
      </c>
      <c r="I4618">
        <v>650</v>
      </c>
      <c r="J4618">
        <v>115</v>
      </c>
      <c r="K4618" t="b">
        <v>1</v>
      </c>
    </row>
    <row r="4619" spans="8:11" x14ac:dyDescent="0.25">
      <c r="H4619">
        <v>33</v>
      </c>
      <c r="I4619">
        <v>652</v>
      </c>
      <c r="J4619">
        <v>115</v>
      </c>
      <c r="K4619" t="b">
        <v>1</v>
      </c>
    </row>
    <row r="4620" spans="8:11" x14ac:dyDescent="0.25">
      <c r="H4620">
        <v>33</v>
      </c>
      <c r="I4620">
        <v>654</v>
      </c>
      <c r="J4620">
        <v>115</v>
      </c>
      <c r="K4620" t="b">
        <v>1</v>
      </c>
    </row>
    <row r="4621" spans="8:11" x14ac:dyDescent="0.25">
      <c r="H4621">
        <v>33</v>
      </c>
      <c r="I4621">
        <v>656</v>
      </c>
      <c r="J4621">
        <v>115</v>
      </c>
      <c r="K4621" t="b">
        <v>1</v>
      </c>
    </row>
    <row r="4622" spans="8:11" x14ac:dyDescent="0.25">
      <c r="H4622">
        <v>33</v>
      </c>
      <c r="I4622">
        <v>658</v>
      </c>
      <c r="J4622">
        <v>115</v>
      </c>
      <c r="K4622" t="b">
        <v>1</v>
      </c>
    </row>
    <row r="4623" spans="8:11" x14ac:dyDescent="0.25">
      <c r="H4623">
        <v>33</v>
      </c>
      <c r="I4623">
        <v>660</v>
      </c>
      <c r="J4623">
        <v>115</v>
      </c>
      <c r="K4623" t="b">
        <v>1</v>
      </c>
    </row>
    <row r="4624" spans="8:11" x14ac:dyDescent="0.25">
      <c r="H4624">
        <v>33</v>
      </c>
      <c r="I4624">
        <v>662</v>
      </c>
      <c r="J4624">
        <v>115</v>
      </c>
      <c r="K4624" t="b">
        <v>1</v>
      </c>
    </row>
    <row r="4625" spans="8:11" x14ac:dyDescent="0.25">
      <c r="H4625">
        <v>33</v>
      </c>
      <c r="I4625">
        <v>664</v>
      </c>
      <c r="J4625">
        <v>115</v>
      </c>
      <c r="K4625" t="b">
        <v>1</v>
      </c>
    </row>
    <row r="4626" spans="8:11" x14ac:dyDescent="0.25">
      <c r="H4626">
        <v>33</v>
      </c>
      <c r="I4626">
        <v>666</v>
      </c>
      <c r="J4626">
        <v>115</v>
      </c>
      <c r="K4626" t="b">
        <v>1</v>
      </c>
    </row>
    <row r="4627" spans="8:11" x14ac:dyDescent="0.25">
      <c r="H4627">
        <v>33</v>
      </c>
      <c r="I4627">
        <v>668</v>
      </c>
      <c r="J4627">
        <v>115</v>
      </c>
      <c r="K4627" t="b">
        <v>1</v>
      </c>
    </row>
    <row r="4628" spans="8:11" x14ac:dyDescent="0.25">
      <c r="H4628">
        <v>33</v>
      </c>
      <c r="I4628">
        <v>670</v>
      </c>
      <c r="J4628">
        <v>115</v>
      </c>
      <c r="K4628" t="b">
        <v>1</v>
      </c>
    </row>
    <row r="4629" spans="8:11" x14ac:dyDescent="0.25">
      <c r="H4629">
        <v>33</v>
      </c>
      <c r="I4629">
        <v>672</v>
      </c>
      <c r="J4629">
        <v>115</v>
      </c>
      <c r="K4629" t="b">
        <v>1</v>
      </c>
    </row>
    <row r="4630" spans="8:11" x14ac:dyDescent="0.25">
      <c r="H4630">
        <v>33</v>
      </c>
      <c r="I4630">
        <v>674</v>
      </c>
      <c r="J4630">
        <v>115</v>
      </c>
      <c r="K4630" t="b">
        <v>1</v>
      </c>
    </row>
    <row r="4631" spans="8:11" x14ac:dyDescent="0.25">
      <c r="H4631">
        <v>33</v>
      </c>
      <c r="I4631">
        <v>676</v>
      </c>
      <c r="J4631">
        <v>115</v>
      </c>
      <c r="K4631" t="b">
        <v>1</v>
      </c>
    </row>
    <row r="4632" spans="8:11" x14ac:dyDescent="0.25">
      <c r="H4632">
        <v>33</v>
      </c>
      <c r="I4632">
        <v>678</v>
      </c>
      <c r="J4632">
        <v>115</v>
      </c>
      <c r="K4632" t="b">
        <v>1</v>
      </c>
    </row>
    <row r="4633" spans="8:11" x14ac:dyDescent="0.25">
      <c r="H4633">
        <v>33</v>
      </c>
      <c r="I4633">
        <v>680</v>
      </c>
      <c r="J4633">
        <v>115</v>
      </c>
      <c r="K4633" t="b">
        <v>1</v>
      </c>
    </row>
    <row r="4634" spans="8:11" x14ac:dyDescent="0.25">
      <c r="H4634">
        <v>33</v>
      </c>
      <c r="I4634">
        <v>682</v>
      </c>
      <c r="J4634">
        <v>115</v>
      </c>
      <c r="K4634" t="b">
        <v>1</v>
      </c>
    </row>
    <row r="4635" spans="8:11" x14ac:dyDescent="0.25">
      <c r="H4635">
        <v>33</v>
      </c>
      <c r="I4635">
        <v>684</v>
      </c>
      <c r="J4635">
        <v>115</v>
      </c>
      <c r="K4635" t="b">
        <v>1</v>
      </c>
    </row>
    <row r="4636" spans="8:11" x14ac:dyDescent="0.25">
      <c r="H4636">
        <v>33</v>
      </c>
      <c r="I4636">
        <v>686</v>
      </c>
      <c r="J4636">
        <v>115</v>
      </c>
      <c r="K4636" t="b">
        <v>1</v>
      </c>
    </row>
    <row r="4637" spans="8:11" x14ac:dyDescent="0.25">
      <c r="H4637">
        <v>33</v>
      </c>
      <c r="I4637">
        <v>688</v>
      </c>
      <c r="J4637">
        <v>115</v>
      </c>
      <c r="K4637" t="b">
        <v>1</v>
      </c>
    </row>
    <row r="4638" spans="8:11" x14ac:dyDescent="0.25">
      <c r="H4638">
        <v>33</v>
      </c>
      <c r="I4638">
        <v>690</v>
      </c>
      <c r="J4638">
        <v>115</v>
      </c>
      <c r="K4638" t="b">
        <v>1</v>
      </c>
    </row>
    <row r="4639" spans="8:11" x14ac:dyDescent="0.25">
      <c r="H4639">
        <v>33</v>
      </c>
      <c r="I4639">
        <v>692</v>
      </c>
      <c r="J4639">
        <v>115</v>
      </c>
      <c r="K4639" t="b">
        <v>1</v>
      </c>
    </row>
    <row r="4640" spans="8:11" x14ac:dyDescent="0.25">
      <c r="H4640">
        <v>33</v>
      </c>
      <c r="I4640">
        <v>694</v>
      </c>
      <c r="J4640">
        <v>115</v>
      </c>
      <c r="K4640" t="b">
        <v>1</v>
      </c>
    </row>
    <row r="4641" spans="8:11" x14ac:dyDescent="0.25">
      <c r="H4641">
        <v>33</v>
      </c>
      <c r="I4641">
        <v>696</v>
      </c>
      <c r="J4641">
        <v>115</v>
      </c>
      <c r="K4641" t="b">
        <v>1</v>
      </c>
    </row>
    <row r="4642" spans="8:11" x14ac:dyDescent="0.25">
      <c r="H4642">
        <v>33</v>
      </c>
      <c r="I4642">
        <v>698</v>
      </c>
      <c r="J4642">
        <v>115</v>
      </c>
      <c r="K4642" t="b">
        <v>1</v>
      </c>
    </row>
    <row r="4643" spans="8:11" x14ac:dyDescent="0.25">
      <c r="H4643">
        <v>33</v>
      </c>
      <c r="I4643">
        <v>700</v>
      </c>
      <c r="J4643">
        <v>115</v>
      </c>
      <c r="K4643" t="b">
        <v>1</v>
      </c>
    </row>
    <row r="4644" spans="8:11" x14ac:dyDescent="0.25">
      <c r="H4644">
        <v>33</v>
      </c>
      <c r="I4644">
        <v>702</v>
      </c>
      <c r="J4644">
        <v>115</v>
      </c>
      <c r="K4644" t="b">
        <v>1</v>
      </c>
    </row>
    <row r="4645" spans="8:11" x14ac:dyDescent="0.25">
      <c r="H4645">
        <v>33</v>
      </c>
      <c r="I4645">
        <v>704</v>
      </c>
      <c r="J4645">
        <v>115</v>
      </c>
      <c r="K4645" t="b">
        <v>1</v>
      </c>
    </row>
    <row r="4646" spans="8:11" x14ac:dyDescent="0.25">
      <c r="H4646">
        <v>33</v>
      </c>
      <c r="I4646">
        <v>706</v>
      </c>
      <c r="J4646">
        <v>115</v>
      </c>
      <c r="K4646" t="b">
        <v>1</v>
      </c>
    </row>
    <row r="4647" spans="8:11" x14ac:dyDescent="0.25">
      <c r="H4647">
        <v>33</v>
      </c>
      <c r="I4647">
        <v>708</v>
      </c>
      <c r="J4647">
        <v>115</v>
      </c>
      <c r="K4647" t="b">
        <v>1</v>
      </c>
    </row>
    <row r="4648" spans="8:11" x14ac:dyDescent="0.25">
      <c r="H4648">
        <v>33</v>
      </c>
      <c r="I4648">
        <v>710</v>
      </c>
      <c r="J4648">
        <v>115</v>
      </c>
      <c r="K4648" t="b">
        <v>1</v>
      </c>
    </row>
    <row r="4649" spans="8:11" x14ac:dyDescent="0.25">
      <c r="H4649">
        <v>33</v>
      </c>
      <c r="I4649">
        <v>712</v>
      </c>
      <c r="J4649">
        <v>115</v>
      </c>
      <c r="K4649" t="b">
        <v>1</v>
      </c>
    </row>
    <row r="4650" spans="8:11" x14ac:dyDescent="0.25">
      <c r="H4650">
        <v>33</v>
      </c>
      <c r="I4650">
        <v>714</v>
      </c>
      <c r="J4650">
        <v>115</v>
      </c>
      <c r="K4650" t="b">
        <v>1</v>
      </c>
    </row>
    <row r="4651" spans="8:11" x14ac:dyDescent="0.25">
      <c r="H4651">
        <v>33</v>
      </c>
      <c r="I4651">
        <v>716</v>
      </c>
      <c r="J4651">
        <v>115</v>
      </c>
      <c r="K4651" t="b">
        <v>1</v>
      </c>
    </row>
    <row r="4652" spans="8:11" x14ac:dyDescent="0.25">
      <c r="H4652">
        <v>33</v>
      </c>
      <c r="I4652">
        <v>718</v>
      </c>
      <c r="J4652">
        <v>115</v>
      </c>
      <c r="K4652" t="b">
        <v>1</v>
      </c>
    </row>
    <row r="4653" spans="8:11" x14ac:dyDescent="0.25">
      <c r="H4653">
        <v>33</v>
      </c>
      <c r="I4653">
        <v>720</v>
      </c>
      <c r="J4653">
        <v>115</v>
      </c>
      <c r="K4653" t="b">
        <v>1</v>
      </c>
    </row>
    <row r="4654" spans="8:11" x14ac:dyDescent="0.25">
      <c r="H4654">
        <v>33</v>
      </c>
      <c r="I4654">
        <v>722</v>
      </c>
      <c r="J4654">
        <v>115</v>
      </c>
      <c r="K4654" t="b">
        <v>1</v>
      </c>
    </row>
    <row r="4655" spans="8:11" x14ac:dyDescent="0.25">
      <c r="H4655">
        <v>33</v>
      </c>
      <c r="I4655">
        <v>724</v>
      </c>
      <c r="J4655">
        <v>115</v>
      </c>
      <c r="K4655" t="b">
        <v>1</v>
      </c>
    </row>
    <row r="4656" spans="8:11" x14ac:dyDescent="0.25">
      <c r="H4656">
        <v>33</v>
      </c>
      <c r="I4656">
        <v>726</v>
      </c>
      <c r="J4656">
        <v>115</v>
      </c>
      <c r="K4656" t="b">
        <v>1</v>
      </c>
    </row>
    <row r="4657" spans="8:11" x14ac:dyDescent="0.25">
      <c r="H4657">
        <v>33</v>
      </c>
      <c r="I4657">
        <v>728</v>
      </c>
      <c r="J4657">
        <v>115</v>
      </c>
      <c r="K4657" t="b">
        <v>1</v>
      </c>
    </row>
    <row r="4658" spans="8:11" x14ac:dyDescent="0.25">
      <c r="H4658">
        <v>33</v>
      </c>
      <c r="I4658">
        <v>730</v>
      </c>
      <c r="J4658">
        <v>115</v>
      </c>
      <c r="K4658" t="b">
        <v>1</v>
      </c>
    </row>
    <row r="4659" spans="8:11" x14ac:dyDescent="0.25">
      <c r="H4659">
        <v>33</v>
      </c>
      <c r="I4659">
        <v>732</v>
      </c>
      <c r="J4659">
        <v>115</v>
      </c>
      <c r="K4659" t="b">
        <v>1</v>
      </c>
    </row>
    <row r="4660" spans="8:11" x14ac:dyDescent="0.25">
      <c r="H4660">
        <v>33</v>
      </c>
      <c r="I4660">
        <v>734</v>
      </c>
      <c r="J4660">
        <v>115</v>
      </c>
      <c r="K4660" t="b">
        <v>1</v>
      </c>
    </row>
    <row r="4661" spans="8:11" x14ac:dyDescent="0.25">
      <c r="H4661">
        <v>33</v>
      </c>
      <c r="I4661">
        <v>736</v>
      </c>
      <c r="J4661">
        <v>115</v>
      </c>
      <c r="K4661" t="b">
        <v>1</v>
      </c>
    </row>
    <row r="4662" spans="8:11" x14ac:dyDescent="0.25">
      <c r="H4662">
        <v>33</v>
      </c>
      <c r="I4662">
        <v>738</v>
      </c>
      <c r="J4662">
        <v>115</v>
      </c>
      <c r="K4662" t="b">
        <v>1</v>
      </c>
    </row>
    <row r="4663" spans="8:11" x14ac:dyDescent="0.25">
      <c r="H4663">
        <v>33</v>
      </c>
      <c r="I4663">
        <v>740</v>
      </c>
      <c r="J4663">
        <v>115</v>
      </c>
      <c r="K4663" t="b">
        <v>1</v>
      </c>
    </row>
    <row r="4664" spans="8:11" x14ac:dyDescent="0.25">
      <c r="H4664">
        <v>33</v>
      </c>
      <c r="I4664">
        <v>742</v>
      </c>
      <c r="J4664">
        <v>115</v>
      </c>
      <c r="K4664" t="b">
        <v>1</v>
      </c>
    </row>
    <row r="4665" spans="8:11" x14ac:dyDescent="0.25">
      <c r="H4665">
        <v>33</v>
      </c>
      <c r="I4665">
        <v>744</v>
      </c>
      <c r="J4665">
        <v>115</v>
      </c>
      <c r="K4665" t="b">
        <v>1</v>
      </c>
    </row>
    <row r="4666" spans="8:11" x14ac:dyDescent="0.25">
      <c r="H4666">
        <v>33</v>
      </c>
      <c r="I4666">
        <v>746</v>
      </c>
      <c r="J4666">
        <v>115</v>
      </c>
      <c r="K4666" t="b">
        <v>1</v>
      </c>
    </row>
    <row r="4667" spans="8:11" x14ac:dyDescent="0.25">
      <c r="H4667">
        <v>33</v>
      </c>
      <c r="I4667">
        <v>748</v>
      </c>
      <c r="J4667">
        <v>115</v>
      </c>
      <c r="K4667" t="b">
        <v>1</v>
      </c>
    </row>
    <row r="4668" spans="8:11" x14ac:dyDescent="0.25">
      <c r="H4668">
        <v>33</v>
      </c>
      <c r="I4668">
        <v>750</v>
      </c>
      <c r="J4668">
        <v>115</v>
      </c>
      <c r="K4668" t="b">
        <v>1</v>
      </c>
    </row>
    <row r="4669" spans="8:11" x14ac:dyDescent="0.25">
      <c r="H4669">
        <v>33</v>
      </c>
      <c r="I4669">
        <v>752</v>
      </c>
      <c r="J4669">
        <v>115</v>
      </c>
      <c r="K4669" t="b">
        <v>1</v>
      </c>
    </row>
    <row r="4670" spans="8:11" x14ac:dyDescent="0.25">
      <c r="H4670">
        <v>33</v>
      </c>
      <c r="I4670">
        <v>754</v>
      </c>
      <c r="J4670">
        <v>115</v>
      </c>
      <c r="K4670" t="b">
        <v>1</v>
      </c>
    </row>
    <row r="4671" spans="8:11" x14ac:dyDescent="0.25">
      <c r="H4671">
        <v>33</v>
      </c>
      <c r="I4671">
        <v>756</v>
      </c>
      <c r="J4671">
        <v>115</v>
      </c>
      <c r="K4671" t="b">
        <v>1</v>
      </c>
    </row>
    <row r="4672" spans="8:11" x14ac:dyDescent="0.25">
      <c r="H4672">
        <v>33</v>
      </c>
      <c r="I4672">
        <v>758</v>
      </c>
      <c r="J4672">
        <v>115</v>
      </c>
      <c r="K4672" t="b">
        <v>1</v>
      </c>
    </row>
    <row r="4673" spans="8:11" x14ac:dyDescent="0.25">
      <c r="H4673">
        <v>33</v>
      </c>
      <c r="I4673">
        <v>760</v>
      </c>
      <c r="J4673">
        <v>115</v>
      </c>
      <c r="K4673" t="b">
        <v>1</v>
      </c>
    </row>
    <row r="4674" spans="8:11" x14ac:dyDescent="0.25">
      <c r="H4674">
        <v>33</v>
      </c>
      <c r="I4674">
        <v>762</v>
      </c>
      <c r="J4674">
        <v>115</v>
      </c>
      <c r="K4674" t="b">
        <v>1</v>
      </c>
    </row>
    <row r="4675" spans="8:11" x14ac:dyDescent="0.25">
      <c r="H4675">
        <v>33</v>
      </c>
      <c r="I4675">
        <v>764</v>
      </c>
      <c r="J4675">
        <v>115</v>
      </c>
      <c r="K4675" t="b">
        <v>1</v>
      </c>
    </row>
    <row r="4676" spans="8:11" x14ac:dyDescent="0.25">
      <c r="H4676">
        <v>33</v>
      </c>
      <c r="I4676">
        <v>766</v>
      </c>
      <c r="J4676">
        <v>115</v>
      </c>
      <c r="K4676" t="b">
        <v>1</v>
      </c>
    </row>
    <row r="4677" spans="8:11" x14ac:dyDescent="0.25">
      <c r="H4677">
        <v>33</v>
      </c>
      <c r="I4677">
        <v>768</v>
      </c>
      <c r="J4677">
        <v>115</v>
      </c>
      <c r="K4677" t="b">
        <v>1</v>
      </c>
    </row>
    <row r="4678" spans="8:11" x14ac:dyDescent="0.25">
      <c r="H4678">
        <v>33</v>
      </c>
      <c r="I4678">
        <v>770</v>
      </c>
      <c r="J4678">
        <v>115</v>
      </c>
      <c r="K4678" t="b">
        <v>1</v>
      </c>
    </row>
    <row r="4679" spans="8:11" x14ac:dyDescent="0.25">
      <c r="H4679">
        <v>33</v>
      </c>
      <c r="I4679">
        <v>772</v>
      </c>
      <c r="J4679">
        <v>115</v>
      </c>
      <c r="K4679" t="b">
        <v>1</v>
      </c>
    </row>
    <row r="4680" spans="8:11" x14ac:dyDescent="0.25">
      <c r="H4680">
        <v>33</v>
      </c>
      <c r="I4680">
        <v>774</v>
      </c>
      <c r="J4680">
        <v>115</v>
      </c>
      <c r="K4680" t="b">
        <v>1</v>
      </c>
    </row>
    <row r="4681" spans="8:11" x14ac:dyDescent="0.25">
      <c r="H4681">
        <v>33</v>
      </c>
      <c r="I4681">
        <v>776</v>
      </c>
      <c r="J4681">
        <v>115</v>
      </c>
      <c r="K4681" t="b">
        <v>1</v>
      </c>
    </row>
    <row r="4682" spans="8:11" x14ac:dyDescent="0.25">
      <c r="H4682">
        <v>33</v>
      </c>
      <c r="I4682">
        <v>778</v>
      </c>
      <c r="J4682">
        <v>115</v>
      </c>
      <c r="K4682" t="b">
        <v>1</v>
      </c>
    </row>
    <row r="4683" spans="8:11" x14ac:dyDescent="0.25">
      <c r="H4683">
        <v>33</v>
      </c>
      <c r="I4683">
        <v>780</v>
      </c>
      <c r="J4683">
        <v>115</v>
      </c>
      <c r="K4683" t="b">
        <v>1</v>
      </c>
    </row>
    <row r="4684" spans="8:11" x14ac:dyDescent="0.25">
      <c r="H4684">
        <v>33</v>
      </c>
      <c r="I4684">
        <v>782</v>
      </c>
      <c r="J4684">
        <v>115</v>
      </c>
      <c r="K4684" t="b">
        <v>1</v>
      </c>
    </row>
    <row r="4685" spans="8:11" x14ac:dyDescent="0.25">
      <c r="H4685">
        <v>33</v>
      </c>
      <c r="I4685">
        <v>784</v>
      </c>
      <c r="J4685">
        <v>115</v>
      </c>
      <c r="K4685" t="b">
        <v>1</v>
      </c>
    </row>
    <row r="4686" spans="8:11" x14ac:dyDescent="0.25">
      <c r="H4686">
        <v>33</v>
      </c>
      <c r="I4686">
        <v>786</v>
      </c>
      <c r="J4686">
        <v>115</v>
      </c>
      <c r="K4686" t="b">
        <v>1</v>
      </c>
    </row>
    <row r="4687" spans="8:11" x14ac:dyDescent="0.25">
      <c r="H4687">
        <v>33</v>
      </c>
      <c r="I4687">
        <v>788</v>
      </c>
      <c r="J4687">
        <v>115</v>
      </c>
      <c r="K4687" t="b">
        <v>1</v>
      </c>
    </row>
    <row r="4688" spans="8:11" x14ac:dyDescent="0.25">
      <c r="H4688">
        <v>33</v>
      </c>
      <c r="I4688">
        <v>790</v>
      </c>
      <c r="J4688">
        <v>115</v>
      </c>
      <c r="K4688" t="b">
        <v>1</v>
      </c>
    </row>
    <row r="4689" spans="8:11" x14ac:dyDescent="0.25">
      <c r="H4689">
        <v>33</v>
      </c>
      <c r="I4689">
        <v>792</v>
      </c>
      <c r="J4689">
        <v>115</v>
      </c>
      <c r="K4689" t="b">
        <v>1</v>
      </c>
    </row>
    <row r="4690" spans="8:11" x14ac:dyDescent="0.25">
      <c r="H4690">
        <v>33</v>
      </c>
      <c r="I4690">
        <v>794</v>
      </c>
      <c r="J4690">
        <v>115</v>
      </c>
      <c r="K4690" t="b">
        <v>1</v>
      </c>
    </row>
    <row r="4691" spans="8:11" x14ac:dyDescent="0.25">
      <c r="H4691">
        <v>33</v>
      </c>
      <c r="I4691">
        <v>796</v>
      </c>
      <c r="J4691">
        <v>115</v>
      </c>
      <c r="K4691" t="b">
        <v>1</v>
      </c>
    </row>
    <row r="4692" spans="8:11" x14ac:dyDescent="0.25">
      <c r="H4692">
        <v>33</v>
      </c>
      <c r="I4692">
        <v>798</v>
      </c>
      <c r="J4692">
        <v>115</v>
      </c>
      <c r="K4692" t="b">
        <v>1</v>
      </c>
    </row>
    <row r="4693" spans="8:11" x14ac:dyDescent="0.25">
      <c r="H4693">
        <v>33</v>
      </c>
      <c r="I4693">
        <v>800</v>
      </c>
      <c r="J4693">
        <v>115</v>
      </c>
      <c r="K4693" t="b">
        <v>1</v>
      </c>
    </row>
    <row r="4694" spans="8:11" x14ac:dyDescent="0.25">
      <c r="H4694">
        <v>33</v>
      </c>
      <c r="I4694">
        <v>802</v>
      </c>
      <c r="J4694">
        <v>115</v>
      </c>
      <c r="K4694" t="b">
        <v>1</v>
      </c>
    </row>
    <row r="4695" spans="8:11" x14ac:dyDescent="0.25">
      <c r="H4695">
        <v>33</v>
      </c>
      <c r="I4695">
        <v>804</v>
      </c>
      <c r="J4695">
        <v>115</v>
      </c>
      <c r="K4695" t="b">
        <v>1</v>
      </c>
    </row>
    <row r="4696" spans="8:11" x14ac:dyDescent="0.25">
      <c r="H4696">
        <v>33</v>
      </c>
      <c r="I4696">
        <v>806</v>
      </c>
      <c r="J4696">
        <v>115</v>
      </c>
      <c r="K4696" t="b">
        <v>1</v>
      </c>
    </row>
    <row r="4697" spans="8:11" x14ac:dyDescent="0.25">
      <c r="H4697">
        <v>33</v>
      </c>
      <c r="I4697">
        <v>808</v>
      </c>
      <c r="J4697">
        <v>115</v>
      </c>
      <c r="K4697" t="b">
        <v>1</v>
      </c>
    </row>
    <row r="4698" spans="8:11" x14ac:dyDescent="0.25">
      <c r="H4698">
        <v>33</v>
      </c>
      <c r="I4698">
        <v>810</v>
      </c>
      <c r="J4698">
        <v>115</v>
      </c>
      <c r="K4698" t="b">
        <v>1</v>
      </c>
    </row>
    <row r="4699" spans="8:11" x14ac:dyDescent="0.25">
      <c r="H4699">
        <v>33</v>
      </c>
      <c r="I4699">
        <v>812</v>
      </c>
      <c r="J4699">
        <v>115</v>
      </c>
      <c r="K4699" t="b">
        <v>1</v>
      </c>
    </row>
    <row r="4700" spans="8:11" x14ac:dyDescent="0.25">
      <c r="H4700">
        <v>33</v>
      </c>
      <c r="I4700">
        <v>814</v>
      </c>
      <c r="J4700">
        <v>115</v>
      </c>
      <c r="K4700" t="b">
        <v>1</v>
      </c>
    </row>
    <row r="4701" spans="8:11" x14ac:dyDescent="0.25">
      <c r="H4701">
        <v>33</v>
      </c>
      <c r="I4701">
        <v>816</v>
      </c>
      <c r="J4701">
        <v>115</v>
      </c>
      <c r="K4701" t="b">
        <v>1</v>
      </c>
    </row>
    <row r="4702" spans="8:11" x14ac:dyDescent="0.25">
      <c r="H4702">
        <v>33</v>
      </c>
      <c r="I4702">
        <v>818</v>
      </c>
      <c r="J4702">
        <v>115</v>
      </c>
      <c r="K4702" t="b">
        <v>1</v>
      </c>
    </row>
    <row r="4703" spans="8:11" x14ac:dyDescent="0.25">
      <c r="H4703">
        <v>33</v>
      </c>
      <c r="I4703">
        <v>820</v>
      </c>
      <c r="J4703">
        <v>115</v>
      </c>
      <c r="K4703" t="b">
        <v>1</v>
      </c>
    </row>
    <row r="4704" spans="8:11" x14ac:dyDescent="0.25">
      <c r="H4704">
        <v>33</v>
      </c>
      <c r="I4704">
        <v>822</v>
      </c>
      <c r="J4704">
        <v>115</v>
      </c>
      <c r="K4704" t="b">
        <v>1</v>
      </c>
    </row>
    <row r="4705" spans="8:11" x14ac:dyDescent="0.25">
      <c r="H4705">
        <v>33</v>
      </c>
      <c r="I4705">
        <v>824</v>
      </c>
      <c r="J4705">
        <v>115</v>
      </c>
      <c r="K4705" t="b">
        <v>1</v>
      </c>
    </row>
    <row r="4706" spans="8:11" x14ac:dyDescent="0.25">
      <c r="H4706">
        <v>33</v>
      </c>
      <c r="I4706">
        <v>826</v>
      </c>
      <c r="J4706">
        <v>115</v>
      </c>
      <c r="K4706" t="b">
        <v>1</v>
      </c>
    </row>
    <row r="4707" spans="8:11" x14ac:dyDescent="0.25">
      <c r="H4707">
        <v>33</v>
      </c>
      <c r="I4707">
        <v>828</v>
      </c>
      <c r="J4707">
        <v>115</v>
      </c>
      <c r="K4707" t="b">
        <v>1</v>
      </c>
    </row>
    <row r="4708" spans="8:11" x14ac:dyDescent="0.25">
      <c r="H4708">
        <v>33</v>
      </c>
      <c r="I4708">
        <v>830</v>
      </c>
      <c r="J4708">
        <v>115</v>
      </c>
      <c r="K4708" t="b">
        <v>1</v>
      </c>
    </row>
    <row r="4709" spans="8:11" x14ac:dyDescent="0.25">
      <c r="H4709">
        <v>33</v>
      </c>
      <c r="I4709">
        <v>832</v>
      </c>
      <c r="J4709">
        <v>115</v>
      </c>
      <c r="K4709" t="b">
        <v>1</v>
      </c>
    </row>
    <row r="4710" spans="8:11" x14ac:dyDescent="0.25">
      <c r="H4710">
        <v>33</v>
      </c>
      <c r="I4710">
        <v>834</v>
      </c>
      <c r="J4710">
        <v>115</v>
      </c>
      <c r="K4710" t="b">
        <v>1</v>
      </c>
    </row>
    <row r="4711" spans="8:11" x14ac:dyDescent="0.25">
      <c r="H4711">
        <v>33</v>
      </c>
      <c r="I4711">
        <v>836</v>
      </c>
      <c r="J4711">
        <v>115</v>
      </c>
      <c r="K4711" t="b">
        <v>1</v>
      </c>
    </row>
    <row r="4712" spans="8:11" x14ac:dyDescent="0.25">
      <c r="H4712">
        <v>33</v>
      </c>
      <c r="I4712">
        <v>838</v>
      </c>
      <c r="J4712">
        <v>115</v>
      </c>
      <c r="K4712" t="b">
        <v>1</v>
      </c>
    </row>
    <row r="4713" spans="8:11" x14ac:dyDescent="0.25">
      <c r="H4713">
        <v>33</v>
      </c>
      <c r="I4713">
        <v>840</v>
      </c>
      <c r="J4713">
        <v>115</v>
      </c>
      <c r="K4713" t="b">
        <v>1</v>
      </c>
    </row>
    <row r="4714" spans="8:11" x14ac:dyDescent="0.25">
      <c r="H4714">
        <v>33</v>
      </c>
      <c r="I4714">
        <v>842</v>
      </c>
      <c r="J4714">
        <v>115</v>
      </c>
      <c r="K4714" t="b">
        <v>1</v>
      </c>
    </row>
    <row r="4715" spans="8:11" x14ac:dyDescent="0.25">
      <c r="H4715">
        <v>33</v>
      </c>
      <c r="I4715">
        <v>844</v>
      </c>
      <c r="J4715">
        <v>115</v>
      </c>
      <c r="K4715" t="b">
        <v>1</v>
      </c>
    </row>
    <row r="4716" spans="8:11" x14ac:dyDescent="0.25">
      <c r="H4716">
        <v>33</v>
      </c>
      <c r="I4716">
        <v>846</v>
      </c>
      <c r="J4716">
        <v>115</v>
      </c>
      <c r="K4716" t="b">
        <v>1</v>
      </c>
    </row>
    <row r="4717" spans="8:11" x14ac:dyDescent="0.25">
      <c r="H4717">
        <v>33</v>
      </c>
      <c r="I4717">
        <v>848</v>
      </c>
      <c r="J4717">
        <v>115</v>
      </c>
      <c r="K4717" t="b">
        <v>1</v>
      </c>
    </row>
    <row r="4718" spans="8:11" x14ac:dyDescent="0.25">
      <c r="H4718">
        <v>33</v>
      </c>
      <c r="I4718">
        <v>850</v>
      </c>
      <c r="J4718">
        <v>115</v>
      </c>
      <c r="K4718" t="b">
        <v>1</v>
      </c>
    </row>
    <row r="4719" spans="8:11" x14ac:dyDescent="0.25">
      <c r="H4719">
        <v>33</v>
      </c>
      <c r="I4719">
        <v>852</v>
      </c>
      <c r="J4719">
        <v>115</v>
      </c>
      <c r="K4719" t="b">
        <v>1</v>
      </c>
    </row>
    <row r="4720" spans="8:11" x14ac:dyDescent="0.25">
      <c r="H4720">
        <v>33</v>
      </c>
      <c r="I4720">
        <v>854</v>
      </c>
      <c r="J4720">
        <v>115</v>
      </c>
      <c r="K4720" t="b">
        <v>1</v>
      </c>
    </row>
    <row r="4721" spans="8:11" x14ac:dyDescent="0.25">
      <c r="H4721">
        <v>33</v>
      </c>
      <c r="I4721">
        <v>856</v>
      </c>
      <c r="J4721">
        <v>115</v>
      </c>
      <c r="K4721" t="b">
        <v>1</v>
      </c>
    </row>
    <row r="4722" spans="8:11" x14ac:dyDescent="0.25">
      <c r="H4722">
        <v>33</v>
      </c>
      <c r="I4722">
        <v>858</v>
      </c>
      <c r="J4722">
        <v>115</v>
      </c>
      <c r="K4722" t="b">
        <v>1</v>
      </c>
    </row>
    <row r="4723" spans="8:11" x14ac:dyDescent="0.25">
      <c r="H4723">
        <v>33</v>
      </c>
      <c r="I4723">
        <v>860</v>
      </c>
      <c r="J4723">
        <v>115</v>
      </c>
      <c r="K4723" t="b">
        <v>1</v>
      </c>
    </row>
    <row r="4724" spans="8:11" x14ac:dyDescent="0.25">
      <c r="H4724">
        <v>33</v>
      </c>
      <c r="I4724">
        <v>862</v>
      </c>
      <c r="J4724">
        <v>115</v>
      </c>
      <c r="K4724" t="b">
        <v>1</v>
      </c>
    </row>
    <row r="4725" spans="8:11" x14ac:dyDescent="0.25">
      <c r="H4725">
        <v>33</v>
      </c>
      <c r="I4725">
        <v>864</v>
      </c>
      <c r="J4725">
        <v>115</v>
      </c>
      <c r="K4725" t="b">
        <v>1</v>
      </c>
    </row>
    <row r="4726" spans="8:11" x14ac:dyDescent="0.25">
      <c r="H4726">
        <v>33</v>
      </c>
      <c r="I4726">
        <v>866</v>
      </c>
      <c r="J4726">
        <v>115</v>
      </c>
      <c r="K4726" t="b">
        <v>1</v>
      </c>
    </row>
    <row r="4727" spans="8:11" x14ac:dyDescent="0.25">
      <c r="H4727">
        <v>33</v>
      </c>
      <c r="I4727">
        <v>868</v>
      </c>
      <c r="J4727">
        <v>115</v>
      </c>
      <c r="K4727" t="b">
        <v>1</v>
      </c>
    </row>
    <row r="4728" spans="8:11" x14ac:dyDescent="0.25">
      <c r="H4728">
        <v>33</v>
      </c>
      <c r="I4728">
        <v>870</v>
      </c>
      <c r="J4728">
        <v>115</v>
      </c>
      <c r="K4728" t="b">
        <v>1</v>
      </c>
    </row>
    <row r="4729" spans="8:11" x14ac:dyDescent="0.25">
      <c r="H4729">
        <v>33</v>
      </c>
      <c r="I4729">
        <v>872</v>
      </c>
      <c r="J4729">
        <v>115</v>
      </c>
      <c r="K4729" t="b">
        <v>1</v>
      </c>
    </row>
    <row r="4730" spans="8:11" x14ac:dyDescent="0.25">
      <c r="H4730">
        <v>33</v>
      </c>
      <c r="I4730">
        <v>874</v>
      </c>
      <c r="J4730">
        <v>115</v>
      </c>
      <c r="K4730" t="b">
        <v>1</v>
      </c>
    </row>
    <row r="4731" spans="8:11" x14ac:dyDescent="0.25">
      <c r="H4731">
        <v>33</v>
      </c>
      <c r="I4731">
        <v>876</v>
      </c>
      <c r="J4731">
        <v>115</v>
      </c>
      <c r="K4731" t="b">
        <v>1</v>
      </c>
    </row>
    <row r="4732" spans="8:11" x14ac:dyDescent="0.25">
      <c r="H4732">
        <v>33</v>
      </c>
      <c r="I4732">
        <v>878</v>
      </c>
      <c r="J4732">
        <v>115</v>
      </c>
      <c r="K4732" t="b">
        <v>1</v>
      </c>
    </row>
    <row r="4733" spans="8:11" x14ac:dyDescent="0.25">
      <c r="H4733">
        <v>33</v>
      </c>
      <c r="I4733">
        <v>880</v>
      </c>
      <c r="J4733">
        <v>115</v>
      </c>
      <c r="K4733" t="b">
        <v>1</v>
      </c>
    </row>
    <row r="4734" spans="8:11" x14ac:dyDescent="0.25">
      <c r="H4734">
        <v>33</v>
      </c>
      <c r="I4734">
        <v>882</v>
      </c>
      <c r="J4734">
        <v>115</v>
      </c>
      <c r="K4734" t="b">
        <v>1</v>
      </c>
    </row>
    <row r="4735" spans="8:11" x14ac:dyDescent="0.25">
      <c r="H4735">
        <v>33</v>
      </c>
      <c r="I4735">
        <v>884</v>
      </c>
      <c r="J4735">
        <v>115</v>
      </c>
      <c r="K4735" t="b">
        <v>1</v>
      </c>
    </row>
    <row r="4736" spans="8:11" x14ac:dyDescent="0.25">
      <c r="H4736">
        <v>33</v>
      </c>
      <c r="I4736">
        <v>886</v>
      </c>
      <c r="J4736">
        <v>115</v>
      </c>
      <c r="K4736" t="b">
        <v>1</v>
      </c>
    </row>
    <row r="4737" spans="8:11" x14ac:dyDescent="0.25">
      <c r="H4737">
        <v>33</v>
      </c>
      <c r="I4737">
        <v>888</v>
      </c>
      <c r="J4737">
        <v>115</v>
      </c>
      <c r="K4737" t="b">
        <v>1</v>
      </c>
    </row>
    <row r="4738" spans="8:11" x14ac:dyDescent="0.25">
      <c r="H4738">
        <v>33</v>
      </c>
      <c r="I4738">
        <v>890</v>
      </c>
      <c r="J4738">
        <v>115</v>
      </c>
      <c r="K4738" t="b">
        <v>1</v>
      </c>
    </row>
    <row r="4739" spans="8:11" x14ac:dyDescent="0.25">
      <c r="H4739">
        <v>33</v>
      </c>
      <c r="I4739">
        <v>892</v>
      </c>
      <c r="J4739">
        <v>115</v>
      </c>
      <c r="K4739" t="b">
        <v>1</v>
      </c>
    </row>
    <row r="4740" spans="8:11" x14ac:dyDescent="0.25">
      <c r="H4740">
        <v>33</v>
      </c>
      <c r="I4740">
        <v>894</v>
      </c>
      <c r="J4740">
        <v>115</v>
      </c>
      <c r="K4740" t="b">
        <v>1</v>
      </c>
    </row>
    <row r="4741" spans="8:11" x14ac:dyDescent="0.25">
      <c r="H4741">
        <v>33</v>
      </c>
      <c r="I4741">
        <v>896</v>
      </c>
      <c r="J4741">
        <v>115</v>
      </c>
      <c r="K4741" t="b">
        <v>1</v>
      </c>
    </row>
    <row r="4742" spans="8:11" x14ac:dyDescent="0.25">
      <c r="H4742">
        <v>33</v>
      </c>
      <c r="I4742">
        <v>898</v>
      </c>
      <c r="J4742">
        <v>115</v>
      </c>
      <c r="K4742" t="b">
        <v>1</v>
      </c>
    </row>
    <row r="4743" spans="8:11" x14ac:dyDescent="0.25">
      <c r="H4743">
        <v>33</v>
      </c>
      <c r="I4743">
        <v>900</v>
      </c>
      <c r="J4743">
        <v>115</v>
      </c>
      <c r="K4743" t="b">
        <v>1</v>
      </c>
    </row>
    <row r="4744" spans="8:11" x14ac:dyDescent="0.25">
      <c r="H4744">
        <v>33</v>
      </c>
      <c r="I4744">
        <v>902</v>
      </c>
      <c r="J4744">
        <v>115</v>
      </c>
      <c r="K4744" t="b">
        <v>1</v>
      </c>
    </row>
    <row r="4745" spans="8:11" x14ac:dyDescent="0.25">
      <c r="H4745">
        <v>33</v>
      </c>
      <c r="I4745">
        <v>904</v>
      </c>
      <c r="J4745">
        <v>115</v>
      </c>
      <c r="K4745" t="b">
        <v>1</v>
      </c>
    </row>
    <row r="4746" spans="8:11" x14ac:dyDescent="0.25">
      <c r="H4746">
        <v>33</v>
      </c>
      <c r="I4746">
        <v>906</v>
      </c>
      <c r="J4746">
        <v>115</v>
      </c>
      <c r="K4746" t="b">
        <v>1</v>
      </c>
    </row>
    <row r="4747" spans="8:11" x14ac:dyDescent="0.25">
      <c r="H4747">
        <v>33</v>
      </c>
      <c r="I4747">
        <v>908</v>
      </c>
      <c r="J4747">
        <v>115</v>
      </c>
      <c r="K4747" t="b">
        <v>1</v>
      </c>
    </row>
    <row r="4748" spans="8:11" x14ac:dyDescent="0.25">
      <c r="H4748">
        <v>33</v>
      </c>
      <c r="I4748">
        <v>910</v>
      </c>
      <c r="J4748">
        <v>115</v>
      </c>
      <c r="K4748" t="b">
        <v>1</v>
      </c>
    </row>
    <row r="4749" spans="8:11" x14ac:dyDescent="0.25">
      <c r="H4749">
        <v>33</v>
      </c>
      <c r="I4749">
        <v>912</v>
      </c>
      <c r="J4749">
        <v>115</v>
      </c>
      <c r="K4749" t="b">
        <v>1</v>
      </c>
    </row>
    <row r="4750" spans="8:11" x14ac:dyDescent="0.25">
      <c r="H4750">
        <v>33</v>
      </c>
      <c r="I4750">
        <v>914</v>
      </c>
      <c r="J4750">
        <v>115</v>
      </c>
      <c r="K4750" t="b">
        <v>1</v>
      </c>
    </row>
    <row r="4751" spans="8:11" x14ac:dyDescent="0.25">
      <c r="H4751">
        <v>33</v>
      </c>
      <c r="I4751">
        <v>916</v>
      </c>
      <c r="J4751">
        <v>115</v>
      </c>
      <c r="K4751" t="b">
        <v>1</v>
      </c>
    </row>
    <row r="4752" spans="8:11" x14ac:dyDescent="0.25">
      <c r="H4752">
        <v>33</v>
      </c>
      <c r="I4752">
        <v>918</v>
      </c>
      <c r="J4752">
        <v>115</v>
      </c>
      <c r="K4752" t="b">
        <v>1</v>
      </c>
    </row>
    <row r="4753" spans="8:11" x14ac:dyDescent="0.25">
      <c r="H4753">
        <v>33</v>
      </c>
      <c r="I4753">
        <v>920</v>
      </c>
      <c r="J4753">
        <v>115</v>
      </c>
      <c r="K4753" t="b">
        <v>1</v>
      </c>
    </row>
    <row r="4754" spans="8:11" x14ac:dyDescent="0.25">
      <c r="H4754">
        <v>33</v>
      </c>
      <c r="I4754">
        <v>922</v>
      </c>
      <c r="J4754">
        <v>115</v>
      </c>
      <c r="K4754" t="b">
        <v>1</v>
      </c>
    </row>
    <row r="4755" spans="8:11" x14ac:dyDescent="0.25">
      <c r="H4755">
        <v>33</v>
      </c>
      <c r="I4755">
        <v>924</v>
      </c>
      <c r="J4755">
        <v>115</v>
      </c>
      <c r="K4755" t="b">
        <v>1</v>
      </c>
    </row>
    <row r="4756" spans="8:11" x14ac:dyDescent="0.25">
      <c r="H4756">
        <v>33</v>
      </c>
      <c r="I4756">
        <v>926</v>
      </c>
      <c r="J4756">
        <v>115</v>
      </c>
      <c r="K4756" t="b">
        <v>1</v>
      </c>
    </row>
    <row r="4757" spans="8:11" x14ac:dyDescent="0.25">
      <c r="H4757">
        <v>33</v>
      </c>
      <c r="I4757">
        <v>928</v>
      </c>
      <c r="J4757">
        <v>115</v>
      </c>
      <c r="K4757" t="b">
        <v>1</v>
      </c>
    </row>
    <row r="4758" spans="8:11" x14ac:dyDescent="0.25">
      <c r="H4758">
        <v>33</v>
      </c>
      <c r="I4758">
        <v>930</v>
      </c>
      <c r="J4758">
        <v>115</v>
      </c>
      <c r="K4758" t="b">
        <v>1</v>
      </c>
    </row>
    <row r="4759" spans="8:11" x14ac:dyDescent="0.25">
      <c r="H4759">
        <v>33</v>
      </c>
      <c r="I4759">
        <v>932</v>
      </c>
      <c r="J4759">
        <v>115</v>
      </c>
      <c r="K4759" t="b">
        <v>1</v>
      </c>
    </row>
    <row r="4760" spans="8:11" x14ac:dyDescent="0.25">
      <c r="H4760">
        <v>33</v>
      </c>
      <c r="I4760">
        <v>934</v>
      </c>
      <c r="J4760">
        <v>115</v>
      </c>
      <c r="K4760" t="b">
        <v>1</v>
      </c>
    </row>
    <row r="4761" spans="8:11" x14ac:dyDescent="0.25">
      <c r="H4761">
        <v>33</v>
      </c>
      <c r="I4761">
        <v>936</v>
      </c>
      <c r="J4761">
        <v>115</v>
      </c>
      <c r="K4761" t="b">
        <v>1</v>
      </c>
    </row>
    <row r="4762" spans="8:11" x14ac:dyDescent="0.25">
      <c r="H4762">
        <v>33</v>
      </c>
      <c r="I4762">
        <v>938</v>
      </c>
      <c r="J4762">
        <v>115</v>
      </c>
      <c r="K4762" t="b">
        <v>1</v>
      </c>
    </row>
    <row r="4763" spans="8:11" x14ac:dyDescent="0.25">
      <c r="H4763">
        <v>33</v>
      </c>
      <c r="I4763">
        <v>940</v>
      </c>
      <c r="J4763">
        <v>115</v>
      </c>
      <c r="K4763" t="b">
        <v>1</v>
      </c>
    </row>
    <row r="4764" spans="8:11" x14ac:dyDescent="0.25">
      <c r="H4764">
        <v>33</v>
      </c>
      <c r="I4764">
        <v>942</v>
      </c>
      <c r="J4764">
        <v>115</v>
      </c>
      <c r="K4764" t="b">
        <v>1</v>
      </c>
    </row>
    <row r="4765" spans="8:11" x14ac:dyDescent="0.25">
      <c r="H4765">
        <v>33</v>
      </c>
      <c r="I4765">
        <v>944</v>
      </c>
      <c r="J4765">
        <v>115</v>
      </c>
      <c r="K4765" t="b">
        <v>1</v>
      </c>
    </row>
    <row r="4766" spans="8:11" x14ac:dyDescent="0.25">
      <c r="H4766">
        <v>33</v>
      </c>
      <c r="I4766">
        <v>946</v>
      </c>
      <c r="J4766">
        <v>115</v>
      </c>
      <c r="K4766" t="b">
        <v>1</v>
      </c>
    </row>
    <row r="4767" spans="8:11" x14ac:dyDescent="0.25">
      <c r="H4767">
        <v>33</v>
      </c>
      <c r="I4767">
        <v>948</v>
      </c>
      <c r="J4767">
        <v>115</v>
      </c>
      <c r="K4767" t="b">
        <v>1</v>
      </c>
    </row>
    <row r="4768" spans="8:11" x14ac:dyDescent="0.25">
      <c r="H4768">
        <v>33</v>
      </c>
      <c r="I4768">
        <v>950</v>
      </c>
      <c r="J4768">
        <v>115</v>
      </c>
      <c r="K4768" t="b">
        <v>1</v>
      </c>
    </row>
    <row r="4769" spans="8:11" x14ac:dyDescent="0.25">
      <c r="H4769">
        <v>33</v>
      </c>
      <c r="I4769">
        <v>952</v>
      </c>
      <c r="J4769">
        <v>115</v>
      </c>
      <c r="K4769" t="b">
        <v>1</v>
      </c>
    </row>
    <row r="4770" spans="8:11" x14ac:dyDescent="0.25">
      <c r="H4770">
        <v>33</v>
      </c>
      <c r="I4770">
        <v>954</v>
      </c>
      <c r="J4770">
        <v>115</v>
      </c>
      <c r="K4770" t="b">
        <v>1</v>
      </c>
    </row>
    <row r="4771" spans="8:11" x14ac:dyDescent="0.25">
      <c r="H4771">
        <v>33</v>
      </c>
      <c r="I4771">
        <v>956</v>
      </c>
      <c r="J4771">
        <v>115</v>
      </c>
      <c r="K4771" t="b">
        <v>1</v>
      </c>
    </row>
    <row r="4772" spans="8:11" x14ac:dyDescent="0.25">
      <c r="H4772">
        <v>33</v>
      </c>
      <c r="I4772">
        <v>958</v>
      </c>
      <c r="J4772">
        <v>115</v>
      </c>
      <c r="K4772" t="b">
        <v>1</v>
      </c>
    </row>
    <row r="4773" spans="8:11" x14ac:dyDescent="0.25">
      <c r="H4773">
        <v>34</v>
      </c>
      <c r="I4773">
        <v>0</v>
      </c>
      <c r="J4773">
        <v>115</v>
      </c>
      <c r="K4773" t="b">
        <v>1</v>
      </c>
    </row>
    <row r="4774" spans="8:11" x14ac:dyDescent="0.25">
      <c r="H4774">
        <v>34</v>
      </c>
      <c r="I4774">
        <v>2</v>
      </c>
      <c r="J4774">
        <v>115</v>
      </c>
      <c r="K4774" t="b">
        <v>1</v>
      </c>
    </row>
    <row r="4775" spans="8:11" x14ac:dyDescent="0.25">
      <c r="H4775">
        <v>34</v>
      </c>
      <c r="I4775">
        <v>4</v>
      </c>
      <c r="J4775">
        <v>115</v>
      </c>
      <c r="K4775" t="b">
        <v>1</v>
      </c>
    </row>
    <row r="4776" spans="8:11" x14ac:dyDescent="0.25">
      <c r="H4776">
        <v>34</v>
      </c>
      <c r="I4776">
        <v>6</v>
      </c>
      <c r="J4776">
        <v>115</v>
      </c>
      <c r="K4776" t="b">
        <v>1</v>
      </c>
    </row>
    <row r="4777" spans="8:11" x14ac:dyDescent="0.25">
      <c r="H4777">
        <v>34</v>
      </c>
      <c r="I4777">
        <v>8</v>
      </c>
      <c r="J4777">
        <v>115</v>
      </c>
      <c r="K4777" t="b">
        <v>1</v>
      </c>
    </row>
    <row r="4778" spans="8:11" x14ac:dyDescent="0.25">
      <c r="H4778">
        <v>34</v>
      </c>
      <c r="I4778">
        <v>10</v>
      </c>
      <c r="J4778">
        <v>115</v>
      </c>
      <c r="K4778" t="b">
        <v>1</v>
      </c>
    </row>
    <row r="4779" spans="8:11" x14ac:dyDescent="0.25">
      <c r="H4779">
        <v>34</v>
      </c>
      <c r="I4779">
        <v>12</v>
      </c>
      <c r="J4779">
        <v>115</v>
      </c>
      <c r="K4779" t="b">
        <v>1</v>
      </c>
    </row>
    <row r="4780" spans="8:11" x14ac:dyDescent="0.25">
      <c r="H4780">
        <v>34</v>
      </c>
      <c r="I4780">
        <v>14</v>
      </c>
      <c r="J4780">
        <v>115</v>
      </c>
      <c r="K4780" t="b">
        <v>1</v>
      </c>
    </row>
    <row r="4781" spans="8:11" x14ac:dyDescent="0.25">
      <c r="H4781">
        <v>34</v>
      </c>
      <c r="I4781">
        <v>16</v>
      </c>
      <c r="J4781">
        <v>115</v>
      </c>
      <c r="K4781" t="b">
        <v>1</v>
      </c>
    </row>
    <row r="4782" spans="8:11" x14ac:dyDescent="0.25">
      <c r="H4782">
        <v>34</v>
      </c>
      <c r="I4782">
        <v>18</v>
      </c>
      <c r="J4782">
        <v>115</v>
      </c>
      <c r="K4782" t="b">
        <v>1</v>
      </c>
    </row>
    <row r="4783" spans="8:11" x14ac:dyDescent="0.25">
      <c r="H4783">
        <v>34</v>
      </c>
      <c r="I4783">
        <v>20</v>
      </c>
      <c r="J4783">
        <v>115</v>
      </c>
      <c r="K4783" t="b">
        <v>1</v>
      </c>
    </row>
    <row r="4784" spans="8:11" x14ac:dyDescent="0.25">
      <c r="H4784">
        <v>34</v>
      </c>
      <c r="I4784">
        <v>22</v>
      </c>
      <c r="J4784">
        <v>115</v>
      </c>
      <c r="K4784" t="b">
        <v>1</v>
      </c>
    </row>
    <row r="4785" spans="8:11" x14ac:dyDescent="0.25">
      <c r="H4785">
        <v>34</v>
      </c>
      <c r="I4785">
        <v>24</v>
      </c>
      <c r="J4785">
        <v>115</v>
      </c>
      <c r="K4785" t="b">
        <v>1</v>
      </c>
    </row>
    <row r="4786" spans="8:11" x14ac:dyDescent="0.25">
      <c r="H4786">
        <v>34</v>
      </c>
      <c r="I4786">
        <v>26</v>
      </c>
      <c r="J4786">
        <v>115</v>
      </c>
      <c r="K4786" t="b">
        <v>1</v>
      </c>
    </row>
    <row r="4787" spans="8:11" x14ac:dyDescent="0.25">
      <c r="H4787">
        <v>34</v>
      </c>
      <c r="I4787">
        <v>28</v>
      </c>
      <c r="J4787">
        <v>115</v>
      </c>
      <c r="K4787" t="b">
        <v>1</v>
      </c>
    </row>
    <row r="4788" spans="8:11" x14ac:dyDescent="0.25">
      <c r="H4788">
        <v>34</v>
      </c>
      <c r="I4788">
        <v>30</v>
      </c>
      <c r="J4788">
        <v>115</v>
      </c>
      <c r="K4788" t="b">
        <v>1</v>
      </c>
    </row>
    <row r="4789" spans="8:11" x14ac:dyDescent="0.25">
      <c r="H4789">
        <v>34</v>
      </c>
      <c r="I4789">
        <v>32</v>
      </c>
      <c r="J4789">
        <v>115</v>
      </c>
      <c r="K4789" t="b">
        <v>1</v>
      </c>
    </row>
    <row r="4790" spans="8:11" x14ac:dyDescent="0.25">
      <c r="H4790">
        <v>34</v>
      </c>
      <c r="I4790">
        <v>34</v>
      </c>
      <c r="J4790">
        <v>115</v>
      </c>
      <c r="K4790" t="b">
        <v>1</v>
      </c>
    </row>
    <row r="4791" spans="8:11" x14ac:dyDescent="0.25">
      <c r="H4791">
        <v>34</v>
      </c>
      <c r="I4791">
        <v>36</v>
      </c>
      <c r="J4791">
        <v>115</v>
      </c>
      <c r="K4791" t="b">
        <v>1</v>
      </c>
    </row>
    <row r="4792" spans="8:11" x14ac:dyDescent="0.25">
      <c r="H4792">
        <v>34</v>
      </c>
      <c r="I4792">
        <v>38</v>
      </c>
      <c r="J4792">
        <v>115</v>
      </c>
      <c r="K4792" t="b">
        <v>1</v>
      </c>
    </row>
    <row r="4793" spans="8:11" x14ac:dyDescent="0.25">
      <c r="H4793">
        <v>34</v>
      </c>
      <c r="I4793">
        <v>40</v>
      </c>
      <c r="J4793">
        <v>115</v>
      </c>
      <c r="K4793" t="b">
        <v>1</v>
      </c>
    </row>
    <row r="4794" spans="8:11" x14ac:dyDescent="0.25">
      <c r="H4794">
        <v>34</v>
      </c>
      <c r="I4794">
        <v>42</v>
      </c>
      <c r="J4794">
        <v>115</v>
      </c>
      <c r="K4794" t="b">
        <v>1</v>
      </c>
    </row>
    <row r="4795" spans="8:11" x14ac:dyDescent="0.25">
      <c r="H4795">
        <v>34</v>
      </c>
      <c r="I4795">
        <v>44</v>
      </c>
      <c r="J4795">
        <v>115</v>
      </c>
      <c r="K4795" t="b">
        <v>1</v>
      </c>
    </row>
    <row r="4796" spans="8:11" x14ac:dyDescent="0.25">
      <c r="H4796">
        <v>34</v>
      </c>
      <c r="I4796">
        <v>46</v>
      </c>
      <c r="J4796">
        <v>115</v>
      </c>
      <c r="K4796" t="b">
        <v>1</v>
      </c>
    </row>
    <row r="4797" spans="8:11" x14ac:dyDescent="0.25">
      <c r="H4797">
        <v>34</v>
      </c>
      <c r="I4797">
        <v>48</v>
      </c>
      <c r="J4797">
        <v>115</v>
      </c>
      <c r="K4797" t="b">
        <v>1</v>
      </c>
    </row>
    <row r="4798" spans="8:11" x14ac:dyDescent="0.25">
      <c r="H4798">
        <v>34</v>
      </c>
      <c r="I4798">
        <v>50</v>
      </c>
      <c r="J4798">
        <v>115</v>
      </c>
      <c r="K4798" t="b">
        <v>1</v>
      </c>
    </row>
    <row r="4799" spans="8:11" x14ac:dyDescent="0.25">
      <c r="H4799">
        <v>34</v>
      </c>
      <c r="I4799">
        <v>52</v>
      </c>
      <c r="J4799">
        <v>115</v>
      </c>
      <c r="K4799" t="b">
        <v>1</v>
      </c>
    </row>
    <row r="4800" spans="8:11" x14ac:dyDescent="0.25">
      <c r="H4800">
        <v>34</v>
      </c>
      <c r="I4800">
        <v>54</v>
      </c>
      <c r="J4800">
        <v>115</v>
      </c>
      <c r="K4800" t="b">
        <v>1</v>
      </c>
    </row>
    <row r="4801" spans="8:11" x14ac:dyDescent="0.25">
      <c r="H4801">
        <v>34</v>
      </c>
      <c r="I4801">
        <v>56</v>
      </c>
      <c r="J4801">
        <v>115</v>
      </c>
      <c r="K4801" t="b">
        <v>1</v>
      </c>
    </row>
    <row r="4802" spans="8:11" x14ac:dyDescent="0.25">
      <c r="H4802">
        <v>34</v>
      </c>
      <c r="I4802">
        <v>58</v>
      </c>
      <c r="J4802">
        <v>115</v>
      </c>
      <c r="K4802" t="b">
        <v>1</v>
      </c>
    </row>
    <row r="4803" spans="8:11" x14ac:dyDescent="0.25">
      <c r="H4803">
        <v>34</v>
      </c>
      <c r="I4803">
        <v>60</v>
      </c>
      <c r="J4803">
        <v>115</v>
      </c>
      <c r="K4803" t="b">
        <v>1</v>
      </c>
    </row>
    <row r="4804" spans="8:11" x14ac:dyDescent="0.25">
      <c r="H4804">
        <v>34</v>
      </c>
      <c r="I4804">
        <v>62</v>
      </c>
      <c r="J4804">
        <v>115</v>
      </c>
      <c r="K4804" t="b">
        <v>1</v>
      </c>
    </row>
    <row r="4805" spans="8:11" x14ac:dyDescent="0.25">
      <c r="H4805">
        <v>34</v>
      </c>
      <c r="I4805">
        <v>64</v>
      </c>
      <c r="J4805">
        <v>115</v>
      </c>
      <c r="K4805" t="b">
        <v>1</v>
      </c>
    </row>
    <row r="4806" spans="8:11" x14ac:dyDescent="0.25">
      <c r="H4806">
        <v>34</v>
      </c>
      <c r="I4806">
        <v>66</v>
      </c>
      <c r="J4806">
        <v>115</v>
      </c>
      <c r="K4806" t="b">
        <v>1</v>
      </c>
    </row>
    <row r="4807" spans="8:11" x14ac:dyDescent="0.25">
      <c r="H4807">
        <v>34</v>
      </c>
      <c r="I4807">
        <v>68</v>
      </c>
      <c r="J4807">
        <v>115</v>
      </c>
      <c r="K4807" t="b">
        <v>1</v>
      </c>
    </row>
    <row r="4808" spans="8:11" x14ac:dyDescent="0.25">
      <c r="H4808">
        <v>34</v>
      </c>
      <c r="I4808">
        <v>70</v>
      </c>
      <c r="J4808">
        <v>115</v>
      </c>
      <c r="K4808" t="b">
        <v>1</v>
      </c>
    </row>
    <row r="4809" spans="8:11" x14ac:dyDescent="0.25">
      <c r="H4809">
        <v>34</v>
      </c>
      <c r="I4809">
        <v>72</v>
      </c>
      <c r="J4809">
        <v>115</v>
      </c>
      <c r="K4809" t="b">
        <v>1</v>
      </c>
    </row>
    <row r="4810" spans="8:11" x14ac:dyDescent="0.25">
      <c r="H4810">
        <v>34</v>
      </c>
      <c r="I4810">
        <v>74</v>
      </c>
      <c r="J4810">
        <v>115</v>
      </c>
      <c r="K4810" t="b">
        <v>1</v>
      </c>
    </row>
    <row r="4811" spans="8:11" x14ac:dyDescent="0.25">
      <c r="H4811">
        <v>34</v>
      </c>
      <c r="I4811">
        <v>76</v>
      </c>
      <c r="J4811">
        <v>115</v>
      </c>
      <c r="K4811" t="b">
        <v>1</v>
      </c>
    </row>
    <row r="4812" spans="8:11" x14ac:dyDescent="0.25">
      <c r="H4812">
        <v>34</v>
      </c>
      <c r="I4812">
        <v>78</v>
      </c>
      <c r="J4812">
        <v>115</v>
      </c>
      <c r="K4812" t="b">
        <v>1</v>
      </c>
    </row>
    <row r="4813" spans="8:11" x14ac:dyDescent="0.25">
      <c r="H4813">
        <v>34</v>
      </c>
      <c r="I4813">
        <v>80</v>
      </c>
      <c r="J4813">
        <v>115</v>
      </c>
      <c r="K4813" t="b">
        <v>1</v>
      </c>
    </row>
    <row r="4814" spans="8:11" x14ac:dyDescent="0.25">
      <c r="H4814">
        <v>34</v>
      </c>
      <c r="I4814">
        <v>82</v>
      </c>
      <c r="J4814">
        <v>115</v>
      </c>
      <c r="K4814" t="b">
        <v>1</v>
      </c>
    </row>
    <row r="4815" spans="8:11" x14ac:dyDescent="0.25">
      <c r="H4815">
        <v>34</v>
      </c>
      <c r="I4815">
        <v>84</v>
      </c>
      <c r="J4815">
        <v>115</v>
      </c>
      <c r="K4815" t="b">
        <v>1</v>
      </c>
    </row>
    <row r="4816" spans="8:11" x14ac:dyDescent="0.25">
      <c r="H4816">
        <v>34</v>
      </c>
      <c r="I4816">
        <v>86</v>
      </c>
      <c r="J4816">
        <v>115</v>
      </c>
      <c r="K4816" t="b">
        <v>1</v>
      </c>
    </row>
    <row r="4817" spans="8:11" x14ac:dyDescent="0.25">
      <c r="H4817">
        <v>34</v>
      </c>
      <c r="I4817">
        <v>88</v>
      </c>
      <c r="J4817">
        <v>115</v>
      </c>
      <c r="K4817" t="b">
        <v>1</v>
      </c>
    </row>
    <row r="4818" spans="8:11" x14ac:dyDescent="0.25">
      <c r="H4818">
        <v>34</v>
      </c>
      <c r="I4818">
        <v>90</v>
      </c>
      <c r="J4818">
        <v>115</v>
      </c>
      <c r="K4818" t="b">
        <v>1</v>
      </c>
    </row>
    <row r="4819" spans="8:11" x14ac:dyDescent="0.25">
      <c r="H4819">
        <v>34</v>
      </c>
      <c r="I4819">
        <v>92</v>
      </c>
      <c r="J4819">
        <v>115</v>
      </c>
      <c r="K4819" t="b">
        <v>1</v>
      </c>
    </row>
    <row r="4820" spans="8:11" x14ac:dyDescent="0.25">
      <c r="H4820">
        <v>34</v>
      </c>
      <c r="I4820">
        <v>94</v>
      </c>
      <c r="J4820">
        <v>115</v>
      </c>
      <c r="K4820" t="b">
        <v>1</v>
      </c>
    </row>
    <row r="4821" spans="8:11" x14ac:dyDescent="0.25">
      <c r="H4821">
        <v>34</v>
      </c>
      <c r="I4821">
        <v>96</v>
      </c>
      <c r="J4821">
        <v>115</v>
      </c>
      <c r="K4821" t="b">
        <v>1</v>
      </c>
    </row>
    <row r="4822" spans="8:11" x14ac:dyDescent="0.25">
      <c r="H4822">
        <v>34</v>
      </c>
      <c r="I4822">
        <v>98</v>
      </c>
      <c r="J4822">
        <v>115</v>
      </c>
      <c r="K4822" t="b">
        <v>1</v>
      </c>
    </row>
    <row r="4823" spans="8:11" x14ac:dyDescent="0.25">
      <c r="H4823">
        <v>34</v>
      </c>
      <c r="I4823">
        <v>100</v>
      </c>
      <c r="J4823">
        <v>115</v>
      </c>
      <c r="K4823" t="b">
        <v>1</v>
      </c>
    </row>
    <row r="4824" spans="8:11" x14ac:dyDescent="0.25">
      <c r="H4824">
        <v>34</v>
      </c>
      <c r="I4824">
        <v>102</v>
      </c>
      <c r="J4824">
        <v>115</v>
      </c>
      <c r="K4824" t="b">
        <v>1</v>
      </c>
    </row>
    <row r="4825" spans="8:11" x14ac:dyDescent="0.25">
      <c r="H4825">
        <v>34</v>
      </c>
      <c r="I4825">
        <v>104</v>
      </c>
      <c r="J4825">
        <v>115</v>
      </c>
      <c r="K4825" t="b">
        <v>1</v>
      </c>
    </row>
    <row r="4826" spans="8:11" x14ac:dyDescent="0.25">
      <c r="H4826">
        <v>34</v>
      </c>
      <c r="I4826">
        <v>106</v>
      </c>
      <c r="J4826">
        <v>115</v>
      </c>
      <c r="K4826" t="b">
        <v>1</v>
      </c>
    </row>
    <row r="4827" spans="8:11" x14ac:dyDescent="0.25">
      <c r="H4827">
        <v>34</v>
      </c>
      <c r="I4827">
        <v>108</v>
      </c>
      <c r="J4827">
        <v>115</v>
      </c>
      <c r="K4827" t="b">
        <v>1</v>
      </c>
    </row>
    <row r="4828" spans="8:11" x14ac:dyDescent="0.25">
      <c r="H4828">
        <v>34</v>
      </c>
      <c r="I4828">
        <v>110</v>
      </c>
      <c r="J4828">
        <v>115</v>
      </c>
      <c r="K4828" t="b">
        <v>1</v>
      </c>
    </row>
    <row r="4829" spans="8:11" x14ac:dyDescent="0.25">
      <c r="H4829">
        <v>34</v>
      </c>
      <c r="I4829">
        <v>112</v>
      </c>
      <c r="J4829">
        <v>115</v>
      </c>
      <c r="K4829" t="b">
        <v>1</v>
      </c>
    </row>
    <row r="4830" spans="8:11" x14ac:dyDescent="0.25">
      <c r="H4830">
        <v>34</v>
      </c>
      <c r="I4830">
        <v>114</v>
      </c>
      <c r="J4830">
        <v>115</v>
      </c>
      <c r="K4830" t="b">
        <v>1</v>
      </c>
    </row>
    <row r="4831" spans="8:11" x14ac:dyDescent="0.25">
      <c r="H4831">
        <v>34</v>
      </c>
      <c r="I4831">
        <v>116</v>
      </c>
      <c r="J4831">
        <v>115</v>
      </c>
      <c r="K4831" t="b">
        <v>1</v>
      </c>
    </row>
    <row r="4832" spans="8:11" x14ac:dyDescent="0.25">
      <c r="H4832">
        <v>34</v>
      </c>
      <c r="I4832">
        <v>118</v>
      </c>
      <c r="J4832">
        <v>115</v>
      </c>
      <c r="K4832" t="b">
        <v>1</v>
      </c>
    </row>
    <row r="4833" spans="8:11" x14ac:dyDescent="0.25">
      <c r="H4833">
        <v>34</v>
      </c>
      <c r="I4833">
        <v>120</v>
      </c>
      <c r="J4833">
        <v>115</v>
      </c>
      <c r="K4833" t="b">
        <v>1</v>
      </c>
    </row>
    <row r="4834" spans="8:11" x14ac:dyDescent="0.25">
      <c r="H4834">
        <v>34</v>
      </c>
      <c r="I4834">
        <v>122</v>
      </c>
      <c r="J4834">
        <v>115</v>
      </c>
      <c r="K4834" t="b">
        <v>1</v>
      </c>
    </row>
    <row r="4835" spans="8:11" x14ac:dyDescent="0.25">
      <c r="H4835">
        <v>34</v>
      </c>
      <c r="I4835">
        <v>124</v>
      </c>
      <c r="J4835">
        <v>115</v>
      </c>
      <c r="K4835" t="b">
        <v>1</v>
      </c>
    </row>
    <row r="4836" spans="8:11" x14ac:dyDescent="0.25">
      <c r="H4836">
        <v>34</v>
      </c>
      <c r="I4836">
        <v>126</v>
      </c>
      <c r="J4836">
        <v>115</v>
      </c>
      <c r="K4836" t="b">
        <v>1</v>
      </c>
    </row>
    <row r="4837" spans="8:11" x14ac:dyDescent="0.25">
      <c r="H4837">
        <v>34</v>
      </c>
      <c r="I4837">
        <v>128</v>
      </c>
      <c r="J4837">
        <v>115</v>
      </c>
      <c r="K4837" t="b">
        <v>1</v>
      </c>
    </row>
    <row r="4838" spans="8:11" x14ac:dyDescent="0.25">
      <c r="H4838">
        <v>34</v>
      </c>
      <c r="I4838">
        <v>130</v>
      </c>
      <c r="J4838">
        <v>115</v>
      </c>
      <c r="K4838" t="b">
        <v>1</v>
      </c>
    </row>
    <row r="4839" spans="8:11" x14ac:dyDescent="0.25">
      <c r="H4839">
        <v>34</v>
      </c>
      <c r="I4839">
        <v>132</v>
      </c>
      <c r="J4839">
        <v>115</v>
      </c>
      <c r="K4839" t="b">
        <v>1</v>
      </c>
    </row>
    <row r="4840" spans="8:11" x14ac:dyDescent="0.25">
      <c r="H4840">
        <v>34</v>
      </c>
      <c r="I4840">
        <v>134</v>
      </c>
      <c r="J4840">
        <v>115</v>
      </c>
      <c r="K4840" t="b">
        <v>1</v>
      </c>
    </row>
    <row r="4841" spans="8:11" x14ac:dyDescent="0.25">
      <c r="H4841">
        <v>34</v>
      </c>
      <c r="I4841">
        <v>136</v>
      </c>
      <c r="J4841">
        <v>115</v>
      </c>
      <c r="K4841" t="b">
        <v>1</v>
      </c>
    </row>
    <row r="4842" spans="8:11" x14ac:dyDescent="0.25">
      <c r="H4842">
        <v>34</v>
      </c>
      <c r="I4842">
        <v>138</v>
      </c>
      <c r="J4842">
        <v>115</v>
      </c>
      <c r="K4842" t="b">
        <v>1</v>
      </c>
    </row>
    <row r="4843" spans="8:11" x14ac:dyDescent="0.25">
      <c r="H4843">
        <v>34</v>
      </c>
      <c r="I4843">
        <v>140</v>
      </c>
      <c r="J4843">
        <v>115</v>
      </c>
      <c r="K4843" t="b">
        <v>1</v>
      </c>
    </row>
    <row r="4844" spans="8:11" x14ac:dyDescent="0.25">
      <c r="H4844">
        <v>34</v>
      </c>
      <c r="I4844">
        <v>142</v>
      </c>
      <c r="J4844">
        <v>115</v>
      </c>
      <c r="K4844" t="b">
        <v>1</v>
      </c>
    </row>
    <row r="4845" spans="8:11" x14ac:dyDescent="0.25">
      <c r="H4845">
        <v>34</v>
      </c>
      <c r="I4845">
        <v>144</v>
      </c>
      <c r="J4845">
        <v>115</v>
      </c>
      <c r="K4845" t="b">
        <v>1</v>
      </c>
    </row>
    <row r="4846" spans="8:11" x14ac:dyDescent="0.25">
      <c r="H4846">
        <v>34</v>
      </c>
      <c r="I4846">
        <v>146</v>
      </c>
      <c r="J4846">
        <v>115</v>
      </c>
      <c r="K4846" t="b">
        <v>1</v>
      </c>
    </row>
    <row r="4847" spans="8:11" x14ac:dyDescent="0.25">
      <c r="H4847">
        <v>34</v>
      </c>
      <c r="I4847">
        <v>148</v>
      </c>
      <c r="J4847">
        <v>115</v>
      </c>
      <c r="K4847" t="b">
        <v>1</v>
      </c>
    </row>
    <row r="4848" spans="8:11" x14ac:dyDescent="0.25">
      <c r="H4848">
        <v>34</v>
      </c>
      <c r="I4848">
        <v>150</v>
      </c>
      <c r="J4848">
        <v>115</v>
      </c>
      <c r="K4848" t="b">
        <v>1</v>
      </c>
    </row>
    <row r="4849" spans="8:11" x14ac:dyDescent="0.25">
      <c r="H4849">
        <v>34</v>
      </c>
      <c r="I4849">
        <v>152</v>
      </c>
      <c r="J4849">
        <v>115</v>
      </c>
      <c r="K4849" t="b">
        <v>1</v>
      </c>
    </row>
    <row r="4850" spans="8:11" x14ac:dyDescent="0.25">
      <c r="H4850">
        <v>34</v>
      </c>
      <c r="I4850">
        <v>154</v>
      </c>
      <c r="J4850">
        <v>115</v>
      </c>
      <c r="K4850" t="b">
        <v>1</v>
      </c>
    </row>
    <row r="4851" spans="8:11" x14ac:dyDescent="0.25">
      <c r="H4851">
        <v>34</v>
      </c>
      <c r="I4851">
        <v>156</v>
      </c>
      <c r="J4851">
        <v>115</v>
      </c>
      <c r="K4851" t="b">
        <v>1</v>
      </c>
    </row>
    <row r="4852" spans="8:11" x14ac:dyDescent="0.25">
      <c r="H4852">
        <v>34</v>
      </c>
      <c r="I4852">
        <v>158</v>
      </c>
      <c r="J4852">
        <v>115</v>
      </c>
      <c r="K4852" t="b">
        <v>1</v>
      </c>
    </row>
    <row r="4853" spans="8:11" x14ac:dyDescent="0.25">
      <c r="H4853">
        <v>34</v>
      </c>
      <c r="I4853">
        <v>160</v>
      </c>
      <c r="J4853">
        <v>115</v>
      </c>
      <c r="K4853" t="b">
        <v>1</v>
      </c>
    </row>
    <row r="4854" spans="8:11" x14ac:dyDescent="0.25">
      <c r="H4854">
        <v>34</v>
      </c>
      <c r="I4854">
        <v>162</v>
      </c>
      <c r="J4854">
        <v>115</v>
      </c>
      <c r="K4854" t="b">
        <v>1</v>
      </c>
    </row>
    <row r="4855" spans="8:11" x14ac:dyDescent="0.25">
      <c r="H4855">
        <v>34</v>
      </c>
      <c r="I4855">
        <v>164</v>
      </c>
      <c r="J4855">
        <v>115</v>
      </c>
      <c r="K4855" t="b">
        <v>1</v>
      </c>
    </row>
    <row r="4856" spans="8:11" x14ac:dyDescent="0.25">
      <c r="H4856">
        <v>34</v>
      </c>
      <c r="I4856">
        <v>166</v>
      </c>
      <c r="J4856">
        <v>115</v>
      </c>
      <c r="K4856" t="b">
        <v>1</v>
      </c>
    </row>
    <row r="4857" spans="8:11" x14ac:dyDescent="0.25">
      <c r="H4857">
        <v>34</v>
      </c>
      <c r="I4857">
        <v>168</v>
      </c>
      <c r="J4857">
        <v>115</v>
      </c>
      <c r="K4857" t="b">
        <v>1</v>
      </c>
    </row>
    <row r="4858" spans="8:11" x14ac:dyDescent="0.25">
      <c r="H4858">
        <v>34</v>
      </c>
      <c r="I4858">
        <v>170</v>
      </c>
      <c r="J4858">
        <v>115</v>
      </c>
      <c r="K4858" t="b">
        <v>1</v>
      </c>
    </row>
    <row r="4859" spans="8:11" x14ac:dyDescent="0.25">
      <c r="H4859">
        <v>34</v>
      </c>
      <c r="I4859">
        <v>172</v>
      </c>
      <c r="J4859">
        <v>115</v>
      </c>
      <c r="K4859" t="b">
        <v>1</v>
      </c>
    </row>
    <row r="4860" spans="8:11" x14ac:dyDescent="0.25">
      <c r="H4860">
        <v>34</v>
      </c>
      <c r="I4860">
        <v>174</v>
      </c>
      <c r="J4860">
        <v>115</v>
      </c>
      <c r="K4860" t="b">
        <v>1</v>
      </c>
    </row>
    <row r="4861" spans="8:11" x14ac:dyDescent="0.25">
      <c r="H4861">
        <v>34</v>
      </c>
      <c r="I4861">
        <v>176</v>
      </c>
      <c r="J4861">
        <v>115</v>
      </c>
      <c r="K4861" t="b">
        <v>1</v>
      </c>
    </row>
    <row r="4862" spans="8:11" x14ac:dyDescent="0.25">
      <c r="H4862">
        <v>34</v>
      </c>
      <c r="I4862">
        <v>178</v>
      </c>
      <c r="J4862">
        <v>115</v>
      </c>
      <c r="K4862" t="b">
        <v>1</v>
      </c>
    </row>
    <row r="4863" spans="8:11" x14ac:dyDescent="0.25">
      <c r="H4863">
        <v>34</v>
      </c>
      <c r="I4863">
        <v>180</v>
      </c>
      <c r="J4863">
        <v>115</v>
      </c>
      <c r="K4863" t="b">
        <v>1</v>
      </c>
    </row>
    <row r="4864" spans="8:11" x14ac:dyDescent="0.25">
      <c r="H4864">
        <v>34</v>
      </c>
      <c r="I4864">
        <v>182</v>
      </c>
      <c r="J4864">
        <v>115</v>
      </c>
      <c r="K4864" t="b">
        <v>1</v>
      </c>
    </row>
    <row r="4865" spans="8:11" x14ac:dyDescent="0.25">
      <c r="H4865">
        <v>34</v>
      </c>
      <c r="I4865">
        <v>184</v>
      </c>
      <c r="J4865">
        <v>115</v>
      </c>
      <c r="K4865" t="b">
        <v>1</v>
      </c>
    </row>
    <row r="4866" spans="8:11" x14ac:dyDescent="0.25">
      <c r="H4866">
        <v>34</v>
      </c>
      <c r="I4866">
        <v>186</v>
      </c>
      <c r="J4866">
        <v>115</v>
      </c>
      <c r="K4866" t="b">
        <v>1</v>
      </c>
    </row>
    <row r="4867" spans="8:11" x14ac:dyDescent="0.25">
      <c r="H4867">
        <v>34</v>
      </c>
      <c r="I4867">
        <v>188</v>
      </c>
      <c r="J4867">
        <v>115</v>
      </c>
      <c r="K4867" t="b">
        <v>1</v>
      </c>
    </row>
    <row r="4868" spans="8:11" x14ac:dyDescent="0.25">
      <c r="H4868">
        <v>34</v>
      </c>
      <c r="I4868">
        <v>190</v>
      </c>
      <c r="J4868">
        <v>115</v>
      </c>
      <c r="K4868" t="b">
        <v>1</v>
      </c>
    </row>
    <row r="4869" spans="8:11" x14ac:dyDescent="0.25">
      <c r="H4869">
        <v>34</v>
      </c>
      <c r="I4869">
        <v>192</v>
      </c>
      <c r="J4869">
        <v>115</v>
      </c>
      <c r="K4869" t="b">
        <v>1</v>
      </c>
    </row>
    <row r="4870" spans="8:11" x14ac:dyDescent="0.25">
      <c r="H4870">
        <v>34</v>
      </c>
      <c r="I4870">
        <v>194</v>
      </c>
      <c r="J4870">
        <v>115</v>
      </c>
      <c r="K4870" t="b">
        <v>1</v>
      </c>
    </row>
    <row r="4871" spans="8:11" x14ac:dyDescent="0.25">
      <c r="H4871">
        <v>34</v>
      </c>
      <c r="I4871">
        <v>196</v>
      </c>
      <c r="J4871">
        <v>115</v>
      </c>
      <c r="K4871" t="b">
        <v>1</v>
      </c>
    </row>
    <row r="4872" spans="8:11" x14ac:dyDescent="0.25">
      <c r="H4872">
        <v>34</v>
      </c>
      <c r="I4872">
        <v>198</v>
      </c>
      <c r="J4872">
        <v>115</v>
      </c>
      <c r="K4872" t="b">
        <v>1</v>
      </c>
    </row>
    <row r="4873" spans="8:11" x14ac:dyDescent="0.25">
      <c r="H4873">
        <v>34</v>
      </c>
      <c r="I4873">
        <v>200</v>
      </c>
      <c r="J4873">
        <v>115</v>
      </c>
      <c r="K4873" t="b">
        <v>1</v>
      </c>
    </row>
    <row r="4874" spans="8:11" x14ac:dyDescent="0.25">
      <c r="H4874">
        <v>34</v>
      </c>
      <c r="I4874">
        <v>202</v>
      </c>
      <c r="J4874">
        <v>115</v>
      </c>
      <c r="K4874" t="b">
        <v>1</v>
      </c>
    </row>
    <row r="4875" spans="8:11" x14ac:dyDescent="0.25">
      <c r="H4875">
        <v>34</v>
      </c>
      <c r="I4875">
        <v>204</v>
      </c>
      <c r="J4875">
        <v>115</v>
      </c>
      <c r="K4875" t="b">
        <v>1</v>
      </c>
    </row>
    <row r="4876" spans="8:11" x14ac:dyDescent="0.25">
      <c r="H4876">
        <v>34</v>
      </c>
      <c r="I4876">
        <v>206</v>
      </c>
      <c r="J4876">
        <v>115</v>
      </c>
      <c r="K4876" t="b">
        <v>1</v>
      </c>
    </row>
    <row r="4877" spans="8:11" x14ac:dyDescent="0.25">
      <c r="H4877">
        <v>34</v>
      </c>
      <c r="I4877">
        <v>208</v>
      </c>
      <c r="J4877">
        <v>115</v>
      </c>
      <c r="K4877" t="b">
        <v>1</v>
      </c>
    </row>
    <row r="4878" spans="8:11" x14ac:dyDescent="0.25">
      <c r="H4878">
        <v>34</v>
      </c>
      <c r="I4878">
        <v>210</v>
      </c>
      <c r="J4878">
        <v>115</v>
      </c>
      <c r="K4878" t="b">
        <v>1</v>
      </c>
    </row>
    <row r="4879" spans="8:11" x14ac:dyDescent="0.25">
      <c r="H4879">
        <v>34</v>
      </c>
      <c r="I4879">
        <v>212</v>
      </c>
      <c r="J4879">
        <v>115</v>
      </c>
      <c r="K4879" t="b">
        <v>1</v>
      </c>
    </row>
    <row r="4880" spans="8:11" x14ac:dyDescent="0.25">
      <c r="H4880">
        <v>34</v>
      </c>
      <c r="I4880">
        <v>214</v>
      </c>
      <c r="J4880">
        <v>115</v>
      </c>
      <c r="K4880" t="b">
        <v>1</v>
      </c>
    </row>
    <row r="4881" spans="8:11" x14ac:dyDescent="0.25">
      <c r="H4881">
        <v>34</v>
      </c>
      <c r="I4881">
        <v>216</v>
      </c>
      <c r="J4881">
        <v>115</v>
      </c>
      <c r="K4881" t="b">
        <v>1</v>
      </c>
    </row>
    <row r="4882" spans="8:11" x14ac:dyDescent="0.25">
      <c r="H4882">
        <v>34</v>
      </c>
      <c r="I4882">
        <v>218</v>
      </c>
      <c r="J4882">
        <v>115</v>
      </c>
      <c r="K4882" t="b">
        <v>1</v>
      </c>
    </row>
    <row r="4883" spans="8:11" x14ac:dyDescent="0.25">
      <c r="H4883">
        <v>34</v>
      </c>
      <c r="I4883">
        <v>220</v>
      </c>
      <c r="J4883">
        <v>115</v>
      </c>
      <c r="K4883" t="b">
        <v>1</v>
      </c>
    </row>
    <row r="4884" spans="8:11" x14ac:dyDescent="0.25">
      <c r="H4884">
        <v>34</v>
      </c>
      <c r="I4884">
        <v>222</v>
      </c>
      <c r="J4884">
        <v>115</v>
      </c>
      <c r="K4884" t="b">
        <v>1</v>
      </c>
    </row>
    <row r="4885" spans="8:11" x14ac:dyDescent="0.25">
      <c r="H4885">
        <v>34</v>
      </c>
      <c r="I4885">
        <v>224</v>
      </c>
      <c r="J4885">
        <v>115</v>
      </c>
      <c r="K4885" t="b">
        <v>1</v>
      </c>
    </row>
    <row r="4886" spans="8:11" x14ac:dyDescent="0.25">
      <c r="H4886">
        <v>34</v>
      </c>
      <c r="I4886">
        <v>226</v>
      </c>
      <c r="J4886">
        <v>115</v>
      </c>
      <c r="K4886" t="b">
        <v>1</v>
      </c>
    </row>
    <row r="4887" spans="8:11" x14ac:dyDescent="0.25">
      <c r="H4887">
        <v>34</v>
      </c>
      <c r="I4887">
        <v>228</v>
      </c>
      <c r="J4887">
        <v>115</v>
      </c>
      <c r="K4887" t="b">
        <v>1</v>
      </c>
    </row>
    <row r="4888" spans="8:11" x14ac:dyDescent="0.25">
      <c r="H4888">
        <v>34</v>
      </c>
      <c r="I4888">
        <v>230</v>
      </c>
      <c r="J4888">
        <v>115</v>
      </c>
      <c r="K4888" t="b">
        <v>1</v>
      </c>
    </row>
    <row r="4889" spans="8:11" x14ac:dyDescent="0.25">
      <c r="H4889">
        <v>34</v>
      </c>
      <c r="I4889">
        <v>232</v>
      </c>
      <c r="J4889">
        <v>115</v>
      </c>
      <c r="K4889" t="b">
        <v>1</v>
      </c>
    </row>
    <row r="4890" spans="8:11" x14ac:dyDescent="0.25">
      <c r="H4890">
        <v>34</v>
      </c>
      <c r="I4890">
        <v>234</v>
      </c>
      <c r="J4890">
        <v>115</v>
      </c>
      <c r="K4890" t="b">
        <v>1</v>
      </c>
    </row>
    <row r="4891" spans="8:11" x14ac:dyDescent="0.25">
      <c r="H4891">
        <v>34</v>
      </c>
      <c r="I4891">
        <v>236</v>
      </c>
      <c r="J4891">
        <v>115</v>
      </c>
      <c r="K4891" t="b">
        <v>1</v>
      </c>
    </row>
    <row r="4892" spans="8:11" x14ac:dyDescent="0.25">
      <c r="H4892">
        <v>34</v>
      </c>
      <c r="I4892">
        <v>238</v>
      </c>
      <c r="J4892">
        <v>115</v>
      </c>
      <c r="K4892" t="b">
        <v>1</v>
      </c>
    </row>
    <row r="4893" spans="8:11" x14ac:dyDescent="0.25">
      <c r="H4893">
        <v>34</v>
      </c>
      <c r="I4893">
        <v>240</v>
      </c>
      <c r="J4893">
        <v>115</v>
      </c>
      <c r="K4893" t="b">
        <v>1</v>
      </c>
    </row>
    <row r="4894" spans="8:11" x14ac:dyDescent="0.25">
      <c r="H4894">
        <v>34</v>
      </c>
      <c r="I4894">
        <v>242</v>
      </c>
      <c r="J4894">
        <v>115</v>
      </c>
      <c r="K4894" t="b">
        <v>1</v>
      </c>
    </row>
    <row r="4895" spans="8:11" x14ac:dyDescent="0.25">
      <c r="H4895">
        <v>34</v>
      </c>
      <c r="I4895">
        <v>244</v>
      </c>
      <c r="J4895">
        <v>115</v>
      </c>
      <c r="K4895" t="b">
        <v>1</v>
      </c>
    </row>
    <row r="4896" spans="8:11" x14ac:dyDescent="0.25">
      <c r="H4896">
        <v>34</v>
      </c>
      <c r="I4896">
        <v>246</v>
      </c>
      <c r="J4896">
        <v>115</v>
      </c>
      <c r="K4896" t="b">
        <v>1</v>
      </c>
    </row>
    <row r="4897" spans="8:11" x14ac:dyDescent="0.25">
      <c r="H4897">
        <v>34</v>
      </c>
      <c r="I4897">
        <v>248</v>
      </c>
      <c r="J4897">
        <v>115</v>
      </c>
      <c r="K4897" t="b">
        <v>1</v>
      </c>
    </row>
    <row r="4898" spans="8:11" x14ac:dyDescent="0.25">
      <c r="H4898">
        <v>34</v>
      </c>
      <c r="I4898">
        <v>250</v>
      </c>
      <c r="J4898">
        <v>115</v>
      </c>
      <c r="K4898" t="b">
        <v>1</v>
      </c>
    </row>
    <row r="4899" spans="8:11" x14ac:dyDescent="0.25">
      <c r="H4899">
        <v>34</v>
      </c>
      <c r="I4899">
        <v>252</v>
      </c>
      <c r="J4899">
        <v>115</v>
      </c>
      <c r="K4899" t="b">
        <v>1</v>
      </c>
    </row>
    <row r="4900" spans="8:11" x14ac:dyDescent="0.25">
      <c r="H4900">
        <v>34</v>
      </c>
      <c r="I4900">
        <v>254</v>
      </c>
      <c r="J4900">
        <v>115</v>
      </c>
      <c r="K4900" t="b">
        <v>1</v>
      </c>
    </row>
    <row r="4901" spans="8:11" x14ac:dyDescent="0.25">
      <c r="H4901">
        <v>34</v>
      </c>
      <c r="I4901">
        <v>256</v>
      </c>
      <c r="J4901">
        <v>115</v>
      </c>
      <c r="K4901" t="b">
        <v>1</v>
      </c>
    </row>
    <row r="4902" spans="8:11" x14ac:dyDescent="0.25">
      <c r="H4902">
        <v>34</v>
      </c>
      <c r="I4902">
        <v>258</v>
      </c>
      <c r="J4902">
        <v>115</v>
      </c>
      <c r="K4902" t="b">
        <v>1</v>
      </c>
    </row>
    <row r="4903" spans="8:11" x14ac:dyDescent="0.25">
      <c r="H4903">
        <v>34</v>
      </c>
      <c r="I4903">
        <v>260</v>
      </c>
      <c r="J4903">
        <v>115</v>
      </c>
      <c r="K4903" t="b">
        <v>1</v>
      </c>
    </row>
    <row r="4904" spans="8:11" x14ac:dyDescent="0.25">
      <c r="H4904">
        <v>34</v>
      </c>
      <c r="I4904">
        <v>262</v>
      </c>
      <c r="J4904">
        <v>115</v>
      </c>
      <c r="K4904" t="b">
        <v>1</v>
      </c>
    </row>
    <row r="4905" spans="8:11" x14ac:dyDescent="0.25">
      <c r="H4905">
        <v>34</v>
      </c>
      <c r="I4905">
        <v>264</v>
      </c>
      <c r="J4905">
        <v>115</v>
      </c>
      <c r="K4905" t="b">
        <v>1</v>
      </c>
    </row>
    <row r="4906" spans="8:11" x14ac:dyDescent="0.25">
      <c r="H4906">
        <v>34</v>
      </c>
      <c r="I4906">
        <v>266</v>
      </c>
      <c r="J4906">
        <v>115</v>
      </c>
      <c r="K4906" t="b">
        <v>1</v>
      </c>
    </row>
    <row r="4907" spans="8:11" x14ac:dyDescent="0.25">
      <c r="H4907">
        <v>34</v>
      </c>
      <c r="I4907">
        <v>268</v>
      </c>
      <c r="J4907">
        <v>115</v>
      </c>
      <c r="K4907" t="b">
        <v>1</v>
      </c>
    </row>
    <row r="4908" spans="8:11" x14ac:dyDescent="0.25">
      <c r="H4908">
        <v>34</v>
      </c>
      <c r="I4908">
        <v>270</v>
      </c>
      <c r="J4908">
        <v>115</v>
      </c>
      <c r="K4908" t="b">
        <v>1</v>
      </c>
    </row>
    <row r="4909" spans="8:11" x14ac:dyDescent="0.25">
      <c r="H4909">
        <v>34</v>
      </c>
      <c r="I4909">
        <v>272</v>
      </c>
      <c r="J4909">
        <v>115</v>
      </c>
      <c r="K4909" t="b">
        <v>1</v>
      </c>
    </row>
    <row r="4910" spans="8:11" x14ac:dyDescent="0.25">
      <c r="H4910">
        <v>34</v>
      </c>
      <c r="I4910">
        <v>274</v>
      </c>
      <c r="J4910">
        <v>115</v>
      </c>
      <c r="K4910" t="b">
        <v>1</v>
      </c>
    </row>
    <row r="4911" spans="8:11" x14ac:dyDescent="0.25">
      <c r="H4911">
        <v>34</v>
      </c>
      <c r="I4911">
        <v>276</v>
      </c>
      <c r="J4911">
        <v>115</v>
      </c>
      <c r="K4911" t="b">
        <v>1</v>
      </c>
    </row>
    <row r="4912" spans="8:11" x14ac:dyDescent="0.25">
      <c r="H4912">
        <v>34</v>
      </c>
      <c r="I4912">
        <v>278</v>
      </c>
      <c r="J4912">
        <v>115</v>
      </c>
      <c r="K4912" t="b">
        <v>1</v>
      </c>
    </row>
    <row r="4913" spans="8:11" x14ac:dyDescent="0.25">
      <c r="H4913">
        <v>34</v>
      </c>
      <c r="I4913">
        <v>280</v>
      </c>
      <c r="J4913">
        <v>115</v>
      </c>
      <c r="K4913" t="b">
        <v>1</v>
      </c>
    </row>
    <row r="4914" spans="8:11" x14ac:dyDescent="0.25">
      <c r="H4914">
        <v>34</v>
      </c>
      <c r="I4914">
        <v>282</v>
      </c>
      <c r="J4914">
        <v>115</v>
      </c>
      <c r="K4914" t="b">
        <v>1</v>
      </c>
    </row>
    <row r="4915" spans="8:11" x14ac:dyDescent="0.25">
      <c r="H4915">
        <v>34</v>
      </c>
      <c r="I4915">
        <v>284</v>
      </c>
      <c r="J4915">
        <v>115</v>
      </c>
      <c r="K4915" t="b">
        <v>1</v>
      </c>
    </row>
    <row r="4916" spans="8:11" x14ac:dyDescent="0.25">
      <c r="H4916">
        <v>34</v>
      </c>
      <c r="I4916">
        <v>286</v>
      </c>
      <c r="J4916">
        <v>115</v>
      </c>
      <c r="K4916" t="b">
        <v>1</v>
      </c>
    </row>
    <row r="4917" spans="8:11" x14ac:dyDescent="0.25">
      <c r="H4917">
        <v>34</v>
      </c>
      <c r="I4917">
        <v>288</v>
      </c>
      <c r="J4917">
        <v>115</v>
      </c>
      <c r="K4917" t="b">
        <v>1</v>
      </c>
    </row>
    <row r="4918" spans="8:11" x14ac:dyDescent="0.25">
      <c r="H4918">
        <v>34</v>
      </c>
      <c r="I4918">
        <v>290</v>
      </c>
      <c r="J4918">
        <v>115</v>
      </c>
      <c r="K4918" t="b">
        <v>1</v>
      </c>
    </row>
    <row r="4919" spans="8:11" x14ac:dyDescent="0.25">
      <c r="H4919">
        <v>34</v>
      </c>
      <c r="I4919">
        <v>292</v>
      </c>
      <c r="J4919">
        <v>115</v>
      </c>
      <c r="K4919" t="b">
        <v>1</v>
      </c>
    </row>
    <row r="4920" spans="8:11" x14ac:dyDescent="0.25">
      <c r="H4920">
        <v>34</v>
      </c>
      <c r="I4920">
        <v>294</v>
      </c>
      <c r="J4920">
        <v>115</v>
      </c>
      <c r="K4920" t="b">
        <v>1</v>
      </c>
    </row>
    <row r="4921" spans="8:11" x14ac:dyDescent="0.25">
      <c r="H4921">
        <v>34</v>
      </c>
      <c r="I4921">
        <v>296</v>
      </c>
      <c r="J4921">
        <v>115</v>
      </c>
      <c r="K4921" t="b">
        <v>1</v>
      </c>
    </row>
    <row r="4922" spans="8:11" x14ac:dyDescent="0.25">
      <c r="H4922">
        <v>34</v>
      </c>
      <c r="I4922">
        <v>298</v>
      </c>
      <c r="J4922">
        <v>115</v>
      </c>
      <c r="K4922" t="b">
        <v>1</v>
      </c>
    </row>
    <row r="4923" spans="8:11" x14ac:dyDescent="0.25">
      <c r="H4923">
        <v>34</v>
      </c>
      <c r="I4923">
        <v>300</v>
      </c>
      <c r="J4923">
        <v>115</v>
      </c>
      <c r="K4923" t="b">
        <v>1</v>
      </c>
    </row>
    <row r="4924" spans="8:11" x14ac:dyDescent="0.25">
      <c r="H4924">
        <v>34</v>
      </c>
      <c r="I4924">
        <v>302</v>
      </c>
      <c r="J4924">
        <v>115</v>
      </c>
      <c r="K4924" t="b">
        <v>1</v>
      </c>
    </row>
    <row r="4925" spans="8:11" x14ac:dyDescent="0.25">
      <c r="H4925">
        <v>34</v>
      </c>
      <c r="I4925">
        <v>304</v>
      </c>
      <c r="J4925">
        <v>115</v>
      </c>
      <c r="K4925" t="b">
        <v>1</v>
      </c>
    </row>
    <row r="4926" spans="8:11" x14ac:dyDescent="0.25">
      <c r="H4926">
        <v>34</v>
      </c>
      <c r="I4926">
        <v>306</v>
      </c>
      <c r="J4926">
        <v>115</v>
      </c>
      <c r="K4926" t="b">
        <v>1</v>
      </c>
    </row>
    <row r="4927" spans="8:11" x14ac:dyDescent="0.25">
      <c r="H4927">
        <v>34</v>
      </c>
      <c r="I4927">
        <v>308</v>
      </c>
      <c r="J4927">
        <v>115</v>
      </c>
      <c r="K4927" t="b">
        <v>1</v>
      </c>
    </row>
    <row r="4928" spans="8:11" x14ac:dyDescent="0.25">
      <c r="H4928">
        <v>34</v>
      </c>
      <c r="I4928">
        <v>310</v>
      </c>
      <c r="J4928">
        <v>115</v>
      </c>
      <c r="K4928" t="b">
        <v>1</v>
      </c>
    </row>
    <row r="4929" spans="8:11" x14ac:dyDescent="0.25">
      <c r="H4929">
        <v>34</v>
      </c>
      <c r="I4929">
        <v>312</v>
      </c>
      <c r="J4929">
        <v>115</v>
      </c>
      <c r="K4929" t="b">
        <v>1</v>
      </c>
    </row>
    <row r="4930" spans="8:11" x14ac:dyDescent="0.25">
      <c r="H4930">
        <v>34</v>
      </c>
      <c r="I4930">
        <v>314</v>
      </c>
      <c r="J4930">
        <v>115</v>
      </c>
      <c r="K4930" t="b">
        <v>1</v>
      </c>
    </row>
    <row r="4931" spans="8:11" x14ac:dyDescent="0.25">
      <c r="H4931">
        <v>34</v>
      </c>
      <c r="I4931">
        <v>316</v>
      </c>
      <c r="J4931">
        <v>115</v>
      </c>
      <c r="K4931" t="b">
        <v>1</v>
      </c>
    </row>
    <row r="4932" spans="8:11" x14ac:dyDescent="0.25">
      <c r="H4932">
        <v>34</v>
      </c>
      <c r="I4932">
        <v>318</v>
      </c>
      <c r="J4932">
        <v>115</v>
      </c>
      <c r="K4932" t="b">
        <v>1</v>
      </c>
    </row>
    <row r="4933" spans="8:11" x14ac:dyDescent="0.25">
      <c r="H4933">
        <v>34</v>
      </c>
      <c r="I4933">
        <v>320</v>
      </c>
      <c r="J4933">
        <v>115</v>
      </c>
      <c r="K4933" t="b">
        <v>1</v>
      </c>
    </row>
    <row r="4934" spans="8:11" x14ac:dyDescent="0.25">
      <c r="H4934">
        <v>34</v>
      </c>
      <c r="I4934">
        <v>322</v>
      </c>
      <c r="J4934">
        <v>115</v>
      </c>
      <c r="K4934" t="b">
        <v>1</v>
      </c>
    </row>
    <row r="4935" spans="8:11" x14ac:dyDescent="0.25">
      <c r="H4935">
        <v>34</v>
      </c>
      <c r="I4935">
        <v>324</v>
      </c>
      <c r="J4935">
        <v>115</v>
      </c>
      <c r="K4935" t="b">
        <v>1</v>
      </c>
    </row>
    <row r="4936" spans="8:11" x14ac:dyDescent="0.25">
      <c r="H4936">
        <v>34</v>
      </c>
      <c r="I4936">
        <v>326</v>
      </c>
      <c r="J4936">
        <v>115</v>
      </c>
      <c r="K4936" t="b">
        <v>1</v>
      </c>
    </row>
    <row r="4937" spans="8:11" x14ac:dyDescent="0.25">
      <c r="H4937">
        <v>34</v>
      </c>
      <c r="I4937">
        <v>328</v>
      </c>
      <c r="J4937">
        <v>115</v>
      </c>
      <c r="K4937" t="b">
        <v>1</v>
      </c>
    </row>
    <row r="4938" spans="8:11" x14ac:dyDescent="0.25">
      <c r="H4938">
        <v>34</v>
      </c>
      <c r="I4938">
        <v>330</v>
      </c>
      <c r="J4938">
        <v>115</v>
      </c>
      <c r="K4938" t="b">
        <v>1</v>
      </c>
    </row>
    <row r="4939" spans="8:11" x14ac:dyDescent="0.25">
      <c r="H4939">
        <v>34</v>
      </c>
      <c r="I4939">
        <v>332</v>
      </c>
      <c r="J4939">
        <v>115</v>
      </c>
      <c r="K4939" t="b">
        <v>1</v>
      </c>
    </row>
    <row r="4940" spans="8:11" x14ac:dyDescent="0.25">
      <c r="H4940">
        <v>34</v>
      </c>
      <c r="I4940">
        <v>334</v>
      </c>
      <c r="J4940">
        <v>115</v>
      </c>
      <c r="K4940" t="b">
        <v>1</v>
      </c>
    </row>
    <row r="4941" spans="8:11" x14ac:dyDescent="0.25">
      <c r="H4941">
        <v>34</v>
      </c>
      <c r="I4941">
        <v>336</v>
      </c>
      <c r="J4941">
        <v>115</v>
      </c>
      <c r="K4941" t="b">
        <v>1</v>
      </c>
    </row>
    <row r="4942" spans="8:11" x14ac:dyDescent="0.25">
      <c r="H4942">
        <v>34</v>
      </c>
      <c r="I4942">
        <v>338</v>
      </c>
      <c r="J4942">
        <v>115</v>
      </c>
      <c r="K4942" t="b">
        <v>1</v>
      </c>
    </row>
    <row r="4943" spans="8:11" x14ac:dyDescent="0.25">
      <c r="H4943">
        <v>34</v>
      </c>
      <c r="I4943">
        <v>340</v>
      </c>
      <c r="J4943">
        <v>115</v>
      </c>
      <c r="K4943" t="b">
        <v>1</v>
      </c>
    </row>
    <row r="4944" spans="8:11" x14ac:dyDescent="0.25">
      <c r="H4944">
        <v>34</v>
      </c>
      <c r="I4944">
        <v>342</v>
      </c>
      <c r="J4944">
        <v>115</v>
      </c>
      <c r="K4944" t="b">
        <v>1</v>
      </c>
    </row>
    <row r="4945" spans="8:11" x14ac:dyDescent="0.25">
      <c r="H4945">
        <v>34</v>
      </c>
      <c r="I4945">
        <v>344</v>
      </c>
      <c r="J4945">
        <v>115</v>
      </c>
      <c r="K4945" t="b">
        <v>1</v>
      </c>
    </row>
    <row r="4946" spans="8:11" x14ac:dyDescent="0.25">
      <c r="H4946">
        <v>34</v>
      </c>
      <c r="I4946">
        <v>346</v>
      </c>
      <c r="J4946">
        <v>115</v>
      </c>
      <c r="K4946" t="b">
        <v>1</v>
      </c>
    </row>
    <row r="4947" spans="8:11" x14ac:dyDescent="0.25">
      <c r="H4947">
        <v>34</v>
      </c>
      <c r="I4947">
        <v>348</v>
      </c>
      <c r="J4947">
        <v>115</v>
      </c>
      <c r="K4947" t="b">
        <v>1</v>
      </c>
    </row>
    <row r="4948" spans="8:11" x14ac:dyDescent="0.25">
      <c r="H4948">
        <v>34</v>
      </c>
      <c r="I4948">
        <v>350</v>
      </c>
      <c r="J4948">
        <v>115</v>
      </c>
      <c r="K4948" t="b">
        <v>1</v>
      </c>
    </row>
    <row r="4949" spans="8:11" x14ac:dyDescent="0.25">
      <c r="H4949">
        <v>34</v>
      </c>
      <c r="I4949">
        <v>352</v>
      </c>
      <c r="J4949">
        <v>115</v>
      </c>
      <c r="K4949" t="b">
        <v>1</v>
      </c>
    </row>
    <row r="4950" spans="8:11" x14ac:dyDescent="0.25">
      <c r="H4950">
        <v>34</v>
      </c>
      <c r="I4950">
        <v>354</v>
      </c>
      <c r="J4950">
        <v>115</v>
      </c>
      <c r="K4950" t="b">
        <v>1</v>
      </c>
    </row>
    <row r="4951" spans="8:11" x14ac:dyDescent="0.25">
      <c r="H4951">
        <v>34</v>
      </c>
      <c r="I4951">
        <v>356</v>
      </c>
      <c r="J4951">
        <v>115</v>
      </c>
      <c r="K4951" t="b">
        <v>1</v>
      </c>
    </row>
    <row r="4952" spans="8:11" x14ac:dyDescent="0.25">
      <c r="H4952">
        <v>34</v>
      </c>
      <c r="I4952">
        <v>358</v>
      </c>
      <c r="J4952">
        <v>115</v>
      </c>
      <c r="K4952" t="b">
        <v>1</v>
      </c>
    </row>
    <row r="4953" spans="8:11" x14ac:dyDescent="0.25">
      <c r="H4953">
        <v>34</v>
      </c>
      <c r="I4953">
        <v>360</v>
      </c>
      <c r="J4953">
        <v>115</v>
      </c>
      <c r="K4953" t="b">
        <v>1</v>
      </c>
    </row>
    <row r="4954" spans="8:11" x14ac:dyDescent="0.25">
      <c r="H4954">
        <v>34</v>
      </c>
      <c r="I4954">
        <v>362</v>
      </c>
      <c r="J4954">
        <v>115</v>
      </c>
      <c r="K4954" t="b">
        <v>1</v>
      </c>
    </row>
    <row r="4955" spans="8:11" x14ac:dyDescent="0.25">
      <c r="H4955">
        <v>34</v>
      </c>
      <c r="I4955">
        <v>364</v>
      </c>
      <c r="J4955">
        <v>115</v>
      </c>
      <c r="K4955" t="b">
        <v>1</v>
      </c>
    </row>
    <row r="4956" spans="8:11" x14ac:dyDescent="0.25">
      <c r="H4956">
        <v>34</v>
      </c>
      <c r="I4956">
        <v>366</v>
      </c>
      <c r="J4956">
        <v>115</v>
      </c>
      <c r="K4956" t="b">
        <v>1</v>
      </c>
    </row>
    <row r="4957" spans="8:11" x14ac:dyDescent="0.25">
      <c r="H4957">
        <v>34</v>
      </c>
      <c r="I4957">
        <v>368</v>
      </c>
      <c r="J4957">
        <v>115</v>
      </c>
      <c r="K4957" t="b">
        <v>1</v>
      </c>
    </row>
    <row r="4958" spans="8:11" x14ac:dyDescent="0.25">
      <c r="H4958">
        <v>34</v>
      </c>
      <c r="I4958">
        <v>370</v>
      </c>
      <c r="J4958">
        <v>115</v>
      </c>
      <c r="K4958" t="b">
        <v>1</v>
      </c>
    </row>
    <row r="4959" spans="8:11" x14ac:dyDescent="0.25">
      <c r="H4959">
        <v>34</v>
      </c>
      <c r="I4959">
        <v>372</v>
      </c>
      <c r="J4959">
        <v>115</v>
      </c>
      <c r="K4959" t="b">
        <v>1</v>
      </c>
    </row>
    <row r="4960" spans="8:11" x14ac:dyDescent="0.25">
      <c r="H4960">
        <v>34</v>
      </c>
      <c r="I4960">
        <v>374</v>
      </c>
      <c r="J4960">
        <v>115</v>
      </c>
      <c r="K4960" t="b">
        <v>1</v>
      </c>
    </row>
    <row r="4961" spans="8:11" x14ac:dyDescent="0.25">
      <c r="H4961">
        <v>34</v>
      </c>
      <c r="I4961">
        <v>376</v>
      </c>
      <c r="J4961">
        <v>115</v>
      </c>
      <c r="K4961" t="b">
        <v>1</v>
      </c>
    </row>
    <row r="4962" spans="8:11" x14ac:dyDescent="0.25">
      <c r="H4962">
        <v>34</v>
      </c>
      <c r="I4962">
        <v>378</v>
      </c>
      <c r="J4962">
        <v>115</v>
      </c>
      <c r="K4962" t="b">
        <v>1</v>
      </c>
    </row>
    <row r="4963" spans="8:11" x14ac:dyDescent="0.25">
      <c r="H4963">
        <v>34</v>
      </c>
      <c r="I4963">
        <v>380</v>
      </c>
      <c r="J4963">
        <v>115</v>
      </c>
      <c r="K4963" t="b">
        <v>1</v>
      </c>
    </row>
    <row r="4964" spans="8:11" x14ac:dyDescent="0.25">
      <c r="H4964">
        <v>34</v>
      </c>
      <c r="I4964">
        <v>382</v>
      </c>
      <c r="J4964">
        <v>115</v>
      </c>
      <c r="K4964" t="b">
        <v>1</v>
      </c>
    </row>
    <row r="4965" spans="8:11" x14ac:dyDescent="0.25">
      <c r="H4965">
        <v>34</v>
      </c>
      <c r="I4965">
        <v>384</v>
      </c>
      <c r="J4965">
        <v>115</v>
      </c>
      <c r="K4965" t="b">
        <v>1</v>
      </c>
    </row>
    <row r="4966" spans="8:11" x14ac:dyDescent="0.25">
      <c r="H4966">
        <v>34</v>
      </c>
      <c r="I4966">
        <v>386</v>
      </c>
      <c r="J4966">
        <v>115</v>
      </c>
      <c r="K4966" t="b">
        <v>1</v>
      </c>
    </row>
    <row r="4967" spans="8:11" x14ac:dyDescent="0.25">
      <c r="H4967">
        <v>34</v>
      </c>
      <c r="I4967">
        <v>388</v>
      </c>
      <c r="J4967">
        <v>115</v>
      </c>
      <c r="K4967" t="b">
        <v>1</v>
      </c>
    </row>
    <row r="4968" spans="8:11" x14ac:dyDescent="0.25">
      <c r="H4968">
        <v>34</v>
      </c>
      <c r="I4968">
        <v>390</v>
      </c>
      <c r="J4968">
        <v>115</v>
      </c>
      <c r="K4968" t="b">
        <v>1</v>
      </c>
    </row>
    <row r="4969" spans="8:11" x14ac:dyDescent="0.25">
      <c r="H4969">
        <v>34</v>
      </c>
      <c r="I4969">
        <v>392</v>
      </c>
      <c r="J4969">
        <v>115</v>
      </c>
      <c r="K4969" t="b">
        <v>1</v>
      </c>
    </row>
    <row r="4970" spans="8:11" x14ac:dyDescent="0.25">
      <c r="H4970">
        <v>34</v>
      </c>
      <c r="I4970">
        <v>394</v>
      </c>
      <c r="J4970">
        <v>115</v>
      </c>
      <c r="K4970" t="b">
        <v>1</v>
      </c>
    </row>
    <row r="4971" spans="8:11" x14ac:dyDescent="0.25">
      <c r="H4971">
        <v>34</v>
      </c>
      <c r="I4971">
        <v>396</v>
      </c>
      <c r="J4971">
        <v>115</v>
      </c>
      <c r="K4971" t="b">
        <v>1</v>
      </c>
    </row>
    <row r="4972" spans="8:11" x14ac:dyDescent="0.25">
      <c r="H4972">
        <v>34</v>
      </c>
      <c r="I4972">
        <v>398</v>
      </c>
      <c r="J4972">
        <v>115</v>
      </c>
      <c r="K4972" t="b">
        <v>1</v>
      </c>
    </row>
    <row r="4973" spans="8:11" x14ac:dyDescent="0.25">
      <c r="H4973">
        <v>34</v>
      </c>
      <c r="I4973">
        <v>400</v>
      </c>
      <c r="J4973">
        <v>115</v>
      </c>
      <c r="K4973" t="b">
        <v>1</v>
      </c>
    </row>
    <row r="4974" spans="8:11" x14ac:dyDescent="0.25">
      <c r="H4974">
        <v>34</v>
      </c>
      <c r="I4974">
        <v>402</v>
      </c>
      <c r="J4974">
        <v>115</v>
      </c>
      <c r="K4974" t="b">
        <v>1</v>
      </c>
    </row>
    <row r="4975" spans="8:11" x14ac:dyDescent="0.25">
      <c r="H4975">
        <v>34</v>
      </c>
      <c r="I4975">
        <v>404</v>
      </c>
      <c r="J4975">
        <v>115</v>
      </c>
      <c r="K4975" t="b">
        <v>1</v>
      </c>
    </row>
    <row r="4976" spans="8:11" x14ac:dyDescent="0.25">
      <c r="H4976">
        <v>34</v>
      </c>
      <c r="I4976">
        <v>406</v>
      </c>
      <c r="J4976">
        <v>115</v>
      </c>
      <c r="K4976" t="b">
        <v>1</v>
      </c>
    </row>
    <row r="4977" spans="8:11" x14ac:dyDescent="0.25">
      <c r="H4977">
        <v>34</v>
      </c>
      <c r="I4977">
        <v>408</v>
      </c>
      <c r="J4977">
        <v>115</v>
      </c>
      <c r="K4977" t="b">
        <v>1</v>
      </c>
    </row>
    <row r="4978" spans="8:11" x14ac:dyDescent="0.25">
      <c r="H4978">
        <v>34</v>
      </c>
      <c r="I4978">
        <v>410</v>
      </c>
      <c r="J4978">
        <v>115</v>
      </c>
      <c r="K4978" t="b">
        <v>1</v>
      </c>
    </row>
    <row r="4979" spans="8:11" x14ac:dyDescent="0.25">
      <c r="H4979">
        <v>34</v>
      </c>
      <c r="I4979">
        <v>412</v>
      </c>
      <c r="J4979">
        <v>115</v>
      </c>
      <c r="K4979" t="b">
        <v>1</v>
      </c>
    </row>
    <row r="4980" spans="8:11" x14ac:dyDescent="0.25">
      <c r="H4980">
        <v>34</v>
      </c>
      <c r="I4980">
        <v>414</v>
      </c>
      <c r="J4980">
        <v>115</v>
      </c>
      <c r="K4980" t="b">
        <v>1</v>
      </c>
    </row>
    <row r="4981" spans="8:11" x14ac:dyDescent="0.25">
      <c r="H4981">
        <v>34</v>
      </c>
      <c r="I4981">
        <v>416</v>
      </c>
      <c r="J4981">
        <v>115</v>
      </c>
      <c r="K4981" t="b">
        <v>1</v>
      </c>
    </row>
    <row r="4982" spans="8:11" x14ac:dyDescent="0.25">
      <c r="H4982">
        <v>34</v>
      </c>
      <c r="I4982">
        <v>418</v>
      </c>
      <c r="J4982">
        <v>115</v>
      </c>
      <c r="K4982" t="b">
        <v>1</v>
      </c>
    </row>
    <row r="4983" spans="8:11" x14ac:dyDescent="0.25">
      <c r="H4983">
        <v>34</v>
      </c>
      <c r="I4983">
        <v>420</v>
      </c>
      <c r="J4983">
        <v>115</v>
      </c>
      <c r="K4983" t="b">
        <v>1</v>
      </c>
    </row>
    <row r="4984" spans="8:11" x14ac:dyDescent="0.25">
      <c r="H4984">
        <v>34</v>
      </c>
      <c r="I4984">
        <v>422</v>
      </c>
      <c r="J4984">
        <v>115</v>
      </c>
      <c r="K4984" t="b">
        <v>1</v>
      </c>
    </row>
    <row r="4985" spans="8:11" x14ac:dyDescent="0.25">
      <c r="H4985">
        <v>34</v>
      </c>
      <c r="I4985">
        <v>424</v>
      </c>
      <c r="J4985">
        <v>115</v>
      </c>
      <c r="K4985" t="b">
        <v>1</v>
      </c>
    </row>
    <row r="4986" spans="8:11" x14ac:dyDescent="0.25">
      <c r="H4986">
        <v>34</v>
      </c>
      <c r="I4986">
        <v>426</v>
      </c>
      <c r="J4986">
        <v>115</v>
      </c>
      <c r="K4986" t="b">
        <v>1</v>
      </c>
    </row>
    <row r="4987" spans="8:11" x14ac:dyDescent="0.25">
      <c r="H4987">
        <v>34</v>
      </c>
      <c r="I4987">
        <v>428</v>
      </c>
      <c r="J4987">
        <v>115</v>
      </c>
      <c r="K4987" t="b">
        <v>1</v>
      </c>
    </row>
    <row r="4988" spans="8:11" x14ac:dyDescent="0.25">
      <c r="H4988">
        <v>34</v>
      </c>
      <c r="I4988">
        <v>430</v>
      </c>
      <c r="J4988">
        <v>115</v>
      </c>
      <c r="K4988" t="b">
        <v>1</v>
      </c>
    </row>
    <row r="4989" spans="8:11" x14ac:dyDescent="0.25">
      <c r="H4989">
        <v>34</v>
      </c>
      <c r="I4989">
        <v>432</v>
      </c>
      <c r="J4989">
        <v>115</v>
      </c>
      <c r="K4989" t="b">
        <v>1</v>
      </c>
    </row>
    <row r="4990" spans="8:11" x14ac:dyDescent="0.25">
      <c r="H4990">
        <v>34</v>
      </c>
      <c r="I4990">
        <v>434</v>
      </c>
      <c r="J4990">
        <v>115</v>
      </c>
      <c r="K4990" t="b">
        <v>1</v>
      </c>
    </row>
    <row r="4991" spans="8:11" x14ac:dyDescent="0.25">
      <c r="H4991">
        <v>34</v>
      </c>
      <c r="I4991">
        <v>436</v>
      </c>
      <c r="J4991">
        <v>115</v>
      </c>
      <c r="K4991" t="b">
        <v>1</v>
      </c>
    </row>
    <row r="4992" spans="8:11" x14ac:dyDescent="0.25">
      <c r="H4992">
        <v>34</v>
      </c>
      <c r="I4992">
        <v>438</v>
      </c>
      <c r="J4992">
        <v>115</v>
      </c>
      <c r="K4992" t="b">
        <v>1</v>
      </c>
    </row>
    <row r="4993" spans="8:11" x14ac:dyDescent="0.25">
      <c r="H4993">
        <v>34</v>
      </c>
      <c r="I4993">
        <v>440</v>
      </c>
      <c r="J4993">
        <v>115</v>
      </c>
      <c r="K4993" t="b">
        <v>1</v>
      </c>
    </row>
    <row r="4994" spans="8:11" x14ac:dyDescent="0.25">
      <c r="H4994">
        <v>34</v>
      </c>
      <c r="I4994">
        <v>442</v>
      </c>
      <c r="J4994">
        <v>115</v>
      </c>
      <c r="K4994" t="b">
        <v>1</v>
      </c>
    </row>
    <row r="4995" spans="8:11" x14ac:dyDescent="0.25">
      <c r="H4995">
        <v>34</v>
      </c>
      <c r="I4995">
        <v>444</v>
      </c>
      <c r="J4995">
        <v>115</v>
      </c>
      <c r="K4995" t="b">
        <v>1</v>
      </c>
    </row>
    <row r="4996" spans="8:11" x14ac:dyDescent="0.25">
      <c r="H4996">
        <v>34</v>
      </c>
      <c r="I4996">
        <v>446</v>
      </c>
      <c r="J4996">
        <v>115</v>
      </c>
      <c r="K4996" t="b">
        <v>1</v>
      </c>
    </row>
    <row r="4997" spans="8:11" x14ac:dyDescent="0.25">
      <c r="H4997">
        <v>34</v>
      </c>
      <c r="I4997">
        <v>448</v>
      </c>
      <c r="J4997">
        <v>115</v>
      </c>
      <c r="K4997" t="b">
        <v>1</v>
      </c>
    </row>
    <row r="4998" spans="8:11" x14ac:dyDescent="0.25">
      <c r="H4998">
        <v>34</v>
      </c>
      <c r="I4998">
        <v>450</v>
      </c>
      <c r="J4998">
        <v>115</v>
      </c>
      <c r="K4998" t="b">
        <v>1</v>
      </c>
    </row>
    <row r="4999" spans="8:11" x14ac:dyDescent="0.25">
      <c r="H4999">
        <v>34</v>
      </c>
      <c r="I4999">
        <v>452</v>
      </c>
      <c r="J4999">
        <v>115</v>
      </c>
      <c r="K4999" t="b">
        <v>1</v>
      </c>
    </row>
    <row r="5000" spans="8:11" x14ac:dyDescent="0.25">
      <c r="H5000">
        <v>34</v>
      </c>
      <c r="I5000">
        <v>454</v>
      </c>
      <c r="J5000">
        <v>115</v>
      </c>
      <c r="K5000" t="b">
        <v>1</v>
      </c>
    </row>
    <row r="5001" spans="8:11" x14ac:dyDescent="0.25">
      <c r="H5001">
        <v>34</v>
      </c>
      <c r="I5001">
        <v>456</v>
      </c>
      <c r="J5001">
        <v>115</v>
      </c>
      <c r="K5001" t="b">
        <v>1</v>
      </c>
    </row>
    <row r="5002" spans="8:11" x14ac:dyDescent="0.25">
      <c r="H5002">
        <v>34</v>
      </c>
      <c r="I5002">
        <v>458</v>
      </c>
      <c r="J5002">
        <v>115</v>
      </c>
      <c r="K5002" t="b">
        <v>1</v>
      </c>
    </row>
    <row r="5003" spans="8:11" x14ac:dyDescent="0.25">
      <c r="H5003">
        <v>34</v>
      </c>
      <c r="I5003">
        <v>460</v>
      </c>
      <c r="J5003">
        <v>115</v>
      </c>
      <c r="K5003" t="b">
        <v>1</v>
      </c>
    </row>
    <row r="5004" spans="8:11" x14ac:dyDescent="0.25">
      <c r="H5004">
        <v>34</v>
      </c>
      <c r="I5004">
        <v>462</v>
      </c>
      <c r="J5004">
        <v>115</v>
      </c>
      <c r="K5004" t="b">
        <v>1</v>
      </c>
    </row>
    <row r="5005" spans="8:11" x14ac:dyDescent="0.25">
      <c r="H5005">
        <v>34</v>
      </c>
      <c r="I5005">
        <v>464</v>
      </c>
      <c r="J5005">
        <v>115</v>
      </c>
      <c r="K5005" t="b">
        <v>1</v>
      </c>
    </row>
    <row r="5006" spans="8:11" x14ac:dyDescent="0.25">
      <c r="H5006">
        <v>34</v>
      </c>
      <c r="I5006">
        <v>466</v>
      </c>
      <c r="J5006">
        <v>115</v>
      </c>
      <c r="K5006" t="b">
        <v>1</v>
      </c>
    </row>
    <row r="5007" spans="8:11" x14ac:dyDescent="0.25">
      <c r="H5007">
        <v>34</v>
      </c>
      <c r="I5007">
        <v>468</v>
      </c>
      <c r="J5007">
        <v>115</v>
      </c>
      <c r="K5007" t="b">
        <v>1</v>
      </c>
    </row>
    <row r="5008" spans="8:11" x14ac:dyDescent="0.25">
      <c r="H5008">
        <v>34</v>
      </c>
      <c r="I5008">
        <v>470</v>
      </c>
      <c r="J5008">
        <v>115</v>
      </c>
      <c r="K5008" t="b">
        <v>1</v>
      </c>
    </row>
    <row r="5009" spans="8:11" x14ac:dyDescent="0.25">
      <c r="H5009">
        <v>34</v>
      </c>
      <c r="I5009">
        <v>472</v>
      </c>
      <c r="J5009">
        <v>115</v>
      </c>
      <c r="K5009" t="b">
        <v>1</v>
      </c>
    </row>
    <row r="5010" spans="8:11" x14ac:dyDescent="0.25">
      <c r="H5010">
        <v>34</v>
      </c>
      <c r="I5010">
        <v>474</v>
      </c>
      <c r="J5010">
        <v>115</v>
      </c>
      <c r="K5010" t="b">
        <v>1</v>
      </c>
    </row>
    <row r="5011" spans="8:11" x14ac:dyDescent="0.25">
      <c r="H5011">
        <v>34</v>
      </c>
      <c r="I5011">
        <v>476</v>
      </c>
      <c r="J5011">
        <v>115</v>
      </c>
      <c r="K5011" t="b">
        <v>1</v>
      </c>
    </row>
    <row r="5012" spans="8:11" x14ac:dyDescent="0.25">
      <c r="H5012">
        <v>34</v>
      </c>
      <c r="I5012">
        <v>478</v>
      </c>
      <c r="J5012">
        <v>115</v>
      </c>
      <c r="K5012" t="b">
        <v>1</v>
      </c>
    </row>
    <row r="5013" spans="8:11" x14ac:dyDescent="0.25">
      <c r="H5013">
        <v>34</v>
      </c>
      <c r="I5013">
        <v>480</v>
      </c>
      <c r="J5013">
        <v>115</v>
      </c>
      <c r="K5013" t="b">
        <v>1</v>
      </c>
    </row>
    <row r="5014" spans="8:11" x14ac:dyDescent="0.25">
      <c r="H5014">
        <v>34</v>
      </c>
      <c r="I5014">
        <v>482</v>
      </c>
      <c r="J5014">
        <v>115</v>
      </c>
      <c r="K5014" t="b">
        <v>1</v>
      </c>
    </row>
    <row r="5015" spans="8:11" x14ac:dyDescent="0.25">
      <c r="H5015">
        <v>34</v>
      </c>
      <c r="I5015">
        <v>484</v>
      </c>
      <c r="J5015">
        <v>115</v>
      </c>
      <c r="K5015" t="b">
        <v>1</v>
      </c>
    </row>
    <row r="5016" spans="8:11" x14ac:dyDescent="0.25">
      <c r="H5016">
        <v>34</v>
      </c>
      <c r="I5016">
        <v>486</v>
      </c>
      <c r="J5016">
        <v>115</v>
      </c>
      <c r="K5016" t="b">
        <v>1</v>
      </c>
    </row>
    <row r="5017" spans="8:11" x14ac:dyDescent="0.25">
      <c r="H5017">
        <v>34</v>
      </c>
      <c r="I5017">
        <v>488</v>
      </c>
      <c r="J5017">
        <v>115</v>
      </c>
      <c r="K5017" t="b">
        <v>1</v>
      </c>
    </row>
    <row r="5018" spans="8:11" x14ac:dyDescent="0.25">
      <c r="H5018">
        <v>34</v>
      </c>
      <c r="I5018">
        <v>490</v>
      </c>
      <c r="J5018">
        <v>115</v>
      </c>
      <c r="K5018" t="b">
        <v>1</v>
      </c>
    </row>
    <row r="5019" spans="8:11" x14ac:dyDescent="0.25">
      <c r="H5019">
        <v>34</v>
      </c>
      <c r="I5019">
        <v>492</v>
      </c>
      <c r="J5019">
        <v>115</v>
      </c>
      <c r="K5019" t="b">
        <v>1</v>
      </c>
    </row>
    <row r="5020" spans="8:11" x14ac:dyDescent="0.25">
      <c r="H5020">
        <v>34</v>
      </c>
      <c r="I5020">
        <v>494</v>
      </c>
      <c r="J5020">
        <v>115</v>
      </c>
      <c r="K5020" t="b">
        <v>1</v>
      </c>
    </row>
    <row r="5021" spans="8:11" x14ac:dyDescent="0.25">
      <c r="H5021">
        <v>34</v>
      </c>
      <c r="I5021">
        <v>496</v>
      </c>
      <c r="J5021">
        <v>115</v>
      </c>
      <c r="K5021" t="b">
        <v>1</v>
      </c>
    </row>
    <row r="5022" spans="8:11" x14ac:dyDescent="0.25">
      <c r="H5022">
        <v>34</v>
      </c>
      <c r="I5022">
        <v>498</v>
      </c>
      <c r="J5022">
        <v>115</v>
      </c>
      <c r="K5022" t="b">
        <v>1</v>
      </c>
    </row>
    <row r="5023" spans="8:11" x14ac:dyDescent="0.25">
      <c r="H5023">
        <v>34</v>
      </c>
      <c r="I5023">
        <v>500</v>
      </c>
      <c r="J5023">
        <v>115</v>
      </c>
      <c r="K5023" t="b">
        <v>1</v>
      </c>
    </row>
    <row r="5024" spans="8:11" x14ac:dyDescent="0.25">
      <c r="H5024">
        <v>34</v>
      </c>
      <c r="I5024">
        <v>502</v>
      </c>
      <c r="J5024">
        <v>115</v>
      </c>
      <c r="K5024" t="b">
        <v>1</v>
      </c>
    </row>
    <row r="5025" spans="8:11" x14ac:dyDescent="0.25">
      <c r="H5025">
        <v>34</v>
      </c>
      <c r="I5025">
        <v>504</v>
      </c>
      <c r="J5025">
        <v>115</v>
      </c>
      <c r="K5025" t="b">
        <v>1</v>
      </c>
    </row>
    <row r="5026" spans="8:11" x14ac:dyDescent="0.25">
      <c r="H5026">
        <v>34</v>
      </c>
      <c r="I5026">
        <v>506</v>
      </c>
      <c r="J5026">
        <v>115</v>
      </c>
      <c r="K5026" t="b">
        <v>1</v>
      </c>
    </row>
    <row r="5027" spans="8:11" x14ac:dyDescent="0.25">
      <c r="H5027">
        <v>34</v>
      </c>
      <c r="I5027">
        <v>508</v>
      </c>
      <c r="J5027">
        <v>115</v>
      </c>
      <c r="K5027" t="b">
        <v>1</v>
      </c>
    </row>
    <row r="5028" spans="8:11" x14ac:dyDescent="0.25">
      <c r="H5028">
        <v>34</v>
      </c>
      <c r="I5028">
        <v>510</v>
      </c>
      <c r="J5028">
        <v>115</v>
      </c>
      <c r="K5028" t="b">
        <v>1</v>
      </c>
    </row>
    <row r="5029" spans="8:11" x14ac:dyDescent="0.25">
      <c r="H5029">
        <v>34</v>
      </c>
      <c r="I5029">
        <v>512</v>
      </c>
      <c r="J5029">
        <v>115</v>
      </c>
      <c r="K5029" t="b">
        <v>1</v>
      </c>
    </row>
    <row r="5030" spans="8:11" x14ac:dyDescent="0.25">
      <c r="H5030">
        <v>34</v>
      </c>
      <c r="I5030">
        <v>514</v>
      </c>
      <c r="J5030">
        <v>115</v>
      </c>
      <c r="K5030" t="b">
        <v>1</v>
      </c>
    </row>
    <row r="5031" spans="8:11" x14ac:dyDescent="0.25">
      <c r="H5031">
        <v>34</v>
      </c>
      <c r="I5031">
        <v>516</v>
      </c>
      <c r="J5031">
        <v>115</v>
      </c>
      <c r="K5031" t="b">
        <v>1</v>
      </c>
    </row>
    <row r="5032" spans="8:11" x14ac:dyDescent="0.25">
      <c r="H5032">
        <v>34</v>
      </c>
      <c r="I5032">
        <v>518</v>
      </c>
      <c r="J5032">
        <v>115</v>
      </c>
      <c r="K5032" t="b">
        <v>1</v>
      </c>
    </row>
    <row r="5033" spans="8:11" x14ac:dyDescent="0.25">
      <c r="H5033">
        <v>34</v>
      </c>
      <c r="I5033">
        <v>520</v>
      </c>
      <c r="J5033">
        <v>115</v>
      </c>
      <c r="K5033" t="b">
        <v>1</v>
      </c>
    </row>
    <row r="5034" spans="8:11" x14ac:dyDescent="0.25">
      <c r="H5034">
        <v>34</v>
      </c>
      <c r="I5034">
        <v>522</v>
      </c>
      <c r="J5034">
        <v>115</v>
      </c>
      <c r="K5034" t="b">
        <v>1</v>
      </c>
    </row>
    <row r="5035" spans="8:11" x14ac:dyDescent="0.25">
      <c r="H5035">
        <v>34</v>
      </c>
      <c r="I5035">
        <v>524</v>
      </c>
      <c r="J5035">
        <v>115</v>
      </c>
      <c r="K5035" t="b">
        <v>1</v>
      </c>
    </row>
    <row r="5036" spans="8:11" x14ac:dyDescent="0.25">
      <c r="H5036">
        <v>34</v>
      </c>
      <c r="I5036">
        <v>526</v>
      </c>
      <c r="J5036">
        <v>115</v>
      </c>
      <c r="K5036" t="b">
        <v>1</v>
      </c>
    </row>
    <row r="5037" spans="8:11" x14ac:dyDescent="0.25">
      <c r="H5037">
        <v>34</v>
      </c>
      <c r="I5037">
        <v>528</v>
      </c>
      <c r="J5037">
        <v>115</v>
      </c>
      <c r="K5037" t="b">
        <v>1</v>
      </c>
    </row>
    <row r="5038" spans="8:11" x14ac:dyDescent="0.25">
      <c r="H5038">
        <v>34</v>
      </c>
      <c r="I5038">
        <v>530</v>
      </c>
      <c r="J5038">
        <v>115</v>
      </c>
      <c r="K5038" t="b">
        <v>1</v>
      </c>
    </row>
    <row r="5039" spans="8:11" x14ac:dyDescent="0.25">
      <c r="H5039">
        <v>34</v>
      </c>
      <c r="I5039">
        <v>532</v>
      </c>
      <c r="J5039">
        <v>115</v>
      </c>
      <c r="K5039" t="b">
        <v>1</v>
      </c>
    </row>
    <row r="5040" spans="8:11" x14ac:dyDescent="0.25">
      <c r="H5040">
        <v>34</v>
      </c>
      <c r="I5040">
        <v>534</v>
      </c>
      <c r="J5040">
        <v>115</v>
      </c>
      <c r="K5040" t="b">
        <v>1</v>
      </c>
    </row>
    <row r="5041" spans="8:11" x14ac:dyDescent="0.25">
      <c r="H5041">
        <v>34</v>
      </c>
      <c r="I5041">
        <v>536</v>
      </c>
      <c r="J5041">
        <v>115</v>
      </c>
      <c r="K5041" t="b">
        <v>1</v>
      </c>
    </row>
    <row r="5042" spans="8:11" x14ac:dyDescent="0.25">
      <c r="H5042">
        <v>34</v>
      </c>
      <c r="I5042">
        <v>538</v>
      </c>
      <c r="J5042">
        <v>115</v>
      </c>
      <c r="K5042" t="b">
        <v>1</v>
      </c>
    </row>
    <row r="5043" spans="8:11" x14ac:dyDescent="0.25">
      <c r="H5043">
        <v>34</v>
      </c>
      <c r="I5043">
        <v>540</v>
      </c>
      <c r="J5043">
        <v>115</v>
      </c>
      <c r="K5043" t="b">
        <v>1</v>
      </c>
    </row>
    <row r="5044" spans="8:11" x14ac:dyDescent="0.25">
      <c r="H5044">
        <v>34</v>
      </c>
      <c r="I5044">
        <v>542</v>
      </c>
      <c r="J5044">
        <v>115</v>
      </c>
      <c r="K5044" t="b">
        <v>1</v>
      </c>
    </row>
    <row r="5045" spans="8:11" x14ac:dyDescent="0.25">
      <c r="H5045">
        <v>34</v>
      </c>
      <c r="I5045">
        <v>544</v>
      </c>
      <c r="J5045">
        <v>115</v>
      </c>
      <c r="K5045" t="b">
        <v>1</v>
      </c>
    </row>
    <row r="5046" spans="8:11" x14ac:dyDescent="0.25">
      <c r="H5046">
        <v>34</v>
      </c>
      <c r="I5046">
        <v>546</v>
      </c>
      <c r="J5046">
        <v>115</v>
      </c>
      <c r="K5046" t="b">
        <v>1</v>
      </c>
    </row>
    <row r="5047" spans="8:11" x14ac:dyDescent="0.25">
      <c r="H5047">
        <v>34</v>
      </c>
      <c r="I5047">
        <v>548</v>
      </c>
      <c r="J5047">
        <v>115</v>
      </c>
      <c r="K5047" t="b">
        <v>1</v>
      </c>
    </row>
    <row r="5048" spans="8:11" x14ac:dyDescent="0.25">
      <c r="H5048">
        <v>34</v>
      </c>
      <c r="I5048">
        <v>550</v>
      </c>
      <c r="J5048">
        <v>115</v>
      </c>
      <c r="K5048" t="b">
        <v>1</v>
      </c>
    </row>
    <row r="5049" spans="8:11" x14ac:dyDescent="0.25">
      <c r="H5049">
        <v>34</v>
      </c>
      <c r="I5049">
        <v>552</v>
      </c>
      <c r="J5049">
        <v>115</v>
      </c>
      <c r="K5049" t="b">
        <v>1</v>
      </c>
    </row>
    <row r="5050" spans="8:11" x14ac:dyDescent="0.25">
      <c r="H5050">
        <v>34</v>
      </c>
      <c r="I5050">
        <v>554</v>
      </c>
      <c r="J5050">
        <v>115</v>
      </c>
      <c r="K5050" t="b">
        <v>1</v>
      </c>
    </row>
    <row r="5051" spans="8:11" x14ac:dyDescent="0.25">
      <c r="H5051">
        <v>34</v>
      </c>
      <c r="I5051">
        <v>556</v>
      </c>
      <c r="J5051">
        <v>115</v>
      </c>
      <c r="K5051" t="b">
        <v>1</v>
      </c>
    </row>
    <row r="5052" spans="8:11" x14ac:dyDescent="0.25">
      <c r="H5052">
        <v>34</v>
      </c>
      <c r="I5052">
        <v>558</v>
      </c>
      <c r="J5052">
        <v>115</v>
      </c>
      <c r="K5052" t="b">
        <v>1</v>
      </c>
    </row>
    <row r="5053" spans="8:11" x14ac:dyDescent="0.25">
      <c r="H5053">
        <v>34</v>
      </c>
      <c r="I5053">
        <v>560</v>
      </c>
      <c r="J5053">
        <v>115</v>
      </c>
      <c r="K5053" t="b">
        <v>1</v>
      </c>
    </row>
    <row r="5054" spans="8:11" x14ac:dyDescent="0.25">
      <c r="H5054">
        <v>34</v>
      </c>
      <c r="I5054">
        <v>562</v>
      </c>
      <c r="J5054">
        <v>115</v>
      </c>
      <c r="K5054" t="b">
        <v>1</v>
      </c>
    </row>
    <row r="5055" spans="8:11" x14ac:dyDescent="0.25">
      <c r="H5055">
        <v>34</v>
      </c>
      <c r="I5055">
        <v>564</v>
      </c>
      <c r="J5055">
        <v>115</v>
      </c>
      <c r="K5055" t="b">
        <v>1</v>
      </c>
    </row>
    <row r="5056" spans="8:11" x14ac:dyDescent="0.25">
      <c r="H5056">
        <v>34</v>
      </c>
      <c r="I5056">
        <v>566</v>
      </c>
      <c r="J5056">
        <v>115</v>
      </c>
      <c r="K5056" t="b">
        <v>1</v>
      </c>
    </row>
    <row r="5057" spans="8:11" x14ac:dyDescent="0.25">
      <c r="H5057">
        <v>34</v>
      </c>
      <c r="I5057">
        <v>568</v>
      </c>
      <c r="J5057">
        <v>115</v>
      </c>
      <c r="K5057" t="b">
        <v>1</v>
      </c>
    </row>
    <row r="5058" spans="8:11" x14ac:dyDescent="0.25">
      <c r="H5058">
        <v>34</v>
      </c>
      <c r="I5058">
        <v>570</v>
      </c>
      <c r="J5058">
        <v>115</v>
      </c>
      <c r="K5058" t="b">
        <v>1</v>
      </c>
    </row>
    <row r="5059" spans="8:11" x14ac:dyDescent="0.25">
      <c r="H5059">
        <v>34</v>
      </c>
      <c r="I5059">
        <v>572</v>
      </c>
      <c r="J5059">
        <v>115</v>
      </c>
      <c r="K5059" t="b">
        <v>1</v>
      </c>
    </row>
    <row r="5060" spans="8:11" x14ac:dyDescent="0.25">
      <c r="H5060">
        <v>34</v>
      </c>
      <c r="I5060">
        <v>574</v>
      </c>
      <c r="J5060">
        <v>115</v>
      </c>
      <c r="K5060" t="b">
        <v>1</v>
      </c>
    </row>
    <row r="5061" spans="8:11" x14ac:dyDescent="0.25">
      <c r="H5061">
        <v>34</v>
      </c>
      <c r="I5061">
        <v>576</v>
      </c>
      <c r="J5061">
        <v>115</v>
      </c>
      <c r="K5061" t="b">
        <v>1</v>
      </c>
    </row>
    <row r="5062" spans="8:11" x14ac:dyDescent="0.25">
      <c r="H5062">
        <v>34</v>
      </c>
      <c r="I5062">
        <v>578</v>
      </c>
      <c r="J5062">
        <v>115</v>
      </c>
      <c r="K5062" t="b">
        <v>1</v>
      </c>
    </row>
    <row r="5063" spans="8:11" x14ac:dyDescent="0.25">
      <c r="H5063">
        <v>34</v>
      </c>
      <c r="I5063">
        <v>580</v>
      </c>
      <c r="J5063">
        <v>115</v>
      </c>
      <c r="K5063" t="b">
        <v>1</v>
      </c>
    </row>
    <row r="5064" spans="8:11" x14ac:dyDescent="0.25">
      <c r="H5064">
        <v>34</v>
      </c>
      <c r="I5064">
        <v>582</v>
      </c>
      <c r="J5064">
        <v>115</v>
      </c>
      <c r="K5064" t="b">
        <v>1</v>
      </c>
    </row>
    <row r="5065" spans="8:11" x14ac:dyDescent="0.25">
      <c r="H5065">
        <v>34</v>
      </c>
      <c r="I5065">
        <v>584</v>
      </c>
      <c r="J5065">
        <v>115</v>
      </c>
      <c r="K5065" t="b">
        <v>1</v>
      </c>
    </row>
    <row r="5066" spans="8:11" x14ac:dyDescent="0.25">
      <c r="H5066">
        <v>34</v>
      </c>
      <c r="I5066">
        <v>586</v>
      </c>
      <c r="J5066">
        <v>115</v>
      </c>
      <c r="K5066" t="b">
        <v>1</v>
      </c>
    </row>
    <row r="5067" spans="8:11" x14ac:dyDescent="0.25">
      <c r="H5067">
        <v>34</v>
      </c>
      <c r="I5067">
        <v>588</v>
      </c>
      <c r="J5067">
        <v>115</v>
      </c>
      <c r="K5067" t="b">
        <v>1</v>
      </c>
    </row>
    <row r="5068" spans="8:11" x14ac:dyDescent="0.25">
      <c r="H5068">
        <v>34</v>
      </c>
      <c r="I5068">
        <v>590</v>
      </c>
      <c r="J5068">
        <v>115</v>
      </c>
      <c r="K5068" t="b">
        <v>1</v>
      </c>
    </row>
    <row r="5069" spans="8:11" x14ac:dyDescent="0.25">
      <c r="H5069">
        <v>34</v>
      </c>
      <c r="I5069">
        <v>592</v>
      </c>
      <c r="J5069">
        <v>115</v>
      </c>
      <c r="K5069" t="b">
        <v>1</v>
      </c>
    </row>
    <row r="5070" spans="8:11" x14ac:dyDescent="0.25">
      <c r="H5070">
        <v>34</v>
      </c>
      <c r="I5070">
        <v>594</v>
      </c>
      <c r="J5070">
        <v>115</v>
      </c>
      <c r="K5070" t="b">
        <v>1</v>
      </c>
    </row>
    <row r="5071" spans="8:11" x14ac:dyDescent="0.25">
      <c r="H5071">
        <v>34</v>
      </c>
      <c r="I5071">
        <v>596</v>
      </c>
      <c r="J5071">
        <v>115</v>
      </c>
      <c r="K5071" t="b">
        <v>1</v>
      </c>
    </row>
    <row r="5072" spans="8:11" x14ac:dyDescent="0.25">
      <c r="H5072">
        <v>34</v>
      </c>
      <c r="I5072">
        <v>598</v>
      </c>
      <c r="J5072">
        <v>115</v>
      </c>
      <c r="K5072" t="b">
        <v>1</v>
      </c>
    </row>
    <row r="5073" spans="8:11" x14ac:dyDescent="0.25">
      <c r="H5073">
        <v>34</v>
      </c>
      <c r="I5073">
        <v>600</v>
      </c>
      <c r="J5073">
        <v>115</v>
      </c>
      <c r="K5073" t="b">
        <v>1</v>
      </c>
    </row>
    <row r="5074" spans="8:11" x14ac:dyDescent="0.25">
      <c r="H5074">
        <v>34</v>
      </c>
      <c r="I5074">
        <v>602</v>
      </c>
      <c r="J5074">
        <v>115</v>
      </c>
      <c r="K5074" t="b">
        <v>1</v>
      </c>
    </row>
    <row r="5075" spans="8:11" x14ac:dyDescent="0.25">
      <c r="H5075">
        <v>34</v>
      </c>
      <c r="I5075">
        <v>604</v>
      </c>
      <c r="J5075">
        <v>115</v>
      </c>
      <c r="K5075" t="b">
        <v>1</v>
      </c>
    </row>
    <row r="5076" spans="8:11" x14ac:dyDescent="0.25">
      <c r="H5076">
        <v>34</v>
      </c>
      <c r="I5076">
        <v>606</v>
      </c>
      <c r="J5076">
        <v>115</v>
      </c>
      <c r="K5076" t="b">
        <v>1</v>
      </c>
    </row>
    <row r="5077" spans="8:11" x14ac:dyDescent="0.25">
      <c r="H5077">
        <v>34</v>
      </c>
      <c r="I5077">
        <v>608</v>
      </c>
      <c r="J5077">
        <v>115</v>
      </c>
      <c r="K5077" t="b">
        <v>1</v>
      </c>
    </row>
    <row r="5078" spans="8:11" x14ac:dyDescent="0.25">
      <c r="H5078">
        <v>34</v>
      </c>
      <c r="I5078">
        <v>610</v>
      </c>
      <c r="J5078">
        <v>115</v>
      </c>
      <c r="K5078" t="b">
        <v>1</v>
      </c>
    </row>
    <row r="5079" spans="8:11" x14ac:dyDescent="0.25">
      <c r="H5079">
        <v>34</v>
      </c>
      <c r="I5079">
        <v>612</v>
      </c>
      <c r="J5079">
        <v>115</v>
      </c>
      <c r="K5079" t="b">
        <v>1</v>
      </c>
    </row>
    <row r="5080" spans="8:11" x14ac:dyDescent="0.25">
      <c r="H5080">
        <v>34</v>
      </c>
      <c r="I5080">
        <v>614</v>
      </c>
      <c r="J5080">
        <v>115</v>
      </c>
      <c r="K5080" t="b">
        <v>1</v>
      </c>
    </row>
    <row r="5081" spans="8:11" x14ac:dyDescent="0.25">
      <c r="H5081">
        <v>34</v>
      </c>
      <c r="I5081">
        <v>616</v>
      </c>
      <c r="J5081">
        <v>115</v>
      </c>
      <c r="K5081" t="b">
        <v>1</v>
      </c>
    </row>
    <row r="5082" spans="8:11" x14ac:dyDescent="0.25">
      <c r="H5082">
        <v>34</v>
      </c>
      <c r="I5082">
        <v>618</v>
      </c>
      <c r="J5082">
        <v>115</v>
      </c>
      <c r="K5082" t="b">
        <v>1</v>
      </c>
    </row>
    <row r="5083" spans="8:11" x14ac:dyDescent="0.25">
      <c r="H5083">
        <v>34</v>
      </c>
      <c r="I5083">
        <v>620</v>
      </c>
      <c r="J5083">
        <v>115</v>
      </c>
      <c r="K5083" t="b">
        <v>1</v>
      </c>
    </row>
    <row r="5084" spans="8:11" x14ac:dyDescent="0.25">
      <c r="H5084">
        <v>34</v>
      </c>
      <c r="I5084">
        <v>622</v>
      </c>
      <c r="J5084">
        <v>115</v>
      </c>
      <c r="K5084" t="b">
        <v>1</v>
      </c>
    </row>
    <row r="5085" spans="8:11" x14ac:dyDescent="0.25">
      <c r="H5085">
        <v>34</v>
      </c>
      <c r="I5085">
        <v>624</v>
      </c>
      <c r="J5085">
        <v>115</v>
      </c>
      <c r="K5085" t="b">
        <v>1</v>
      </c>
    </row>
    <row r="5086" spans="8:11" x14ac:dyDescent="0.25">
      <c r="H5086">
        <v>34</v>
      </c>
      <c r="I5086">
        <v>626</v>
      </c>
      <c r="J5086">
        <v>115</v>
      </c>
      <c r="K5086" t="b">
        <v>1</v>
      </c>
    </row>
    <row r="5087" spans="8:11" x14ac:dyDescent="0.25">
      <c r="H5087">
        <v>34</v>
      </c>
      <c r="I5087">
        <v>628</v>
      </c>
      <c r="J5087">
        <v>115</v>
      </c>
      <c r="K5087" t="b">
        <v>1</v>
      </c>
    </row>
    <row r="5088" spans="8:11" x14ac:dyDescent="0.25">
      <c r="H5088">
        <v>34</v>
      </c>
      <c r="I5088">
        <v>630</v>
      </c>
      <c r="J5088">
        <v>115</v>
      </c>
      <c r="K5088" t="b">
        <v>1</v>
      </c>
    </row>
    <row r="5089" spans="8:11" x14ac:dyDescent="0.25">
      <c r="H5089">
        <v>34</v>
      </c>
      <c r="I5089">
        <v>632</v>
      </c>
      <c r="J5089">
        <v>115</v>
      </c>
      <c r="K5089" t="b">
        <v>1</v>
      </c>
    </row>
    <row r="5090" spans="8:11" x14ac:dyDescent="0.25">
      <c r="H5090">
        <v>34</v>
      </c>
      <c r="I5090">
        <v>634</v>
      </c>
      <c r="J5090">
        <v>115</v>
      </c>
      <c r="K5090" t="b">
        <v>1</v>
      </c>
    </row>
    <row r="5091" spans="8:11" x14ac:dyDescent="0.25">
      <c r="H5091">
        <v>34</v>
      </c>
      <c r="I5091">
        <v>636</v>
      </c>
      <c r="J5091">
        <v>115</v>
      </c>
      <c r="K5091" t="b">
        <v>1</v>
      </c>
    </row>
    <row r="5092" spans="8:11" x14ac:dyDescent="0.25">
      <c r="H5092">
        <v>34</v>
      </c>
      <c r="I5092">
        <v>638</v>
      </c>
      <c r="J5092">
        <v>115</v>
      </c>
      <c r="K5092" t="b">
        <v>1</v>
      </c>
    </row>
    <row r="5093" spans="8:11" x14ac:dyDescent="0.25">
      <c r="H5093">
        <v>34</v>
      </c>
      <c r="I5093">
        <v>640</v>
      </c>
      <c r="J5093">
        <v>115</v>
      </c>
      <c r="K5093" t="b">
        <v>1</v>
      </c>
    </row>
    <row r="5094" spans="8:11" x14ac:dyDescent="0.25">
      <c r="H5094">
        <v>34</v>
      </c>
      <c r="I5094">
        <v>642</v>
      </c>
      <c r="J5094">
        <v>115</v>
      </c>
      <c r="K5094" t="b">
        <v>1</v>
      </c>
    </row>
    <row r="5095" spans="8:11" x14ac:dyDescent="0.25">
      <c r="H5095">
        <v>34</v>
      </c>
      <c r="I5095">
        <v>644</v>
      </c>
      <c r="J5095">
        <v>115</v>
      </c>
      <c r="K5095" t="b">
        <v>1</v>
      </c>
    </row>
    <row r="5096" spans="8:11" x14ac:dyDescent="0.25">
      <c r="H5096">
        <v>34</v>
      </c>
      <c r="I5096">
        <v>646</v>
      </c>
      <c r="J5096">
        <v>115</v>
      </c>
      <c r="K5096" t="b">
        <v>1</v>
      </c>
    </row>
    <row r="5097" spans="8:11" x14ac:dyDescent="0.25">
      <c r="H5097">
        <v>34</v>
      </c>
      <c r="I5097">
        <v>648</v>
      </c>
      <c r="J5097">
        <v>115</v>
      </c>
      <c r="K5097" t="b">
        <v>1</v>
      </c>
    </row>
    <row r="5098" spans="8:11" x14ac:dyDescent="0.25">
      <c r="H5098">
        <v>34</v>
      </c>
      <c r="I5098">
        <v>650</v>
      </c>
      <c r="J5098">
        <v>115</v>
      </c>
      <c r="K5098" t="b">
        <v>1</v>
      </c>
    </row>
    <row r="5099" spans="8:11" x14ac:dyDescent="0.25">
      <c r="H5099">
        <v>34</v>
      </c>
      <c r="I5099">
        <v>652</v>
      </c>
      <c r="J5099">
        <v>115</v>
      </c>
      <c r="K5099" t="b">
        <v>1</v>
      </c>
    </row>
    <row r="5100" spans="8:11" x14ac:dyDescent="0.25">
      <c r="H5100">
        <v>34</v>
      </c>
      <c r="I5100">
        <v>654</v>
      </c>
      <c r="J5100">
        <v>115</v>
      </c>
      <c r="K5100" t="b">
        <v>1</v>
      </c>
    </row>
    <row r="5101" spans="8:11" x14ac:dyDescent="0.25">
      <c r="H5101">
        <v>34</v>
      </c>
      <c r="I5101">
        <v>656</v>
      </c>
      <c r="J5101">
        <v>115</v>
      </c>
      <c r="K5101" t="b">
        <v>1</v>
      </c>
    </row>
    <row r="5102" spans="8:11" x14ac:dyDescent="0.25">
      <c r="H5102">
        <v>34</v>
      </c>
      <c r="I5102">
        <v>658</v>
      </c>
      <c r="J5102">
        <v>115</v>
      </c>
      <c r="K5102" t="b">
        <v>1</v>
      </c>
    </row>
    <row r="5103" spans="8:11" x14ac:dyDescent="0.25">
      <c r="H5103">
        <v>34</v>
      </c>
      <c r="I5103">
        <v>660</v>
      </c>
      <c r="J5103">
        <v>115</v>
      </c>
      <c r="K5103" t="b">
        <v>1</v>
      </c>
    </row>
    <row r="5104" spans="8:11" x14ac:dyDescent="0.25">
      <c r="H5104">
        <v>34</v>
      </c>
      <c r="I5104">
        <v>662</v>
      </c>
      <c r="J5104">
        <v>115</v>
      </c>
      <c r="K5104" t="b">
        <v>1</v>
      </c>
    </row>
    <row r="5105" spans="8:11" x14ac:dyDescent="0.25">
      <c r="H5105">
        <v>34</v>
      </c>
      <c r="I5105">
        <v>664</v>
      </c>
      <c r="J5105">
        <v>115</v>
      </c>
      <c r="K5105" t="b">
        <v>1</v>
      </c>
    </row>
    <row r="5106" spans="8:11" x14ac:dyDescent="0.25">
      <c r="H5106">
        <v>34</v>
      </c>
      <c r="I5106">
        <v>666</v>
      </c>
      <c r="J5106">
        <v>115</v>
      </c>
      <c r="K5106" t="b">
        <v>1</v>
      </c>
    </row>
    <row r="5107" spans="8:11" x14ac:dyDescent="0.25">
      <c r="H5107">
        <v>34</v>
      </c>
      <c r="I5107">
        <v>668</v>
      </c>
      <c r="J5107">
        <v>115</v>
      </c>
      <c r="K5107" t="b">
        <v>1</v>
      </c>
    </row>
    <row r="5108" spans="8:11" x14ac:dyDescent="0.25">
      <c r="H5108">
        <v>34</v>
      </c>
      <c r="I5108">
        <v>670</v>
      </c>
      <c r="J5108">
        <v>115</v>
      </c>
      <c r="K5108" t="b">
        <v>1</v>
      </c>
    </row>
    <row r="5109" spans="8:11" x14ac:dyDescent="0.25">
      <c r="H5109">
        <v>34</v>
      </c>
      <c r="I5109">
        <v>672</v>
      </c>
      <c r="J5109">
        <v>115</v>
      </c>
      <c r="K5109" t="b">
        <v>1</v>
      </c>
    </row>
    <row r="5110" spans="8:11" x14ac:dyDescent="0.25">
      <c r="H5110">
        <v>34</v>
      </c>
      <c r="I5110">
        <v>674</v>
      </c>
      <c r="J5110">
        <v>115</v>
      </c>
      <c r="K5110" t="b">
        <v>1</v>
      </c>
    </row>
    <row r="5111" spans="8:11" x14ac:dyDescent="0.25">
      <c r="H5111">
        <v>34</v>
      </c>
      <c r="I5111">
        <v>676</v>
      </c>
      <c r="J5111">
        <v>115</v>
      </c>
      <c r="K5111" t="b">
        <v>1</v>
      </c>
    </row>
    <row r="5112" spans="8:11" x14ac:dyDescent="0.25">
      <c r="H5112">
        <v>34</v>
      </c>
      <c r="I5112">
        <v>678</v>
      </c>
      <c r="J5112">
        <v>115</v>
      </c>
      <c r="K5112" t="b">
        <v>1</v>
      </c>
    </row>
    <row r="5113" spans="8:11" x14ac:dyDescent="0.25">
      <c r="H5113">
        <v>34</v>
      </c>
      <c r="I5113">
        <v>680</v>
      </c>
      <c r="J5113">
        <v>115</v>
      </c>
      <c r="K5113" t="b">
        <v>1</v>
      </c>
    </row>
    <row r="5114" spans="8:11" x14ac:dyDescent="0.25">
      <c r="H5114">
        <v>34</v>
      </c>
      <c r="I5114">
        <v>682</v>
      </c>
      <c r="J5114">
        <v>115</v>
      </c>
      <c r="K5114" t="b">
        <v>1</v>
      </c>
    </row>
    <row r="5115" spans="8:11" x14ac:dyDescent="0.25">
      <c r="H5115">
        <v>34</v>
      </c>
      <c r="I5115">
        <v>684</v>
      </c>
      <c r="J5115">
        <v>115</v>
      </c>
      <c r="K5115" t="b">
        <v>1</v>
      </c>
    </row>
    <row r="5116" spans="8:11" x14ac:dyDescent="0.25">
      <c r="H5116">
        <v>34</v>
      </c>
      <c r="I5116">
        <v>686</v>
      </c>
      <c r="J5116">
        <v>115</v>
      </c>
      <c r="K5116" t="b">
        <v>1</v>
      </c>
    </row>
    <row r="5117" spans="8:11" x14ac:dyDescent="0.25">
      <c r="H5117">
        <v>34</v>
      </c>
      <c r="I5117">
        <v>688</v>
      </c>
      <c r="J5117">
        <v>115</v>
      </c>
      <c r="K5117" t="b">
        <v>1</v>
      </c>
    </row>
    <row r="5118" spans="8:11" x14ac:dyDescent="0.25">
      <c r="H5118">
        <v>34</v>
      </c>
      <c r="I5118">
        <v>690</v>
      </c>
      <c r="J5118">
        <v>115</v>
      </c>
      <c r="K5118" t="b">
        <v>1</v>
      </c>
    </row>
    <row r="5119" spans="8:11" x14ac:dyDescent="0.25">
      <c r="H5119">
        <v>34</v>
      </c>
      <c r="I5119">
        <v>692</v>
      </c>
      <c r="J5119">
        <v>115</v>
      </c>
      <c r="K5119" t="b">
        <v>1</v>
      </c>
    </row>
    <row r="5120" spans="8:11" x14ac:dyDescent="0.25">
      <c r="H5120">
        <v>34</v>
      </c>
      <c r="I5120">
        <v>694</v>
      </c>
      <c r="J5120">
        <v>115</v>
      </c>
      <c r="K5120" t="b">
        <v>1</v>
      </c>
    </row>
    <row r="5121" spans="8:11" x14ac:dyDescent="0.25">
      <c r="H5121">
        <v>34</v>
      </c>
      <c r="I5121">
        <v>696</v>
      </c>
      <c r="J5121">
        <v>115</v>
      </c>
      <c r="K5121" t="b">
        <v>1</v>
      </c>
    </row>
    <row r="5122" spans="8:11" x14ac:dyDescent="0.25">
      <c r="H5122">
        <v>34</v>
      </c>
      <c r="I5122">
        <v>698</v>
      </c>
      <c r="J5122">
        <v>115</v>
      </c>
      <c r="K5122" t="b">
        <v>1</v>
      </c>
    </row>
    <row r="5123" spans="8:11" x14ac:dyDescent="0.25">
      <c r="H5123">
        <v>34</v>
      </c>
      <c r="I5123">
        <v>700</v>
      </c>
      <c r="J5123">
        <v>115</v>
      </c>
      <c r="K5123" t="b">
        <v>1</v>
      </c>
    </row>
    <row r="5124" spans="8:11" x14ac:dyDescent="0.25">
      <c r="H5124">
        <v>34</v>
      </c>
      <c r="I5124">
        <v>702</v>
      </c>
      <c r="J5124">
        <v>115</v>
      </c>
      <c r="K5124" t="b">
        <v>1</v>
      </c>
    </row>
    <row r="5125" spans="8:11" x14ac:dyDescent="0.25">
      <c r="H5125">
        <v>34</v>
      </c>
      <c r="I5125">
        <v>704</v>
      </c>
      <c r="J5125">
        <v>115</v>
      </c>
      <c r="K5125" t="b">
        <v>1</v>
      </c>
    </row>
    <row r="5126" spans="8:11" x14ac:dyDescent="0.25">
      <c r="H5126">
        <v>34</v>
      </c>
      <c r="I5126">
        <v>706</v>
      </c>
      <c r="J5126">
        <v>115</v>
      </c>
      <c r="K5126" t="b">
        <v>1</v>
      </c>
    </row>
    <row r="5127" spans="8:11" x14ac:dyDescent="0.25">
      <c r="H5127">
        <v>34</v>
      </c>
      <c r="I5127">
        <v>708</v>
      </c>
      <c r="J5127">
        <v>115</v>
      </c>
      <c r="K5127" t="b">
        <v>1</v>
      </c>
    </row>
    <row r="5128" spans="8:11" x14ac:dyDescent="0.25">
      <c r="H5128">
        <v>34</v>
      </c>
      <c r="I5128">
        <v>710</v>
      </c>
      <c r="J5128">
        <v>115</v>
      </c>
      <c r="K5128" t="b">
        <v>1</v>
      </c>
    </row>
    <row r="5129" spans="8:11" x14ac:dyDescent="0.25">
      <c r="H5129">
        <v>34</v>
      </c>
      <c r="I5129">
        <v>712</v>
      </c>
      <c r="J5129">
        <v>115</v>
      </c>
      <c r="K5129" t="b">
        <v>1</v>
      </c>
    </row>
    <row r="5130" spans="8:11" x14ac:dyDescent="0.25">
      <c r="H5130">
        <v>34</v>
      </c>
      <c r="I5130">
        <v>714</v>
      </c>
      <c r="J5130">
        <v>115</v>
      </c>
      <c r="K5130" t="b">
        <v>1</v>
      </c>
    </row>
    <row r="5131" spans="8:11" x14ac:dyDescent="0.25">
      <c r="H5131">
        <v>34</v>
      </c>
      <c r="I5131">
        <v>716</v>
      </c>
      <c r="J5131">
        <v>115</v>
      </c>
      <c r="K5131" t="b">
        <v>1</v>
      </c>
    </row>
    <row r="5132" spans="8:11" x14ac:dyDescent="0.25">
      <c r="H5132">
        <v>34</v>
      </c>
      <c r="I5132">
        <v>718</v>
      </c>
      <c r="J5132">
        <v>115</v>
      </c>
      <c r="K5132" t="b">
        <v>1</v>
      </c>
    </row>
    <row r="5133" spans="8:11" x14ac:dyDescent="0.25">
      <c r="H5133">
        <v>34</v>
      </c>
      <c r="I5133">
        <v>720</v>
      </c>
      <c r="J5133">
        <v>115</v>
      </c>
      <c r="K5133" t="b">
        <v>1</v>
      </c>
    </row>
    <row r="5134" spans="8:11" x14ac:dyDescent="0.25">
      <c r="H5134">
        <v>34</v>
      </c>
      <c r="I5134">
        <v>722</v>
      </c>
      <c r="J5134">
        <v>115</v>
      </c>
      <c r="K5134" t="b">
        <v>1</v>
      </c>
    </row>
    <row r="5135" spans="8:11" x14ac:dyDescent="0.25">
      <c r="H5135">
        <v>34</v>
      </c>
      <c r="I5135">
        <v>724</v>
      </c>
      <c r="J5135">
        <v>115</v>
      </c>
      <c r="K5135" t="b">
        <v>1</v>
      </c>
    </row>
    <row r="5136" spans="8:11" x14ac:dyDescent="0.25">
      <c r="H5136">
        <v>34</v>
      </c>
      <c r="I5136">
        <v>726</v>
      </c>
      <c r="J5136">
        <v>115</v>
      </c>
      <c r="K5136" t="b">
        <v>1</v>
      </c>
    </row>
    <row r="5137" spans="8:11" x14ac:dyDescent="0.25">
      <c r="H5137">
        <v>34</v>
      </c>
      <c r="I5137">
        <v>728</v>
      </c>
      <c r="J5137">
        <v>115</v>
      </c>
      <c r="K5137" t="b">
        <v>1</v>
      </c>
    </row>
    <row r="5138" spans="8:11" x14ac:dyDescent="0.25">
      <c r="H5138">
        <v>34</v>
      </c>
      <c r="I5138">
        <v>730</v>
      </c>
      <c r="J5138">
        <v>115</v>
      </c>
      <c r="K5138" t="b">
        <v>1</v>
      </c>
    </row>
    <row r="5139" spans="8:11" x14ac:dyDescent="0.25">
      <c r="H5139">
        <v>34</v>
      </c>
      <c r="I5139">
        <v>732</v>
      </c>
      <c r="J5139">
        <v>115</v>
      </c>
      <c r="K5139" t="b">
        <v>1</v>
      </c>
    </row>
    <row r="5140" spans="8:11" x14ac:dyDescent="0.25">
      <c r="H5140">
        <v>34</v>
      </c>
      <c r="I5140">
        <v>734</v>
      </c>
      <c r="J5140">
        <v>115</v>
      </c>
      <c r="K5140" t="b">
        <v>1</v>
      </c>
    </row>
    <row r="5141" spans="8:11" x14ac:dyDescent="0.25">
      <c r="H5141">
        <v>34</v>
      </c>
      <c r="I5141">
        <v>736</v>
      </c>
      <c r="J5141">
        <v>115</v>
      </c>
      <c r="K5141" t="b">
        <v>1</v>
      </c>
    </row>
    <row r="5142" spans="8:11" x14ac:dyDescent="0.25">
      <c r="H5142">
        <v>34</v>
      </c>
      <c r="I5142">
        <v>738</v>
      </c>
      <c r="J5142">
        <v>115</v>
      </c>
      <c r="K5142" t="b">
        <v>1</v>
      </c>
    </row>
    <row r="5143" spans="8:11" x14ac:dyDescent="0.25">
      <c r="H5143">
        <v>34</v>
      </c>
      <c r="I5143">
        <v>740</v>
      </c>
      <c r="J5143">
        <v>115</v>
      </c>
      <c r="K5143" t="b">
        <v>1</v>
      </c>
    </row>
    <row r="5144" spans="8:11" x14ac:dyDescent="0.25">
      <c r="H5144">
        <v>34</v>
      </c>
      <c r="I5144">
        <v>742</v>
      </c>
      <c r="J5144">
        <v>115</v>
      </c>
      <c r="K5144" t="b">
        <v>1</v>
      </c>
    </row>
    <row r="5145" spans="8:11" x14ac:dyDescent="0.25">
      <c r="H5145">
        <v>34</v>
      </c>
      <c r="I5145">
        <v>744</v>
      </c>
      <c r="J5145">
        <v>115</v>
      </c>
      <c r="K5145" t="b">
        <v>1</v>
      </c>
    </row>
    <row r="5146" spans="8:11" x14ac:dyDescent="0.25">
      <c r="H5146">
        <v>34</v>
      </c>
      <c r="I5146">
        <v>746</v>
      </c>
      <c r="J5146">
        <v>115</v>
      </c>
      <c r="K5146" t="b">
        <v>1</v>
      </c>
    </row>
    <row r="5147" spans="8:11" x14ac:dyDescent="0.25">
      <c r="H5147">
        <v>34</v>
      </c>
      <c r="I5147">
        <v>748</v>
      </c>
      <c r="J5147">
        <v>115</v>
      </c>
      <c r="K5147" t="b">
        <v>1</v>
      </c>
    </row>
    <row r="5148" spans="8:11" x14ac:dyDescent="0.25">
      <c r="H5148">
        <v>34</v>
      </c>
      <c r="I5148">
        <v>750</v>
      </c>
      <c r="J5148">
        <v>115</v>
      </c>
      <c r="K5148" t="b">
        <v>1</v>
      </c>
    </row>
    <row r="5149" spans="8:11" x14ac:dyDescent="0.25">
      <c r="H5149">
        <v>34</v>
      </c>
      <c r="I5149">
        <v>752</v>
      </c>
      <c r="J5149">
        <v>115</v>
      </c>
      <c r="K5149" t="b">
        <v>1</v>
      </c>
    </row>
    <row r="5150" spans="8:11" x14ac:dyDescent="0.25">
      <c r="H5150">
        <v>34</v>
      </c>
      <c r="I5150">
        <v>754</v>
      </c>
      <c r="J5150">
        <v>115</v>
      </c>
      <c r="K5150" t="b">
        <v>1</v>
      </c>
    </row>
    <row r="5151" spans="8:11" x14ac:dyDescent="0.25">
      <c r="H5151">
        <v>34</v>
      </c>
      <c r="I5151">
        <v>756</v>
      </c>
      <c r="J5151">
        <v>115</v>
      </c>
      <c r="K5151" t="b">
        <v>1</v>
      </c>
    </row>
    <row r="5152" spans="8:11" x14ac:dyDescent="0.25">
      <c r="H5152">
        <v>34</v>
      </c>
      <c r="I5152">
        <v>758</v>
      </c>
      <c r="J5152">
        <v>115</v>
      </c>
      <c r="K5152" t="b">
        <v>1</v>
      </c>
    </row>
    <row r="5153" spans="8:11" x14ac:dyDescent="0.25">
      <c r="H5153">
        <v>34</v>
      </c>
      <c r="I5153">
        <v>760</v>
      </c>
      <c r="J5153">
        <v>115</v>
      </c>
      <c r="K5153" t="b">
        <v>1</v>
      </c>
    </row>
    <row r="5154" spans="8:11" x14ac:dyDescent="0.25">
      <c r="H5154">
        <v>34</v>
      </c>
      <c r="I5154">
        <v>762</v>
      </c>
      <c r="J5154">
        <v>115</v>
      </c>
      <c r="K5154" t="b">
        <v>1</v>
      </c>
    </row>
    <row r="5155" spans="8:11" x14ac:dyDescent="0.25">
      <c r="H5155">
        <v>34</v>
      </c>
      <c r="I5155">
        <v>764</v>
      </c>
      <c r="J5155">
        <v>115</v>
      </c>
      <c r="K5155" t="b">
        <v>1</v>
      </c>
    </row>
    <row r="5156" spans="8:11" x14ac:dyDescent="0.25">
      <c r="H5156">
        <v>34</v>
      </c>
      <c r="I5156">
        <v>766</v>
      </c>
      <c r="J5156">
        <v>115</v>
      </c>
      <c r="K5156" t="b">
        <v>1</v>
      </c>
    </row>
    <row r="5157" spans="8:11" x14ac:dyDescent="0.25">
      <c r="H5157">
        <v>34</v>
      </c>
      <c r="I5157">
        <v>768</v>
      </c>
      <c r="J5157">
        <v>115</v>
      </c>
      <c r="K5157" t="b">
        <v>1</v>
      </c>
    </row>
    <row r="5158" spans="8:11" x14ac:dyDescent="0.25">
      <c r="H5158">
        <v>34</v>
      </c>
      <c r="I5158">
        <v>770</v>
      </c>
      <c r="J5158">
        <v>115</v>
      </c>
      <c r="K5158" t="b">
        <v>1</v>
      </c>
    </row>
    <row r="5159" spans="8:11" x14ac:dyDescent="0.25">
      <c r="H5159">
        <v>34</v>
      </c>
      <c r="I5159">
        <v>772</v>
      </c>
      <c r="J5159">
        <v>115</v>
      </c>
      <c r="K5159" t="b">
        <v>1</v>
      </c>
    </row>
    <row r="5160" spans="8:11" x14ac:dyDescent="0.25">
      <c r="H5160">
        <v>34</v>
      </c>
      <c r="I5160">
        <v>774</v>
      </c>
      <c r="J5160">
        <v>115</v>
      </c>
      <c r="K5160" t="b">
        <v>1</v>
      </c>
    </row>
    <row r="5161" spans="8:11" x14ac:dyDescent="0.25">
      <c r="H5161">
        <v>34</v>
      </c>
      <c r="I5161">
        <v>776</v>
      </c>
      <c r="J5161">
        <v>115</v>
      </c>
      <c r="K5161" t="b">
        <v>1</v>
      </c>
    </row>
    <row r="5162" spans="8:11" x14ac:dyDescent="0.25">
      <c r="H5162">
        <v>34</v>
      </c>
      <c r="I5162">
        <v>778</v>
      </c>
      <c r="J5162">
        <v>115</v>
      </c>
      <c r="K5162" t="b">
        <v>1</v>
      </c>
    </row>
    <row r="5163" spans="8:11" x14ac:dyDescent="0.25">
      <c r="H5163">
        <v>34</v>
      </c>
      <c r="I5163">
        <v>780</v>
      </c>
      <c r="J5163">
        <v>115</v>
      </c>
      <c r="K5163" t="b">
        <v>1</v>
      </c>
    </row>
    <row r="5164" spans="8:11" x14ac:dyDescent="0.25">
      <c r="H5164">
        <v>34</v>
      </c>
      <c r="I5164">
        <v>782</v>
      </c>
      <c r="J5164">
        <v>115</v>
      </c>
      <c r="K5164" t="b">
        <v>1</v>
      </c>
    </row>
    <row r="5165" spans="8:11" x14ac:dyDescent="0.25">
      <c r="H5165">
        <v>34</v>
      </c>
      <c r="I5165">
        <v>784</v>
      </c>
      <c r="J5165">
        <v>115</v>
      </c>
      <c r="K5165" t="b">
        <v>1</v>
      </c>
    </row>
    <row r="5166" spans="8:11" x14ac:dyDescent="0.25">
      <c r="H5166">
        <v>34</v>
      </c>
      <c r="I5166">
        <v>786</v>
      </c>
      <c r="J5166">
        <v>115</v>
      </c>
      <c r="K5166" t="b">
        <v>1</v>
      </c>
    </row>
    <row r="5167" spans="8:11" x14ac:dyDescent="0.25">
      <c r="H5167">
        <v>34</v>
      </c>
      <c r="I5167">
        <v>788</v>
      </c>
      <c r="J5167">
        <v>115</v>
      </c>
      <c r="K5167" t="b">
        <v>1</v>
      </c>
    </row>
    <row r="5168" spans="8:11" x14ac:dyDescent="0.25">
      <c r="H5168">
        <v>34</v>
      </c>
      <c r="I5168">
        <v>790</v>
      </c>
      <c r="J5168">
        <v>115</v>
      </c>
      <c r="K5168" t="b">
        <v>1</v>
      </c>
    </row>
    <row r="5169" spans="8:11" x14ac:dyDescent="0.25">
      <c r="H5169">
        <v>34</v>
      </c>
      <c r="I5169">
        <v>792</v>
      </c>
      <c r="J5169">
        <v>115</v>
      </c>
      <c r="K5169" t="b">
        <v>1</v>
      </c>
    </row>
    <row r="5170" spans="8:11" x14ac:dyDescent="0.25">
      <c r="H5170">
        <v>34</v>
      </c>
      <c r="I5170">
        <v>794</v>
      </c>
      <c r="J5170">
        <v>115</v>
      </c>
      <c r="K5170" t="b">
        <v>1</v>
      </c>
    </row>
    <row r="5171" spans="8:11" x14ac:dyDescent="0.25">
      <c r="H5171">
        <v>34</v>
      </c>
      <c r="I5171">
        <v>796</v>
      </c>
      <c r="J5171">
        <v>115</v>
      </c>
      <c r="K5171" t="b">
        <v>1</v>
      </c>
    </row>
    <row r="5172" spans="8:11" x14ac:dyDescent="0.25">
      <c r="H5172">
        <v>34</v>
      </c>
      <c r="I5172">
        <v>798</v>
      </c>
      <c r="J5172">
        <v>115</v>
      </c>
      <c r="K5172" t="b">
        <v>1</v>
      </c>
    </row>
    <row r="5173" spans="8:11" x14ac:dyDescent="0.25">
      <c r="H5173">
        <v>34</v>
      </c>
      <c r="I5173">
        <v>800</v>
      </c>
      <c r="J5173">
        <v>115</v>
      </c>
      <c r="K5173" t="b">
        <v>1</v>
      </c>
    </row>
    <row r="5174" spans="8:11" x14ac:dyDescent="0.25">
      <c r="H5174">
        <v>34</v>
      </c>
      <c r="I5174">
        <v>802</v>
      </c>
      <c r="J5174">
        <v>115</v>
      </c>
      <c r="K5174" t="b">
        <v>1</v>
      </c>
    </row>
    <row r="5175" spans="8:11" x14ac:dyDescent="0.25">
      <c r="H5175">
        <v>34</v>
      </c>
      <c r="I5175">
        <v>804</v>
      </c>
      <c r="J5175">
        <v>115</v>
      </c>
      <c r="K5175" t="b">
        <v>1</v>
      </c>
    </row>
    <row r="5176" spans="8:11" x14ac:dyDescent="0.25">
      <c r="H5176">
        <v>34</v>
      </c>
      <c r="I5176">
        <v>806</v>
      </c>
      <c r="J5176">
        <v>115</v>
      </c>
      <c r="K5176" t="b">
        <v>1</v>
      </c>
    </row>
    <row r="5177" spans="8:11" x14ac:dyDescent="0.25">
      <c r="H5177">
        <v>34</v>
      </c>
      <c r="I5177">
        <v>808</v>
      </c>
      <c r="J5177">
        <v>115</v>
      </c>
      <c r="K5177" t="b">
        <v>1</v>
      </c>
    </row>
    <row r="5178" spans="8:11" x14ac:dyDescent="0.25">
      <c r="H5178">
        <v>34</v>
      </c>
      <c r="I5178">
        <v>810</v>
      </c>
      <c r="J5178">
        <v>115</v>
      </c>
      <c r="K5178" t="b">
        <v>1</v>
      </c>
    </row>
    <row r="5179" spans="8:11" x14ac:dyDescent="0.25">
      <c r="H5179">
        <v>34</v>
      </c>
      <c r="I5179">
        <v>812</v>
      </c>
      <c r="J5179">
        <v>115</v>
      </c>
      <c r="K5179" t="b">
        <v>1</v>
      </c>
    </row>
    <row r="5180" spans="8:11" x14ac:dyDescent="0.25">
      <c r="H5180">
        <v>34</v>
      </c>
      <c r="I5180">
        <v>814</v>
      </c>
      <c r="J5180">
        <v>115</v>
      </c>
      <c r="K5180" t="b">
        <v>1</v>
      </c>
    </row>
    <row r="5181" spans="8:11" x14ac:dyDescent="0.25">
      <c r="H5181">
        <v>34</v>
      </c>
      <c r="I5181">
        <v>816</v>
      </c>
      <c r="J5181">
        <v>115</v>
      </c>
      <c r="K5181" t="b">
        <v>1</v>
      </c>
    </row>
    <row r="5182" spans="8:11" x14ac:dyDescent="0.25">
      <c r="H5182">
        <v>34</v>
      </c>
      <c r="I5182">
        <v>818</v>
      </c>
      <c r="J5182">
        <v>115</v>
      </c>
      <c r="K5182" t="b">
        <v>1</v>
      </c>
    </row>
    <row r="5183" spans="8:11" x14ac:dyDescent="0.25">
      <c r="H5183">
        <v>34</v>
      </c>
      <c r="I5183">
        <v>820</v>
      </c>
      <c r="J5183">
        <v>115</v>
      </c>
      <c r="K5183" t="b">
        <v>1</v>
      </c>
    </row>
    <row r="5184" spans="8:11" x14ac:dyDescent="0.25">
      <c r="H5184">
        <v>34</v>
      </c>
      <c r="I5184">
        <v>822</v>
      </c>
      <c r="J5184">
        <v>115</v>
      </c>
      <c r="K5184" t="b">
        <v>1</v>
      </c>
    </row>
    <row r="5185" spans="8:11" x14ac:dyDescent="0.25">
      <c r="H5185">
        <v>34</v>
      </c>
      <c r="I5185">
        <v>824</v>
      </c>
      <c r="J5185">
        <v>115</v>
      </c>
      <c r="K5185" t="b">
        <v>1</v>
      </c>
    </row>
    <row r="5186" spans="8:11" x14ac:dyDescent="0.25">
      <c r="H5186">
        <v>34</v>
      </c>
      <c r="I5186">
        <v>826</v>
      </c>
      <c r="J5186">
        <v>115</v>
      </c>
      <c r="K5186" t="b">
        <v>1</v>
      </c>
    </row>
    <row r="5187" spans="8:11" x14ac:dyDescent="0.25">
      <c r="H5187">
        <v>34</v>
      </c>
      <c r="I5187">
        <v>828</v>
      </c>
      <c r="J5187">
        <v>115</v>
      </c>
      <c r="K5187" t="b">
        <v>1</v>
      </c>
    </row>
    <row r="5188" spans="8:11" x14ac:dyDescent="0.25">
      <c r="H5188">
        <v>34</v>
      </c>
      <c r="I5188">
        <v>830</v>
      </c>
      <c r="J5188">
        <v>115</v>
      </c>
      <c r="K5188" t="b">
        <v>1</v>
      </c>
    </row>
    <row r="5189" spans="8:11" x14ac:dyDescent="0.25">
      <c r="H5189">
        <v>34</v>
      </c>
      <c r="I5189">
        <v>832</v>
      </c>
      <c r="J5189">
        <v>115</v>
      </c>
      <c r="K5189" t="b">
        <v>1</v>
      </c>
    </row>
    <row r="5190" spans="8:11" x14ac:dyDescent="0.25">
      <c r="H5190">
        <v>34</v>
      </c>
      <c r="I5190">
        <v>834</v>
      </c>
      <c r="J5190">
        <v>115</v>
      </c>
      <c r="K5190" t="b">
        <v>1</v>
      </c>
    </row>
    <row r="5191" spans="8:11" x14ac:dyDescent="0.25">
      <c r="H5191">
        <v>34</v>
      </c>
      <c r="I5191">
        <v>836</v>
      </c>
      <c r="J5191">
        <v>115</v>
      </c>
      <c r="K5191" t="b">
        <v>1</v>
      </c>
    </row>
    <row r="5192" spans="8:11" x14ac:dyDescent="0.25">
      <c r="H5192">
        <v>34</v>
      </c>
      <c r="I5192">
        <v>838</v>
      </c>
      <c r="J5192">
        <v>115</v>
      </c>
      <c r="K5192" t="b">
        <v>1</v>
      </c>
    </row>
    <row r="5193" spans="8:11" x14ac:dyDescent="0.25">
      <c r="H5193">
        <v>34</v>
      </c>
      <c r="I5193">
        <v>840</v>
      </c>
      <c r="J5193">
        <v>115</v>
      </c>
      <c r="K5193" t="b">
        <v>1</v>
      </c>
    </row>
    <row r="5194" spans="8:11" x14ac:dyDescent="0.25">
      <c r="H5194">
        <v>34</v>
      </c>
      <c r="I5194">
        <v>842</v>
      </c>
      <c r="J5194">
        <v>115</v>
      </c>
      <c r="K5194" t="b">
        <v>1</v>
      </c>
    </row>
    <row r="5195" spans="8:11" x14ac:dyDescent="0.25">
      <c r="H5195">
        <v>34</v>
      </c>
      <c r="I5195">
        <v>844</v>
      </c>
      <c r="J5195">
        <v>115</v>
      </c>
      <c r="K5195" t="b">
        <v>1</v>
      </c>
    </row>
    <row r="5196" spans="8:11" x14ac:dyDescent="0.25">
      <c r="H5196">
        <v>34</v>
      </c>
      <c r="I5196">
        <v>846</v>
      </c>
      <c r="J5196">
        <v>115</v>
      </c>
      <c r="K5196" t="b">
        <v>1</v>
      </c>
    </row>
    <row r="5197" spans="8:11" x14ac:dyDescent="0.25">
      <c r="H5197">
        <v>34</v>
      </c>
      <c r="I5197">
        <v>848</v>
      </c>
      <c r="J5197">
        <v>115</v>
      </c>
      <c r="K5197" t="b">
        <v>1</v>
      </c>
    </row>
    <row r="5198" spans="8:11" x14ac:dyDescent="0.25">
      <c r="H5198">
        <v>34</v>
      </c>
      <c r="I5198">
        <v>850</v>
      </c>
      <c r="J5198">
        <v>115</v>
      </c>
      <c r="K5198" t="b">
        <v>1</v>
      </c>
    </row>
    <row r="5199" spans="8:11" x14ac:dyDescent="0.25">
      <c r="H5199">
        <v>34</v>
      </c>
      <c r="I5199">
        <v>852</v>
      </c>
      <c r="J5199">
        <v>115</v>
      </c>
      <c r="K5199" t="b">
        <v>1</v>
      </c>
    </row>
    <row r="5200" spans="8:11" x14ac:dyDescent="0.25">
      <c r="H5200">
        <v>34</v>
      </c>
      <c r="I5200">
        <v>854</v>
      </c>
      <c r="J5200">
        <v>115</v>
      </c>
      <c r="K5200" t="b">
        <v>1</v>
      </c>
    </row>
    <row r="5201" spans="8:11" x14ac:dyDescent="0.25">
      <c r="H5201">
        <v>34</v>
      </c>
      <c r="I5201">
        <v>856</v>
      </c>
      <c r="J5201">
        <v>115</v>
      </c>
      <c r="K5201" t="b">
        <v>1</v>
      </c>
    </row>
    <row r="5202" spans="8:11" x14ac:dyDescent="0.25">
      <c r="H5202">
        <v>34</v>
      </c>
      <c r="I5202">
        <v>858</v>
      </c>
      <c r="J5202">
        <v>115</v>
      </c>
      <c r="K5202" t="b">
        <v>1</v>
      </c>
    </row>
    <row r="5203" spans="8:11" x14ac:dyDescent="0.25">
      <c r="H5203">
        <v>34</v>
      </c>
      <c r="I5203">
        <v>860</v>
      </c>
      <c r="J5203">
        <v>115</v>
      </c>
      <c r="K5203" t="b">
        <v>1</v>
      </c>
    </row>
    <row r="5204" spans="8:11" x14ac:dyDescent="0.25">
      <c r="H5204">
        <v>34</v>
      </c>
      <c r="I5204">
        <v>862</v>
      </c>
      <c r="J5204">
        <v>115</v>
      </c>
      <c r="K5204" t="b">
        <v>1</v>
      </c>
    </row>
    <row r="5205" spans="8:11" x14ac:dyDescent="0.25">
      <c r="H5205">
        <v>34</v>
      </c>
      <c r="I5205">
        <v>864</v>
      </c>
      <c r="J5205">
        <v>115</v>
      </c>
      <c r="K5205" t="b">
        <v>1</v>
      </c>
    </row>
    <row r="5206" spans="8:11" x14ac:dyDescent="0.25">
      <c r="H5206">
        <v>34</v>
      </c>
      <c r="I5206">
        <v>866</v>
      </c>
      <c r="J5206">
        <v>115</v>
      </c>
      <c r="K5206" t="b">
        <v>1</v>
      </c>
    </row>
    <row r="5207" spans="8:11" x14ac:dyDescent="0.25">
      <c r="H5207">
        <v>34</v>
      </c>
      <c r="I5207">
        <v>868</v>
      </c>
      <c r="J5207">
        <v>115</v>
      </c>
      <c r="K5207" t="b">
        <v>1</v>
      </c>
    </row>
    <row r="5208" spans="8:11" x14ac:dyDescent="0.25">
      <c r="H5208">
        <v>34</v>
      </c>
      <c r="I5208">
        <v>870</v>
      </c>
      <c r="J5208">
        <v>115</v>
      </c>
      <c r="K5208" t="b">
        <v>1</v>
      </c>
    </row>
    <row r="5209" spans="8:11" x14ac:dyDescent="0.25">
      <c r="H5209">
        <v>34</v>
      </c>
      <c r="I5209">
        <v>872</v>
      </c>
      <c r="J5209">
        <v>115</v>
      </c>
      <c r="K5209" t="b">
        <v>1</v>
      </c>
    </row>
    <row r="5210" spans="8:11" x14ac:dyDescent="0.25">
      <c r="H5210">
        <v>34</v>
      </c>
      <c r="I5210">
        <v>874</v>
      </c>
      <c r="J5210">
        <v>115</v>
      </c>
      <c r="K5210" t="b">
        <v>1</v>
      </c>
    </row>
    <row r="5211" spans="8:11" x14ac:dyDescent="0.25">
      <c r="H5211">
        <v>34</v>
      </c>
      <c r="I5211">
        <v>876</v>
      </c>
      <c r="J5211">
        <v>115</v>
      </c>
      <c r="K5211" t="b">
        <v>1</v>
      </c>
    </row>
    <row r="5212" spans="8:11" x14ac:dyDescent="0.25">
      <c r="H5212">
        <v>34</v>
      </c>
      <c r="I5212">
        <v>878</v>
      </c>
      <c r="J5212">
        <v>115</v>
      </c>
      <c r="K5212" t="b">
        <v>1</v>
      </c>
    </row>
    <row r="5213" spans="8:11" x14ac:dyDescent="0.25">
      <c r="H5213">
        <v>34</v>
      </c>
      <c r="I5213">
        <v>880</v>
      </c>
      <c r="J5213">
        <v>115</v>
      </c>
      <c r="K5213" t="b">
        <v>1</v>
      </c>
    </row>
    <row r="5214" spans="8:11" x14ac:dyDescent="0.25">
      <c r="H5214">
        <v>34</v>
      </c>
      <c r="I5214">
        <v>882</v>
      </c>
      <c r="J5214">
        <v>115</v>
      </c>
      <c r="K5214" t="b">
        <v>1</v>
      </c>
    </row>
    <row r="5215" spans="8:11" x14ac:dyDescent="0.25">
      <c r="H5215">
        <v>34</v>
      </c>
      <c r="I5215">
        <v>884</v>
      </c>
      <c r="J5215">
        <v>115</v>
      </c>
      <c r="K5215" t="b">
        <v>1</v>
      </c>
    </row>
    <row r="5216" spans="8:11" x14ac:dyDescent="0.25">
      <c r="H5216">
        <v>34</v>
      </c>
      <c r="I5216">
        <v>886</v>
      </c>
      <c r="J5216">
        <v>115</v>
      </c>
      <c r="K5216" t="b">
        <v>1</v>
      </c>
    </row>
    <row r="5217" spans="8:11" x14ac:dyDescent="0.25">
      <c r="H5217">
        <v>34</v>
      </c>
      <c r="I5217">
        <v>888</v>
      </c>
      <c r="J5217">
        <v>115</v>
      </c>
      <c r="K5217" t="b">
        <v>1</v>
      </c>
    </row>
    <row r="5218" spans="8:11" x14ac:dyDescent="0.25">
      <c r="H5218">
        <v>34</v>
      </c>
      <c r="I5218">
        <v>890</v>
      </c>
      <c r="J5218">
        <v>115</v>
      </c>
      <c r="K5218" t="b">
        <v>1</v>
      </c>
    </row>
    <row r="5219" spans="8:11" x14ac:dyDescent="0.25">
      <c r="H5219">
        <v>34</v>
      </c>
      <c r="I5219">
        <v>892</v>
      </c>
      <c r="J5219">
        <v>115</v>
      </c>
      <c r="K5219" t="b">
        <v>1</v>
      </c>
    </row>
    <row r="5220" spans="8:11" x14ac:dyDescent="0.25">
      <c r="H5220">
        <v>34</v>
      </c>
      <c r="I5220">
        <v>894</v>
      </c>
      <c r="J5220">
        <v>115</v>
      </c>
      <c r="K5220" t="b">
        <v>1</v>
      </c>
    </row>
    <row r="5221" spans="8:11" x14ac:dyDescent="0.25">
      <c r="H5221">
        <v>34</v>
      </c>
      <c r="I5221">
        <v>896</v>
      </c>
      <c r="J5221">
        <v>115</v>
      </c>
      <c r="K5221" t="b">
        <v>1</v>
      </c>
    </row>
    <row r="5222" spans="8:11" x14ac:dyDescent="0.25">
      <c r="H5222">
        <v>34</v>
      </c>
      <c r="I5222">
        <v>898</v>
      </c>
      <c r="J5222">
        <v>115</v>
      </c>
      <c r="K5222" t="b">
        <v>1</v>
      </c>
    </row>
    <row r="5223" spans="8:11" x14ac:dyDescent="0.25">
      <c r="H5223">
        <v>34</v>
      </c>
      <c r="I5223">
        <v>900</v>
      </c>
      <c r="J5223">
        <v>115</v>
      </c>
      <c r="K5223" t="b">
        <v>1</v>
      </c>
    </row>
    <row r="5224" spans="8:11" x14ac:dyDescent="0.25">
      <c r="H5224">
        <v>34</v>
      </c>
      <c r="I5224">
        <v>902</v>
      </c>
      <c r="J5224">
        <v>115</v>
      </c>
      <c r="K5224" t="b">
        <v>1</v>
      </c>
    </row>
    <row r="5225" spans="8:11" x14ac:dyDescent="0.25">
      <c r="H5225">
        <v>34</v>
      </c>
      <c r="I5225">
        <v>904</v>
      </c>
      <c r="J5225">
        <v>115</v>
      </c>
      <c r="K5225" t="b">
        <v>1</v>
      </c>
    </row>
    <row r="5226" spans="8:11" x14ac:dyDescent="0.25">
      <c r="H5226">
        <v>34</v>
      </c>
      <c r="I5226">
        <v>906</v>
      </c>
      <c r="J5226">
        <v>115</v>
      </c>
      <c r="K5226" t="b">
        <v>1</v>
      </c>
    </row>
    <row r="5227" spans="8:11" x14ac:dyDescent="0.25">
      <c r="H5227">
        <v>34</v>
      </c>
      <c r="I5227">
        <v>908</v>
      </c>
      <c r="J5227">
        <v>115</v>
      </c>
      <c r="K5227" t="b">
        <v>1</v>
      </c>
    </row>
    <row r="5228" spans="8:11" x14ac:dyDescent="0.25">
      <c r="H5228">
        <v>34</v>
      </c>
      <c r="I5228">
        <v>910</v>
      </c>
      <c r="J5228">
        <v>115</v>
      </c>
      <c r="K5228" t="b">
        <v>1</v>
      </c>
    </row>
    <row r="5229" spans="8:11" x14ac:dyDescent="0.25">
      <c r="H5229">
        <v>34</v>
      </c>
      <c r="I5229">
        <v>912</v>
      </c>
      <c r="J5229">
        <v>115</v>
      </c>
      <c r="K5229" t="b">
        <v>1</v>
      </c>
    </row>
    <row r="5230" spans="8:11" x14ac:dyDescent="0.25">
      <c r="H5230">
        <v>34</v>
      </c>
      <c r="I5230">
        <v>914</v>
      </c>
      <c r="J5230">
        <v>115</v>
      </c>
      <c r="K5230" t="b">
        <v>1</v>
      </c>
    </row>
    <row r="5231" spans="8:11" x14ac:dyDescent="0.25">
      <c r="H5231">
        <v>34</v>
      </c>
      <c r="I5231">
        <v>916</v>
      </c>
      <c r="J5231">
        <v>115</v>
      </c>
      <c r="K5231" t="b">
        <v>1</v>
      </c>
    </row>
    <row r="5232" spans="8:11" x14ac:dyDescent="0.25">
      <c r="H5232">
        <v>34</v>
      </c>
      <c r="I5232">
        <v>918</v>
      </c>
      <c r="J5232">
        <v>115</v>
      </c>
      <c r="K5232" t="b">
        <v>1</v>
      </c>
    </row>
    <row r="5233" spans="8:11" x14ac:dyDescent="0.25">
      <c r="H5233">
        <v>34</v>
      </c>
      <c r="I5233">
        <v>920</v>
      </c>
      <c r="J5233">
        <v>115</v>
      </c>
      <c r="K5233" t="b">
        <v>1</v>
      </c>
    </row>
    <row r="5234" spans="8:11" x14ac:dyDescent="0.25">
      <c r="H5234">
        <v>34</v>
      </c>
      <c r="I5234">
        <v>922</v>
      </c>
      <c r="J5234">
        <v>115</v>
      </c>
      <c r="K5234" t="b">
        <v>1</v>
      </c>
    </row>
    <row r="5235" spans="8:11" x14ac:dyDescent="0.25">
      <c r="H5235">
        <v>34</v>
      </c>
      <c r="I5235">
        <v>924</v>
      </c>
      <c r="J5235">
        <v>115</v>
      </c>
      <c r="K5235" t="b">
        <v>1</v>
      </c>
    </row>
    <row r="5236" spans="8:11" x14ac:dyDescent="0.25">
      <c r="H5236">
        <v>34</v>
      </c>
      <c r="I5236">
        <v>926</v>
      </c>
      <c r="J5236">
        <v>115</v>
      </c>
      <c r="K5236" t="b">
        <v>1</v>
      </c>
    </row>
    <row r="5237" spans="8:11" x14ac:dyDescent="0.25">
      <c r="H5237">
        <v>34</v>
      </c>
      <c r="I5237">
        <v>928</v>
      </c>
      <c r="J5237">
        <v>115</v>
      </c>
      <c r="K5237" t="b">
        <v>1</v>
      </c>
    </row>
    <row r="5238" spans="8:11" x14ac:dyDescent="0.25">
      <c r="H5238">
        <v>34</v>
      </c>
      <c r="I5238">
        <v>930</v>
      </c>
      <c r="J5238">
        <v>115</v>
      </c>
      <c r="K5238" t="b">
        <v>1</v>
      </c>
    </row>
    <row r="5239" spans="8:11" x14ac:dyDescent="0.25">
      <c r="H5239">
        <v>34</v>
      </c>
      <c r="I5239">
        <v>932</v>
      </c>
      <c r="J5239">
        <v>115</v>
      </c>
      <c r="K5239" t="b">
        <v>1</v>
      </c>
    </row>
    <row r="5240" spans="8:11" x14ac:dyDescent="0.25">
      <c r="H5240">
        <v>34</v>
      </c>
      <c r="I5240">
        <v>934</v>
      </c>
      <c r="J5240">
        <v>115</v>
      </c>
      <c r="K5240" t="b">
        <v>1</v>
      </c>
    </row>
    <row r="5241" spans="8:11" x14ac:dyDescent="0.25">
      <c r="H5241">
        <v>34</v>
      </c>
      <c r="I5241">
        <v>936</v>
      </c>
      <c r="J5241">
        <v>115</v>
      </c>
      <c r="K5241" t="b">
        <v>1</v>
      </c>
    </row>
    <row r="5242" spans="8:11" x14ac:dyDescent="0.25">
      <c r="H5242">
        <v>34</v>
      </c>
      <c r="I5242">
        <v>938</v>
      </c>
      <c r="J5242">
        <v>115</v>
      </c>
      <c r="K5242" t="b">
        <v>1</v>
      </c>
    </row>
    <row r="5243" spans="8:11" x14ac:dyDescent="0.25">
      <c r="H5243">
        <v>34</v>
      </c>
      <c r="I5243">
        <v>940</v>
      </c>
      <c r="J5243">
        <v>115</v>
      </c>
      <c r="K5243" t="b">
        <v>1</v>
      </c>
    </row>
    <row r="5244" spans="8:11" x14ac:dyDescent="0.25">
      <c r="H5244">
        <v>34</v>
      </c>
      <c r="I5244">
        <v>942</v>
      </c>
      <c r="J5244">
        <v>115</v>
      </c>
      <c r="K5244" t="b">
        <v>1</v>
      </c>
    </row>
    <row r="5245" spans="8:11" x14ac:dyDescent="0.25">
      <c r="H5245">
        <v>34</v>
      </c>
      <c r="I5245">
        <v>944</v>
      </c>
      <c r="J5245">
        <v>115</v>
      </c>
      <c r="K5245" t="b">
        <v>1</v>
      </c>
    </row>
    <row r="5246" spans="8:11" x14ac:dyDescent="0.25">
      <c r="H5246">
        <v>34</v>
      </c>
      <c r="I5246">
        <v>946</v>
      </c>
      <c r="J5246">
        <v>115</v>
      </c>
      <c r="K5246" t="b">
        <v>1</v>
      </c>
    </row>
    <row r="5247" spans="8:11" x14ac:dyDescent="0.25">
      <c r="H5247">
        <v>34</v>
      </c>
      <c r="I5247">
        <v>948</v>
      </c>
      <c r="J5247">
        <v>115</v>
      </c>
      <c r="K5247" t="b">
        <v>1</v>
      </c>
    </row>
    <row r="5248" spans="8:11" x14ac:dyDescent="0.25">
      <c r="H5248">
        <v>34</v>
      </c>
      <c r="I5248">
        <v>950</v>
      </c>
      <c r="J5248">
        <v>115</v>
      </c>
      <c r="K5248" t="b">
        <v>1</v>
      </c>
    </row>
    <row r="5249" spans="8:11" x14ac:dyDescent="0.25">
      <c r="H5249">
        <v>34</v>
      </c>
      <c r="I5249">
        <v>952</v>
      </c>
      <c r="J5249">
        <v>115</v>
      </c>
      <c r="K5249" t="b">
        <v>1</v>
      </c>
    </row>
    <row r="5250" spans="8:11" x14ac:dyDescent="0.25">
      <c r="H5250">
        <v>34</v>
      </c>
      <c r="I5250">
        <v>954</v>
      </c>
      <c r="J5250">
        <v>115</v>
      </c>
      <c r="K5250" t="b">
        <v>1</v>
      </c>
    </row>
    <row r="5251" spans="8:11" x14ac:dyDescent="0.25">
      <c r="H5251">
        <v>34</v>
      </c>
      <c r="I5251">
        <v>956</v>
      </c>
      <c r="J5251">
        <v>115</v>
      </c>
      <c r="K5251" t="b">
        <v>1</v>
      </c>
    </row>
    <row r="5252" spans="8:11" x14ac:dyDescent="0.25">
      <c r="H5252">
        <v>34</v>
      </c>
      <c r="I5252">
        <v>958</v>
      </c>
      <c r="J5252">
        <v>115</v>
      </c>
      <c r="K5252" t="b">
        <v>1</v>
      </c>
    </row>
    <row r="5253" spans="8:11" x14ac:dyDescent="0.25">
      <c r="H5253">
        <v>35</v>
      </c>
      <c r="I5253">
        <v>0</v>
      </c>
      <c r="J5253">
        <v>115</v>
      </c>
      <c r="K5253" t="b">
        <v>1</v>
      </c>
    </row>
    <row r="5254" spans="8:11" x14ac:dyDescent="0.25">
      <c r="H5254">
        <v>35</v>
      </c>
      <c r="I5254">
        <v>23</v>
      </c>
      <c r="J5254">
        <v>115</v>
      </c>
      <c r="K5254" t="b">
        <v>1</v>
      </c>
    </row>
    <row r="5255" spans="8:11" x14ac:dyDescent="0.25">
      <c r="H5255">
        <v>35</v>
      </c>
      <c r="I5255">
        <v>46</v>
      </c>
      <c r="J5255">
        <v>115</v>
      </c>
      <c r="K5255" t="b">
        <v>1</v>
      </c>
    </row>
    <row r="5256" spans="8:11" x14ac:dyDescent="0.25">
      <c r="H5256">
        <v>35</v>
      </c>
      <c r="I5256">
        <v>69</v>
      </c>
      <c r="J5256">
        <v>115</v>
      </c>
      <c r="K5256" t="b">
        <v>1</v>
      </c>
    </row>
    <row r="5257" spans="8:11" x14ac:dyDescent="0.25">
      <c r="H5257">
        <v>35</v>
      </c>
      <c r="I5257">
        <v>92</v>
      </c>
      <c r="J5257">
        <v>115</v>
      </c>
      <c r="K5257" t="b">
        <v>1</v>
      </c>
    </row>
    <row r="5258" spans="8:11" x14ac:dyDescent="0.25">
      <c r="H5258">
        <v>35</v>
      </c>
      <c r="I5258">
        <v>115</v>
      </c>
      <c r="J5258">
        <v>115</v>
      </c>
      <c r="K5258" t="b">
        <v>1</v>
      </c>
    </row>
    <row r="5259" spans="8:11" x14ac:dyDescent="0.25">
      <c r="H5259">
        <v>35</v>
      </c>
      <c r="I5259">
        <v>138</v>
      </c>
      <c r="J5259">
        <v>115</v>
      </c>
      <c r="K5259" t="b">
        <v>1</v>
      </c>
    </row>
    <row r="5260" spans="8:11" x14ac:dyDescent="0.25">
      <c r="H5260">
        <v>35</v>
      </c>
      <c r="I5260">
        <v>161</v>
      </c>
      <c r="J5260">
        <v>115</v>
      </c>
      <c r="K5260" t="b">
        <v>1</v>
      </c>
    </row>
    <row r="5261" spans="8:11" x14ac:dyDescent="0.25">
      <c r="H5261">
        <v>35</v>
      </c>
      <c r="I5261">
        <v>184</v>
      </c>
      <c r="J5261">
        <v>115</v>
      </c>
      <c r="K5261" t="b">
        <v>1</v>
      </c>
    </row>
    <row r="5262" spans="8:11" x14ac:dyDescent="0.25">
      <c r="H5262">
        <v>35</v>
      </c>
      <c r="I5262">
        <v>207</v>
      </c>
      <c r="J5262">
        <v>115</v>
      </c>
      <c r="K5262" t="b">
        <v>1</v>
      </c>
    </row>
    <row r="5263" spans="8:11" x14ac:dyDescent="0.25">
      <c r="H5263">
        <v>35</v>
      </c>
      <c r="I5263">
        <v>230</v>
      </c>
      <c r="J5263">
        <v>115</v>
      </c>
      <c r="K5263" t="b">
        <v>1</v>
      </c>
    </row>
    <row r="5264" spans="8:11" x14ac:dyDescent="0.25">
      <c r="H5264">
        <v>35</v>
      </c>
      <c r="I5264">
        <v>253</v>
      </c>
      <c r="J5264">
        <v>115</v>
      </c>
      <c r="K5264" t="b">
        <v>1</v>
      </c>
    </row>
    <row r="5265" spans="8:11" x14ac:dyDescent="0.25">
      <c r="H5265">
        <v>35</v>
      </c>
      <c r="I5265">
        <v>276</v>
      </c>
      <c r="J5265">
        <v>115</v>
      </c>
      <c r="K5265" t="b">
        <v>1</v>
      </c>
    </row>
    <row r="5266" spans="8:11" x14ac:dyDescent="0.25">
      <c r="H5266">
        <v>35</v>
      </c>
      <c r="I5266">
        <v>299</v>
      </c>
      <c r="J5266">
        <v>115</v>
      </c>
      <c r="K5266" t="b">
        <v>1</v>
      </c>
    </row>
    <row r="5267" spans="8:11" x14ac:dyDescent="0.25">
      <c r="H5267">
        <v>35</v>
      </c>
      <c r="I5267">
        <v>322</v>
      </c>
      <c r="J5267">
        <v>115</v>
      </c>
      <c r="K5267" t="b">
        <v>1</v>
      </c>
    </row>
    <row r="5268" spans="8:11" x14ac:dyDescent="0.25">
      <c r="H5268">
        <v>35</v>
      </c>
      <c r="I5268">
        <v>345</v>
      </c>
      <c r="J5268">
        <v>115</v>
      </c>
      <c r="K5268" t="b">
        <v>1</v>
      </c>
    </row>
    <row r="5269" spans="8:11" x14ac:dyDescent="0.25">
      <c r="H5269">
        <v>35</v>
      </c>
      <c r="I5269">
        <v>368</v>
      </c>
      <c r="J5269">
        <v>115</v>
      </c>
      <c r="K5269" t="b">
        <v>1</v>
      </c>
    </row>
    <row r="5270" spans="8:11" x14ac:dyDescent="0.25">
      <c r="H5270">
        <v>35</v>
      </c>
      <c r="I5270">
        <v>391</v>
      </c>
      <c r="J5270">
        <v>115</v>
      </c>
      <c r="K5270" t="b">
        <v>1</v>
      </c>
    </row>
    <row r="5271" spans="8:11" x14ac:dyDescent="0.25">
      <c r="H5271">
        <v>35</v>
      </c>
      <c r="I5271">
        <v>414</v>
      </c>
      <c r="J5271">
        <v>115</v>
      </c>
      <c r="K5271" t="b">
        <v>1</v>
      </c>
    </row>
    <row r="5272" spans="8:11" x14ac:dyDescent="0.25">
      <c r="H5272">
        <v>35</v>
      </c>
      <c r="I5272">
        <v>437</v>
      </c>
      <c r="J5272">
        <v>115</v>
      </c>
      <c r="K5272" t="b">
        <v>1</v>
      </c>
    </row>
    <row r="5273" spans="8:11" x14ac:dyDescent="0.25">
      <c r="H5273">
        <v>35</v>
      </c>
      <c r="I5273">
        <v>460</v>
      </c>
      <c r="J5273">
        <v>115</v>
      </c>
      <c r="K5273" t="b">
        <v>1</v>
      </c>
    </row>
    <row r="5274" spans="8:11" x14ac:dyDescent="0.25">
      <c r="H5274">
        <v>35</v>
      </c>
      <c r="I5274">
        <v>483</v>
      </c>
      <c r="J5274">
        <v>115</v>
      </c>
      <c r="K5274" t="b">
        <v>1</v>
      </c>
    </row>
    <row r="5275" spans="8:11" x14ac:dyDescent="0.25">
      <c r="H5275">
        <v>35</v>
      </c>
      <c r="I5275">
        <v>506</v>
      </c>
      <c r="J5275">
        <v>115</v>
      </c>
      <c r="K5275" t="b">
        <v>1</v>
      </c>
    </row>
    <row r="5276" spans="8:11" x14ac:dyDescent="0.25">
      <c r="H5276">
        <v>35</v>
      </c>
      <c r="I5276">
        <v>529</v>
      </c>
      <c r="J5276">
        <v>115</v>
      </c>
      <c r="K5276" t="b">
        <v>1</v>
      </c>
    </row>
    <row r="5277" spans="8:11" x14ac:dyDescent="0.25">
      <c r="H5277">
        <v>35</v>
      </c>
      <c r="I5277">
        <v>552</v>
      </c>
      <c r="J5277">
        <v>115</v>
      </c>
      <c r="K5277" t="b">
        <v>1</v>
      </c>
    </row>
    <row r="5278" spans="8:11" x14ac:dyDescent="0.25">
      <c r="H5278">
        <v>35</v>
      </c>
      <c r="I5278">
        <v>575</v>
      </c>
      <c r="J5278">
        <v>115</v>
      </c>
      <c r="K5278" t="b">
        <v>1</v>
      </c>
    </row>
    <row r="5279" spans="8:11" x14ac:dyDescent="0.25">
      <c r="H5279">
        <v>35</v>
      </c>
      <c r="I5279">
        <v>598</v>
      </c>
      <c r="J5279">
        <v>115</v>
      </c>
      <c r="K5279" t="b">
        <v>1</v>
      </c>
    </row>
    <row r="5280" spans="8:11" x14ac:dyDescent="0.25">
      <c r="H5280">
        <v>35</v>
      </c>
      <c r="I5280">
        <v>621</v>
      </c>
      <c r="J5280">
        <v>115</v>
      </c>
      <c r="K5280" t="b">
        <v>1</v>
      </c>
    </row>
    <row r="5281" spans="8:11" x14ac:dyDescent="0.25">
      <c r="H5281">
        <v>35</v>
      </c>
      <c r="I5281">
        <v>644</v>
      </c>
      <c r="J5281">
        <v>115</v>
      </c>
      <c r="K5281" t="b">
        <v>1</v>
      </c>
    </row>
    <row r="5282" spans="8:11" x14ac:dyDescent="0.25">
      <c r="H5282">
        <v>35</v>
      </c>
      <c r="I5282">
        <v>667</v>
      </c>
      <c r="J5282">
        <v>115</v>
      </c>
      <c r="K5282" t="b">
        <v>1</v>
      </c>
    </row>
    <row r="5283" spans="8:11" x14ac:dyDescent="0.25">
      <c r="H5283">
        <v>35</v>
      </c>
      <c r="I5283">
        <v>690</v>
      </c>
      <c r="J5283">
        <v>115</v>
      </c>
      <c r="K5283" t="b">
        <v>1</v>
      </c>
    </row>
    <row r="5284" spans="8:11" x14ac:dyDescent="0.25">
      <c r="H5284">
        <v>35</v>
      </c>
      <c r="I5284">
        <v>713</v>
      </c>
      <c r="J5284">
        <v>115</v>
      </c>
      <c r="K5284" t="b">
        <v>1</v>
      </c>
    </row>
    <row r="5285" spans="8:11" x14ac:dyDescent="0.25">
      <c r="H5285">
        <v>35</v>
      </c>
      <c r="I5285">
        <v>736</v>
      </c>
      <c r="J5285">
        <v>115</v>
      </c>
      <c r="K5285" t="b">
        <v>1</v>
      </c>
    </row>
    <row r="5286" spans="8:11" x14ac:dyDescent="0.25">
      <c r="H5286">
        <v>35</v>
      </c>
      <c r="I5286">
        <v>759</v>
      </c>
      <c r="J5286">
        <v>115</v>
      </c>
      <c r="K5286" t="b">
        <v>1</v>
      </c>
    </row>
    <row r="5287" spans="8:11" x14ac:dyDescent="0.25">
      <c r="H5287">
        <v>35</v>
      </c>
      <c r="I5287">
        <v>782</v>
      </c>
      <c r="J5287">
        <v>115</v>
      </c>
      <c r="K5287" t="b">
        <v>1</v>
      </c>
    </row>
    <row r="5288" spans="8:11" x14ac:dyDescent="0.25">
      <c r="H5288">
        <v>35</v>
      </c>
      <c r="I5288">
        <v>805</v>
      </c>
      <c r="J5288">
        <v>115</v>
      </c>
      <c r="K5288" t="b">
        <v>1</v>
      </c>
    </row>
    <row r="5289" spans="8:11" x14ac:dyDescent="0.25">
      <c r="H5289">
        <v>35</v>
      </c>
      <c r="I5289">
        <v>828</v>
      </c>
      <c r="J5289">
        <v>115</v>
      </c>
      <c r="K5289" t="b">
        <v>1</v>
      </c>
    </row>
    <row r="5290" spans="8:11" x14ac:dyDescent="0.25">
      <c r="H5290">
        <v>35</v>
      </c>
      <c r="I5290">
        <v>851</v>
      </c>
      <c r="J5290">
        <v>115</v>
      </c>
      <c r="K5290" t="b">
        <v>1</v>
      </c>
    </row>
    <row r="5291" spans="8:11" x14ac:dyDescent="0.25">
      <c r="H5291">
        <v>35</v>
      </c>
      <c r="I5291">
        <v>874</v>
      </c>
      <c r="J5291">
        <v>115</v>
      </c>
      <c r="K5291" t="b">
        <v>1</v>
      </c>
    </row>
    <row r="5292" spans="8:11" x14ac:dyDescent="0.25">
      <c r="H5292">
        <v>35</v>
      </c>
      <c r="I5292">
        <v>897</v>
      </c>
      <c r="J5292">
        <v>115</v>
      </c>
      <c r="K5292" t="b">
        <v>1</v>
      </c>
    </row>
    <row r="5293" spans="8:11" x14ac:dyDescent="0.25">
      <c r="H5293">
        <v>35</v>
      </c>
      <c r="I5293">
        <v>920</v>
      </c>
      <c r="J5293">
        <v>115</v>
      </c>
      <c r="K5293" t="b">
        <v>1</v>
      </c>
    </row>
    <row r="5294" spans="8:11" x14ac:dyDescent="0.25">
      <c r="H5294">
        <v>36</v>
      </c>
      <c r="I5294">
        <v>0</v>
      </c>
      <c r="J5294">
        <v>115</v>
      </c>
      <c r="K5294" t="b">
        <v>1</v>
      </c>
    </row>
    <row r="5295" spans="8:11" x14ac:dyDescent="0.25">
      <c r="H5295">
        <v>36</v>
      </c>
      <c r="I5295">
        <v>23</v>
      </c>
      <c r="J5295">
        <v>115</v>
      </c>
      <c r="K5295" t="b">
        <v>1</v>
      </c>
    </row>
    <row r="5296" spans="8:11" x14ac:dyDescent="0.25">
      <c r="H5296">
        <v>36</v>
      </c>
      <c r="I5296">
        <v>46</v>
      </c>
      <c r="J5296">
        <v>115</v>
      </c>
      <c r="K5296" t="b">
        <v>1</v>
      </c>
    </row>
    <row r="5297" spans="8:11" x14ac:dyDescent="0.25">
      <c r="H5297">
        <v>36</v>
      </c>
      <c r="I5297">
        <v>69</v>
      </c>
      <c r="J5297">
        <v>115</v>
      </c>
      <c r="K5297" t="b">
        <v>1</v>
      </c>
    </row>
    <row r="5298" spans="8:11" x14ac:dyDescent="0.25">
      <c r="H5298">
        <v>36</v>
      </c>
      <c r="I5298">
        <v>92</v>
      </c>
      <c r="J5298">
        <v>115</v>
      </c>
      <c r="K5298" t="b">
        <v>1</v>
      </c>
    </row>
    <row r="5299" spans="8:11" x14ac:dyDescent="0.25">
      <c r="H5299">
        <v>36</v>
      </c>
      <c r="I5299">
        <v>115</v>
      </c>
      <c r="J5299">
        <v>115</v>
      </c>
      <c r="K5299" t="b">
        <v>1</v>
      </c>
    </row>
    <row r="5300" spans="8:11" x14ac:dyDescent="0.25">
      <c r="H5300">
        <v>36</v>
      </c>
      <c r="I5300">
        <v>138</v>
      </c>
      <c r="J5300">
        <v>115</v>
      </c>
      <c r="K5300" t="b">
        <v>1</v>
      </c>
    </row>
    <row r="5301" spans="8:11" x14ac:dyDescent="0.25">
      <c r="H5301">
        <v>36</v>
      </c>
      <c r="I5301">
        <v>161</v>
      </c>
      <c r="J5301">
        <v>115</v>
      </c>
      <c r="K5301" t="b">
        <v>1</v>
      </c>
    </row>
    <row r="5302" spans="8:11" x14ac:dyDescent="0.25">
      <c r="H5302">
        <v>36</v>
      </c>
      <c r="I5302">
        <v>184</v>
      </c>
      <c r="J5302">
        <v>115</v>
      </c>
      <c r="K5302" t="b">
        <v>1</v>
      </c>
    </row>
    <row r="5303" spans="8:11" x14ac:dyDescent="0.25">
      <c r="H5303">
        <v>36</v>
      </c>
      <c r="I5303">
        <v>207</v>
      </c>
      <c r="J5303">
        <v>115</v>
      </c>
      <c r="K5303" t="b">
        <v>1</v>
      </c>
    </row>
    <row r="5304" spans="8:11" x14ac:dyDescent="0.25">
      <c r="H5304">
        <v>36</v>
      </c>
      <c r="I5304">
        <v>230</v>
      </c>
      <c r="J5304">
        <v>115</v>
      </c>
      <c r="K5304" t="b">
        <v>1</v>
      </c>
    </row>
    <row r="5305" spans="8:11" x14ac:dyDescent="0.25">
      <c r="H5305">
        <v>36</v>
      </c>
      <c r="I5305">
        <v>253</v>
      </c>
      <c r="J5305">
        <v>115</v>
      </c>
      <c r="K5305" t="b">
        <v>1</v>
      </c>
    </row>
    <row r="5306" spans="8:11" x14ac:dyDescent="0.25">
      <c r="H5306">
        <v>36</v>
      </c>
      <c r="I5306">
        <v>276</v>
      </c>
      <c r="J5306">
        <v>115</v>
      </c>
      <c r="K5306" t="b">
        <v>1</v>
      </c>
    </row>
    <row r="5307" spans="8:11" x14ac:dyDescent="0.25">
      <c r="H5307">
        <v>36</v>
      </c>
      <c r="I5307">
        <v>299</v>
      </c>
      <c r="J5307">
        <v>115</v>
      </c>
      <c r="K5307" t="b">
        <v>1</v>
      </c>
    </row>
    <row r="5308" spans="8:11" x14ac:dyDescent="0.25">
      <c r="H5308">
        <v>36</v>
      </c>
      <c r="I5308">
        <v>322</v>
      </c>
      <c r="J5308">
        <v>115</v>
      </c>
      <c r="K5308" t="b">
        <v>1</v>
      </c>
    </row>
    <row r="5309" spans="8:11" x14ac:dyDescent="0.25">
      <c r="H5309">
        <v>36</v>
      </c>
      <c r="I5309">
        <v>345</v>
      </c>
      <c r="J5309">
        <v>115</v>
      </c>
      <c r="K5309" t="b">
        <v>1</v>
      </c>
    </row>
    <row r="5310" spans="8:11" x14ac:dyDescent="0.25">
      <c r="H5310">
        <v>36</v>
      </c>
      <c r="I5310">
        <v>368</v>
      </c>
      <c r="J5310">
        <v>115</v>
      </c>
      <c r="K5310" t="b">
        <v>1</v>
      </c>
    </row>
    <row r="5311" spans="8:11" x14ac:dyDescent="0.25">
      <c r="H5311">
        <v>36</v>
      </c>
      <c r="I5311">
        <v>391</v>
      </c>
      <c r="J5311">
        <v>115</v>
      </c>
      <c r="K5311" t="b">
        <v>1</v>
      </c>
    </row>
    <row r="5312" spans="8:11" x14ac:dyDescent="0.25">
      <c r="H5312">
        <v>36</v>
      </c>
      <c r="I5312">
        <v>414</v>
      </c>
      <c r="J5312">
        <v>115</v>
      </c>
      <c r="K5312" t="b">
        <v>1</v>
      </c>
    </row>
    <row r="5313" spans="8:11" x14ac:dyDescent="0.25">
      <c r="H5313">
        <v>36</v>
      </c>
      <c r="I5313">
        <v>437</v>
      </c>
      <c r="J5313">
        <v>115</v>
      </c>
      <c r="K5313" t="b">
        <v>1</v>
      </c>
    </row>
    <row r="5314" spans="8:11" x14ac:dyDescent="0.25">
      <c r="H5314">
        <v>36</v>
      </c>
      <c r="I5314">
        <v>460</v>
      </c>
      <c r="J5314">
        <v>115</v>
      </c>
      <c r="K5314" t="b">
        <v>1</v>
      </c>
    </row>
    <row r="5315" spans="8:11" x14ac:dyDescent="0.25">
      <c r="H5315">
        <v>36</v>
      </c>
      <c r="I5315">
        <v>483</v>
      </c>
      <c r="J5315">
        <v>115</v>
      </c>
      <c r="K5315" t="b">
        <v>1</v>
      </c>
    </row>
    <row r="5316" spans="8:11" x14ac:dyDescent="0.25">
      <c r="H5316">
        <v>36</v>
      </c>
      <c r="I5316">
        <v>506</v>
      </c>
      <c r="J5316">
        <v>115</v>
      </c>
      <c r="K5316" t="b">
        <v>1</v>
      </c>
    </row>
    <row r="5317" spans="8:11" x14ac:dyDescent="0.25">
      <c r="H5317">
        <v>36</v>
      </c>
      <c r="I5317">
        <v>529</v>
      </c>
      <c r="J5317">
        <v>115</v>
      </c>
      <c r="K5317" t="b">
        <v>1</v>
      </c>
    </row>
    <row r="5318" spans="8:11" x14ac:dyDescent="0.25">
      <c r="H5318">
        <v>36</v>
      </c>
      <c r="I5318">
        <v>552</v>
      </c>
      <c r="J5318">
        <v>115</v>
      </c>
      <c r="K5318" t="b">
        <v>1</v>
      </c>
    </row>
    <row r="5319" spans="8:11" x14ac:dyDescent="0.25">
      <c r="H5319">
        <v>36</v>
      </c>
      <c r="I5319">
        <v>575</v>
      </c>
      <c r="J5319">
        <v>115</v>
      </c>
      <c r="K5319" t="b">
        <v>1</v>
      </c>
    </row>
    <row r="5320" spans="8:11" x14ac:dyDescent="0.25">
      <c r="H5320">
        <v>36</v>
      </c>
      <c r="I5320">
        <v>598</v>
      </c>
      <c r="J5320">
        <v>115</v>
      </c>
      <c r="K5320" t="b">
        <v>1</v>
      </c>
    </row>
    <row r="5321" spans="8:11" x14ac:dyDescent="0.25">
      <c r="H5321">
        <v>36</v>
      </c>
      <c r="I5321">
        <v>621</v>
      </c>
      <c r="J5321">
        <v>115</v>
      </c>
      <c r="K5321" t="b">
        <v>1</v>
      </c>
    </row>
    <row r="5322" spans="8:11" x14ac:dyDescent="0.25">
      <c r="H5322">
        <v>36</v>
      </c>
      <c r="I5322">
        <v>644</v>
      </c>
      <c r="J5322">
        <v>115</v>
      </c>
      <c r="K5322" t="b">
        <v>1</v>
      </c>
    </row>
    <row r="5323" spans="8:11" x14ac:dyDescent="0.25">
      <c r="H5323">
        <v>36</v>
      </c>
      <c r="I5323">
        <v>667</v>
      </c>
      <c r="J5323">
        <v>115</v>
      </c>
      <c r="K5323" t="b">
        <v>1</v>
      </c>
    </row>
    <row r="5324" spans="8:11" x14ac:dyDescent="0.25">
      <c r="H5324">
        <v>36</v>
      </c>
      <c r="I5324">
        <v>690</v>
      </c>
      <c r="J5324">
        <v>115</v>
      </c>
      <c r="K5324" t="b">
        <v>1</v>
      </c>
    </row>
    <row r="5325" spans="8:11" x14ac:dyDescent="0.25">
      <c r="H5325">
        <v>36</v>
      </c>
      <c r="I5325">
        <v>713</v>
      </c>
      <c r="J5325">
        <v>115</v>
      </c>
      <c r="K5325" t="b">
        <v>1</v>
      </c>
    </row>
    <row r="5326" spans="8:11" x14ac:dyDescent="0.25">
      <c r="H5326">
        <v>36</v>
      </c>
      <c r="I5326">
        <v>736</v>
      </c>
      <c r="J5326">
        <v>115</v>
      </c>
      <c r="K5326" t="b">
        <v>1</v>
      </c>
    </row>
    <row r="5327" spans="8:11" x14ac:dyDescent="0.25">
      <c r="H5327">
        <v>36</v>
      </c>
      <c r="I5327">
        <v>759</v>
      </c>
      <c r="J5327">
        <v>115</v>
      </c>
      <c r="K5327" t="b">
        <v>1</v>
      </c>
    </row>
    <row r="5328" spans="8:11" x14ac:dyDescent="0.25">
      <c r="H5328">
        <v>36</v>
      </c>
      <c r="I5328">
        <v>782</v>
      </c>
      <c r="J5328">
        <v>115</v>
      </c>
      <c r="K5328" t="b">
        <v>1</v>
      </c>
    </row>
    <row r="5329" spans="8:11" x14ac:dyDescent="0.25">
      <c r="H5329">
        <v>36</v>
      </c>
      <c r="I5329">
        <v>805</v>
      </c>
      <c r="J5329">
        <v>115</v>
      </c>
      <c r="K5329" t="b">
        <v>1</v>
      </c>
    </row>
    <row r="5330" spans="8:11" x14ac:dyDescent="0.25">
      <c r="H5330">
        <v>36</v>
      </c>
      <c r="I5330">
        <v>828</v>
      </c>
      <c r="J5330">
        <v>115</v>
      </c>
      <c r="K5330" t="b">
        <v>1</v>
      </c>
    </row>
    <row r="5331" spans="8:11" x14ac:dyDescent="0.25">
      <c r="H5331">
        <v>36</v>
      </c>
      <c r="I5331">
        <v>851</v>
      </c>
      <c r="J5331">
        <v>115</v>
      </c>
      <c r="K5331" t="b">
        <v>1</v>
      </c>
    </row>
    <row r="5332" spans="8:11" x14ac:dyDescent="0.25">
      <c r="H5332">
        <v>36</v>
      </c>
      <c r="I5332">
        <v>874</v>
      </c>
      <c r="J5332">
        <v>115</v>
      </c>
      <c r="K5332" t="b">
        <v>1</v>
      </c>
    </row>
    <row r="5333" spans="8:11" x14ac:dyDescent="0.25">
      <c r="H5333">
        <v>36</v>
      </c>
      <c r="I5333">
        <v>897</v>
      </c>
      <c r="J5333">
        <v>115</v>
      </c>
      <c r="K5333" t="b">
        <v>1</v>
      </c>
    </row>
    <row r="5334" spans="8:11" x14ac:dyDescent="0.25">
      <c r="H5334">
        <v>36</v>
      </c>
      <c r="I5334">
        <v>920</v>
      </c>
      <c r="J5334">
        <v>115</v>
      </c>
      <c r="K5334" t="b">
        <v>1</v>
      </c>
    </row>
    <row r="5335" spans="8:11" x14ac:dyDescent="0.25">
      <c r="H5335">
        <v>37</v>
      </c>
      <c r="I5335">
        <v>0</v>
      </c>
      <c r="J5335">
        <v>75</v>
      </c>
      <c r="K5335" t="b">
        <v>1</v>
      </c>
    </row>
    <row r="5336" spans="8:11" x14ac:dyDescent="0.25">
      <c r="H5336">
        <v>37</v>
      </c>
      <c r="I5336">
        <v>9</v>
      </c>
      <c r="J5336">
        <v>75</v>
      </c>
      <c r="K5336" t="b">
        <v>1</v>
      </c>
    </row>
    <row r="5337" spans="8:11" x14ac:dyDescent="0.25">
      <c r="H5337">
        <v>37</v>
      </c>
      <c r="I5337">
        <v>18</v>
      </c>
      <c r="J5337">
        <v>75</v>
      </c>
      <c r="K5337" t="b">
        <v>1</v>
      </c>
    </row>
    <row r="5338" spans="8:11" x14ac:dyDescent="0.25">
      <c r="H5338">
        <v>37</v>
      </c>
      <c r="I5338">
        <v>27</v>
      </c>
      <c r="J5338">
        <v>75</v>
      </c>
      <c r="K5338" t="b">
        <v>1</v>
      </c>
    </row>
    <row r="5339" spans="8:11" x14ac:dyDescent="0.25">
      <c r="H5339">
        <v>37</v>
      </c>
      <c r="I5339">
        <v>36</v>
      </c>
      <c r="J5339">
        <v>75</v>
      </c>
      <c r="K5339" t="b">
        <v>1</v>
      </c>
    </row>
    <row r="5340" spans="8:11" x14ac:dyDescent="0.25">
      <c r="H5340">
        <v>37</v>
      </c>
      <c r="I5340">
        <v>45</v>
      </c>
      <c r="J5340">
        <v>75</v>
      </c>
      <c r="K5340" t="b">
        <v>1</v>
      </c>
    </row>
    <row r="5341" spans="8:11" x14ac:dyDescent="0.25">
      <c r="H5341">
        <v>37</v>
      </c>
      <c r="I5341">
        <v>54</v>
      </c>
      <c r="J5341">
        <v>75</v>
      </c>
      <c r="K5341" t="b">
        <v>1</v>
      </c>
    </row>
    <row r="5342" spans="8:11" x14ac:dyDescent="0.25">
      <c r="H5342">
        <v>37</v>
      </c>
      <c r="I5342">
        <v>63</v>
      </c>
      <c r="J5342">
        <v>75</v>
      </c>
      <c r="K5342" t="b">
        <v>1</v>
      </c>
    </row>
    <row r="5343" spans="8:11" x14ac:dyDescent="0.25">
      <c r="H5343">
        <v>37</v>
      </c>
      <c r="I5343">
        <v>72</v>
      </c>
      <c r="J5343">
        <v>75</v>
      </c>
      <c r="K5343" t="b">
        <v>1</v>
      </c>
    </row>
    <row r="5344" spans="8:11" x14ac:dyDescent="0.25">
      <c r="H5344">
        <v>37</v>
      </c>
      <c r="I5344">
        <v>81</v>
      </c>
      <c r="J5344">
        <v>75</v>
      </c>
      <c r="K5344" t="b">
        <v>1</v>
      </c>
    </row>
    <row r="5345" spans="8:11" x14ac:dyDescent="0.25">
      <c r="H5345">
        <v>37</v>
      </c>
      <c r="I5345">
        <v>90</v>
      </c>
      <c r="J5345">
        <v>75</v>
      </c>
      <c r="K5345" t="b">
        <v>1</v>
      </c>
    </row>
    <row r="5346" spans="8:11" x14ac:dyDescent="0.25">
      <c r="H5346">
        <v>37</v>
      </c>
      <c r="I5346">
        <v>99</v>
      </c>
      <c r="J5346">
        <v>75</v>
      </c>
      <c r="K5346" t="b">
        <v>1</v>
      </c>
    </row>
    <row r="5347" spans="8:11" x14ac:dyDescent="0.25">
      <c r="H5347">
        <v>37</v>
      </c>
      <c r="I5347">
        <v>108</v>
      </c>
      <c r="J5347">
        <v>75</v>
      </c>
      <c r="K5347" t="b">
        <v>1</v>
      </c>
    </row>
    <row r="5348" spans="8:11" x14ac:dyDescent="0.25">
      <c r="H5348">
        <v>37</v>
      </c>
      <c r="I5348">
        <v>117</v>
      </c>
      <c r="J5348">
        <v>75</v>
      </c>
      <c r="K5348" t="b">
        <v>1</v>
      </c>
    </row>
    <row r="5349" spans="8:11" x14ac:dyDescent="0.25">
      <c r="H5349">
        <v>37</v>
      </c>
      <c r="I5349">
        <v>126</v>
      </c>
      <c r="J5349">
        <v>75</v>
      </c>
      <c r="K5349" t="b">
        <v>1</v>
      </c>
    </row>
    <row r="5350" spans="8:11" x14ac:dyDescent="0.25">
      <c r="H5350">
        <v>37</v>
      </c>
      <c r="I5350">
        <v>135</v>
      </c>
      <c r="J5350">
        <v>75</v>
      </c>
      <c r="K5350" t="b">
        <v>1</v>
      </c>
    </row>
    <row r="5351" spans="8:11" x14ac:dyDescent="0.25">
      <c r="H5351">
        <v>37</v>
      </c>
      <c r="I5351">
        <v>144</v>
      </c>
      <c r="J5351">
        <v>75</v>
      </c>
      <c r="K5351" t="b">
        <v>1</v>
      </c>
    </row>
    <row r="5352" spans="8:11" x14ac:dyDescent="0.25">
      <c r="H5352">
        <v>37</v>
      </c>
      <c r="I5352">
        <v>153</v>
      </c>
      <c r="J5352">
        <v>75</v>
      </c>
      <c r="K5352" t="b">
        <v>1</v>
      </c>
    </row>
    <row r="5353" spans="8:11" x14ac:dyDescent="0.25">
      <c r="H5353">
        <v>37</v>
      </c>
      <c r="I5353">
        <v>162</v>
      </c>
      <c r="J5353">
        <v>75</v>
      </c>
      <c r="K5353" t="b">
        <v>1</v>
      </c>
    </row>
    <row r="5354" spans="8:11" x14ac:dyDescent="0.25">
      <c r="H5354">
        <v>37</v>
      </c>
      <c r="I5354">
        <v>171</v>
      </c>
      <c r="J5354">
        <v>75</v>
      </c>
      <c r="K5354" t="b">
        <v>1</v>
      </c>
    </row>
    <row r="5355" spans="8:11" x14ac:dyDescent="0.25">
      <c r="H5355">
        <v>37</v>
      </c>
      <c r="I5355">
        <v>180</v>
      </c>
      <c r="J5355">
        <v>75</v>
      </c>
      <c r="K5355" t="b">
        <v>1</v>
      </c>
    </row>
    <row r="5356" spans="8:11" x14ac:dyDescent="0.25">
      <c r="H5356">
        <v>37</v>
      </c>
      <c r="I5356">
        <v>189</v>
      </c>
      <c r="J5356">
        <v>75</v>
      </c>
      <c r="K5356" t="b">
        <v>1</v>
      </c>
    </row>
    <row r="5357" spans="8:11" x14ac:dyDescent="0.25">
      <c r="H5357">
        <v>37</v>
      </c>
      <c r="I5357">
        <v>198</v>
      </c>
      <c r="J5357">
        <v>75</v>
      </c>
      <c r="K5357" t="b">
        <v>1</v>
      </c>
    </row>
    <row r="5358" spans="8:11" x14ac:dyDescent="0.25">
      <c r="H5358">
        <v>37</v>
      </c>
      <c r="I5358">
        <v>207</v>
      </c>
      <c r="J5358">
        <v>75</v>
      </c>
      <c r="K5358" t="b">
        <v>1</v>
      </c>
    </row>
    <row r="5359" spans="8:11" x14ac:dyDescent="0.25">
      <c r="H5359">
        <v>37</v>
      </c>
      <c r="I5359">
        <v>216</v>
      </c>
      <c r="J5359">
        <v>75</v>
      </c>
      <c r="K5359" t="b">
        <v>1</v>
      </c>
    </row>
    <row r="5360" spans="8:11" x14ac:dyDescent="0.25">
      <c r="H5360">
        <v>37</v>
      </c>
      <c r="I5360">
        <v>225</v>
      </c>
      <c r="J5360">
        <v>75</v>
      </c>
      <c r="K5360" t="b">
        <v>1</v>
      </c>
    </row>
    <row r="5361" spans="8:11" x14ac:dyDescent="0.25">
      <c r="H5361">
        <v>37</v>
      </c>
      <c r="I5361">
        <v>234</v>
      </c>
      <c r="J5361">
        <v>75</v>
      </c>
      <c r="K5361" t="b">
        <v>1</v>
      </c>
    </row>
    <row r="5362" spans="8:11" x14ac:dyDescent="0.25">
      <c r="H5362">
        <v>37</v>
      </c>
      <c r="I5362">
        <v>243</v>
      </c>
      <c r="J5362">
        <v>75</v>
      </c>
      <c r="K5362" t="b">
        <v>1</v>
      </c>
    </row>
    <row r="5363" spans="8:11" x14ac:dyDescent="0.25">
      <c r="H5363">
        <v>37</v>
      </c>
      <c r="I5363">
        <v>252</v>
      </c>
      <c r="J5363">
        <v>75</v>
      </c>
      <c r="K5363" t="b">
        <v>1</v>
      </c>
    </row>
    <row r="5364" spans="8:11" x14ac:dyDescent="0.25">
      <c r="H5364">
        <v>37</v>
      </c>
      <c r="I5364">
        <v>261</v>
      </c>
      <c r="J5364">
        <v>75</v>
      </c>
      <c r="K5364" t="b">
        <v>1</v>
      </c>
    </row>
    <row r="5365" spans="8:11" x14ac:dyDescent="0.25">
      <c r="H5365">
        <v>37</v>
      </c>
      <c r="I5365">
        <v>270</v>
      </c>
      <c r="J5365">
        <v>75</v>
      </c>
      <c r="K5365" t="b">
        <v>1</v>
      </c>
    </row>
    <row r="5366" spans="8:11" x14ac:dyDescent="0.25">
      <c r="H5366">
        <v>37</v>
      </c>
      <c r="I5366">
        <v>279</v>
      </c>
      <c r="J5366">
        <v>75</v>
      </c>
      <c r="K5366" t="b">
        <v>1</v>
      </c>
    </row>
    <row r="5367" spans="8:11" x14ac:dyDescent="0.25">
      <c r="H5367">
        <v>37</v>
      </c>
      <c r="I5367">
        <v>288</v>
      </c>
      <c r="J5367">
        <v>75</v>
      </c>
      <c r="K5367" t="b">
        <v>1</v>
      </c>
    </row>
    <row r="5368" spans="8:11" x14ac:dyDescent="0.25">
      <c r="H5368">
        <v>37</v>
      </c>
      <c r="I5368">
        <v>297</v>
      </c>
      <c r="J5368">
        <v>75</v>
      </c>
      <c r="K5368" t="b">
        <v>1</v>
      </c>
    </row>
    <row r="5369" spans="8:11" x14ac:dyDescent="0.25">
      <c r="H5369">
        <v>37</v>
      </c>
      <c r="I5369">
        <v>306</v>
      </c>
      <c r="J5369">
        <v>75</v>
      </c>
      <c r="K5369" t="b">
        <v>1</v>
      </c>
    </row>
    <row r="5370" spans="8:11" x14ac:dyDescent="0.25">
      <c r="H5370">
        <v>37</v>
      </c>
      <c r="I5370">
        <v>315</v>
      </c>
      <c r="J5370">
        <v>75</v>
      </c>
      <c r="K5370" t="b">
        <v>1</v>
      </c>
    </row>
    <row r="5371" spans="8:11" x14ac:dyDescent="0.25">
      <c r="H5371">
        <v>37</v>
      </c>
      <c r="I5371">
        <v>324</v>
      </c>
      <c r="J5371">
        <v>75</v>
      </c>
      <c r="K5371" t="b">
        <v>1</v>
      </c>
    </row>
    <row r="5372" spans="8:11" x14ac:dyDescent="0.25">
      <c r="H5372">
        <v>37</v>
      </c>
      <c r="I5372">
        <v>333</v>
      </c>
      <c r="J5372">
        <v>75</v>
      </c>
      <c r="K5372" t="b">
        <v>1</v>
      </c>
    </row>
    <row r="5373" spans="8:11" x14ac:dyDescent="0.25">
      <c r="H5373">
        <v>37</v>
      </c>
      <c r="I5373">
        <v>342</v>
      </c>
      <c r="J5373">
        <v>75</v>
      </c>
      <c r="K5373" t="b">
        <v>1</v>
      </c>
    </row>
    <row r="5374" spans="8:11" x14ac:dyDescent="0.25">
      <c r="H5374">
        <v>37</v>
      </c>
      <c r="I5374">
        <v>351</v>
      </c>
      <c r="J5374">
        <v>75</v>
      </c>
      <c r="K5374" t="b">
        <v>1</v>
      </c>
    </row>
    <row r="5375" spans="8:11" x14ac:dyDescent="0.25">
      <c r="H5375">
        <v>37</v>
      </c>
      <c r="I5375">
        <v>360</v>
      </c>
      <c r="J5375">
        <v>75</v>
      </c>
      <c r="K5375" t="b">
        <v>1</v>
      </c>
    </row>
    <row r="5376" spans="8:11" x14ac:dyDescent="0.25">
      <c r="H5376">
        <v>37</v>
      </c>
      <c r="I5376">
        <v>369</v>
      </c>
      <c r="J5376">
        <v>75</v>
      </c>
      <c r="K5376" t="b">
        <v>1</v>
      </c>
    </row>
    <row r="5377" spans="8:11" x14ac:dyDescent="0.25">
      <c r="H5377">
        <v>37</v>
      </c>
      <c r="I5377">
        <v>378</v>
      </c>
      <c r="J5377">
        <v>75</v>
      </c>
      <c r="K5377" t="b">
        <v>1</v>
      </c>
    </row>
    <row r="5378" spans="8:11" x14ac:dyDescent="0.25">
      <c r="H5378">
        <v>37</v>
      </c>
      <c r="I5378">
        <v>387</v>
      </c>
      <c r="J5378">
        <v>75</v>
      </c>
      <c r="K5378" t="b">
        <v>1</v>
      </c>
    </row>
    <row r="5379" spans="8:11" x14ac:dyDescent="0.25">
      <c r="H5379">
        <v>37</v>
      </c>
      <c r="I5379">
        <v>396</v>
      </c>
      <c r="J5379">
        <v>75</v>
      </c>
      <c r="K5379" t="b">
        <v>1</v>
      </c>
    </row>
    <row r="5380" spans="8:11" x14ac:dyDescent="0.25">
      <c r="H5380">
        <v>37</v>
      </c>
      <c r="I5380">
        <v>405</v>
      </c>
      <c r="J5380">
        <v>75</v>
      </c>
      <c r="K5380" t="b">
        <v>1</v>
      </c>
    </row>
    <row r="5381" spans="8:11" x14ac:dyDescent="0.25">
      <c r="H5381">
        <v>37</v>
      </c>
      <c r="I5381">
        <v>414</v>
      </c>
      <c r="J5381">
        <v>75</v>
      </c>
      <c r="K5381" t="b">
        <v>1</v>
      </c>
    </row>
    <row r="5382" spans="8:11" x14ac:dyDescent="0.25">
      <c r="H5382">
        <v>37</v>
      </c>
      <c r="I5382">
        <v>423</v>
      </c>
      <c r="J5382">
        <v>75</v>
      </c>
      <c r="K5382" t="b">
        <v>1</v>
      </c>
    </row>
    <row r="5383" spans="8:11" x14ac:dyDescent="0.25">
      <c r="H5383">
        <v>37</v>
      </c>
      <c r="I5383">
        <v>432</v>
      </c>
      <c r="J5383">
        <v>75</v>
      </c>
      <c r="K5383" t="b">
        <v>1</v>
      </c>
    </row>
    <row r="5384" spans="8:11" x14ac:dyDescent="0.25">
      <c r="H5384">
        <v>37</v>
      </c>
      <c r="I5384">
        <v>441</v>
      </c>
      <c r="J5384">
        <v>75</v>
      </c>
      <c r="K5384" t="b">
        <v>1</v>
      </c>
    </row>
    <row r="5385" spans="8:11" x14ac:dyDescent="0.25">
      <c r="H5385">
        <v>37</v>
      </c>
      <c r="I5385">
        <v>450</v>
      </c>
      <c r="J5385">
        <v>75</v>
      </c>
      <c r="K5385" t="b">
        <v>1</v>
      </c>
    </row>
    <row r="5386" spans="8:11" x14ac:dyDescent="0.25">
      <c r="H5386">
        <v>37</v>
      </c>
      <c r="I5386">
        <v>459</v>
      </c>
      <c r="J5386">
        <v>75</v>
      </c>
      <c r="K5386" t="b">
        <v>1</v>
      </c>
    </row>
    <row r="5387" spans="8:11" x14ac:dyDescent="0.25">
      <c r="H5387">
        <v>37</v>
      </c>
      <c r="I5387">
        <v>468</v>
      </c>
      <c r="J5387">
        <v>75</v>
      </c>
      <c r="K5387" t="b">
        <v>1</v>
      </c>
    </row>
    <row r="5388" spans="8:11" x14ac:dyDescent="0.25">
      <c r="H5388">
        <v>37</v>
      </c>
      <c r="I5388">
        <v>477</v>
      </c>
      <c r="J5388">
        <v>75</v>
      </c>
      <c r="K5388" t="b">
        <v>1</v>
      </c>
    </row>
    <row r="5389" spans="8:11" x14ac:dyDescent="0.25">
      <c r="H5389">
        <v>37</v>
      </c>
      <c r="I5389">
        <v>486</v>
      </c>
      <c r="J5389">
        <v>75</v>
      </c>
      <c r="K5389" t="b">
        <v>1</v>
      </c>
    </row>
    <row r="5390" spans="8:11" x14ac:dyDescent="0.25">
      <c r="H5390">
        <v>37</v>
      </c>
      <c r="I5390">
        <v>495</v>
      </c>
      <c r="J5390">
        <v>75</v>
      </c>
      <c r="K5390" t="b">
        <v>1</v>
      </c>
    </row>
    <row r="5391" spans="8:11" x14ac:dyDescent="0.25">
      <c r="H5391">
        <v>37</v>
      </c>
      <c r="I5391">
        <v>504</v>
      </c>
      <c r="J5391">
        <v>75</v>
      </c>
      <c r="K5391" t="b">
        <v>1</v>
      </c>
    </row>
    <row r="5392" spans="8:11" x14ac:dyDescent="0.25">
      <c r="H5392">
        <v>37</v>
      </c>
      <c r="I5392">
        <v>513</v>
      </c>
      <c r="J5392">
        <v>75</v>
      </c>
      <c r="K5392" t="b">
        <v>1</v>
      </c>
    </row>
    <row r="5393" spans="8:11" x14ac:dyDescent="0.25">
      <c r="H5393">
        <v>37</v>
      </c>
      <c r="I5393">
        <v>522</v>
      </c>
      <c r="J5393">
        <v>75</v>
      </c>
      <c r="K5393" t="b">
        <v>1</v>
      </c>
    </row>
    <row r="5394" spans="8:11" x14ac:dyDescent="0.25">
      <c r="H5394">
        <v>37</v>
      </c>
      <c r="I5394">
        <v>531</v>
      </c>
      <c r="J5394">
        <v>75</v>
      </c>
      <c r="K5394" t="b">
        <v>1</v>
      </c>
    </row>
    <row r="5395" spans="8:11" x14ac:dyDescent="0.25">
      <c r="H5395">
        <v>37</v>
      </c>
      <c r="I5395">
        <v>540</v>
      </c>
      <c r="J5395">
        <v>75</v>
      </c>
      <c r="K5395" t="b">
        <v>1</v>
      </c>
    </row>
    <row r="5396" spans="8:11" x14ac:dyDescent="0.25">
      <c r="H5396">
        <v>37</v>
      </c>
      <c r="I5396">
        <v>549</v>
      </c>
      <c r="J5396">
        <v>75</v>
      </c>
      <c r="K5396" t="b">
        <v>1</v>
      </c>
    </row>
    <row r="5397" spans="8:11" x14ac:dyDescent="0.25">
      <c r="H5397">
        <v>37</v>
      </c>
      <c r="I5397">
        <v>558</v>
      </c>
      <c r="J5397">
        <v>75</v>
      </c>
      <c r="K5397" t="b">
        <v>1</v>
      </c>
    </row>
    <row r="5398" spans="8:11" x14ac:dyDescent="0.25">
      <c r="H5398">
        <v>37</v>
      </c>
      <c r="I5398">
        <v>567</v>
      </c>
      <c r="J5398">
        <v>75</v>
      </c>
      <c r="K5398" t="b">
        <v>1</v>
      </c>
    </row>
    <row r="5399" spans="8:11" x14ac:dyDescent="0.25">
      <c r="H5399">
        <v>37</v>
      </c>
      <c r="I5399">
        <v>576</v>
      </c>
      <c r="J5399">
        <v>75</v>
      </c>
      <c r="K5399" t="b">
        <v>1</v>
      </c>
    </row>
    <row r="5400" spans="8:11" x14ac:dyDescent="0.25">
      <c r="H5400">
        <v>37</v>
      </c>
      <c r="I5400">
        <v>585</v>
      </c>
      <c r="J5400">
        <v>75</v>
      </c>
      <c r="K5400" t="b">
        <v>1</v>
      </c>
    </row>
    <row r="5401" spans="8:11" x14ac:dyDescent="0.25">
      <c r="H5401">
        <v>37</v>
      </c>
      <c r="I5401">
        <v>594</v>
      </c>
      <c r="J5401">
        <v>75</v>
      </c>
      <c r="K5401" t="b">
        <v>1</v>
      </c>
    </row>
    <row r="5402" spans="8:11" x14ac:dyDescent="0.25">
      <c r="H5402">
        <v>37</v>
      </c>
      <c r="I5402">
        <v>603</v>
      </c>
      <c r="J5402">
        <v>75</v>
      </c>
      <c r="K5402" t="b">
        <v>1</v>
      </c>
    </row>
    <row r="5403" spans="8:11" x14ac:dyDescent="0.25">
      <c r="H5403">
        <v>37</v>
      </c>
      <c r="I5403">
        <v>612</v>
      </c>
      <c r="J5403">
        <v>75</v>
      </c>
      <c r="K5403" t="b">
        <v>1</v>
      </c>
    </row>
    <row r="5404" spans="8:11" x14ac:dyDescent="0.25">
      <c r="H5404">
        <v>37</v>
      </c>
      <c r="I5404">
        <v>621</v>
      </c>
      <c r="J5404">
        <v>75</v>
      </c>
      <c r="K5404" t="b">
        <v>1</v>
      </c>
    </row>
    <row r="5405" spans="8:11" x14ac:dyDescent="0.25">
      <c r="H5405">
        <v>37</v>
      </c>
      <c r="I5405">
        <v>630</v>
      </c>
      <c r="J5405">
        <v>75</v>
      </c>
      <c r="K5405" t="b">
        <v>1</v>
      </c>
    </row>
    <row r="5406" spans="8:11" x14ac:dyDescent="0.25">
      <c r="H5406">
        <v>37</v>
      </c>
      <c r="I5406">
        <v>639</v>
      </c>
      <c r="J5406">
        <v>75</v>
      </c>
      <c r="K5406" t="b">
        <v>1</v>
      </c>
    </row>
    <row r="5407" spans="8:11" x14ac:dyDescent="0.25">
      <c r="H5407">
        <v>37</v>
      </c>
      <c r="I5407">
        <v>648</v>
      </c>
      <c r="J5407">
        <v>75</v>
      </c>
      <c r="K5407" t="b">
        <v>1</v>
      </c>
    </row>
    <row r="5408" spans="8:11" x14ac:dyDescent="0.25">
      <c r="H5408">
        <v>37</v>
      </c>
      <c r="I5408">
        <v>657</v>
      </c>
      <c r="J5408">
        <v>75</v>
      </c>
      <c r="K5408" t="b">
        <v>1</v>
      </c>
    </row>
    <row r="5409" spans="8:11" x14ac:dyDescent="0.25">
      <c r="H5409">
        <v>37</v>
      </c>
      <c r="I5409">
        <v>666</v>
      </c>
      <c r="J5409">
        <v>75</v>
      </c>
      <c r="K5409" t="b">
        <v>1</v>
      </c>
    </row>
    <row r="5410" spans="8:11" x14ac:dyDescent="0.25">
      <c r="H5410">
        <v>37</v>
      </c>
      <c r="I5410">
        <v>675</v>
      </c>
      <c r="J5410">
        <v>75</v>
      </c>
      <c r="K5410" t="b">
        <v>1</v>
      </c>
    </row>
    <row r="5411" spans="8:11" x14ac:dyDescent="0.25">
      <c r="H5411">
        <v>37</v>
      </c>
      <c r="I5411">
        <v>684</v>
      </c>
      <c r="J5411">
        <v>75</v>
      </c>
      <c r="K5411" t="b">
        <v>1</v>
      </c>
    </row>
    <row r="5412" spans="8:11" x14ac:dyDescent="0.25">
      <c r="H5412">
        <v>37</v>
      </c>
      <c r="I5412">
        <v>693</v>
      </c>
      <c r="J5412">
        <v>75</v>
      </c>
      <c r="K5412" t="b">
        <v>1</v>
      </c>
    </row>
    <row r="5413" spans="8:11" x14ac:dyDescent="0.25">
      <c r="H5413">
        <v>37</v>
      </c>
      <c r="I5413">
        <v>702</v>
      </c>
      <c r="J5413">
        <v>75</v>
      </c>
      <c r="K5413" t="b">
        <v>1</v>
      </c>
    </row>
    <row r="5414" spans="8:11" x14ac:dyDescent="0.25">
      <c r="H5414">
        <v>37</v>
      </c>
      <c r="I5414">
        <v>711</v>
      </c>
      <c r="J5414">
        <v>75</v>
      </c>
      <c r="K5414" t="b">
        <v>1</v>
      </c>
    </row>
    <row r="5415" spans="8:11" x14ac:dyDescent="0.25">
      <c r="H5415">
        <v>37</v>
      </c>
      <c r="I5415">
        <v>720</v>
      </c>
      <c r="J5415">
        <v>75</v>
      </c>
      <c r="K5415" t="b">
        <v>1</v>
      </c>
    </row>
    <row r="5416" spans="8:11" x14ac:dyDescent="0.25">
      <c r="H5416">
        <v>37</v>
      </c>
      <c r="I5416">
        <v>729</v>
      </c>
      <c r="J5416">
        <v>75</v>
      </c>
      <c r="K5416" t="b">
        <v>1</v>
      </c>
    </row>
    <row r="5417" spans="8:11" x14ac:dyDescent="0.25">
      <c r="H5417">
        <v>37</v>
      </c>
      <c r="I5417">
        <v>738</v>
      </c>
      <c r="J5417">
        <v>75</v>
      </c>
      <c r="K5417" t="b">
        <v>1</v>
      </c>
    </row>
    <row r="5418" spans="8:11" x14ac:dyDescent="0.25">
      <c r="H5418">
        <v>37</v>
      </c>
      <c r="I5418">
        <v>747</v>
      </c>
      <c r="J5418">
        <v>75</v>
      </c>
      <c r="K5418" t="b">
        <v>1</v>
      </c>
    </row>
    <row r="5419" spans="8:11" x14ac:dyDescent="0.25">
      <c r="H5419">
        <v>37</v>
      </c>
      <c r="I5419">
        <v>756</v>
      </c>
      <c r="J5419">
        <v>75</v>
      </c>
      <c r="K5419" t="b">
        <v>1</v>
      </c>
    </row>
    <row r="5420" spans="8:11" x14ac:dyDescent="0.25">
      <c r="H5420">
        <v>37</v>
      </c>
      <c r="I5420">
        <v>765</v>
      </c>
      <c r="J5420">
        <v>75</v>
      </c>
      <c r="K5420" t="b">
        <v>1</v>
      </c>
    </row>
    <row r="5421" spans="8:11" x14ac:dyDescent="0.25">
      <c r="H5421">
        <v>37</v>
      </c>
      <c r="I5421">
        <v>774</v>
      </c>
      <c r="J5421">
        <v>75</v>
      </c>
      <c r="K5421" t="b">
        <v>1</v>
      </c>
    </row>
    <row r="5422" spans="8:11" x14ac:dyDescent="0.25">
      <c r="H5422">
        <v>37</v>
      </c>
      <c r="I5422">
        <v>783</v>
      </c>
      <c r="J5422">
        <v>75</v>
      </c>
      <c r="K5422" t="b">
        <v>1</v>
      </c>
    </row>
    <row r="5423" spans="8:11" x14ac:dyDescent="0.25">
      <c r="H5423">
        <v>37</v>
      </c>
      <c r="I5423">
        <v>792</v>
      </c>
      <c r="J5423">
        <v>75</v>
      </c>
      <c r="K5423" t="b">
        <v>1</v>
      </c>
    </row>
    <row r="5424" spans="8:11" x14ac:dyDescent="0.25">
      <c r="H5424">
        <v>37</v>
      </c>
      <c r="I5424">
        <v>801</v>
      </c>
      <c r="J5424">
        <v>75</v>
      </c>
      <c r="K5424" t="b">
        <v>1</v>
      </c>
    </row>
    <row r="5425" spans="8:11" x14ac:dyDescent="0.25">
      <c r="H5425">
        <v>37</v>
      </c>
      <c r="I5425">
        <v>810</v>
      </c>
      <c r="J5425">
        <v>75</v>
      </c>
      <c r="K5425" t="b">
        <v>1</v>
      </c>
    </row>
    <row r="5426" spans="8:11" x14ac:dyDescent="0.25">
      <c r="H5426">
        <v>37</v>
      </c>
      <c r="I5426">
        <v>819</v>
      </c>
      <c r="J5426">
        <v>75</v>
      </c>
      <c r="K5426" t="b">
        <v>1</v>
      </c>
    </row>
    <row r="5427" spans="8:11" x14ac:dyDescent="0.25">
      <c r="H5427">
        <v>37</v>
      </c>
      <c r="I5427">
        <v>828</v>
      </c>
      <c r="J5427">
        <v>75</v>
      </c>
      <c r="K5427" t="b">
        <v>1</v>
      </c>
    </row>
    <row r="5428" spans="8:11" x14ac:dyDescent="0.25">
      <c r="H5428">
        <v>37</v>
      </c>
      <c r="I5428">
        <v>837</v>
      </c>
      <c r="J5428">
        <v>75</v>
      </c>
      <c r="K5428" t="b">
        <v>1</v>
      </c>
    </row>
    <row r="5429" spans="8:11" x14ac:dyDescent="0.25">
      <c r="H5429">
        <v>37</v>
      </c>
      <c r="I5429">
        <v>846</v>
      </c>
      <c r="J5429">
        <v>75</v>
      </c>
      <c r="K5429" t="b">
        <v>1</v>
      </c>
    </row>
    <row r="5430" spans="8:11" x14ac:dyDescent="0.25">
      <c r="H5430">
        <v>37</v>
      </c>
      <c r="I5430">
        <v>855</v>
      </c>
      <c r="J5430">
        <v>75</v>
      </c>
      <c r="K5430" t="b">
        <v>1</v>
      </c>
    </row>
    <row r="5431" spans="8:11" x14ac:dyDescent="0.25">
      <c r="H5431">
        <v>37</v>
      </c>
      <c r="I5431">
        <v>864</v>
      </c>
      <c r="J5431">
        <v>75</v>
      </c>
      <c r="K5431" t="b">
        <v>1</v>
      </c>
    </row>
    <row r="5432" spans="8:11" x14ac:dyDescent="0.25">
      <c r="H5432">
        <v>37</v>
      </c>
      <c r="I5432">
        <v>873</v>
      </c>
      <c r="J5432">
        <v>75</v>
      </c>
      <c r="K5432" t="b">
        <v>1</v>
      </c>
    </row>
    <row r="5433" spans="8:11" x14ac:dyDescent="0.25">
      <c r="H5433">
        <v>37</v>
      </c>
      <c r="I5433">
        <v>882</v>
      </c>
      <c r="J5433">
        <v>75</v>
      </c>
      <c r="K5433" t="b">
        <v>1</v>
      </c>
    </row>
    <row r="5434" spans="8:11" x14ac:dyDescent="0.25">
      <c r="H5434">
        <v>37</v>
      </c>
      <c r="I5434">
        <v>891</v>
      </c>
      <c r="J5434">
        <v>75</v>
      </c>
      <c r="K5434" t="b">
        <v>1</v>
      </c>
    </row>
    <row r="5435" spans="8:11" x14ac:dyDescent="0.25">
      <c r="H5435">
        <v>37</v>
      </c>
      <c r="I5435">
        <v>900</v>
      </c>
      <c r="J5435">
        <v>75</v>
      </c>
      <c r="K5435" t="b">
        <v>1</v>
      </c>
    </row>
    <row r="5436" spans="8:11" x14ac:dyDescent="0.25">
      <c r="H5436">
        <v>37</v>
      </c>
      <c r="I5436">
        <v>909</v>
      </c>
      <c r="J5436">
        <v>75</v>
      </c>
      <c r="K5436" t="b">
        <v>1</v>
      </c>
    </row>
    <row r="5437" spans="8:11" x14ac:dyDescent="0.25">
      <c r="H5437">
        <v>37</v>
      </c>
      <c r="I5437">
        <v>918</v>
      </c>
      <c r="J5437">
        <v>75</v>
      </c>
      <c r="K5437" t="b">
        <v>1</v>
      </c>
    </row>
    <row r="5438" spans="8:11" x14ac:dyDescent="0.25">
      <c r="H5438">
        <v>37</v>
      </c>
      <c r="I5438">
        <v>927</v>
      </c>
      <c r="J5438">
        <v>75</v>
      </c>
      <c r="K5438" t="b">
        <v>1</v>
      </c>
    </row>
    <row r="5439" spans="8:11" x14ac:dyDescent="0.25">
      <c r="H5439">
        <v>37</v>
      </c>
      <c r="I5439">
        <v>936</v>
      </c>
      <c r="J5439">
        <v>75</v>
      </c>
      <c r="K5439" t="b">
        <v>1</v>
      </c>
    </row>
    <row r="5440" spans="8:11" x14ac:dyDescent="0.25">
      <c r="H5440">
        <v>37</v>
      </c>
      <c r="I5440">
        <v>945</v>
      </c>
      <c r="J5440">
        <v>75</v>
      </c>
      <c r="K5440" t="b">
        <v>1</v>
      </c>
    </row>
    <row r="5441" spans="8:11" x14ac:dyDescent="0.25">
      <c r="H5441">
        <v>38</v>
      </c>
      <c r="I5441">
        <v>0</v>
      </c>
      <c r="J5441">
        <v>75</v>
      </c>
      <c r="K5441" t="b">
        <v>1</v>
      </c>
    </row>
    <row r="5442" spans="8:11" x14ac:dyDescent="0.25">
      <c r="H5442">
        <v>38</v>
      </c>
      <c r="I5442">
        <v>9</v>
      </c>
      <c r="J5442">
        <v>75</v>
      </c>
      <c r="K5442" t="b">
        <v>1</v>
      </c>
    </row>
    <row r="5443" spans="8:11" x14ac:dyDescent="0.25">
      <c r="H5443">
        <v>38</v>
      </c>
      <c r="I5443">
        <v>18</v>
      </c>
      <c r="J5443">
        <v>75</v>
      </c>
      <c r="K5443" t="b">
        <v>1</v>
      </c>
    </row>
    <row r="5444" spans="8:11" x14ac:dyDescent="0.25">
      <c r="H5444">
        <v>38</v>
      </c>
      <c r="I5444">
        <v>27</v>
      </c>
      <c r="J5444">
        <v>75</v>
      </c>
      <c r="K5444" t="b">
        <v>1</v>
      </c>
    </row>
    <row r="5445" spans="8:11" x14ac:dyDescent="0.25">
      <c r="H5445">
        <v>38</v>
      </c>
      <c r="I5445">
        <v>36</v>
      </c>
      <c r="J5445">
        <v>75</v>
      </c>
      <c r="K5445" t="b">
        <v>1</v>
      </c>
    </row>
    <row r="5446" spans="8:11" x14ac:dyDescent="0.25">
      <c r="H5446">
        <v>38</v>
      </c>
      <c r="I5446">
        <v>45</v>
      </c>
      <c r="J5446">
        <v>75</v>
      </c>
      <c r="K5446" t="b">
        <v>1</v>
      </c>
    </row>
    <row r="5447" spans="8:11" x14ac:dyDescent="0.25">
      <c r="H5447">
        <v>38</v>
      </c>
      <c r="I5447">
        <v>54</v>
      </c>
      <c r="J5447">
        <v>75</v>
      </c>
      <c r="K5447" t="b">
        <v>1</v>
      </c>
    </row>
    <row r="5448" spans="8:11" x14ac:dyDescent="0.25">
      <c r="H5448">
        <v>38</v>
      </c>
      <c r="I5448">
        <v>63</v>
      </c>
      <c r="J5448">
        <v>75</v>
      </c>
      <c r="K5448" t="b">
        <v>1</v>
      </c>
    </row>
    <row r="5449" spans="8:11" x14ac:dyDescent="0.25">
      <c r="H5449">
        <v>38</v>
      </c>
      <c r="I5449">
        <v>72</v>
      </c>
      <c r="J5449">
        <v>75</v>
      </c>
      <c r="K5449" t="b">
        <v>1</v>
      </c>
    </row>
    <row r="5450" spans="8:11" x14ac:dyDescent="0.25">
      <c r="H5450">
        <v>38</v>
      </c>
      <c r="I5450">
        <v>81</v>
      </c>
      <c r="J5450">
        <v>75</v>
      </c>
      <c r="K5450" t="b">
        <v>1</v>
      </c>
    </row>
    <row r="5451" spans="8:11" x14ac:dyDescent="0.25">
      <c r="H5451">
        <v>38</v>
      </c>
      <c r="I5451">
        <v>90</v>
      </c>
      <c r="J5451">
        <v>75</v>
      </c>
      <c r="K5451" t="b">
        <v>1</v>
      </c>
    </row>
    <row r="5452" spans="8:11" x14ac:dyDescent="0.25">
      <c r="H5452">
        <v>38</v>
      </c>
      <c r="I5452">
        <v>99</v>
      </c>
      <c r="J5452">
        <v>75</v>
      </c>
      <c r="K5452" t="b">
        <v>1</v>
      </c>
    </row>
    <row r="5453" spans="8:11" x14ac:dyDescent="0.25">
      <c r="H5453">
        <v>38</v>
      </c>
      <c r="I5453">
        <v>108</v>
      </c>
      <c r="J5453">
        <v>75</v>
      </c>
      <c r="K5453" t="b">
        <v>1</v>
      </c>
    </row>
    <row r="5454" spans="8:11" x14ac:dyDescent="0.25">
      <c r="H5454">
        <v>38</v>
      </c>
      <c r="I5454">
        <v>117</v>
      </c>
      <c r="J5454">
        <v>75</v>
      </c>
      <c r="K5454" t="b">
        <v>1</v>
      </c>
    </row>
    <row r="5455" spans="8:11" x14ac:dyDescent="0.25">
      <c r="H5455">
        <v>38</v>
      </c>
      <c r="I5455">
        <v>126</v>
      </c>
      <c r="J5455">
        <v>75</v>
      </c>
      <c r="K5455" t="b">
        <v>1</v>
      </c>
    </row>
    <row r="5456" spans="8:11" x14ac:dyDescent="0.25">
      <c r="H5456">
        <v>38</v>
      </c>
      <c r="I5456">
        <v>135</v>
      </c>
      <c r="J5456">
        <v>75</v>
      </c>
      <c r="K5456" t="b">
        <v>1</v>
      </c>
    </row>
    <row r="5457" spans="8:11" x14ac:dyDescent="0.25">
      <c r="H5457">
        <v>38</v>
      </c>
      <c r="I5457">
        <v>144</v>
      </c>
      <c r="J5457">
        <v>75</v>
      </c>
      <c r="K5457" t="b">
        <v>1</v>
      </c>
    </row>
    <row r="5458" spans="8:11" x14ac:dyDescent="0.25">
      <c r="H5458">
        <v>38</v>
      </c>
      <c r="I5458">
        <v>153</v>
      </c>
      <c r="J5458">
        <v>75</v>
      </c>
      <c r="K5458" t="b">
        <v>1</v>
      </c>
    </row>
    <row r="5459" spans="8:11" x14ac:dyDescent="0.25">
      <c r="H5459">
        <v>38</v>
      </c>
      <c r="I5459">
        <v>162</v>
      </c>
      <c r="J5459">
        <v>75</v>
      </c>
      <c r="K5459" t="b">
        <v>1</v>
      </c>
    </row>
    <row r="5460" spans="8:11" x14ac:dyDescent="0.25">
      <c r="H5460">
        <v>38</v>
      </c>
      <c r="I5460">
        <v>171</v>
      </c>
      <c r="J5460">
        <v>75</v>
      </c>
      <c r="K5460" t="b">
        <v>1</v>
      </c>
    </row>
    <row r="5461" spans="8:11" x14ac:dyDescent="0.25">
      <c r="H5461">
        <v>38</v>
      </c>
      <c r="I5461">
        <v>180</v>
      </c>
      <c r="J5461">
        <v>75</v>
      </c>
      <c r="K5461" t="b">
        <v>1</v>
      </c>
    </row>
    <row r="5462" spans="8:11" x14ac:dyDescent="0.25">
      <c r="H5462">
        <v>38</v>
      </c>
      <c r="I5462">
        <v>189</v>
      </c>
      <c r="J5462">
        <v>75</v>
      </c>
      <c r="K5462" t="b">
        <v>1</v>
      </c>
    </row>
    <row r="5463" spans="8:11" x14ac:dyDescent="0.25">
      <c r="H5463">
        <v>38</v>
      </c>
      <c r="I5463">
        <v>198</v>
      </c>
      <c r="J5463">
        <v>75</v>
      </c>
      <c r="K5463" t="b">
        <v>1</v>
      </c>
    </row>
    <row r="5464" spans="8:11" x14ac:dyDescent="0.25">
      <c r="H5464">
        <v>38</v>
      </c>
      <c r="I5464">
        <v>207</v>
      </c>
      <c r="J5464">
        <v>75</v>
      </c>
      <c r="K5464" t="b">
        <v>1</v>
      </c>
    </row>
    <row r="5465" spans="8:11" x14ac:dyDescent="0.25">
      <c r="H5465">
        <v>38</v>
      </c>
      <c r="I5465">
        <v>216</v>
      </c>
      <c r="J5465">
        <v>75</v>
      </c>
      <c r="K5465" t="b">
        <v>1</v>
      </c>
    </row>
    <row r="5466" spans="8:11" x14ac:dyDescent="0.25">
      <c r="H5466">
        <v>38</v>
      </c>
      <c r="I5466">
        <v>225</v>
      </c>
      <c r="J5466">
        <v>75</v>
      </c>
      <c r="K5466" t="b">
        <v>1</v>
      </c>
    </row>
    <row r="5467" spans="8:11" x14ac:dyDescent="0.25">
      <c r="H5467">
        <v>38</v>
      </c>
      <c r="I5467">
        <v>234</v>
      </c>
      <c r="J5467">
        <v>75</v>
      </c>
      <c r="K5467" t="b">
        <v>1</v>
      </c>
    </row>
    <row r="5468" spans="8:11" x14ac:dyDescent="0.25">
      <c r="H5468">
        <v>38</v>
      </c>
      <c r="I5468">
        <v>243</v>
      </c>
      <c r="J5468">
        <v>75</v>
      </c>
      <c r="K5468" t="b">
        <v>1</v>
      </c>
    </row>
    <row r="5469" spans="8:11" x14ac:dyDescent="0.25">
      <c r="H5469">
        <v>38</v>
      </c>
      <c r="I5469">
        <v>252</v>
      </c>
      <c r="J5469">
        <v>75</v>
      </c>
      <c r="K5469" t="b">
        <v>1</v>
      </c>
    </row>
    <row r="5470" spans="8:11" x14ac:dyDescent="0.25">
      <c r="H5470">
        <v>38</v>
      </c>
      <c r="I5470">
        <v>261</v>
      </c>
      <c r="J5470">
        <v>75</v>
      </c>
      <c r="K5470" t="b">
        <v>1</v>
      </c>
    </row>
    <row r="5471" spans="8:11" x14ac:dyDescent="0.25">
      <c r="H5471">
        <v>38</v>
      </c>
      <c r="I5471">
        <v>270</v>
      </c>
      <c r="J5471">
        <v>75</v>
      </c>
      <c r="K5471" t="b">
        <v>1</v>
      </c>
    </row>
    <row r="5472" spans="8:11" x14ac:dyDescent="0.25">
      <c r="H5472">
        <v>38</v>
      </c>
      <c r="I5472">
        <v>279</v>
      </c>
      <c r="J5472">
        <v>75</v>
      </c>
      <c r="K5472" t="b">
        <v>1</v>
      </c>
    </row>
    <row r="5473" spans="8:11" x14ac:dyDescent="0.25">
      <c r="H5473">
        <v>38</v>
      </c>
      <c r="I5473">
        <v>288</v>
      </c>
      <c r="J5473">
        <v>75</v>
      </c>
      <c r="K5473" t="b">
        <v>1</v>
      </c>
    </row>
    <row r="5474" spans="8:11" x14ac:dyDescent="0.25">
      <c r="H5474">
        <v>38</v>
      </c>
      <c r="I5474">
        <v>297</v>
      </c>
      <c r="J5474">
        <v>75</v>
      </c>
      <c r="K5474" t="b">
        <v>1</v>
      </c>
    </row>
    <row r="5475" spans="8:11" x14ac:dyDescent="0.25">
      <c r="H5475">
        <v>38</v>
      </c>
      <c r="I5475">
        <v>306</v>
      </c>
      <c r="J5475">
        <v>75</v>
      </c>
      <c r="K5475" t="b">
        <v>1</v>
      </c>
    </row>
    <row r="5476" spans="8:11" x14ac:dyDescent="0.25">
      <c r="H5476">
        <v>38</v>
      </c>
      <c r="I5476">
        <v>315</v>
      </c>
      <c r="J5476">
        <v>75</v>
      </c>
      <c r="K5476" t="b">
        <v>1</v>
      </c>
    </row>
    <row r="5477" spans="8:11" x14ac:dyDescent="0.25">
      <c r="H5477">
        <v>38</v>
      </c>
      <c r="I5477">
        <v>324</v>
      </c>
      <c r="J5477">
        <v>75</v>
      </c>
      <c r="K5477" t="b">
        <v>1</v>
      </c>
    </row>
    <row r="5478" spans="8:11" x14ac:dyDescent="0.25">
      <c r="H5478">
        <v>38</v>
      </c>
      <c r="I5478">
        <v>333</v>
      </c>
      <c r="J5478">
        <v>75</v>
      </c>
      <c r="K5478" t="b">
        <v>1</v>
      </c>
    </row>
    <row r="5479" spans="8:11" x14ac:dyDescent="0.25">
      <c r="H5479">
        <v>38</v>
      </c>
      <c r="I5479">
        <v>342</v>
      </c>
      <c r="J5479">
        <v>75</v>
      </c>
      <c r="K5479" t="b">
        <v>1</v>
      </c>
    </row>
    <row r="5480" spans="8:11" x14ac:dyDescent="0.25">
      <c r="H5480">
        <v>38</v>
      </c>
      <c r="I5480">
        <v>351</v>
      </c>
      <c r="J5480">
        <v>75</v>
      </c>
      <c r="K5480" t="b">
        <v>1</v>
      </c>
    </row>
    <row r="5481" spans="8:11" x14ac:dyDescent="0.25">
      <c r="H5481">
        <v>38</v>
      </c>
      <c r="I5481">
        <v>360</v>
      </c>
      <c r="J5481">
        <v>75</v>
      </c>
      <c r="K5481" t="b">
        <v>1</v>
      </c>
    </row>
    <row r="5482" spans="8:11" x14ac:dyDescent="0.25">
      <c r="H5482">
        <v>38</v>
      </c>
      <c r="I5482">
        <v>369</v>
      </c>
      <c r="J5482">
        <v>75</v>
      </c>
      <c r="K5482" t="b">
        <v>1</v>
      </c>
    </row>
    <row r="5483" spans="8:11" x14ac:dyDescent="0.25">
      <c r="H5483">
        <v>38</v>
      </c>
      <c r="I5483">
        <v>378</v>
      </c>
      <c r="J5483">
        <v>75</v>
      </c>
      <c r="K5483" t="b">
        <v>1</v>
      </c>
    </row>
    <row r="5484" spans="8:11" x14ac:dyDescent="0.25">
      <c r="H5484">
        <v>38</v>
      </c>
      <c r="I5484">
        <v>387</v>
      </c>
      <c r="J5484">
        <v>75</v>
      </c>
      <c r="K5484" t="b">
        <v>1</v>
      </c>
    </row>
    <row r="5485" spans="8:11" x14ac:dyDescent="0.25">
      <c r="H5485">
        <v>38</v>
      </c>
      <c r="I5485">
        <v>396</v>
      </c>
      <c r="J5485">
        <v>75</v>
      </c>
      <c r="K5485" t="b">
        <v>1</v>
      </c>
    </row>
    <row r="5486" spans="8:11" x14ac:dyDescent="0.25">
      <c r="H5486">
        <v>38</v>
      </c>
      <c r="I5486">
        <v>405</v>
      </c>
      <c r="J5486">
        <v>75</v>
      </c>
      <c r="K5486" t="b">
        <v>1</v>
      </c>
    </row>
    <row r="5487" spans="8:11" x14ac:dyDescent="0.25">
      <c r="H5487">
        <v>38</v>
      </c>
      <c r="I5487">
        <v>414</v>
      </c>
      <c r="J5487">
        <v>75</v>
      </c>
      <c r="K5487" t="b">
        <v>1</v>
      </c>
    </row>
    <row r="5488" spans="8:11" x14ac:dyDescent="0.25">
      <c r="H5488">
        <v>38</v>
      </c>
      <c r="I5488">
        <v>423</v>
      </c>
      <c r="J5488">
        <v>75</v>
      </c>
      <c r="K5488" t="b">
        <v>1</v>
      </c>
    </row>
    <row r="5489" spans="8:11" x14ac:dyDescent="0.25">
      <c r="H5489">
        <v>38</v>
      </c>
      <c r="I5489">
        <v>432</v>
      </c>
      <c r="J5489">
        <v>75</v>
      </c>
      <c r="K5489" t="b">
        <v>1</v>
      </c>
    </row>
    <row r="5490" spans="8:11" x14ac:dyDescent="0.25">
      <c r="H5490">
        <v>38</v>
      </c>
      <c r="I5490">
        <v>441</v>
      </c>
      <c r="J5490">
        <v>75</v>
      </c>
      <c r="K5490" t="b">
        <v>1</v>
      </c>
    </row>
    <row r="5491" spans="8:11" x14ac:dyDescent="0.25">
      <c r="H5491">
        <v>38</v>
      </c>
      <c r="I5491">
        <v>450</v>
      </c>
      <c r="J5491">
        <v>75</v>
      </c>
      <c r="K5491" t="b">
        <v>1</v>
      </c>
    </row>
    <row r="5492" spans="8:11" x14ac:dyDescent="0.25">
      <c r="H5492">
        <v>38</v>
      </c>
      <c r="I5492">
        <v>459</v>
      </c>
      <c r="J5492">
        <v>75</v>
      </c>
      <c r="K5492" t="b">
        <v>1</v>
      </c>
    </row>
    <row r="5493" spans="8:11" x14ac:dyDescent="0.25">
      <c r="H5493">
        <v>38</v>
      </c>
      <c r="I5493">
        <v>468</v>
      </c>
      <c r="J5493">
        <v>75</v>
      </c>
      <c r="K5493" t="b">
        <v>1</v>
      </c>
    </row>
    <row r="5494" spans="8:11" x14ac:dyDescent="0.25">
      <c r="H5494">
        <v>38</v>
      </c>
      <c r="I5494">
        <v>477</v>
      </c>
      <c r="J5494">
        <v>75</v>
      </c>
      <c r="K5494" t="b">
        <v>1</v>
      </c>
    </row>
    <row r="5495" spans="8:11" x14ac:dyDescent="0.25">
      <c r="H5495">
        <v>38</v>
      </c>
      <c r="I5495">
        <v>486</v>
      </c>
      <c r="J5495">
        <v>75</v>
      </c>
      <c r="K5495" t="b">
        <v>1</v>
      </c>
    </row>
    <row r="5496" spans="8:11" x14ac:dyDescent="0.25">
      <c r="H5496">
        <v>38</v>
      </c>
      <c r="I5496">
        <v>495</v>
      </c>
      <c r="J5496">
        <v>75</v>
      </c>
      <c r="K5496" t="b">
        <v>1</v>
      </c>
    </row>
    <row r="5497" spans="8:11" x14ac:dyDescent="0.25">
      <c r="H5497">
        <v>38</v>
      </c>
      <c r="I5497">
        <v>504</v>
      </c>
      <c r="J5497">
        <v>75</v>
      </c>
      <c r="K5497" t="b">
        <v>1</v>
      </c>
    </row>
    <row r="5498" spans="8:11" x14ac:dyDescent="0.25">
      <c r="H5498">
        <v>38</v>
      </c>
      <c r="I5498">
        <v>513</v>
      </c>
      <c r="J5498">
        <v>75</v>
      </c>
      <c r="K5498" t="b">
        <v>1</v>
      </c>
    </row>
    <row r="5499" spans="8:11" x14ac:dyDescent="0.25">
      <c r="H5499">
        <v>38</v>
      </c>
      <c r="I5499">
        <v>522</v>
      </c>
      <c r="J5499">
        <v>75</v>
      </c>
      <c r="K5499" t="b">
        <v>1</v>
      </c>
    </row>
    <row r="5500" spans="8:11" x14ac:dyDescent="0.25">
      <c r="H5500">
        <v>38</v>
      </c>
      <c r="I5500">
        <v>531</v>
      </c>
      <c r="J5500">
        <v>75</v>
      </c>
      <c r="K5500" t="b">
        <v>1</v>
      </c>
    </row>
    <row r="5501" spans="8:11" x14ac:dyDescent="0.25">
      <c r="H5501">
        <v>38</v>
      </c>
      <c r="I5501">
        <v>540</v>
      </c>
      <c r="J5501">
        <v>75</v>
      </c>
      <c r="K5501" t="b">
        <v>1</v>
      </c>
    </row>
    <row r="5502" spans="8:11" x14ac:dyDescent="0.25">
      <c r="H5502">
        <v>38</v>
      </c>
      <c r="I5502">
        <v>549</v>
      </c>
      <c r="J5502">
        <v>75</v>
      </c>
      <c r="K5502" t="b">
        <v>1</v>
      </c>
    </row>
    <row r="5503" spans="8:11" x14ac:dyDescent="0.25">
      <c r="H5503">
        <v>38</v>
      </c>
      <c r="I5503">
        <v>558</v>
      </c>
      <c r="J5503">
        <v>75</v>
      </c>
      <c r="K5503" t="b">
        <v>1</v>
      </c>
    </row>
    <row r="5504" spans="8:11" x14ac:dyDescent="0.25">
      <c r="H5504">
        <v>38</v>
      </c>
      <c r="I5504">
        <v>567</v>
      </c>
      <c r="J5504">
        <v>75</v>
      </c>
      <c r="K5504" t="b">
        <v>1</v>
      </c>
    </row>
    <row r="5505" spans="8:11" x14ac:dyDescent="0.25">
      <c r="H5505">
        <v>38</v>
      </c>
      <c r="I5505">
        <v>576</v>
      </c>
      <c r="J5505">
        <v>75</v>
      </c>
      <c r="K5505" t="b">
        <v>1</v>
      </c>
    </row>
    <row r="5506" spans="8:11" x14ac:dyDescent="0.25">
      <c r="H5506">
        <v>38</v>
      </c>
      <c r="I5506">
        <v>585</v>
      </c>
      <c r="J5506">
        <v>75</v>
      </c>
      <c r="K5506" t="b">
        <v>1</v>
      </c>
    </row>
    <row r="5507" spans="8:11" x14ac:dyDescent="0.25">
      <c r="H5507">
        <v>38</v>
      </c>
      <c r="I5507">
        <v>594</v>
      </c>
      <c r="J5507">
        <v>75</v>
      </c>
      <c r="K5507" t="b">
        <v>1</v>
      </c>
    </row>
    <row r="5508" spans="8:11" x14ac:dyDescent="0.25">
      <c r="H5508">
        <v>38</v>
      </c>
      <c r="I5508">
        <v>603</v>
      </c>
      <c r="J5508">
        <v>75</v>
      </c>
      <c r="K5508" t="b">
        <v>1</v>
      </c>
    </row>
    <row r="5509" spans="8:11" x14ac:dyDescent="0.25">
      <c r="H5509">
        <v>38</v>
      </c>
      <c r="I5509">
        <v>612</v>
      </c>
      <c r="J5509">
        <v>75</v>
      </c>
      <c r="K5509" t="b">
        <v>1</v>
      </c>
    </row>
    <row r="5510" spans="8:11" x14ac:dyDescent="0.25">
      <c r="H5510">
        <v>38</v>
      </c>
      <c r="I5510">
        <v>621</v>
      </c>
      <c r="J5510">
        <v>75</v>
      </c>
      <c r="K5510" t="b">
        <v>1</v>
      </c>
    </row>
    <row r="5511" spans="8:11" x14ac:dyDescent="0.25">
      <c r="H5511">
        <v>38</v>
      </c>
      <c r="I5511">
        <v>630</v>
      </c>
      <c r="J5511">
        <v>75</v>
      </c>
      <c r="K5511" t="b">
        <v>1</v>
      </c>
    </row>
    <row r="5512" spans="8:11" x14ac:dyDescent="0.25">
      <c r="H5512">
        <v>38</v>
      </c>
      <c r="I5512">
        <v>639</v>
      </c>
      <c r="J5512">
        <v>75</v>
      </c>
      <c r="K5512" t="b">
        <v>1</v>
      </c>
    </row>
    <row r="5513" spans="8:11" x14ac:dyDescent="0.25">
      <c r="H5513">
        <v>38</v>
      </c>
      <c r="I5513">
        <v>648</v>
      </c>
      <c r="J5513">
        <v>75</v>
      </c>
      <c r="K5513" t="b">
        <v>1</v>
      </c>
    </row>
    <row r="5514" spans="8:11" x14ac:dyDescent="0.25">
      <c r="H5514">
        <v>38</v>
      </c>
      <c r="I5514">
        <v>657</v>
      </c>
      <c r="J5514">
        <v>75</v>
      </c>
      <c r="K5514" t="b">
        <v>1</v>
      </c>
    </row>
    <row r="5515" spans="8:11" x14ac:dyDescent="0.25">
      <c r="H5515">
        <v>38</v>
      </c>
      <c r="I5515">
        <v>666</v>
      </c>
      <c r="J5515">
        <v>75</v>
      </c>
      <c r="K5515" t="b">
        <v>1</v>
      </c>
    </row>
    <row r="5516" spans="8:11" x14ac:dyDescent="0.25">
      <c r="H5516">
        <v>38</v>
      </c>
      <c r="I5516">
        <v>675</v>
      </c>
      <c r="J5516">
        <v>75</v>
      </c>
      <c r="K5516" t="b">
        <v>1</v>
      </c>
    </row>
    <row r="5517" spans="8:11" x14ac:dyDescent="0.25">
      <c r="H5517">
        <v>38</v>
      </c>
      <c r="I5517">
        <v>684</v>
      </c>
      <c r="J5517">
        <v>75</v>
      </c>
      <c r="K5517" t="b">
        <v>1</v>
      </c>
    </row>
    <row r="5518" spans="8:11" x14ac:dyDescent="0.25">
      <c r="H5518">
        <v>38</v>
      </c>
      <c r="I5518">
        <v>693</v>
      </c>
      <c r="J5518">
        <v>75</v>
      </c>
      <c r="K5518" t="b">
        <v>1</v>
      </c>
    </row>
    <row r="5519" spans="8:11" x14ac:dyDescent="0.25">
      <c r="H5519">
        <v>38</v>
      </c>
      <c r="I5519">
        <v>702</v>
      </c>
      <c r="J5519">
        <v>75</v>
      </c>
      <c r="K5519" t="b">
        <v>1</v>
      </c>
    </row>
    <row r="5520" spans="8:11" x14ac:dyDescent="0.25">
      <c r="H5520">
        <v>38</v>
      </c>
      <c r="I5520">
        <v>711</v>
      </c>
      <c r="J5520">
        <v>75</v>
      </c>
      <c r="K5520" t="b">
        <v>1</v>
      </c>
    </row>
    <row r="5521" spans="8:11" x14ac:dyDescent="0.25">
      <c r="H5521">
        <v>38</v>
      </c>
      <c r="I5521">
        <v>720</v>
      </c>
      <c r="J5521">
        <v>75</v>
      </c>
      <c r="K5521" t="b">
        <v>1</v>
      </c>
    </row>
    <row r="5522" spans="8:11" x14ac:dyDescent="0.25">
      <c r="H5522">
        <v>38</v>
      </c>
      <c r="I5522">
        <v>729</v>
      </c>
      <c r="J5522">
        <v>75</v>
      </c>
      <c r="K5522" t="b">
        <v>1</v>
      </c>
    </row>
    <row r="5523" spans="8:11" x14ac:dyDescent="0.25">
      <c r="H5523">
        <v>38</v>
      </c>
      <c r="I5523">
        <v>738</v>
      </c>
      <c r="J5523">
        <v>75</v>
      </c>
      <c r="K5523" t="b">
        <v>1</v>
      </c>
    </row>
    <row r="5524" spans="8:11" x14ac:dyDescent="0.25">
      <c r="H5524">
        <v>38</v>
      </c>
      <c r="I5524">
        <v>747</v>
      </c>
      <c r="J5524">
        <v>75</v>
      </c>
      <c r="K5524" t="b">
        <v>1</v>
      </c>
    </row>
    <row r="5525" spans="8:11" x14ac:dyDescent="0.25">
      <c r="H5525">
        <v>38</v>
      </c>
      <c r="I5525">
        <v>756</v>
      </c>
      <c r="J5525">
        <v>75</v>
      </c>
      <c r="K5525" t="b">
        <v>1</v>
      </c>
    </row>
    <row r="5526" spans="8:11" x14ac:dyDescent="0.25">
      <c r="H5526">
        <v>38</v>
      </c>
      <c r="I5526">
        <v>765</v>
      </c>
      <c r="J5526">
        <v>75</v>
      </c>
      <c r="K5526" t="b">
        <v>1</v>
      </c>
    </row>
    <row r="5527" spans="8:11" x14ac:dyDescent="0.25">
      <c r="H5527">
        <v>38</v>
      </c>
      <c r="I5527">
        <v>774</v>
      </c>
      <c r="J5527">
        <v>75</v>
      </c>
      <c r="K5527" t="b">
        <v>1</v>
      </c>
    </row>
    <row r="5528" spans="8:11" x14ac:dyDescent="0.25">
      <c r="H5528">
        <v>38</v>
      </c>
      <c r="I5528">
        <v>783</v>
      </c>
      <c r="J5528">
        <v>75</v>
      </c>
      <c r="K5528" t="b">
        <v>1</v>
      </c>
    </row>
    <row r="5529" spans="8:11" x14ac:dyDescent="0.25">
      <c r="H5529">
        <v>38</v>
      </c>
      <c r="I5529">
        <v>792</v>
      </c>
      <c r="J5529">
        <v>75</v>
      </c>
      <c r="K5529" t="b">
        <v>1</v>
      </c>
    </row>
    <row r="5530" spans="8:11" x14ac:dyDescent="0.25">
      <c r="H5530">
        <v>38</v>
      </c>
      <c r="I5530">
        <v>801</v>
      </c>
      <c r="J5530">
        <v>75</v>
      </c>
      <c r="K5530" t="b">
        <v>1</v>
      </c>
    </row>
    <row r="5531" spans="8:11" x14ac:dyDescent="0.25">
      <c r="H5531">
        <v>38</v>
      </c>
      <c r="I5531">
        <v>810</v>
      </c>
      <c r="J5531">
        <v>75</v>
      </c>
      <c r="K5531" t="b">
        <v>1</v>
      </c>
    </row>
    <row r="5532" spans="8:11" x14ac:dyDescent="0.25">
      <c r="H5532">
        <v>38</v>
      </c>
      <c r="I5532">
        <v>819</v>
      </c>
      <c r="J5532">
        <v>75</v>
      </c>
      <c r="K5532" t="b">
        <v>1</v>
      </c>
    </row>
    <row r="5533" spans="8:11" x14ac:dyDescent="0.25">
      <c r="H5533">
        <v>38</v>
      </c>
      <c r="I5533">
        <v>828</v>
      </c>
      <c r="J5533">
        <v>75</v>
      </c>
      <c r="K5533" t="b">
        <v>1</v>
      </c>
    </row>
    <row r="5534" spans="8:11" x14ac:dyDescent="0.25">
      <c r="H5534">
        <v>38</v>
      </c>
      <c r="I5534">
        <v>837</v>
      </c>
      <c r="J5534">
        <v>75</v>
      </c>
      <c r="K5534" t="b">
        <v>1</v>
      </c>
    </row>
    <row r="5535" spans="8:11" x14ac:dyDescent="0.25">
      <c r="H5535">
        <v>38</v>
      </c>
      <c r="I5535">
        <v>846</v>
      </c>
      <c r="J5535">
        <v>75</v>
      </c>
      <c r="K5535" t="b">
        <v>1</v>
      </c>
    </row>
    <row r="5536" spans="8:11" x14ac:dyDescent="0.25">
      <c r="H5536">
        <v>38</v>
      </c>
      <c r="I5536">
        <v>855</v>
      </c>
      <c r="J5536">
        <v>75</v>
      </c>
      <c r="K5536" t="b">
        <v>1</v>
      </c>
    </row>
    <row r="5537" spans="8:11" x14ac:dyDescent="0.25">
      <c r="H5537">
        <v>38</v>
      </c>
      <c r="I5537">
        <v>864</v>
      </c>
      <c r="J5537">
        <v>75</v>
      </c>
      <c r="K5537" t="b">
        <v>1</v>
      </c>
    </row>
    <row r="5538" spans="8:11" x14ac:dyDescent="0.25">
      <c r="H5538">
        <v>38</v>
      </c>
      <c r="I5538">
        <v>873</v>
      </c>
      <c r="J5538">
        <v>75</v>
      </c>
      <c r="K5538" t="b">
        <v>1</v>
      </c>
    </row>
    <row r="5539" spans="8:11" x14ac:dyDescent="0.25">
      <c r="H5539">
        <v>38</v>
      </c>
      <c r="I5539">
        <v>882</v>
      </c>
      <c r="J5539">
        <v>75</v>
      </c>
      <c r="K5539" t="b">
        <v>1</v>
      </c>
    </row>
    <row r="5540" spans="8:11" x14ac:dyDescent="0.25">
      <c r="H5540">
        <v>38</v>
      </c>
      <c r="I5540">
        <v>891</v>
      </c>
      <c r="J5540">
        <v>75</v>
      </c>
      <c r="K5540" t="b">
        <v>1</v>
      </c>
    </row>
    <row r="5541" spans="8:11" x14ac:dyDescent="0.25">
      <c r="H5541">
        <v>38</v>
      </c>
      <c r="I5541">
        <v>900</v>
      </c>
      <c r="J5541">
        <v>75</v>
      </c>
      <c r="K5541" t="b">
        <v>1</v>
      </c>
    </row>
    <row r="5542" spans="8:11" x14ac:dyDescent="0.25">
      <c r="H5542">
        <v>38</v>
      </c>
      <c r="I5542">
        <v>909</v>
      </c>
      <c r="J5542">
        <v>75</v>
      </c>
      <c r="K5542" t="b">
        <v>1</v>
      </c>
    </row>
    <row r="5543" spans="8:11" x14ac:dyDescent="0.25">
      <c r="H5543">
        <v>38</v>
      </c>
      <c r="I5543">
        <v>918</v>
      </c>
      <c r="J5543">
        <v>75</v>
      </c>
      <c r="K5543" t="b">
        <v>1</v>
      </c>
    </row>
    <row r="5544" spans="8:11" x14ac:dyDescent="0.25">
      <c r="H5544">
        <v>38</v>
      </c>
      <c r="I5544">
        <v>927</v>
      </c>
      <c r="J5544">
        <v>75</v>
      </c>
      <c r="K5544" t="b">
        <v>1</v>
      </c>
    </row>
    <row r="5545" spans="8:11" x14ac:dyDescent="0.25">
      <c r="H5545">
        <v>38</v>
      </c>
      <c r="I5545">
        <v>936</v>
      </c>
      <c r="J5545">
        <v>75</v>
      </c>
      <c r="K5545" t="b">
        <v>1</v>
      </c>
    </row>
    <row r="5546" spans="8:11" x14ac:dyDescent="0.25">
      <c r="H5546">
        <v>38</v>
      </c>
      <c r="I5546">
        <v>945</v>
      </c>
      <c r="J5546">
        <v>75</v>
      </c>
      <c r="K5546" t="b">
        <v>1</v>
      </c>
    </row>
    <row r="5547" spans="8:11" x14ac:dyDescent="0.25">
      <c r="H5547">
        <v>39</v>
      </c>
      <c r="I5547">
        <v>0</v>
      </c>
      <c r="J5547">
        <v>70</v>
      </c>
      <c r="K5547" t="b">
        <v>1</v>
      </c>
    </row>
    <row r="5548" spans="8:11" x14ac:dyDescent="0.25">
      <c r="H5548">
        <v>39</v>
      </c>
      <c r="I5548">
        <v>50</v>
      </c>
      <c r="J5548">
        <v>70</v>
      </c>
      <c r="K5548" t="b">
        <v>1</v>
      </c>
    </row>
    <row r="5549" spans="8:11" x14ac:dyDescent="0.25">
      <c r="H5549">
        <v>39</v>
      </c>
      <c r="I5549">
        <v>100</v>
      </c>
      <c r="J5549">
        <v>70</v>
      </c>
      <c r="K5549" t="b">
        <v>1</v>
      </c>
    </row>
    <row r="5550" spans="8:11" x14ac:dyDescent="0.25">
      <c r="H5550">
        <v>39</v>
      </c>
      <c r="I5550">
        <v>150</v>
      </c>
      <c r="J5550">
        <v>70</v>
      </c>
      <c r="K5550" t="b">
        <v>1</v>
      </c>
    </row>
    <row r="5551" spans="8:11" x14ac:dyDescent="0.25">
      <c r="H5551">
        <v>39</v>
      </c>
      <c r="I5551">
        <v>200</v>
      </c>
      <c r="J5551">
        <v>70</v>
      </c>
      <c r="K5551" t="b">
        <v>1</v>
      </c>
    </row>
    <row r="5552" spans="8:11" x14ac:dyDescent="0.25">
      <c r="H5552">
        <v>39</v>
      </c>
      <c r="I5552">
        <v>250</v>
      </c>
      <c r="J5552">
        <v>70</v>
      </c>
      <c r="K5552" t="b">
        <v>1</v>
      </c>
    </row>
    <row r="5553" spans="8:11" x14ac:dyDescent="0.25">
      <c r="H5553">
        <v>39</v>
      </c>
      <c r="I5553">
        <v>300</v>
      </c>
      <c r="J5553">
        <v>70</v>
      </c>
      <c r="K5553" t="b">
        <v>1</v>
      </c>
    </row>
    <row r="5554" spans="8:11" x14ac:dyDescent="0.25">
      <c r="H5554">
        <v>39</v>
      </c>
      <c r="I5554">
        <v>350</v>
      </c>
      <c r="J5554">
        <v>70</v>
      </c>
      <c r="K5554" t="b">
        <v>1</v>
      </c>
    </row>
    <row r="5555" spans="8:11" x14ac:dyDescent="0.25">
      <c r="H5555">
        <v>39</v>
      </c>
      <c r="I5555">
        <v>400</v>
      </c>
      <c r="J5555">
        <v>70</v>
      </c>
      <c r="K5555" t="b">
        <v>1</v>
      </c>
    </row>
    <row r="5556" spans="8:11" x14ac:dyDescent="0.25">
      <c r="H5556">
        <v>39</v>
      </c>
      <c r="I5556">
        <v>450</v>
      </c>
      <c r="J5556">
        <v>70</v>
      </c>
      <c r="K5556" t="b">
        <v>1</v>
      </c>
    </row>
    <row r="5557" spans="8:11" x14ac:dyDescent="0.25">
      <c r="H5557">
        <v>39</v>
      </c>
      <c r="I5557">
        <v>500</v>
      </c>
      <c r="J5557">
        <v>70</v>
      </c>
      <c r="K5557" t="b">
        <v>1</v>
      </c>
    </row>
    <row r="5558" spans="8:11" x14ac:dyDescent="0.25">
      <c r="H5558">
        <v>39</v>
      </c>
      <c r="I5558">
        <v>550</v>
      </c>
      <c r="J5558">
        <v>70</v>
      </c>
      <c r="K5558" t="b">
        <v>1</v>
      </c>
    </row>
    <row r="5559" spans="8:11" x14ac:dyDescent="0.25">
      <c r="H5559">
        <v>39</v>
      </c>
      <c r="I5559">
        <v>600</v>
      </c>
      <c r="J5559">
        <v>70</v>
      </c>
      <c r="K5559" t="b">
        <v>1</v>
      </c>
    </row>
    <row r="5560" spans="8:11" x14ac:dyDescent="0.25">
      <c r="H5560">
        <v>39</v>
      </c>
      <c r="I5560">
        <v>650</v>
      </c>
      <c r="J5560">
        <v>70</v>
      </c>
      <c r="K5560" t="b">
        <v>1</v>
      </c>
    </row>
    <row r="5561" spans="8:11" x14ac:dyDescent="0.25">
      <c r="H5561">
        <v>39</v>
      </c>
      <c r="I5561">
        <v>700</v>
      </c>
      <c r="J5561">
        <v>70</v>
      </c>
      <c r="K5561" t="b">
        <v>1</v>
      </c>
    </row>
    <row r="5562" spans="8:11" x14ac:dyDescent="0.25">
      <c r="H5562">
        <v>39</v>
      </c>
      <c r="I5562">
        <v>750</v>
      </c>
      <c r="J5562">
        <v>70</v>
      </c>
      <c r="K5562" t="b">
        <v>1</v>
      </c>
    </row>
    <row r="5563" spans="8:11" x14ac:dyDescent="0.25">
      <c r="H5563">
        <v>39</v>
      </c>
      <c r="I5563">
        <v>800</v>
      </c>
      <c r="J5563">
        <v>70</v>
      </c>
      <c r="K5563" t="b">
        <v>1</v>
      </c>
    </row>
    <row r="5564" spans="8:11" x14ac:dyDescent="0.25">
      <c r="H5564">
        <v>39</v>
      </c>
      <c r="I5564">
        <v>850</v>
      </c>
      <c r="J5564">
        <v>70</v>
      </c>
      <c r="K5564" t="b">
        <v>1</v>
      </c>
    </row>
    <row r="5565" spans="8:11" x14ac:dyDescent="0.25">
      <c r="H5565">
        <v>39</v>
      </c>
      <c r="I5565">
        <v>900</v>
      </c>
      <c r="J5565">
        <v>70</v>
      </c>
      <c r="K5565" t="b">
        <v>1</v>
      </c>
    </row>
    <row r="5566" spans="8:11" x14ac:dyDescent="0.25">
      <c r="H5566">
        <v>40</v>
      </c>
      <c r="I5566">
        <v>0</v>
      </c>
      <c r="J5566">
        <v>70</v>
      </c>
      <c r="K5566" t="b">
        <v>1</v>
      </c>
    </row>
    <row r="5567" spans="8:11" x14ac:dyDescent="0.25">
      <c r="H5567">
        <v>40</v>
      </c>
      <c r="I5567">
        <v>50</v>
      </c>
      <c r="J5567">
        <v>70</v>
      </c>
      <c r="K5567" t="b">
        <v>1</v>
      </c>
    </row>
    <row r="5568" spans="8:11" x14ac:dyDescent="0.25">
      <c r="H5568">
        <v>40</v>
      </c>
      <c r="I5568">
        <v>100</v>
      </c>
      <c r="J5568">
        <v>70</v>
      </c>
      <c r="K5568" t="b">
        <v>1</v>
      </c>
    </row>
    <row r="5569" spans="8:11" x14ac:dyDescent="0.25">
      <c r="H5569">
        <v>40</v>
      </c>
      <c r="I5569">
        <v>150</v>
      </c>
      <c r="J5569">
        <v>70</v>
      </c>
      <c r="K5569" t="b">
        <v>1</v>
      </c>
    </row>
    <row r="5570" spans="8:11" x14ac:dyDescent="0.25">
      <c r="H5570">
        <v>40</v>
      </c>
      <c r="I5570">
        <v>200</v>
      </c>
      <c r="J5570">
        <v>70</v>
      </c>
      <c r="K5570" t="b">
        <v>1</v>
      </c>
    </row>
    <row r="5571" spans="8:11" x14ac:dyDescent="0.25">
      <c r="H5571">
        <v>40</v>
      </c>
      <c r="I5571">
        <v>250</v>
      </c>
      <c r="J5571">
        <v>70</v>
      </c>
      <c r="K5571" t="b">
        <v>1</v>
      </c>
    </row>
    <row r="5572" spans="8:11" x14ac:dyDescent="0.25">
      <c r="H5572">
        <v>40</v>
      </c>
      <c r="I5572">
        <v>300</v>
      </c>
      <c r="J5572">
        <v>70</v>
      </c>
      <c r="K5572" t="b">
        <v>1</v>
      </c>
    </row>
    <row r="5573" spans="8:11" x14ac:dyDescent="0.25">
      <c r="H5573">
        <v>40</v>
      </c>
      <c r="I5573">
        <v>350</v>
      </c>
      <c r="J5573">
        <v>70</v>
      </c>
      <c r="K5573" t="b">
        <v>1</v>
      </c>
    </row>
    <row r="5574" spans="8:11" x14ac:dyDescent="0.25">
      <c r="H5574">
        <v>40</v>
      </c>
      <c r="I5574">
        <v>400</v>
      </c>
      <c r="J5574">
        <v>70</v>
      </c>
      <c r="K5574" t="b">
        <v>1</v>
      </c>
    </row>
    <row r="5575" spans="8:11" x14ac:dyDescent="0.25">
      <c r="H5575">
        <v>40</v>
      </c>
      <c r="I5575">
        <v>450</v>
      </c>
      <c r="J5575">
        <v>70</v>
      </c>
      <c r="K5575" t="b">
        <v>1</v>
      </c>
    </row>
    <row r="5576" spans="8:11" x14ac:dyDescent="0.25">
      <c r="H5576">
        <v>40</v>
      </c>
      <c r="I5576">
        <v>500</v>
      </c>
      <c r="J5576">
        <v>70</v>
      </c>
      <c r="K5576" t="b">
        <v>1</v>
      </c>
    </row>
    <row r="5577" spans="8:11" x14ac:dyDescent="0.25">
      <c r="H5577">
        <v>40</v>
      </c>
      <c r="I5577">
        <v>550</v>
      </c>
      <c r="J5577">
        <v>70</v>
      </c>
      <c r="K5577" t="b">
        <v>1</v>
      </c>
    </row>
    <row r="5578" spans="8:11" x14ac:dyDescent="0.25">
      <c r="H5578">
        <v>40</v>
      </c>
      <c r="I5578">
        <v>600</v>
      </c>
      <c r="J5578">
        <v>70</v>
      </c>
      <c r="K5578" t="b">
        <v>1</v>
      </c>
    </row>
    <row r="5579" spans="8:11" x14ac:dyDescent="0.25">
      <c r="H5579">
        <v>40</v>
      </c>
      <c r="I5579">
        <v>650</v>
      </c>
      <c r="J5579">
        <v>70</v>
      </c>
      <c r="K5579" t="b">
        <v>1</v>
      </c>
    </row>
    <row r="5580" spans="8:11" x14ac:dyDescent="0.25">
      <c r="H5580">
        <v>40</v>
      </c>
      <c r="I5580">
        <v>700</v>
      </c>
      <c r="J5580">
        <v>70</v>
      </c>
      <c r="K5580" t="b">
        <v>1</v>
      </c>
    </row>
    <row r="5581" spans="8:11" x14ac:dyDescent="0.25">
      <c r="H5581">
        <v>40</v>
      </c>
      <c r="I5581">
        <v>750</v>
      </c>
      <c r="J5581">
        <v>70</v>
      </c>
      <c r="K5581" t="b">
        <v>1</v>
      </c>
    </row>
    <row r="5582" spans="8:11" x14ac:dyDescent="0.25">
      <c r="H5582">
        <v>40</v>
      </c>
      <c r="I5582">
        <v>800</v>
      </c>
      <c r="J5582">
        <v>70</v>
      </c>
      <c r="K5582" t="b">
        <v>1</v>
      </c>
    </row>
    <row r="5583" spans="8:11" x14ac:dyDescent="0.25">
      <c r="H5583">
        <v>40</v>
      </c>
      <c r="I5583">
        <v>850</v>
      </c>
      <c r="J5583">
        <v>70</v>
      </c>
      <c r="K5583" t="b">
        <v>1</v>
      </c>
    </row>
    <row r="5584" spans="8:11" x14ac:dyDescent="0.25">
      <c r="H5584">
        <v>40</v>
      </c>
      <c r="I5584">
        <v>900</v>
      </c>
      <c r="J5584">
        <v>70</v>
      </c>
      <c r="K5584" t="b">
        <v>1</v>
      </c>
    </row>
    <row r="5585" spans="8:11" x14ac:dyDescent="0.25">
      <c r="H5585">
        <v>41</v>
      </c>
      <c r="I5585">
        <v>0</v>
      </c>
      <c r="J5585">
        <v>80</v>
      </c>
      <c r="K5585" t="b">
        <v>1</v>
      </c>
    </row>
    <row r="5586" spans="8:11" x14ac:dyDescent="0.25">
      <c r="H5586">
        <v>41</v>
      </c>
      <c r="I5586">
        <v>25</v>
      </c>
      <c r="J5586">
        <v>80</v>
      </c>
      <c r="K5586" t="b">
        <v>1</v>
      </c>
    </row>
    <row r="5587" spans="8:11" x14ac:dyDescent="0.25">
      <c r="H5587">
        <v>41</v>
      </c>
      <c r="I5587">
        <v>50</v>
      </c>
      <c r="J5587">
        <v>80</v>
      </c>
      <c r="K5587" t="b">
        <v>1</v>
      </c>
    </row>
    <row r="5588" spans="8:11" x14ac:dyDescent="0.25">
      <c r="H5588">
        <v>41</v>
      </c>
      <c r="I5588">
        <v>75</v>
      </c>
      <c r="J5588">
        <v>80</v>
      </c>
      <c r="K5588" t="b">
        <v>1</v>
      </c>
    </row>
    <row r="5589" spans="8:11" x14ac:dyDescent="0.25">
      <c r="H5589">
        <v>41</v>
      </c>
      <c r="I5589">
        <v>100</v>
      </c>
      <c r="J5589">
        <v>80</v>
      </c>
      <c r="K5589" t="b">
        <v>1</v>
      </c>
    </row>
    <row r="5590" spans="8:11" x14ac:dyDescent="0.25">
      <c r="H5590">
        <v>41</v>
      </c>
      <c r="I5590">
        <v>125</v>
      </c>
      <c r="J5590">
        <v>80</v>
      </c>
      <c r="K5590" t="b">
        <v>1</v>
      </c>
    </row>
    <row r="5591" spans="8:11" x14ac:dyDescent="0.25">
      <c r="H5591">
        <v>41</v>
      </c>
      <c r="I5591">
        <v>150</v>
      </c>
      <c r="J5591">
        <v>80</v>
      </c>
      <c r="K5591" t="b">
        <v>1</v>
      </c>
    </row>
    <row r="5592" spans="8:11" x14ac:dyDescent="0.25">
      <c r="H5592">
        <v>41</v>
      </c>
      <c r="I5592">
        <v>175</v>
      </c>
      <c r="J5592">
        <v>80</v>
      </c>
      <c r="K5592" t="b">
        <v>1</v>
      </c>
    </row>
    <row r="5593" spans="8:11" x14ac:dyDescent="0.25">
      <c r="H5593">
        <v>41</v>
      </c>
      <c r="I5593">
        <v>200</v>
      </c>
      <c r="J5593">
        <v>80</v>
      </c>
      <c r="K5593" t="b">
        <v>1</v>
      </c>
    </row>
    <row r="5594" spans="8:11" x14ac:dyDescent="0.25">
      <c r="H5594">
        <v>41</v>
      </c>
      <c r="I5594">
        <v>225</v>
      </c>
      <c r="J5594">
        <v>80</v>
      </c>
      <c r="K5594" t="b">
        <v>1</v>
      </c>
    </row>
    <row r="5595" spans="8:11" x14ac:dyDescent="0.25">
      <c r="H5595">
        <v>41</v>
      </c>
      <c r="I5595">
        <v>250</v>
      </c>
      <c r="J5595">
        <v>80</v>
      </c>
      <c r="K5595" t="b">
        <v>1</v>
      </c>
    </row>
    <row r="5596" spans="8:11" x14ac:dyDescent="0.25">
      <c r="H5596">
        <v>41</v>
      </c>
      <c r="I5596">
        <v>275</v>
      </c>
      <c r="J5596">
        <v>80</v>
      </c>
      <c r="K5596" t="b">
        <v>1</v>
      </c>
    </row>
    <row r="5597" spans="8:11" x14ac:dyDescent="0.25">
      <c r="H5597">
        <v>41</v>
      </c>
      <c r="I5597">
        <v>300</v>
      </c>
      <c r="J5597">
        <v>80</v>
      </c>
      <c r="K5597" t="b">
        <v>1</v>
      </c>
    </row>
    <row r="5598" spans="8:11" x14ac:dyDescent="0.25">
      <c r="H5598">
        <v>41</v>
      </c>
      <c r="I5598">
        <v>325</v>
      </c>
      <c r="J5598">
        <v>80</v>
      </c>
      <c r="K5598" t="b">
        <v>1</v>
      </c>
    </row>
    <row r="5599" spans="8:11" x14ac:dyDescent="0.25">
      <c r="H5599">
        <v>41</v>
      </c>
      <c r="I5599">
        <v>350</v>
      </c>
      <c r="J5599">
        <v>80</v>
      </c>
      <c r="K5599" t="b">
        <v>1</v>
      </c>
    </row>
    <row r="5600" spans="8:11" x14ac:dyDescent="0.25">
      <c r="H5600">
        <v>41</v>
      </c>
      <c r="I5600">
        <v>375</v>
      </c>
      <c r="J5600">
        <v>80</v>
      </c>
      <c r="K5600" t="b">
        <v>1</v>
      </c>
    </row>
    <row r="5601" spans="8:11" x14ac:dyDescent="0.25">
      <c r="H5601">
        <v>41</v>
      </c>
      <c r="I5601">
        <v>400</v>
      </c>
      <c r="J5601">
        <v>80</v>
      </c>
      <c r="K5601" t="b">
        <v>1</v>
      </c>
    </row>
    <row r="5602" spans="8:11" x14ac:dyDescent="0.25">
      <c r="H5602">
        <v>41</v>
      </c>
      <c r="I5602">
        <v>425</v>
      </c>
      <c r="J5602">
        <v>80</v>
      </c>
      <c r="K5602" t="b">
        <v>1</v>
      </c>
    </row>
    <row r="5603" spans="8:11" x14ac:dyDescent="0.25">
      <c r="H5603">
        <v>41</v>
      </c>
      <c r="I5603">
        <v>450</v>
      </c>
      <c r="J5603">
        <v>80</v>
      </c>
      <c r="K5603" t="b">
        <v>1</v>
      </c>
    </row>
    <row r="5604" spans="8:11" x14ac:dyDescent="0.25">
      <c r="H5604">
        <v>41</v>
      </c>
      <c r="I5604">
        <v>475</v>
      </c>
      <c r="J5604">
        <v>80</v>
      </c>
      <c r="K5604" t="b">
        <v>1</v>
      </c>
    </row>
    <row r="5605" spans="8:11" x14ac:dyDescent="0.25">
      <c r="H5605">
        <v>41</v>
      </c>
      <c r="I5605">
        <v>500</v>
      </c>
      <c r="J5605">
        <v>80</v>
      </c>
      <c r="K5605" t="b">
        <v>1</v>
      </c>
    </row>
    <row r="5606" spans="8:11" x14ac:dyDescent="0.25">
      <c r="H5606">
        <v>41</v>
      </c>
      <c r="I5606">
        <v>525</v>
      </c>
      <c r="J5606">
        <v>80</v>
      </c>
      <c r="K5606" t="b">
        <v>1</v>
      </c>
    </row>
    <row r="5607" spans="8:11" x14ac:dyDescent="0.25">
      <c r="H5607">
        <v>41</v>
      </c>
      <c r="I5607">
        <v>550</v>
      </c>
      <c r="J5607">
        <v>80</v>
      </c>
      <c r="K5607" t="b">
        <v>1</v>
      </c>
    </row>
    <row r="5608" spans="8:11" x14ac:dyDescent="0.25">
      <c r="H5608">
        <v>41</v>
      </c>
      <c r="I5608">
        <v>575</v>
      </c>
      <c r="J5608">
        <v>80</v>
      </c>
      <c r="K5608" t="b">
        <v>1</v>
      </c>
    </row>
    <row r="5609" spans="8:11" x14ac:dyDescent="0.25">
      <c r="H5609">
        <v>41</v>
      </c>
      <c r="I5609">
        <v>600</v>
      </c>
      <c r="J5609">
        <v>80</v>
      </c>
      <c r="K5609" t="b">
        <v>1</v>
      </c>
    </row>
    <row r="5610" spans="8:11" x14ac:dyDescent="0.25">
      <c r="H5610">
        <v>41</v>
      </c>
      <c r="I5610">
        <v>625</v>
      </c>
      <c r="J5610">
        <v>80</v>
      </c>
      <c r="K5610" t="b">
        <v>1</v>
      </c>
    </row>
    <row r="5611" spans="8:11" x14ac:dyDescent="0.25">
      <c r="H5611">
        <v>41</v>
      </c>
      <c r="I5611">
        <v>650</v>
      </c>
      <c r="J5611">
        <v>80</v>
      </c>
      <c r="K5611" t="b">
        <v>1</v>
      </c>
    </row>
    <row r="5612" spans="8:11" x14ac:dyDescent="0.25">
      <c r="H5612">
        <v>41</v>
      </c>
      <c r="I5612">
        <v>675</v>
      </c>
      <c r="J5612">
        <v>80</v>
      </c>
      <c r="K5612" t="b">
        <v>1</v>
      </c>
    </row>
    <row r="5613" spans="8:11" x14ac:dyDescent="0.25">
      <c r="H5613">
        <v>41</v>
      </c>
      <c r="I5613">
        <v>700</v>
      </c>
      <c r="J5613">
        <v>80</v>
      </c>
      <c r="K5613" t="b">
        <v>1</v>
      </c>
    </row>
    <row r="5614" spans="8:11" x14ac:dyDescent="0.25">
      <c r="H5614">
        <v>41</v>
      </c>
      <c r="I5614">
        <v>725</v>
      </c>
      <c r="J5614">
        <v>80</v>
      </c>
      <c r="K5614" t="b">
        <v>1</v>
      </c>
    </row>
    <row r="5615" spans="8:11" x14ac:dyDescent="0.25">
      <c r="H5615">
        <v>41</v>
      </c>
      <c r="I5615">
        <v>750</v>
      </c>
      <c r="J5615">
        <v>80</v>
      </c>
      <c r="K5615" t="b">
        <v>1</v>
      </c>
    </row>
    <row r="5616" spans="8:11" x14ac:dyDescent="0.25">
      <c r="H5616">
        <v>41</v>
      </c>
      <c r="I5616">
        <v>775</v>
      </c>
      <c r="J5616">
        <v>80</v>
      </c>
      <c r="K5616" t="b">
        <v>1</v>
      </c>
    </row>
    <row r="5617" spans="8:11" x14ac:dyDescent="0.25">
      <c r="H5617">
        <v>41</v>
      </c>
      <c r="I5617">
        <v>800</v>
      </c>
      <c r="J5617">
        <v>80</v>
      </c>
      <c r="K5617" t="b">
        <v>1</v>
      </c>
    </row>
    <row r="5618" spans="8:11" x14ac:dyDescent="0.25">
      <c r="H5618">
        <v>41</v>
      </c>
      <c r="I5618">
        <v>825</v>
      </c>
      <c r="J5618">
        <v>80</v>
      </c>
      <c r="K5618" t="b">
        <v>1</v>
      </c>
    </row>
    <row r="5619" spans="8:11" x14ac:dyDescent="0.25">
      <c r="H5619">
        <v>41</v>
      </c>
      <c r="I5619">
        <v>850</v>
      </c>
      <c r="J5619">
        <v>80</v>
      </c>
      <c r="K5619" t="b">
        <v>1</v>
      </c>
    </row>
    <row r="5620" spans="8:11" x14ac:dyDescent="0.25">
      <c r="H5620">
        <v>41</v>
      </c>
      <c r="I5620">
        <v>875</v>
      </c>
      <c r="J5620">
        <v>80</v>
      </c>
      <c r="K5620" t="b">
        <v>1</v>
      </c>
    </row>
    <row r="5621" spans="8:11" x14ac:dyDescent="0.25">
      <c r="H5621">
        <v>41</v>
      </c>
      <c r="I5621">
        <v>900</v>
      </c>
      <c r="J5621">
        <v>80</v>
      </c>
      <c r="K5621" t="b">
        <v>1</v>
      </c>
    </row>
    <row r="5622" spans="8:11" x14ac:dyDescent="0.25">
      <c r="H5622">
        <v>41</v>
      </c>
      <c r="I5622">
        <v>925</v>
      </c>
      <c r="J5622">
        <v>80</v>
      </c>
      <c r="K5622" t="b">
        <v>1</v>
      </c>
    </row>
    <row r="5623" spans="8:11" x14ac:dyDescent="0.25">
      <c r="H5623">
        <v>42</v>
      </c>
      <c r="I5623">
        <v>0</v>
      </c>
      <c r="J5623">
        <v>80</v>
      </c>
      <c r="K5623" t="b">
        <v>1</v>
      </c>
    </row>
    <row r="5624" spans="8:11" x14ac:dyDescent="0.25">
      <c r="H5624">
        <v>42</v>
      </c>
      <c r="I5624">
        <v>25</v>
      </c>
      <c r="J5624">
        <v>80</v>
      </c>
      <c r="K5624" t="b">
        <v>1</v>
      </c>
    </row>
    <row r="5625" spans="8:11" x14ac:dyDescent="0.25">
      <c r="H5625">
        <v>42</v>
      </c>
      <c r="I5625">
        <v>50</v>
      </c>
      <c r="J5625">
        <v>80</v>
      </c>
      <c r="K5625" t="b">
        <v>1</v>
      </c>
    </row>
    <row r="5626" spans="8:11" x14ac:dyDescent="0.25">
      <c r="H5626">
        <v>42</v>
      </c>
      <c r="I5626">
        <v>75</v>
      </c>
      <c r="J5626">
        <v>80</v>
      </c>
      <c r="K5626" t="b">
        <v>1</v>
      </c>
    </row>
    <row r="5627" spans="8:11" x14ac:dyDescent="0.25">
      <c r="H5627">
        <v>42</v>
      </c>
      <c r="I5627">
        <v>100</v>
      </c>
      <c r="J5627">
        <v>80</v>
      </c>
      <c r="K5627" t="b">
        <v>1</v>
      </c>
    </row>
    <row r="5628" spans="8:11" x14ac:dyDescent="0.25">
      <c r="H5628">
        <v>42</v>
      </c>
      <c r="I5628">
        <v>125</v>
      </c>
      <c r="J5628">
        <v>80</v>
      </c>
      <c r="K5628" t="b">
        <v>1</v>
      </c>
    </row>
    <row r="5629" spans="8:11" x14ac:dyDescent="0.25">
      <c r="H5629">
        <v>42</v>
      </c>
      <c r="I5629">
        <v>150</v>
      </c>
      <c r="J5629">
        <v>80</v>
      </c>
      <c r="K5629" t="b">
        <v>1</v>
      </c>
    </row>
    <row r="5630" spans="8:11" x14ac:dyDescent="0.25">
      <c r="H5630">
        <v>42</v>
      </c>
      <c r="I5630">
        <v>175</v>
      </c>
      <c r="J5630">
        <v>80</v>
      </c>
      <c r="K5630" t="b">
        <v>1</v>
      </c>
    </row>
    <row r="5631" spans="8:11" x14ac:dyDescent="0.25">
      <c r="H5631">
        <v>42</v>
      </c>
      <c r="I5631">
        <v>200</v>
      </c>
      <c r="J5631">
        <v>80</v>
      </c>
      <c r="K5631" t="b">
        <v>1</v>
      </c>
    </row>
    <row r="5632" spans="8:11" x14ac:dyDescent="0.25">
      <c r="H5632">
        <v>42</v>
      </c>
      <c r="I5632">
        <v>225</v>
      </c>
      <c r="J5632">
        <v>80</v>
      </c>
      <c r="K5632" t="b">
        <v>1</v>
      </c>
    </row>
    <row r="5633" spans="8:11" x14ac:dyDescent="0.25">
      <c r="H5633">
        <v>42</v>
      </c>
      <c r="I5633">
        <v>250</v>
      </c>
      <c r="J5633">
        <v>80</v>
      </c>
      <c r="K5633" t="b">
        <v>1</v>
      </c>
    </row>
    <row r="5634" spans="8:11" x14ac:dyDescent="0.25">
      <c r="H5634">
        <v>42</v>
      </c>
      <c r="I5634">
        <v>275</v>
      </c>
      <c r="J5634">
        <v>80</v>
      </c>
      <c r="K5634" t="b">
        <v>1</v>
      </c>
    </row>
    <row r="5635" spans="8:11" x14ac:dyDescent="0.25">
      <c r="H5635">
        <v>42</v>
      </c>
      <c r="I5635">
        <v>300</v>
      </c>
      <c r="J5635">
        <v>80</v>
      </c>
      <c r="K5635" t="b">
        <v>1</v>
      </c>
    </row>
    <row r="5636" spans="8:11" x14ac:dyDescent="0.25">
      <c r="H5636">
        <v>42</v>
      </c>
      <c r="I5636">
        <v>325</v>
      </c>
      <c r="J5636">
        <v>80</v>
      </c>
      <c r="K5636" t="b">
        <v>1</v>
      </c>
    </row>
    <row r="5637" spans="8:11" x14ac:dyDescent="0.25">
      <c r="H5637">
        <v>42</v>
      </c>
      <c r="I5637">
        <v>350</v>
      </c>
      <c r="J5637">
        <v>80</v>
      </c>
      <c r="K5637" t="b">
        <v>1</v>
      </c>
    </row>
    <row r="5638" spans="8:11" x14ac:dyDescent="0.25">
      <c r="H5638">
        <v>42</v>
      </c>
      <c r="I5638">
        <v>375</v>
      </c>
      <c r="J5638">
        <v>80</v>
      </c>
      <c r="K5638" t="b">
        <v>1</v>
      </c>
    </row>
    <row r="5639" spans="8:11" x14ac:dyDescent="0.25">
      <c r="H5639">
        <v>42</v>
      </c>
      <c r="I5639">
        <v>400</v>
      </c>
      <c r="J5639">
        <v>80</v>
      </c>
      <c r="K5639" t="b">
        <v>1</v>
      </c>
    </row>
    <row r="5640" spans="8:11" x14ac:dyDescent="0.25">
      <c r="H5640">
        <v>42</v>
      </c>
      <c r="I5640">
        <v>425</v>
      </c>
      <c r="J5640">
        <v>80</v>
      </c>
      <c r="K5640" t="b">
        <v>1</v>
      </c>
    </row>
    <row r="5641" spans="8:11" x14ac:dyDescent="0.25">
      <c r="H5641">
        <v>42</v>
      </c>
      <c r="I5641">
        <v>450</v>
      </c>
      <c r="J5641">
        <v>80</v>
      </c>
      <c r="K5641" t="b">
        <v>1</v>
      </c>
    </row>
    <row r="5642" spans="8:11" x14ac:dyDescent="0.25">
      <c r="H5642">
        <v>42</v>
      </c>
      <c r="I5642">
        <v>475</v>
      </c>
      <c r="J5642">
        <v>80</v>
      </c>
      <c r="K5642" t="b">
        <v>1</v>
      </c>
    </row>
    <row r="5643" spans="8:11" x14ac:dyDescent="0.25">
      <c r="H5643">
        <v>42</v>
      </c>
      <c r="I5643">
        <v>500</v>
      </c>
      <c r="J5643">
        <v>80</v>
      </c>
      <c r="K5643" t="b">
        <v>1</v>
      </c>
    </row>
    <row r="5644" spans="8:11" x14ac:dyDescent="0.25">
      <c r="H5644">
        <v>42</v>
      </c>
      <c r="I5644">
        <v>525</v>
      </c>
      <c r="J5644">
        <v>80</v>
      </c>
      <c r="K5644" t="b">
        <v>1</v>
      </c>
    </row>
    <row r="5645" spans="8:11" x14ac:dyDescent="0.25">
      <c r="H5645">
        <v>42</v>
      </c>
      <c r="I5645">
        <v>550</v>
      </c>
      <c r="J5645">
        <v>80</v>
      </c>
      <c r="K5645" t="b">
        <v>1</v>
      </c>
    </row>
    <row r="5646" spans="8:11" x14ac:dyDescent="0.25">
      <c r="H5646">
        <v>42</v>
      </c>
      <c r="I5646">
        <v>575</v>
      </c>
      <c r="J5646">
        <v>80</v>
      </c>
      <c r="K5646" t="b">
        <v>1</v>
      </c>
    </row>
    <row r="5647" spans="8:11" x14ac:dyDescent="0.25">
      <c r="H5647">
        <v>42</v>
      </c>
      <c r="I5647">
        <v>600</v>
      </c>
      <c r="J5647">
        <v>80</v>
      </c>
      <c r="K5647" t="b">
        <v>1</v>
      </c>
    </row>
    <row r="5648" spans="8:11" x14ac:dyDescent="0.25">
      <c r="H5648">
        <v>42</v>
      </c>
      <c r="I5648">
        <v>625</v>
      </c>
      <c r="J5648">
        <v>80</v>
      </c>
      <c r="K5648" t="b">
        <v>1</v>
      </c>
    </row>
    <row r="5649" spans="8:11" x14ac:dyDescent="0.25">
      <c r="H5649">
        <v>42</v>
      </c>
      <c r="I5649">
        <v>650</v>
      </c>
      <c r="J5649">
        <v>80</v>
      </c>
      <c r="K5649" t="b">
        <v>1</v>
      </c>
    </row>
    <row r="5650" spans="8:11" x14ac:dyDescent="0.25">
      <c r="H5650">
        <v>42</v>
      </c>
      <c r="I5650">
        <v>675</v>
      </c>
      <c r="J5650">
        <v>80</v>
      </c>
      <c r="K5650" t="b">
        <v>1</v>
      </c>
    </row>
    <row r="5651" spans="8:11" x14ac:dyDescent="0.25">
      <c r="H5651">
        <v>42</v>
      </c>
      <c r="I5651">
        <v>700</v>
      </c>
      <c r="J5651">
        <v>80</v>
      </c>
      <c r="K5651" t="b">
        <v>1</v>
      </c>
    </row>
    <row r="5652" spans="8:11" x14ac:dyDescent="0.25">
      <c r="H5652">
        <v>42</v>
      </c>
      <c r="I5652">
        <v>725</v>
      </c>
      <c r="J5652">
        <v>80</v>
      </c>
      <c r="K5652" t="b">
        <v>1</v>
      </c>
    </row>
    <row r="5653" spans="8:11" x14ac:dyDescent="0.25">
      <c r="H5653">
        <v>42</v>
      </c>
      <c r="I5653">
        <v>750</v>
      </c>
      <c r="J5653">
        <v>80</v>
      </c>
      <c r="K5653" t="b">
        <v>1</v>
      </c>
    </row>
    <row r="5654" spans="8:11" x14ac:dyDescent="0.25">
      <c r="H5654">
        <v>42</v>
      </c>
      <c r="I5654">
        <v>775</v>
      </c>
      <c r="J5654">
        <v>80</v>
      </c>
      <c r="K5654" t="b">
        <v>1</v>
      </c>
    </row>
    <row r="5655" spans="8:11" x14ac:dyDescent="0.25">
      <c r="H5655">
        <v>42</v>
      </c>
      <c r="I5655">
        <v>800</v>
      </c>
      <c r="J5655">
        <v>80</v>
      </c>
      <c r="K5655" t="b">
        <v>1</v>
      </c>
    </row>
    <row r="5656" spans="8:11" x14ac:dyDescent="0.25">
      <c r="H5656">
        <v>42</v>
      </c>
      <c r="I5656">
        <v>825</v>
      </c>
      <c r="J5656">
        <v>80</v>
      </c>
      <c r="K5656" t="b">
        <v>1</v>
      </c>
    </row>
    <row r="5657" spans="8:11" x14ac:dyDescent="0.25">
      <c r="H5657">
        <v>42</v>
      </c>
      <c r="I5657">
        <v>850</v>
      </c>
      <c r="J5657">
        <v>80</v>
      </c>
      <c r="K5657" t="b">
        <v>1</v>
      </c>
    </row>
    <row r="5658" spans="8:11" x14ac:dyDescent="0.25">
      <c r="H5658">
        <v>42</v>
      </c>
      <c r="I5658">
        <v>875</v>
      </c>
      <c r="J5658">
        <v>80</v>
      </c>
      <c r="K5658" t="b">
        <v>1</v>
      </c>
    </row>
    <row r="5659" spans="8:11" x14ac:dyDescent="0.25">
      <c r="H5659">
        <v>42</v>
      </c>
      <c r="I5659">
        <v>900</v>
      </c>
      <c r="J5659">
        <v>80</v>
      </c>
      <c r="K5659" t="b">
        <v>1</v>
      </c>
    </row>
    <row r="5660" spans="8:11" x14ac:dyDescent="0.25">
      <c r="H5660">
        <v>42</v>
      </c>
      <c r="I5660">
        <v>925</v>
      </c>
      <c r="J5660">
        <v>80</v>
      </c>
      <c r="K5660" t="b">
        <v>1</v>
      </c>
    </row>
    <row r="5661" spans="8:11" x14ac:dyDescent="0.25">
      <c r="H5661">
        <v>43</v>
      </c>
      <c r="I5661">
        <v>0</v>
      </c>
      <c r="J5661">
        <v>80</v>
      </c>
      <c r="K5661" t="b">
        <v>1</v>
      </c>
    </row>
    <row r="5662" spans="8:11" x14ac:dyDescent="0.25">
      <c r="H5662">
        <v>43</v>
      </c>
      <c r="I5662">
        <v>60</v>
      </c>
      <c r="J5662">
        <v>80</v>
      </c>
      <c r="K5662" t="b">
        <v>1</v>
      </c>
    </row>
    <row r="5663" spans="8:11" x14ac:dyDescent="0.25">
      <c r="H5663">
        <v>43</v>
      </c>
      <c r="I5663">
        <v>120</v>
      </c>
      <c r="J5663">
        <v>80</v>
      </c>
      <c r="K5663" t="b">
        <v>1</v>
      </c>
    </row>
    <row r="5664" spans="8:11" x14ac:dyDescent="0.25">
      <c r="H5664">
        <v>43</v>
      </c>
      <c r="I5664">
        <v>180</v>
      </c>
      <c r="J5664">
        <v>80</v>
      </c>
      <c r="K5664" t="b">
        <v>1</v>
      </c>
    </row>
    <row r="5665" spans="8:11" x14ac:dyDescent="0.25">
      <c r="H5665">
        <v>43</v>
      </c>
      <c r="I5665">
        <v>240</v>
      </c>
      <c r="J5665">
        <v>80</v>
      </c>
      <c r="K5665" t="b">
        <v>1</v>
      </c>
    </row>
    <row r="5666" spans="8:11" x14ac:dyDescent="0.25">
      <c r="H5666">
        <v>43</v>
      </c>
      <c r="I5666">
        <v>300</v>
      </c>
      <c r="J5666">
        <v>80</v>
      </c>
      <c r="K5666" t="b">
        <v>1</v>
      </c>
    </row>
    <row r="5667" spans="8:11" x14ac:dyDescent="0.25">
      <c r="H5667">
        <v>43</v>
      </c>
      <c r="I5667">
        <v>360</v>
      </c>
      <c r="J5667">
        <v>80</v>
      </c>
      <c r="K5667" t="b">
        <v>1</v>
      </c>
    </row>
    <row r="5668" spans="8:11" x14ac:dyDescent="0.25">
      <c r="H5668">
        <v>43</v>
      </c>
      <c r="I5668">
        <v>420</v>
      </c>
      <c r="J5668">
        <v>80</v>
      </c>
      <c r="K5668" t="b">
        <v>1</v>
      </c>
    </row>
    <row r="5669" spans="8:11" x14ac:dyDescent="0.25">
      <c r="H5669">
        <v>43</v>
      </c>
      <c r="I5669">
        <v>480</v>
      </c>
      <c r="J5669">
        <v>80</v>
      </c>
      <c r="K5669" t="b">
        <v>1</v>
      </c>
    </row>
    <row r="5670" spans="8:11" x14ac:dyDescent="0.25">
      <c r="H5670">
        <v>43</v>
      </c>
      <c r="I5670">
        <v>540</v>
      </c>
      <c r="J5670">
        <v>80</v>
      </c>
      <c r="K5670" t="b">
        <v>1</v>
      </c>
    </row>
    <row r="5671" spans="8:11" x14ac:dyDescent="0.25">
      <c r="H5671">
        <v>43</v>
      </c>
      <c r="I5671">
        <v>600</v>
      </c>
      <c r="J5671">
        <v>80</v>
      </c>
      <c r="K5671" t="b">
        <v>1</v>
      </c>
    </row>
    <row r="5672" spans="8:11" x14ac:dyDescent="0.25">
      <c r="H5672">
        <v>43</v>
      </c>
      <c r="I5672">
        <v>660</v>
      </c>
      <c r="J5672">
        <v>80</v>
      </c>
      <c r="K5672" t="b">
        <v>1</v>
      </c>
    </row>
    <row r="5673" spans="8:11" x14ac:dyDescent="0.25">
      <c r="H5673">
        <v>43</v>
      </c>
      <c r="I5673">
        <v>720</v>
      </c>
      <c r="J5673">
        <v>80</v>
      </c>
      <c r="K5673" t="b">
        <v>1</v>
      </c>
    </row>
    <row r="5674" spans="8:11" x14ac:dyDescent="0.25">
      <c r="H5674">
        <v>43</v>
      </c>
      <c r="I5674">
        <v>780</v>
      </c>
      <c r="J5674">
        <v>80</v>
      </c>
      <c r="K5674" t="b">
        <v>1</v>
      </c>
    </row>
    <row r="5675" spans="8:11" x14ac:dyDescent="0.25">
      <c r="H5675">
        <v>43</v>
      </c>
      <c r="I5675">
        <v>840</v>
      </c>
      <c r="J5675">
        <v>80</v>
      </c>
      <c r="K5675" t="b">
        <v>1</v>
      </c>
    </row>
    <row r="5676" spans="8:11" x14ac:dyDescent="0.25">
      <c r="H5676">
        <v>43</v>
      </c>
      <c r="I5676">
        <v>900</v>
      </c>
      <c r="J5676">
        <v>80</v>
      </c>
      <c r="K5676" t="b">
        <v>1</v>
      </c>
    </row>
    <row r="5677" spans="8:11" x14ac:dyDescent="0.25">
      <c r="H5677">
        <v>44</v>
      </c>
      <c r="I5677">
        <v>0</v>
      </c>
      <c r="J5677">
        <v>80</v>
      </c>
      <c r="K5677" t="b">
        <v>1</v>
      </c>
    </row>
    <row r="5678" spans="8:11" x14ac:dyDescent="0.25">
      <c r="H5678">
        <v>44</v>
      </c>
      <c r="I5678">
        <v>60</v>
      </c>
      <c r="J5678">
        <v>80</v>
      </c>
      <c r="K5678" t="b">
        <v>1</v>
      </c>
    </row>
    <row r="5679" spans="8:11" x14ac:dyDescent="0.25">
      <c r="H5679">
        <v>44</v>
      </c>
      <c r="I5679">
        <v>120</v>
      </c>
      <c r="J5679">
        <v>80</v>
      </c>
      <c r="K5679" t="b">
        <v>1</v>
      </c>
    </row>
    <row r="5680" spans="8:11" x14ac:dyDescent="0.25">
      <c r="H5680">
        <v>44</v>
      </c>
      <c r="I5680">
        <v>180</v>
      </c>
      <c r="J5680">
        <v>80</v>
      </c>
      <c r="K5680" t="b">
        <v>1</v>
      </c>
    </row>
    <row r="5681" spans="8:11" x14ac:dyDescent="0.25">
      <c r="H5681">
        <v>44</v>
      </c>
      <c r="I5681">
        <v>240</v>
      </c>
      <c r="J5681">
        <v>80</v>
      </c>
      <c r="K5681" t="b">
        <v>1</v>
      </c>
    </row>
    <row r="5682" spans="8:11" x14ac:dyDescent="0.25">
      <c r="H5682">
        <v>44</v>
      </c>
      <c r="I5682">
        <v>300</v>
      </c>
      <c r="J5682">
        <v>80</v>
      </c>
      <c r="K5682" t="b">
        <v>1</v>
      </c>
    </row>
    <row r="5683" spans="8:11" x14ac:dyDescent="0.25">
      <c r="H5683">
        <v>44</v>
      </c>
      <c r="I5683">
        <v>360</v>
      </c>
      <c r="J5683">
        <v>80</v>
      </c>
      <c r="K5683" t="b">
        <v>1</v>
      </c>
    </row>
    <row r="5684" spans="8:11" x14ac:dyDescent="0.25">
      <c r="H5684">
        <v>44</v>
      </c>
      <c r="I5684">
        <v>420</v>
      </c>
      <c r="J5684">
        <v>80</v>
      </c>
      <c r="K5684" t="b">
        <v>1</v>
      </c>
    </row>
    <row r="5685" spans="8:11" x14ac:dyDescent="0.25">
      <c r="H5685">
        <v>44</v>
      </c>
      <c r="I5685">
        <v>480</v>
      </c>
      <c r="J5685">
        <v>80</v>
      </c>
      <c r="K5685" t="b">
        <v>1</v>
      </c>
    </row>
    <row r="5686" spans="8:11" x14ac:dyDescent="0.25">
      <c r="H5686">
        <v>44</v>
      </c>
      <c r="I5686">
        <v>540</v>
      </c>
      <c r="J5686">
        <v>80</v>
      </c>
      <c r="K5686" t="b">
        <v>1</v>
      </c>
    </row>
    <row r="5687" spans="8:11" x14ac:dyDescent="0.25">
      <c r="H5687">
        <v>44</v>
      </c>
      <c r="I5687">
        <v>600</v>
      </c>
      <c r="J5687">
        <v>80</v>
      </c>
      <c r="K5687" t="b">
        <v>1</v>
      </c>
    </row>
    <row r="5688" spans="8:11" x14ac:dyDescent="0.25">
      <c r="H5688">
        <v>44</v>
      </c>
      <c r="I5688">
        <v>660</v>
      </c>
      <c r="J5688">
        <v>80</v>
      </c>
      <c r="K5688" t="b">
        <v>1</v>
      </c>
    </row>
    <row r="5689" spans="8:11" x14ac:dyDescent="0.25">
      <c r="H5689">
        <v>44</v>
      </c>
      <c r="I5689">
        <v>720</v>
      </c>
      <c r="J5689">
        <v>80</v>
      </c>
      <c r="K5689" t="b">
        <v>1</v>
      </c>
    </row>
    <row r="5690" spans="8:11" x14ac:dyDescent="0.25">
      <c r="H5690">
        <v>44</v>
      </c>
      <c r="I5690">
        <v>780</v>
      </c>
      <c r="J5690">
        <v>80</v>
      </c>
      <c r="K5690" t="b">
        <v>1</v>
      </c>
    </row>
    <row r="5691" spans="8:11" x14ac:dyDescent="0.25">
      <c r="H5691">
        <v>44</v>
      </c>
      <c r="I5691">
        <v>840</v>
      </c>
      <c r="J5691">
        <v>80</v>
      </c>
      <c r="K5691" t="b">
        <v>1</v>
      </c>
    </row>
    <row r="5692" spans="8:11" x14ac:dyDescent="0.25">
      <c r="H5692">
        <v>44</v>
      </c>
      <c r="I5692">
        <v>900</v>
      </c>
      <c r="J5692">
        <v>80</v>
      </c>
      <c r="K5692" t="b">
        <v>1</v>
      </c>
    </row>
    <row r="5693" spans="8:11" x14ac:dyDescent="0.25">
      <c r="H5693">
        <v>45</v>
      </c>
      <c r="I5693">
        <v>0</v>
      </c>
      <c r="J5693">
        <v>110</v>
      </c>
      <c r="K5693" t="b">
        <v>1</v>
      </c>
    </row>
    <row r="5694" spans="8:11" x14ac:dyDescent="0.25">
      <c r="H5694">
        <v>45</v>
      </c>
      <c r="I5694">
        <v>30</v>
      </c>
      <c r="J5694">
        <v>110</v>
      </c>
      <c r="K5694" t="b">
        <v>1</v>
      </c>
    </row>
    <row r="5695" spans="8:11" x14ac:dyDescent="0.25">
      <c r="H5695">
        <v>45</v>
      </c>
      <c r="I5695">
        <v>60</v>
      </c>
      <c r="J5695">
        <v>110</v>
      </c>
      <c r="K5695" t="b">
        <v>1</v>
      </c>
    </row>
    <row r="5696" spans="8:11" x14ac:dyDescent="0.25">
      <c r="H5696">
        <v>45</v>
      </c>
      <c r="I5696">
        <v>90</v>
      </c>
      <c r="J5696">
        <v>110</v>
      </c>
      <c r="K5696" t="b">
        <v>1</v>
      </c>
    </row>
    <row r="5697" spans="8:11" x14ac:dyDescent="0.25">
      <c r="H5697">
        <v>45</v>
      </c>
      <c r="I5697">
        <v>120</v>
      </c>
      <c r="J5697">
        <v>110</v>
      </c>
      <c r="K5697" t="b">
        <v>1</v>
      </c>
    </row>
    <row r="5698" spans="8:11" x14ac:dyDescent="0.25">
      <c r="H5698">
        <v>45</v>
      </c>
      <c r="I5698">
        <v>150</v>
      </c>
      <c r="J5698">
        <v>110</v>
      </c>
      <c r="K5698" t="b">
        <v>1</v>
      </c>
    </row>
    <row r="5699" spans="8:11" x14ac:dyDescent="0.25">
      <c r="H5699">
        <v>45</v>
      </c>
      <c r="I5699">
        <v>180</v>
      </c>
      <c r="J5699">
        <v>110</v>
      </c>
      <c r="K5699" t="b">
        <v>1</v>
      </c>
    </row>
    <row r="5700" spans="8:11" x14ac:dyDescent="0.25">
      <c r="H5700">
        <v>45</v>
      </c>
      <c r="I5700">
        <v>210</v>
      </c>
      <c r="J5700">
        <v>110</v>
      </c>
      <c r="K5700" t="b">
        <v>1</v>
      </c>
    </row>
    <row r="5701" spans="8:11" x14ac:dyDescent="0.25">
      <c r="H5701">
        <v>45</v>
      </c>
      <c r="I5701">
        <v>240</v>
      </c>
      <c r="J5701">
        <v>110</v>
      </c>
      <c r="K5701" t="b">
        <v>1</v>
      </c>
    </row>
    <row r="5702" spans="8:11" x14ac:dyDescent="0.25">
      <c r="H5702">
        <v>45</v>
      </c>
      <c r="I5702">
        <v>270</v>
      </c>
      <c r="J5702">
        <v>110</v>
      </c>
      <c r="K5702" t="b">
        <v>1</v>
      </c>
    </row>
    <row r="5703" spans="8:11" x14ac:dyDescent="0.25">
      <c r="H5703">
        <v>45</v>
      </c>
      <c r="I5703">
        <v>300</v>
      </c>
      <c r="J5703">
        <v>110</v>
      </c>
      <c r="K5703" t="b">
        <v>1</v>
      </c>
    </row>
    <row r="5704" spans="8:11" x14ac:dyDescent="0.25">
      <c r="H5704">
        <v>45</v>
      </c>
      <c r="I5704">
        <v>330</v>
      </c>
      <c r="J5704">
        <v>110</v>
      </c>
      <c r="K5704" t="b">
        <v>1</v>
      </c>
    </row>
    <row r="5705" spans="8:11" x14ac:dyDescent="0.25">
      <c r="H5705">
        <v>45</v>
      </c>
      <c r="I5705">
        <v>360</v>
      </c>
      <c r="J5705">
        <v>110</v>
      </c>
      <c r="K5705" t="b">
        <v>1</v>
      </c>
    </row>
    <row r="5706" spans="8:11" x14ac:dyDescent="0.25">
      <c r="H5706">
        <v>45</v>
      </c>
      <c r="I5706">
        <v>390</v>
      </c>
      <c r="J5706">
        <v>110</v>
      </c>
      <c r="K5706" t="b">
        <v>1</v>
      </c>
    </row>
    <row r="5707" spans="8:11" x14ac:dyDescent="0.25">
      <c r="H5707">
        <v>45</v>
      </c>
      <c r="I5707">
        <v>420</v>
      </c>
      <c r="J5707">
        <v>110</v>
      </c>
      <c r="K5707" t="b">
        <v>1</v>
      </c>
    </row>
    <row r="5708" spans="8:11" x14ac:dyDescent="0.25">
      <c r="H5708">
        <v>45</v>
      </c>
      <c r="I5708">
        <v>450</v>
      </c>
      <c r="J5708">
        <v>110</v>
      </c>
      <c r="K5708" t="b">
        <v>1</v>
      </c>
    </row>
    <row r="5709" spans="8:11" x14ac:dyDescent="0.25">
      <c r="H5709">
        <v>45</v>
      </c>
      <c r="I5709">
        <v>480</v>
      </c>
      <c r="J5709">
        <v>110</v>
      </c>
      <c r="K5709" t="b">
        <v>1</v>
      </c>
    </row>
    <row r="5710" spans="8:11" x14ac:dyDescent="0.25">
      <c r="H5710">
        <v>45</v>
      </c>
      <c r="I5710">
        <v>510</v>
      </c>
      <c r="J5710">
        <v>110</v>
      </c>
      <c r="K5710" t="b">
        <v>1</v>
      </c>
    </row>
    <row r="5711" spans="8:11" x14ac:dyDescent="0.25">
      <c r="H5711">
        <v>45</v>
      </c>
      <c r="I5711">
        <v>540</v>
      </c>
      <c r="J5711">
        <v>110</v>
      </c>
      <c r="K5711" t="b">
        <v>1</v>
      </c>
    </row>
    <row r="5712" spans="8:11" x14ac:dyDescent="0.25">
      <c r="H5712">
        <v>45</v>
      </c>
      <c r="I5712">
        <v>570</v>
      </c>
      <c r="J5712">
        <v>110</v>
      </c>
      <c r="K5712" t="b">
        <v>1</v>
      </c>
    </row>
    <row r="5713" spans="8:11" x14ac:dyDescent="0.25">
      <c r="H5713">
        <v>45</v>
      </c>
      <c r="I5713">
        <v>600</v>
      </c>
      <c r="J5713">
        <v>110</v>
      </c>
      <c r="K5713" t="b">
        <v>1</v>
      </c>
    </row>
    <row r="5714" spans="8:11" x14ac:dyDescent="0.25">
      <c r="H5714">
        <v>45</v>
      </c>
      <c r="I5714">
        <v>630</v>
      </c>
      <c r="J5714">
        <v>110</v>
      </c>
      <c r="K5714" t="b">
        <v>1</v>
      </c>
    </row>
    <row r="5715" spans="8:11" x14ac:dyDescent="0.25">
      <c r="H5715">
        <v>45</v>
      </c>
      <c r="I5715">
        <v>660</v>
      </c>
      <c r="J5715">
        <v>110</v>
      </c>
      <c r="K5715" t="b">
        <v>1</v>
      </c>
    </row>
    <row r="5716" spans="8:11" x14ac:dyDescent="0.25">
      <c r="H5716">
        <v>45</v>
      </c>
      <c r="I5716">
        <v>690</v>
      </c>
      <c r="J5716">
        <v>110</v>
      </c>
      <c r="K5716" t="b">
        <v>1</v>
      </c>
    </row>
    <row r="5717" spans="8:11" x14ac:dyDescent="0.25">
      <c r="H5717">
        <v>45</v>
      </c>
      <c r="I5717">
        <v>720</v>
      </c>
      <c r="J5717">
        <v>110</v>
      </c>
      <c r="K5717" t="b">
        <v>1</v>
      </c>
    </row>
    <row r="5718" spans="8:11" x14ac:dyDescent="0.25">
      <c r="H5718">
        <v>45</v>
      </c>
      <c r="I5718">
        <v>750</v>
      </c>
      <c r="J5718">
        <v>110</v>
      </c>
      <c r="K5718" t="b">
        <v>1</v>
      </c>
    </row>
    <row r="5719" spans="8:11" x14ac:dyDescent="0.25">
      <c r="H5719">
        <v>45</v>
      </c>
      <c r="I5719">
        <v>780</v>
      </c>
      <c r="J5719">
        <v>110</v>
      </c>
      <c r="K5719" t="b">
        <v>1</v>
      </c>
    </row>
    <row r="5720" spans="8:11" x14ac:dyDescent="0.25">
      <c r="H5720">
        <v>45</v>
      </c>
      <c r="I5720">
        <v>810</v>
      </c>
      <c r="J5720">
        <v>110</v>
      </c>
      <c r="K5720" t="b">
        <v>1</v>
      </c>
    </row>
    <row r="5721" spans="8:11" x14ac:dyDescent="0.25">
      <c r="H5721">
        <v>45</v>
      </c>
      <c r="I5721">
        <v>840</v>
      </c>
      <c r="J5721">
        <v>110</v>
      </c>
      <c r="K5721" t="b">
        <v>1</v>
      </c>
    </row>
    <row r="5722" spans="8:11" x14ac:dyDescent="0.25">
      <c r="H5722">
        <v>45</v>
      </c>
      <c r="I5722">
        <v>870</v>
      </c>
      <c r="J5722">
        <v>110</v>
      </c>
      <c r="K5722" t="b">
        <v>1</v>
      </c>
    </row>
    <row r="5723" spans="8:11" x14ac:dyDescent="0.25">
      <c r="H5723">
        <v>45</v>
      </c>
      <c r="I5723">
        <v>900</v>
      </c>
      <c r="J5723">
        <v>110</v>
      </c>
      <c r="K5723" t="b">
        <v>1</v>
      </c>
    </row>
    <row r="5724" spans="8:11" x14ac:dyDescent="0.25">
      <c r="H5724">
        <v>45</v>
      </c>
      <c r="I5724">
        <v>930</v>
      </c>
      <c r="J5724">
        <v>110</v>
      </c>
      <c r="K5724" t="b">
        <v>1</v>
      </c>
    </row>
    <row r="5725" spans="8:11" x14ac:dyDescent="0.25">
      <c r="H5725">
        <v>46</v>
      </c>
      <c r="I5725">
        <v>0</v>
      </c>
      <c r="J5725">
        <v>80</v>
      </c>
      <c r="K5725" t="b">
        <v>1</v>
      </c>
    </row>
    <row r="5726" spans="8:11" x14ac:dyDescent="0.25">
      <c r="H5726">
        <v>46</v>
      </c>
      <c r="I5726">
        <v>30</v>
      </c>
      <c r="J5726">
        <v>80</v>
      </c>
      <c r="K5726" t="b">
        <v>1</v>
      </c>
    </row>
    <row r="5727" spans="8:11" x14ac:dyDescent="0.25">
      <c r="H5727">
        <v>46</v>
      </c>
      <c r="I5727">
        <v>60</v>
      </c>
      <c r="J5727">
        <v>80</v>
      </c>
      <c r="K5727" t="b">
        <v>1</v>
      </c>
    </row>
    <row r="5728" spans="8:11" x14ac:dyDescent="0.25">
      <c r="H5728">
        <v>46</v>
      </c>
      <c r="I5728">
        <v>90</v>
      </c>
      <c r="J5728">
        <v>80</v>
      </c>
      <c r="K5728" t="b">
        <v>1</v>
      </c>
    </row>
    <row r="5729" spans="8:11" x14ac:dyDescent="0.25">
      <c r="H5729">
        <v>46</v>
      </c>
      <c r="I5729">
        <v>120</v>
      </c>
      <c r="J5729">
        <v>80</v>
      </c>
      <c r="K5729" t="b">
        <v>1</v>
      </c>
    </row>
    <row r="5730" spans="8:11" x14ac:dyDescent="0.25">
      <c r="H5730">
        <v>46</v>
      </c>
      <c r="I5730">
        <v>150</v>
      </c>
      <c r="J5730">
        <v>80</v>
      </c>
      <c r="K5730" t="b">
        <v>1</v>
      </c>
    </row>
    <row r="5731" spans="8:11" x14ac:dyDescent="0.25">
      <c r="H5731">
        <v>46</v>
      </c>
      <c r="I5731">
        <v>180</v>
      </c>
      <c r="J5731">
        <v>80</v>
      </c>
      <c r="K5731" t="b">
        <v>1</v>
      </c>
    </row>
    <row r="5732" spans="8:11" x14ac:dyDescent="0.25">
      <c r="H5732">
        <v>46</v>
      </c>
      <c r="I5732">
        <v>210</v>
      </c>
      <c r="J5732">
        <v>80</v>
      </c>
      <c r="K5732" t="b">
        <v>1</v>
      </c>
    </row>
    <row r="5733" spans="8:11" x14ac:dyDescent="0.25">
      <c r="H5733">
        <v>46</v>
      </c>
      <c r="I5733">
        <v>240</v>
      </c>
      <c r="J5733">
        <v>80</v>
      </c>
      <c r="K5733" t="b">
        <v>1</v>
      </c>
    </row>
    <row r="5734" spans="8:11" x14ac:dyDescent="0.25">
      <c r="H5734">
        <v>46</v>
      </c>
      <c r="I5734">
        <v>270</v>
      </c>
      <c r="J5734">
        <v>80</v>
      </c>
      <c r="K5734" t="b">
        <v>1</v>
      </c>
    </row>
    <row r="5735" spans="8:11" x14ac:dyDescent="0.25">
      <c r="H5735">
        <v>46</v>
      </c>
      <c r="I5735">
        <v>300</v>
      </c>
      <c r="J5735">
        <v>80</v>
      </c>
      <c r="K5735" t="b">
        <v>1</v>
      </c>
    </row>
    <row r="5736" spans="8:11" x14ac:dyDescent="0.25">
      <c r="H5736">
        <v>46</v>
      </c>
      <c r="I5736">
        <v>330</v>
      </c>
      <c r="J5736">
        <v>80</v>
      </c>
      <c r="K5736" t="b">
        <v>1</v>
      </c>
    </row>
    <row r="5737" spans="8:11" x14ac:dyDescent="0.25">
      <c r="H5737">
        <v>46</v>
      </c>
      <c r="I5737">
        <v>360</v>
      </c>
      <c r="J5737">
        <v>80</v>
      </c>
      <c r="K5737" t="b">
        <v>1</v>
      </c>
    </row>
    <row r="5738" spans="8:11" x14ac:dyDescent="0.25">
      <c r="H5738">
        <v>46</v>
      </c>
      <c r="I5738">
        <v>390</v>
      </c>
      <c r="J5738">
        <v>80</v>
      </c>
      <c r="K5738" t="b">
        <v>1</v>
      </c>
    </row>
    <row r="5739" spans="8:11" x14ac:dyDescent="0.25">
      <c r="H5739">
        <v>46</v>
      </c>
      <c r="I5739">
        <v>420</v>
      </c>
      <c r="J5739">
        <v>80</v>
      </c>
      <c r="K5739" t="b">
        <v>1</v>
      </c>
    </row>
    <row r="5740" spans="8:11" x14ac:dyDescent="0.25">
      <c r="H5740">
        <v>46</v>
      </c>
      <c r="I5740">
        <v>450</v>
      </c>
      <c r="J5740">
        <v>80</v>
      </c>
      <c r="K5740" t="b">
        <v>1</v>
      </c>
    </row>
    <row r="5741" spans="8:11" x14ac:dyDescent="0.25">
      <c r="H5741">
        <v>46</v>
      </c>
      <c r="I5741">
        <v>480</v>
      </c>
      <c r="J5741">
        <v>80</v>
      </c>
      <c r="K5741" t="b">
        <v>1</v>
      </c>
    </row>
    <row r="5742" spans="8:11" x14ac:dyDescent="0.25">
      <c r="H5742">
        <v>46</v>
      </c>
      <c r="I5742">
        <v>510</v>
      </c>
      <c r="J5742">
        <v>80</v>
      </c>
      <c r="K5742" t="b">
        <v>1</v>
      </c>
    </row>
    <row r="5743" spans="8:11" x14ac:dyDescent="0.25">
      <c r="H5743">
        <v>46</v>
      </c>
      <c r="I5743">
        <v>540</v>
      </c>
      <c r="J5743">
        <v>80</v>
      </c>
      <c r="K5743" t="b">
        <v>1</v>
      </c>
    </row>
    <row r="5744" spans="8:11" x14ac:dyDescent="0.25">
      <c r="H5744">
        <v>46</v>
      </c>
      <c r="I5744">
        <v>570</v>
      </c>
      <c r="J5744">
        <v>80</v>
      </c>
      <c r="K5744" t="b">
        <v>1</v>
      </c>
    </row>
    <row r="5745" spans="8:11" x14ac:dyDescent="0.25">
      <c r="H5745">
        <v>46</v>
      </c>
      <c r="I5745">
        <v>600</v>
      </c>
      <c r="J5745">
        <v>80</v>
      </c>
      <c r="K5745" t="b">
        <v>1</v>
      </c>
    </row>
    <row r="5746" spans="8:11" x14ac:dyDescent="0.25">
      <c r="H5746">
        <v>46</v>
      </c>
      <c r="I5746">
        <v>630</v>
      </c>
      <c r="J5746">
        <v>80</v>
      </c>
      <c r="K5746" t="b">
        <v>1</v>
      </c>
    </row>
    <row r="5747" spans="8:11" x14ac:dyDescent="0.25">
      <c r="H5747">
        <v>46</v>
      </c>
      <c r="I5747">
        <v>660</v>
      </c>
      <c r="J5747">
        <v>80</v>
      </c>
      <c r="K5747" t="b">
        <v>1</v>
      </c>
    </row>
    <row r="5748" spans="8:11" x14ac:dyDescent="0.25">
      <c r="H5748">
        <v>46</v>
      </c>
      <c r="I5748">
        <v>690</v>
      </c>
      <c r="J5748">
        <v>80</v>
      </c>
      <c r="K5748" t="b">
        <v>1</v>
      </c>
    </row>
    <row r="5749" spans="8:11" x14ac:dyDescent="0.25">
      <c r="H5749">
        <v>46</v>
      </c>
      <c r="I5749">
        <v>720</v>
      </c>
      <c r="J5749">
        <v>80</v>
      </c>
      <c r="K5749" t="b">
        <v>1</v>
      </c>
    </row>
    <row r="5750" spans="8:11" x14ac:dyDescent="0.25">
      <c r="H5750">
        <v>46</v>
      </c>
      <c r="I5750">
        <v>750</v>
      </c>
      <c r="J5750">
        <v>80</v>
      </c>
      <c r="K5750" t="b">
        <v>1</v>
      </c>
    </row>
    <row r="5751" spans="8:11" x14ac:dyDescent="0.25">
      <c r="H5751">
        <v>46</v>
      </c>
      <c r="I5751">
        <v>780</v>
      </c>
      <c r="J5751">
        <v>80</v>
      </c>
      <c r="K5751" t="b">
        <v>1</v>
      </c>
    </row>
    <row r="5752" spans="8:11" x14ac:dyDescent="0.25">
      <c r="H5752">
        <v>46</v>
      </c>
      <c r="I5752">
        <v>810</v>
      </c>
      <c r="J5752">
        <v>80</v>
      </c>
      <c r="K5752" t="b">
        <v>1</v>
      </c>
    </row>
    <row r="5753" spans="8:11" x14ac:dyDescent="0.25">
      <c r="H5753">
        <v>46</v>
      </c>
      <c r="I5753">
        <v>840</v>
      </c>
      <c r="J5753">
        <v>80</v>
      </c>
      <c r="K5753" t="b">
        <v>1</v>
      </c>
    </row>
    <row r="5754" spans="8:11" x14ac:dyDescent="0.25">
      <c r="H5754">
        <v>46</v>
      </c>
      <c r="I5754">
        <v>870</v>
      </c>
      <c r="J5754">
        <v>80</v>
      </c>
      <c r="K5754" t="b">
        <v>1</v>
      </c>
    </row>
    <row r="5755" spans="8:11" x14ac:dyDescent="0.25">
      <c r="H5755">
        <v>46</v>
      </c>
      <c r="I5755">
        <v>900</v>
      </c>
      <c r="J5755">
        <v>80</v>
      </c>
      <c r="K5755" t="b">
        <v>1</v>
      </c>
    </row>
    <row r="5756" spans="8:11" x14ac:dyDescent="0.25">
      <c r="H5756">
        <v>46</v>
      </c>
      <c r="I5756">
        <v>930</v>
      </c>
      <c r="J5756">
        <v>80</v>
      </c>
      <c r="K5756" t="b">
        <v>1</v>
      </c>
    </row>
    <row r="5757" spans="8:11" x14ac:dyDescent="0.25">
      <c r="H5757">
        <v>47</v>
      </c>
      <c r="I5757">
        <v>0</v>
      </c>
      <c r="J5757">
        <v>80</v>
      </c>
      <c r="K5757" t="b">
        <v>1</v>
      </c>
    </row>
    <row r="5758" spans="8:11" x14ac:dyDescent="0.25">
      <c r="H5758">
        <v>47</v>
      </c>
      <c r="I5758">
        <v>30</v>
      </c>
      <c r="J5758">
        <v>80</v>
      </c>
      <c r="K5758" t="b">
        <v>1</v>
      </c>
    </row>
    <row r="5759" spans="8:11" x14ac:dyDescent="0.25">
      <c r="H5759">
        <v>47</v>
      </c>
      <c r="I5759">
        <v>60</v>
      </c>
      <c r="J5759">
        <v>80</v>
      </c>
      <c r="K5759" t="b">
        <v>1</v>
      </c>
    </row>
    <row r="5760" spans="8:11" x14ac:dyDescent="0.25">
      <c r="H5760">
        <v>47</v>
      </c>
      <c r="I5760">
        <v>90</v>
      </c>
      <c r="J5760">
        <v>80</v>
      </c>
      <c r="K5760" t="b">
        <v>1</v>
      </c>
    </row>
    <row r="5761" spans="8:11" x14ac:dyDescent="0.25">
      <c r="H5761">
        <v>47</v>
      </c>
      <c r="I5761">
        <v>120</v>
      </c>
      <c r="J5761">
        <v>80</v>
      </c>
      <c r="K5761" t="b">
        <v>1</v>
      </c>
    </row>
    <row r="5762" spans="8:11" x14ac:dyDescent="0.25">
      <c r="H5762">
        <v>47</v>
      </c>
      <c r="I5762">
        <v>150</v>
      </c>
      <c r="J5762">
        <v>80</v>
      </c>
      <c r="K5762" t="b">
        <v>1</v>
      </c>
    </row>
    <row r="5763" spans="8:11" x14ac:dyDescent="0.25">
      <c r="H5763">
        <v>47</v>
      </c>
      <c r="I5763">
        <v>180</v>
      </c>
      <c r="J5763">
        <v>80</v>
      </c>
      <c r="K5763" t="b">
        <v>1</v>
      </c>
    </row>
    <row r="5764" spans="8:11" x14ac:dyDescent="0.25">
      <c r="H5764">
        <v>47</v>
      </c>
      <c r="I5764">
        <v>210</v>
      </c>
      <c r="J5764">
        <v>80</v>
      </c>
      <c r="K5764" t="b">
        <v>1</v>
      </c>
    </row>
    <row r="5765" spans="8:11" x14ac:dyDescent="0.25">
      <c r="H5765">
        <v>47</v>
      </c>
      <c r="I5765">
        <v>240</v>
      </c>
      <c r="J5765">
        <v>80</v>
      </c>
      <c r="K5765" t="b">
        <v>1</v>
      </c>
    </row>
    <row r="5766" spans="8:11" x14ac:dyDescent="0.25">
      <c r="H5766">
        <v>47</v>
      </c>
      <c r="I5766">
        <v>270</v>
      </c>
      <c r="J5766">
        <v>80</v>
      </c>
      <c r="K5766" t="b">
        <v>1</v>
      </c>
    </row>
    <row r="5767" spans="8:11" x14ac:dyDescent="0.25">
      <c r="H5767">
        <v>47</v>
      </c>
      <c r="I5767">
        <v>300</v>
      </c>
      <c r="J5767">
        <v>80</v>
      </c>
      <c r="K5767" t="b">
        <v>1</v>
      </c>
    </row>
    <row r="5768" spans="8:11" x14ac:dyDescent="0.25">
      <c r="H5768">
        <v>47</v>
      </c>
      <c r="I5768">
        <v>330</v>
      </c>
      <c r="J5768">
        <v>80</v>
      </c>
      <c r="K5768" t="b">
        <v>1</v>
      </c>
    </row>
    <row r="5769" spans="8:11" x14ac:dyDescent="0.25">
      <c r="H5769">
        <v>47</v>
      </c>
      <c r="I5769">
        <v>360</v>
      </c>
      <c r="J5769">
        <v>80</v>
      </c>
      <c r="K5769" t="b">
        <v>1</v>
      </c>
    </row>
    <row r="5770" spans="8:11" x14ac:dyDescent="0.25">
      <c r="H5770">
        <v>47</v>
      </c>
      <c r="I5770">
        <v>390</v>
      </c>
      <c r="J5770">
        <v>80</v>
      </c>
      <c r="K5770" t="b">
        <v>1</v>
      </c>
    </row>
    <row r="5771" spans="8:11" x14ac:dyDescent="0.25">
      <c r="H5771">
        <v>47</v>
      </c>
      <c r="I5771">
        <v>420</v>
      </c>
      <c r="J5771">
        <v>80</v>
      </c>
      <c r="K5771" t="b">
        <v>1</v>
      </c>
    </row>
    <row r="5772" spans="8:11" x14ac:dyDescent="0.25">
      <c r="H5772">
        <v>47</v>
      </c>
      <c r="I5772">
        <v>450</v>
      </c>
      <c r="J5772">
        <v>80</v>
      </c>
      <c r="K5772" t="b">
        <v>1</v>
      </c>
    </row>
    <row r="5773" spans="8:11" x14ac:dyDescent="0.25">
      <c r="H5773">
        <v>47</v>
      </c>
      <c r="I5773">
        <v>480</v>
      </c>
      <c r="J5773">
        <v>80</v>
      </c>
      <c r="K5773" t="b">
        <v>1</v>
      </c>
    </row>
    <row r="5774" spans="8:11" x14ac:dyDescent="0.25">
      <c r="H5774">
        <v>47</v>
      </c>
      <c r="I5774">
        <v>510</v>
      </c>
      <c r="J5774">
        <v>80</v>
      </c>
      <c r="K5774" t="b">
        <v>1</v>
      </c>
    </row>
    <row r="5775" spans="8:11" x14ac:dyDescent="0.25">
      <c r="H5775">
        <v>47</v>
      </c>
      <c r="I5775">
        <v>540</v>
      </c>
      <c r="J5775">
        <v>80</v>
      </c>
      <c r="K5775" t="b">
        <v>1</v>
      </c>
    </row>
    <row r="5776" spans="8:11" x14ac:dyDescent="0.25">
      <c r="H5776">
        <v>47</v>
      </c>
      <c r="I5776">
        <v>570</v>
      </c>
      <c r="J5776">
        <v>80</v>
      </c>
      <c r="K5776" t="b">
        <v>1</v>
      </c>
    </row>
    <row r="5777" spans="8:11" x14ac:dyDescent="0.25">
      <c r="H5777">
        <v>47</v>
      </c>
      <c r="I5777">
        <v>600</v>
      </c>
      <c r="J5777">
        <v>80</v>
      </c>
      <c r="K5777" t="b">
        <v>1</v>
      </c>
    </row>
    <row r="5778" spans="8:11" x14ac:dyDescent="0.25">
      <c r="H5778">
        <v>47</v>
      </c>
      <c r="I5778">
        <v>630</v>
      </c>
      <c r="J5778">
        <v>80</v>
      </c>
      <c r="K5778" t="b">
        <v>1</v>
      </c>
    </row>
    <row r="5779" spans="8:11" x14ac:dyDescent="0.25">
      <c r="H5779">
        <v>47</v>
      </c>
      <c r="I5779">
        <v>660</v>
      </c>
      <c r="J5779">
        <v>80</v>
      </c>
      <c r="K5779" t="b">
        <v>1</v>
      </c>
    </row>
    <row r="5780" spans="8:11" x14ac:dyDescent="0.25">
      <c r="H5780">
        <v>47</v>
      </c>
      <c r="I5780">
        <v>690</v>
      </c>
      <c r="J5780">
        <v>80</v>
      </c>
      <c r="K5780" t="b">
        <v>1</v>
      </c>
    </row>
    <row r="5781" spans="8:11" x14ac:dyDescent="0.25">
      <c r="H5781">
        <v>47</v>
      </c>
      <c r="I5781">
        <v>720</v>
      </c>
      <c r="J5781">
        <v>80</v>
      </c>
      <c r="K5781" t="b">
        <v>1</v>
      </c>
    </row>
    <row r="5782" spans="8:11" x14ac:dyDescent="0.25">
      <c r="H5782">
        <v>47</v>
      </c>
      <c r="I5782">
        <v>750</v>
      </c>
      <c r="J5782">
        <v>80</v>
      </c>
      <c r="K5782" t="b">
        <v>1</v>
      </c>
    </row>
    <row r="5783" spans="8:11" x14ac:dyDescent="0.25">
      <c r="H5783">
        <v>47</v>
      </c>
      <c r="I5783">
        <v>780</v>
      </c>
      <c r="J5783">
        <v>80</v>
      </c>
      <c r="K5783" t="b">
        <v>1</v>
      </c>
    </row>
    <row r="5784" spans="8:11" x14ac:dyDescent="0.25">
      <c r="H5784">
        <v>47</v>
      </c>
      <c r="I5784">
        <v>810</v>
      </c>
      <c r="J5784">
        <v>80</v>
      </c>
      <c r="K5784" t="b">
        <v>1</v>
      </c>
    </row>
    <row r="5785" spans="8:11" x14ac:dyDescent="0.25">
      <c r="H5785">
        <v>47</v>
      </c>
      <c r="I5785">
        <v>840</v>
      </c>
      <c r="J5785">
        <v>80</v>
      </c>
      <c r="K5785" t="b">
        <v>1</v>
      </c>
    </row>
    <row r="5786" spans="8:11" x14ac:dyDescent="0.25">
      <c r="H5786">
        <v>47</v>
      </c>
      <c r="I5786">
        <v>870</v>
      </c>
      <c r="J5786">
        <v>80</v>
      </c>
      <c r="K5786" t="b">
        <v>1</v>
      </c>
    </row>
    <row r="5787" spans="8:11" x14ac:dyDescent="0.25">
      <c r="H5787">
        <v>47</v>
      </c>
      <c r="I5787">
        <v>900</v>
      </c>
      <c r="J5787">
        <v>80</v>
      </c>
      <c r="K5787" t="b">
        <v>1</v>
      </c>
    </row>
    <row r="5788" spans="8:11" x14ac:dyDescent="0.25">
      <c r="H5788">
        <v>47</v>
      </c>
      <c r="I5788">
        <v>930</v>
      </c>
      <c r="J5788">
        <v>80</v>
      </c>
      <c r="K5788" t="b">
        <v>1</v>
      </c>
    </row>
    <row r="5789" spans="8:11" x14ac:dyDescent="0.25">
      <c r="H5789">
        <v>48</v>
      </c>
      <c r="I5789">
        <v>0</v>
      </c>
      <c r="J5789">
        <v>80</v>
      </c>
      <c r="K5789" t="b">
        <v>1</v>
      </c>
    </row>
    <row r="5790" spans="8:11" x14ac:dyDescent="0.25">
      <c r="H5790">
        <v>48</v>
      </c>
      <c r="I5790">
        <v>120</v>
      </c>
      <c r="J5790">
        <v>80</v>
      </c>
      <c r="K5790" t="b">
        <v>1</v>
      </c>
    </row>
    <row r="5791" spans="8:11" x14ac:dyDescent="0.25">
      <c r="H5791">
        <v>48</v>
      </c>
      <c r="I5791">
        <v>240</v>
      </c>
      <c r="J5791">
        <v>80</v>
      </c>
      <c r="K5791" t="b">
        <v>1</v>
      </c>
    </row>
    <row r="5792" spans="8:11" x14ac:dyDescent="0.25">
      <c r="H5792">
        <v>48</v>
      </c>
      <c r="I5792">
        <v>360</v>
      </c>
      <c r="J5792">
        <v>80</v>
      </c>
      <c r="K5792" t="b">
        <v>1</v>
      </c>
    </row>
    <row r="5793" spans="8:11" x14ac:dyDescent="0.25">
      <c r="H5793">
        <v>48</v>
      </c>
      <c r="I5793">
        <v>480</v>
      </c>
      <c r="J5793">
        <v>80</v>
      </c>
      <c r="K5793" t="b">
        <v>1</v>
      </c>
    </row>
    <row r="5794" spans="8:11" x14ac:dyDescent="0.25">
      <c r="H5794">
        <v>48</v>
      </c>
      <c r="I5794">
        <v>600</v>
      </c>
      <c r="J5794">
        <v>80</v>
      </c>
      <c r="K5794" t="b">
        <v>1</v>
      </c>
    </row>
    <row r="5795" spans="8:11" x14ac:dyDescent="0.25">
      <c r="H5795">
        <v>48</v>
      </c>
      <c r="I5795">
        <v>720</v>
      </c>
      <c r="J5795">
        <v>80</v>
      </c>
      <c r="K5795" t="b">
        <v>1</v>
      </c>
    </row>
    <row r="5796" spans="8:11" x14ac:dyDescent="0.25">
      <c r="H5796">
        <v>48</v>
      </c>
      <c r="I5796">
        <v>840</v>
      </c>
      <c r="J5796">
        <v>80</v>
      </c>
      <c r="K5796" t="b">
        <v>1</v>
      </c>
    </row>
    <row r="5797" spans="8:11" x14ac:dyDescent="0.25">
      <c r="H5797">
        <v>49</v>
      </c>
      <c r="I5797">
        <v>0</v>
      </c>
      <c r="J5797">
        <v>80</v>
      </c>
      <c r="K5797" t="b">
        <v>1</v>
      </c>
    </row>
    <row r="5798" spans="8:11" x14ac:dyDescent="0.25">
      <c r="H5798">
        <v>49</v>
      </c>
      <c r="I5798">
        <v>120</v>
      </c>
      <c r="J5798">
        <v>80</v>
      </c>
      <c r="K5798" t="b">
        <v>1</v>
      </c>
    </row>
    <row r="5799" spans="8:11" x14ac:dyDescent="0.25">
      <c r="H5799">
        <v>49</v>
      </c>
      <c r="I5799">
        <v>240</v>
      </c>
      <c r="J5799">
        <v>80</v>
      </c>
      <c r="K5799" t="b">
        <v>1</v>
      </c>
    </row>
    <row r="5800" spans="8:11" x14ac:dyDescent="0.25">
      <c r="H5800">
        <v>49</v>
      </c>
      <c r="I5800">
        <v>360</v>
      </c>
      <c r="J5800">
        <v>80</v>
      </c>
      <c r="K5800" t="b">
        <v>1</v>
      </c>
    </row>
    <row r="5801" spans="8:11" x14ac:dyDescent="0.25">
      <c r="H5801">
        <v>49</v>
      </c>
      <c r="I5801">
        <v>480</v>
      </c>
      <c r="J5801">
        <v>80</v>
      </c>
      <c r="K5801" t="b">
        <v>1</v>
      </c>
    </row>
    <row r="5802" spans="8:11" x14ac:dyDescent="0.25">
      <c r="H5802">
        <v>49</v>
      </c>
      <c r="I5802">
        <v>600</v>
      </c>
      <c r="J5802">
        <v>80</v>
      </c>
      <c r="K5802" t="b">
        <v>1</v>
      </c>
    </row>
    <row r="5803" spans="8:11" x14ac:dyDescent="0.25">
      <c r="H5803">
        <v>49</v>
      </c>
      <c r="I5803">
        <v>720</v>
      </c>
      <c r="J5803">
        <v>80</v>
      </c>
      <c r="K5803" t="b">
        <v>1</v>
      </c>
    </row>
    <row r="5804" spans="8:11" x14ac:dyDescent="0.25">
      <c r="H5804">
        <v>49</v>
      </c>
      <c r="I5804">
        <v>840</v>
      </c>
      <c r="J5804">
        <v>80</v>
      </c>
      <c r="K5804" t="b">
        <v>1</v>
      </c>
    </row>
    <row r="5805" spans="8:11" x14ac:dyDescent="0.25">
      <c r="H5805">
        <v>50</v>
      </c>
      <c r="I5805">
        <v>0</v>
      </c>
      <c r="J5805">
        <v>55</v>
      </c>
      <c r="K5805" t="b">
        <v>1</v>
      </c>
    </row>
    <row r="5806" spans="8:11" x14ac:dyDescent="0.25">
      <c r="H5806">
        <v>50</v>
      </c>
      <c r="I5806">
        <v>70</v>
      </c>
      <c r="J5806">
        <v>55</v>
      </c>
      <c r="K5806" t="b">
        <v>1</v>
      </c>
    </row>
    <row r="5807" spans="8:11" x14ac:dyDescent="0.25">
      <c r="H5807">
        <v>50</v>
      </c>
      <c r="I5807">
        <v>140</v>
      </c>
      <c r="J5807">
        <v>55</v>
      </c>
      <c r="K5807" t="b">
        <v>1</v>
      </c>
    </row>
    <row r="5808" spans="8:11" x14ac:dyDescent="0.25">
      <c r="H5808">
        <v>50</v>
      </c>
      <c r="I5808">
        <v>210</v>
      </c>
      <c r="J5808">
        <v>55</v>
      </c>
      <c r="K5808" t="b">
        <v>1</v>
      </c>
    </row>
    <row r="5809" spans="8:11" x14ac:dyDescent="0.25">
      <c r="H5809">
        <v>50</v>
      </c>
      <c r="I5809">
        <v>280</v>
      </c>
      <c r="J5809">
        <v>55</v>
      </c>
      <c r="K5809" t="b">
        <v>1</v>
      </c>
    </row>
    <row r="5810" spans="8:11" x14ac:dyDescent="0.25">
      <c r="H5810">
        <v>50</v>
      </c>
      <c r="I5810">
        <v>350</v>
      </c>
      <c r="J5810">
        <v>55</v>
      </c>
      <c r="K5810" t="b">
        <v>1</v>
      </c>
    </row>
    <row r="5811" spans="8:11" x14ac:dyDescent="0.25">
      <c r="H5811">
        <v>50</v>
      </c>
      <c r="I5811">
        <v>420</v>
      </c>
      <c r="J5811">
        <v>55</v>
      </c>
      <c r="K5811" t="b">
        <v>1</v>
      </c>
    </row>
    <row r="5812" spans="8:11" x14ac:dyDescent="0.25">
      <c r="H5812">
        <v>50</v>
      </c>
      <c r="I5812">
        <v>490</v>
      </c>
      <c r="J5812">
        <v>55</v>
      </c>
      <c r="K5812" t="b">
        <v>1</v>
      </c>
    </row>
    <row r="5813" spans="8:11" x14ac:dyDescent="0.25">
      <c r="H5813">
        <v>50</v>
      </c>
      <c r="I5813">
        <v>560</v>
      </c>
      <c r="J5813">
        <v>55</v>
      </c>
      <c r="K5813" t="b">
        <v>1</v>
      </c>
    </row>
    <row r="5814" spans="8:11" x14ac:dyDescent="0.25">
      <c r="H5814">
        <v>50</v>
      </c>
      <c r="I5814">
        <v>630</v>
      </c>
      <c r="J5814">
        <v>55</v>
      </c>
      <c r="K5814" t="b">
        <v>1</v>
      </c>
    </row>
    <row r="5815" spans="8:11" x14ac:dyDescent="0.25">
      <c r="H5815">
        <v>50</v>
      </c>
      <c r="I5815">
        <v>700</v>
      </c>
      <c r="J5815">
        <v>55</v>
      </c>
      <c r="K5815" t="b">
        <v>1</v>
      </c>
    </row>
    <row r="5816" spans="8:11" x14ac:dyDescent="0.25">
      <c r="H5816">
        <v>50</v>
      </c>
      <c r="I5816">
        <v>770</v>
      </c>
      <c r="J5816">
        <v>55</v>
      </c>
      <c r="K5816" t="b">
        <v>1</v>
      </c>
    </row>
    <row r="5817" spans="8:11" x14ac:dyDescent="0.25">
      <c r="H5817">
        <v>50</v>
      </c>
      <c r="I5817">
        <v>840</v>
      </c>
      <c r="J5817">
        <v>55</v>
      </c>
      <c r="K5817" t="b">
        <v>1</v>
      </c>
    </row>
    <row r="5818" spans="8:11" x14ac:dyDescent="0.25">
      <c r="H5818">
        <v>51</v>
      </c>
      <c r="I5818">
        <v>0</v>
      </c>
      <c r="J5818">
        <v>55</v>
      </c>
      <c r="K5818" t="b">
        <v>1</v>
      </c>
    </row>
    <row r="5819" spans="8:11" x14ac:dyDescent="0.25">
      <c r="H5819">
        <v>51</v>
      </c>
      <c r="I5819">
        <v>70</v>
      </c>
      <c r="J5819">
        <v>55</v>
      </c>
      <c r="K5819" t="b">
        <v>1</v>
      </c>
    </row>
    <row r="5820" spans="8:11" x14ac:dyDescent="0.25">
      <c r="H5820">
        <v>51</v>
      </c>
      <c r="I5820">
        <v>140</v>
      </c>
      <c r="J5820">
        <v>55</v>
      </c>
      <c r="K5820" t="b">
        <v>1</v>
      </c>
    </row>
    <row r="5821" spans="8:11" x14ac:dyDescent="0.25">
      <c r="H5821">
        <v>51</v>
      </c>
      <c r="I5821">
        <v>210</v>
      </c>
      <c r="J5821">
        <v>55</v>
      </c>
      <c r="K5821" t="b">
        <v>1</v>
      </c>
    </row>
    <row r="5822" spans="8:11" x14ac:dyDescent="0.25">
      <c r="H5822">
        <v>51</v>
      </c>
      <c r="I5822">
        <v>280</v>
      </c>
      <c r="J5822">
        <v>55</v>
      </c>
      <c r="K5822" t="b">
        <v>1</v>
      </c>
    </row>
    <row r="5823" spans="8:11" x14ac:dyDescent="0.25">
      <c r="H5823">
        <v>51</v>
      </c>
      <c r="I5823">
        <v>350</v>
      </c>
      <c r="J5823">
        <v>55</v>
      </c>
      <c r="K5823" t="b">
        <v>1</v>
      </c>
    </row>
    <row r="5824" spans="8:11" x14ac:dyDescent="0.25">
      <c r="H5824">
        <v>51</v>
      </c>
      <c r="I5824">
        <v>420</v>
      </c>
      <c r="J5824">
        <v>55</v>
      </c>
      <c r="K5824" t="b">
        <v>1</v>
      </c>
    </row>
    <row r="5825" spans="8:11" x14ac:dyDescent="0.25">
      <c r="H5825">
        <v>51</v>
      </c>
      <c r="I5825">
        <v>490</v>
      </c>
      <c r="J5825">
        <v>55</v>
      </c>
      <c r="K5825" t="b">
        <v>1</v>
      </c>
    </row>
    <row r="5826" spans="8:11" x14ac:dyDescent="0.25">
      <c r="H5826">
        <v>51</v>
      </c>
      <c r="I5826">
        <v>560</v>
      </c>
      <c r="J5826">
        <v>55</v>
      </c>
      <c r="K5826" t="b">
        <v>1</v>
      </c>
    </row>
    <row r="5827" spans="8:11" x14ac:dyDescent="0.25">
      <c r="H5827">
        <v>51</v>
      </c>
      <c r="I5827">
        <v>630</v>
      </c>
      <c r="J5827">
        <v>55</v>
      </c>
      <c r="K5827" t="b">
        <v>1</v>
      </c>
    </row>
    <row r="5828" spans="8:11" x14ac:dyDescent="0.25">
      <c r="H5828">
        <v>51</v>
      </c>
      <c r="I5828">
        <v>700</v>
      </c>
      <c r="J5828">
        <v>55</v>
      </c>
      <c r="K5828" t="b">
        <v>1</v>
      </c>
    </row>
    <row r="5829" spans="8:11" x14ac:dyDescent="0.25">
      <c r="H5829">
        <v>51</v>
      </c>
      <c r="I5829">
        <v>770</v>
      </c>
      <c r="J5829">
        <v>55</v>
      </c>
      <c r="K5829" t="b">
        <v>1</v>
      </c>
    </row>
    <row r="5830" spans="8:11" x14ac:dyDescent="0.25">
      <c r="H5830">
        <v>51</v>
      </c>
      <c r="I5830">
        <v>840</v>
      </c>
      <c r="J5830">
        <v>55</v>
      </c>
      <c r="K5830" t="b">
        <v>1</v>
      </c>
    </row>
    <row r="5831" spans="8:11" x14ac:dyDescent="0.25">
      <c r="H5831">
        <v>52</v>
      </c>
      <c r="I5831">
        <v>0</v>
      </c>
      <c r="J5831">
        <v>95</v>
      </c>
      <c r="K5831" t="b">
        <v>1</v>
      </c>
    </row>
    <row r="5832" spans="8:11" x14ac:dyDescent="0.25">
      <c r="H5832">
        <v>52</v>
      </c>
      <c r="I5832">
        <v>30</v>
      </c>
      <c r="J5832">
        <v>95</v>
      </c>
      <c r="K5832" t="b">
        <v>1</v>
      </c>
    </row>
    <row r="5833" spans="8:11" x14ac:dyDescent="0.25">
      <c r="H5833">
        <v>52</v>
      </c>
      <c r="I5833">
        <v>60</v>
      </c>
      <c r="J5833">
        <v>95</v>
      </c>
      <c r="K5833" t="b">
        <v>1</v>
      </c>
    </row>
    <row r="5834" spans="8:11" x14ac:dyDescent="0.25">
      <c r="H5834">
        <v>52</v>
      </c>
      <c r="I5834">
        <v>90</v>
      </c>
      <c r="J5834">
        <v>95</v>
      </c>
      <c r="K5834" t="b">
        <v>1</v>
      </c>
    </row>
    <row r="5835" spans="8:11" x14ac:dyDescent="0.25">
      <c r="H5835">
        <v>52</v>
      </c>
      <c r="I5835">
        <v>120</v>
      </c>
      <c r="J5835">
        <v>95</v>
      </c>
      <c r="K5835" t="b">
        <v>1</v>
      </c>
    </row>
    <row r="5836" spans="8:11" x14ac:dyDescent="0.25">
      <c r="H5836">
        <v>52</v>
      </c>
      <c r="I5836">
        <v>150</v>
      </c>
      <c r="J5836">
        <v>95</v>
      </c>
      <c r="K5836" t="b">
        <v>1</v>
      </c>
    </row>
    <row r="5837" spans="8:11" x14ac:dyDescent="0.25">
      <c r="H5837">
        <v>52</v>
      </c>
      <c r="I5837">
        <v>180</v>
      </c>
      <c r="J5837">
        <v>95</v>
      </c>
      <c r="K5837" t="b">
        <v>1</v>
      </c>
    </row>
    <row r="5838" spans="8:11" x14ac:dyDescent="0.25">
      <c r="H5838">
        <v>52</v>
      </c>
      <c r="I5838">
        <v>210</v>
      </c>
      <c r="J5838">
        <v>95</v>
      </c>
      <c r="K5838" t="b">
        <v>1</v>
      </c>
    </row>
    <row r="5839" spans="8:11" x14ac:dyDescent="0.25">
      <c r="H5839">
        <v>52</v>
      </c>
      <c r="I5839">
        <v>240</v>
      </c>
      <c r="J5839">
        <v>95</v>
      </c>
      <c r="K5839" t="b">
        <v>1</v>
      </c>
    </row>
    <row r="5840" spans="8:11" x14ac:dyDescent="0.25">
      <c r="H5840">
        <v>52</v>
      </c>
      <c r="I5840">
        <v>270</v>
      </c>
      <c r="J5840">
        <v>95</v>
      </c>
      <c r="K5840" t="b">
        <v>1</v>
      </c>
    </row>
    <row r="5841" spans="8:11" x14ac:dyDescent="0.25">
      <c r="H5841">
        <v>52</v>
      </c>
      <c r="I5841">
        <v>300</v>
      </c>
      <c r="J5841">
        <v>95</v>
      </c>
      <c r="K5841" t="b">
        <v>1</v>
      </c>
    </row>
    <row r="5842" spans="8:11" x14ac:dyDescent="0.25">
      <c r="H5842">
        <v>52</v>
      </c>
      <c r="I5842">
        <v>330</v>
      </c>
      <c r="J5842">
        <v>95</v>
      </c>
      <c r="K5842" t="b">
        <v>1</v>
      </c>
    </row>
    <row r="5843" spans="8:11" x14ac:dyDescent="0.25">
      <c r="H5843">
        <v>52</v>
      </c>
      <c r="I5843">
        <v>360</v>
      </c>
      <c r="J5843">
        <v>95</v>
      </c>
      <c r="K5843" t="b">
        <v>1</v>
      </c>
    </row>
    <row r="5844" spans="8:11" x14ac:dyDescent="0.25">
      <c r="H5844">
        <v>52</v>
      </c>
      <c r="I5844">
        <v>390</v>
      </c>
      <c r="J5844">
        <v>95</v>
      </c>
      <c r="K5844" t="b">
        <v>1</v>
      </c>
    </row>
    <row r="5845" spans="8:11" x14ac:dyDescent="0.25">
      <c r="H5845">
        <v>52</v>
      </c>
      <c r="I5845">
        <v>420</v>
      </c>
      <c r="J5845">
        <v>95</v>
      </c>
      <c r="K5845" t="b">
        <v>1</v>
      </c>
    </row>
    <row r="5846" spans="8:11" x14ac:dyDescent="0.25">
      <c r="H5846">
        <v>52</v>
      </c>
      <c r="I5846">
        <v>450</v>
      </c>
      <c r="J5846">
        <v>95</v>
      </c>
      <c r="K5846" t="b">
        <v>1</v>
      </c>
    </row>
    <row r="5847" spans="8:11" x14ac:dyDescent="0.25">
      <c r="H5847">
        <v>52</v>
      </c>
      <c r="I5847">
        <v>480</v>
      </c>
      <c r="J5847">
        <v>95</v>
      </c>
      <c r="K5847" t="b">
        <v>1</v>
      </c>
    </row>
    <row r="5848" spans="8:11" x14ac:dyDescent="0.25">
      <c r="H5848">
        <v>52</v>
      </c>
      <c r="I5848">
        <v>510</v>
      </c>
      <c r="J5848">
        <v>95</v>
      </c>
      <c r="K5848" t="b">
        <v>1</v>
      </c>
    </row>
    <row r="5849" spans="8:11" x14ac:dyDescent="0.25">
      <c r="H5849">
        <v>52</v>
      </c>
      <c r="I5849">
        <v>540</v>
      </c>
      <c r="J5849">
        <v>95</v>
      </c>
      <c r="K5849" t="b">
        <v>1</v>
      </c>
    </row>
    <row r="5850" spans="8:11" x14ac:dyDescent="0.25">
      <c r="H5850">
        <v>52</v>
      </c>
      <c r="I5850">
        <v>570</v>
      </c>
      <c r="J5850">
        <v>95</v>
      </c>
      <c r="K5850" t="b">
        <v>1</v>
      </c>
    </row>
    <row r="5851" spans="8:11" x14ac:dyDescent="0.25">
      <c r="H5851">
        <v>52</v>
      </c>
      <c r="I5851">
        <v>600</v>
      </c>
      <c r="J5851">
        <v>95</v>
      </c>
      <c r="K5851" t="b">
        <v>1</v>
      </c>
    </row>
    <row r="5852" spans="8:11" x14ac:dyDescent="0.25">
      <c r="H5852">
        <v>52</v>
      </c>
      <c r="I5852">
        <v>630</v>
      </c>
      <c r="J5852">
        <v>95</v>
      </c>
      <c r="K5852" t="b">
        <v>1</v>
      </c>
    </row>
    <row r="5853" spans="8:11" x14ac:dyDescent="0.25">
      <c r="H5853">
        <v>52</v>
      </c>
      <c r="I5853">
        <v>660</v>
      </c>
      <c r="J5853">
        <v>95</v>
      </c>
      <c r="K5853" t="b">
        <v>1</v>
      </c>
    </row>
    <row r="5854" spans="8:11" x14ac:dyDescent="0.25">
      <c r="H5854">
        <v>52</v>
      </c>
      <c r="I5854">
        <v>690</v>
      </c>
      <c r="J5854">
        <v>95</v>
      </c>
      <c r="K5854" t="b">
        <v>1</v>
      </c>
    </row>
    <row r="5855" spans="8:11" x14ac:dyDescent="0.25">
      <c r="H5855">
        <v>52</v>
      </c>
      <c r="I5855">
        <v>720</v>
      </c>
      <c r="J5855">
        <v>95</v>
      </c>
      <c r="K5855" t="b">
        <v>1</v>
      </c>
    </row>
    <row r="5856" spans="8:11" x14ac:dyDescent="0.25">
      <c r="H5856">
        <v>52</v>
      </c>
      <c r="I5856">
        <v>750</v>
      </c>
      <c r="J5856">
        <v>95</v>
      </c>
      <c r="K5856" t="b">
        <v>1</v>
      </c>
    </row>
    <row r="5857" spans="8:11" x14ac:dyDescent="0.25">
      <c r="H5857">
        <v>52</v>
      </c>
      <c r="I5857">
        <v>780</v>
      </c>
      <c r="J5857">
        <v>95</v>
      </c>
      <c r="K5857" t="b">
        <v>1</v>
      </c>
    </row>
    <row r="5858" spans="8:11" x14ac:dyDescent="0.25">
      <c r="H5858">
        <v>52</v>
      </c>
      <c r="I5858">
        <v>810</v>
      </c>
      <c r="J5858">
        <v>95</v>
      </c>
      <c r="K5858" t="b">
        <v>1</v>
      </c>
    </row>
    <row r="5859" spans="8:11" x14ac:dyDescent="0.25">
      <c r="H5859">
        <v>52</v>
      </c>
      <c r="I5859">
        <v>840</v>
      </c>
      <c r="J5859">
        <v>95</v>
      </c>
      <c r="K5859" t="b">
        <v>1</v>
      </c>
    </row>
    <row r="5860" spans="8:11" x14ac:dyDescent="0.25">
      <c r="H5860">
        <v>52</v>
      </c>
      <c r="I5860">
        <v>870</v>
      </c>
      <c r="J5860">
        <v>95</v>
      </c>
      <c r="K5860" t="b">
        <v>1</v>
      </c>
    </row>
    <row r="5861" spans="8:11" x14ac:dyDescent="0.25">
      <c r="H5861">
        <v>52</v>
      </c>
      <c r="I5861">
        <v>900</v>
      </c>
      <c r="J5861">
        <v>95</v>
      </c>
      <c r="K5861" t="b">
        <v>1</v>
      </c>
    </row>
    <row r="5862" spans="8:11" x14ac:dyDescent="0.25">
      <c r="H5862">
        <v>52</v>
      </c>
      <c r="I5862">
        <v>930</v>
      </c>
      <c r="J5862">
        <v>95</v>
      </c>
      <c r="K5862" t="b">
        <v>1</v>
      </c>
    </row>
    <row r="5863" spans="8:11" x14ac:dyDescent="0.25">
      <c r="H5863">
        <v>53</v>
      </c>
      <c r="I5863">
        <v>0</v>
      </c>
      <c r="J5863">
        <v>95</v>
      </c>
      <c r="K5863" t="b">
        <v>1</v>
      </c>
    </row>
    <row r="5864" spans="8:11" x14ac:dyDescent="0.25">
      <c r="H5864">
        <v>53</v>
      </c>
      <c r="I5864">
        <v>30</v>
      </c>
      <c r="J5864">
        <v>95</v>
      </c>
      <c r="K5864" t="b">
        <v>1</v>
      </c>
    </row>
    <row r="5865" spans="8:11" x14ac:dyDescent="0.25">
      <c r="H5865">
        <v>53</v>
      </c>
      <c r="I5865">
        <v>60</v>
      </c>
      <c r="J5865">
        <v>95</v>
      </c>
      <c r="K5865" t="b">
        <v>1</v>
      </c>
    </row>
    <row r="5866" spans="8:11" x14ac:dyDescent="0.25">
      <c r="H5866">
        <v>53</v>
      </c>
      <c r="I5866">
        <v>90</v>
      </c>
      <c r="J5866">
        <v>95</v>
      </c>
      <c r="K5866" t="b">
        <v>1</v>
      </c>
    </row>
    <row r="5867" spans="8:11" x14ac:dyDescent="0.25">
      <c r="H5867">
        <v>53</v>
      </c>
      <c r="I5867">
        <v>120</v>
      </c>
      <c r="J5867">
        <v>95</v>
      </c>
      <c r="K5867" t="b">
        <v>1</v>
      </c>
    </row>
    <row r="5868" spans="8:11" x14ac:dyDescent="0.25">
      <c r="H5868">
        <v>53</v>
      </c>
      <c r="I5868">
        <v>150</v>
      </c>
      <c r="J5868">
        <v>95</v>
      </c>
      <c r="K5868" t="b">
        <v>1</v>
      </c>
    </row>
    <row r="5869" spans="8:11" x14ac:dyDescent="0.25">
      <c r="H5869">
        <v>53</v>
      </c>
      <c r="I5869">
        <v>180</v>
      </c>
      <c r="J5869">
        <v>95</v>
      </c>
      <c r="K5869" t="b">
        <v>1</v>
      </c>
    </row>
    <row r="5870" spans="8:11" x14ac:dyDescent="0.25">
      <c r="H5870">
        <v>53</v>
      </c>
      <c r="I5870">
        <v>210</v>
      </c>
      <c r="J5870">
        <v>95</v>
      </c>
      <c r="K5870" t="b">
        <v>1</v>
      </c>
    </row>
    <row r="5871" spans="8:11" x14ac:dyDescent="0.25">
      <c r="H5871">
        <v>53</v>
      </c>
      <c r="I5871">
        <v>240</v>
      </c>
      <c r="J5871">
        <v>95</v>
      </c>
      <c r="K5871" t="b">
        <v>1</v>
      </c>
    </row>
    <row r="5872" spans="8:11" x14ac:dyDescent="0.25">
      <c r="H5872">
        <v>53</v>
      </c>
      <c r="I5872">
        <v>270</v>
      </c>
      <c r="J5872">
        <v>95</v>
      </c>
      <c r="K5872" t="b">
        <v>1</v>
      </c>
    </row>
    <row r="5873" spans="8:11" x14ac:dyDescent="0.25">
      <c r="H5873">
        <v>53</v>
      </c>
      <c r="I5873">
        <v>300</v>
      </c>
      <c r="J5873">
        <v>95</v>
      </c>
      <c r="K5873" t="b">
        <v>1</v>
      </c>
    </row>
    <row r="5874" spans="8:11" x14ac:dyDescent="0.25">
      <c r="H5874">
        <v>53</v>
      </c>
      <c r="I5874">
        <v>330</v>
      </c>
      <c r="J5874">
        <v>95</v>
      </c>
      <c r="K5874" t="b">
        <v>1</v>
      </c>
    </row>
    <row r="5875" spans="8:11" x14ac:dyDescent="0.25">
      <c r="H5875">
        <v>53</v>
      </c>
      <c r="I5875">
        <v>360</v>
      </c>
      <c r="J5875">
        <v>95</v>
      </c>
      <c r="K5875" t="b">
        <v>1</v>
      </c>
    </row>
    <row r="5876" spans="8:11" x14ac:dyDescent="0.25">
      <c r="H5876">
        <v>53</v>
      </c>
      <c r="I5876">
        <v>390</v>
      </c>
      <c r="J5876">
        <v>95</v>
      </c>
      <c r="K5876" t="b">
        <v>1</v>
      </c>
    </row>
    <row r="5877" spans="8:11" x14ac:dyDescent="0.25">
      <c r="H5877">
        <v>53</v>
      </c>
      <c r="I5877">
        <v>420</v>
      </c>
      <c r="J5877">
        <v>95</v>
      </c>
      <c r="K5877" t="b">
        <v>1</v>
      </c>
    </row>
    <row r="5878" spans="8:11" x14ac:dyDescent="0.25">
      <c r="H5878">
        <v>53</v>
      </c>
      <c r="I5878">
        <v>450</v>
      </c>
      <c r="J5878">
        <v>95</v>
      </c>
      <c r="K5878" t="b">
        <v>1</v>
      </c>
    </row>
    <row r="5879" spans="8:11" x14ac:dyDescent="0.25">
      <c r="H5879">
        <v>53</v>
      </c>
      <c r="I5879">
        <v>480</v>
      </c>
      <c r="J5879">
        <v>95</v>
      </c>
      <c r="K5879" t="b">
        <v>1</v>
      </c>
    </row>
    <row r="5880" spans="8:11" x14ac:dyDescent="0.25">
      <c r="H5880">
        <v>53</v>
      </c>
      <c r="I5880">
        <v>510</v>
      </c>
      <c r="J5880">
        <v>95</v>
      </c>
      <c r="K5880" t="b">
        <v>1</v>
      </c>
    </row>
    <row r="5881" spans="8:11" x14ac:dyDescent="0.25">
      <c r="H5881">
        <v>53</v>
      </c>
      <c r="I5881">
        <v>540</v>
      </c>
      <c r="J5881">
        <v>95</v>
      </c>
      <c r="K5881" t="b">
        <v>1</v>
      </c>
    </row>
    <row r="5882" spans="8:11" x14ac:dyDescent="0.25">
      <c r="H5882">
        <v>53</v>
      </c>
      <c r="I5882">
        <v>570</v>
      </c>
      <c r="J5882">
        <v>95</v>
      </c>
      <c r="K5882" t="b">
        <v>1</v>
      </c>
    </row>
    <row r="5883" spans="8:11" x14ac:dyDescent="0.25">
      <c r="H5883">
        <v>53</v>
      </c>
      <c r="I5883">
        <v>600</v>
      </c>
      <c r="J5883">
        <v>95</v>
      </c>
      <c r="K5883" t="b">
        <v>1</v>
      </c>
    </row>
    <row r="5884" spans="8:11" x14ac:dyDescent="0.25">
      <c r="H5884">
        <v>53</v>
      </c>
      <c r="I5884">
        <v>630</v>
      </c>
      <c r="J5884">
        <v>95</v>
      </c>
      <c r="K5884" t="b">
        <v>1</v>
      </c>
    </row>
    <row r="5885" spans="8:11" x14ac:dyDescent="0.25">
      <c r="H5885">
        <v>53</v>
      </c>
      <c r="I5885">
        <v>660</v>
      </c>
      <c r="J5885">
        <v>95</v>
      </c>
      <c r="K5885" t="b">
        <v>1</v>
      </c>
    </row>
    <row r="5886" spans="8:11" x14ac:dyDescent="0.25">
      <c r="H5886">
        <v>53</v>
      </c>
      <c r="I5886">
        <v>690</v>
      </c>
      <c r="J5886">
        <v>95</v>
      </c>
      <c r="K5886" t="b">
        <v>1</v>
      </c>
    </row>
    <row r="5887" spans="8:11" x14ac:dyDescent="0.25">
      <c r="H5887">
        <v>53</v>
      </c>
      <c r="I5887">
        <v>720</v>
      </c>
      <c r="J5887">
        <v>95</v>
      </c>
      <c r="K5887" t="b">
        <v>1</v>
      </c>
    </row>
    <row r="5888" spans="8:11" x14ac:dyDescent="0.25">
      <c r="H5888">
        <v>53</v>
      </c>
      <c r="I5888">
        <v>750</v>
      </c>
      <c r="J5888">
        <v>95</v>
      </c>
      <c r="K5888" t="b">
        <v>1</v>
      </c>
    </row>
    <row r="5889" spans="8:11" x14ac:dyDescent="0.25">
      <c r="H5889">
        <v>53</v>
      </c>
      <c r="I5889">
        <v>780</v>
      </c>
      <c r="J5889">
        <v>95</v>
      </c>
      <c r="K5889" t="b">
        <v>1</v>
      </c>
    </row>
    <row r="5890" spans="8:11" x14ac:dyDescent="0.25">
      <c r="H5890">
        <v>53</v>
      </c>
      <c r="I5890">
        <v>810</v>
      </c>
      <c r="J5890">
        <v>95</v>
      </c>
      <c r="K5890" t="b">
        <v>1</v>
      </c>
    </row>
    <row r="5891" spans="8:11" x14ac:dyDescent="0.25">
      <c r="H5891">
        <v>53</v>
      </c>
      <c r="I5891">
        <v>840</v>
      </c>
      <c r="J5891">
        <v>95</v>
      </c>
      <c r="K5891" t="b">
        <v>1</v>
      </c>
    </row>
    <row r="5892" spans="8:11" x14ac:dyDescent="0.25">
      <c r="H5892">
        <v>53</v>
      </c>
      <c r="I5892">
        <v>870</v>
      </c>
      <c r="J5892">
        <v>95</v>
      </c>
      <c r="K5892" t="b">
        <v>1</v>
      </c>
    </row>
    <row r="5893" spans="8:11" x14ac:dyDescent="0.25">
      <c r="H5893">
        <v>53</v>
      </c>
      <c r="I5893">
        <v>900</v>
      </c>
      <c r="J5893">
        <v>95</v>
      </c>
      <c r="K5893" t="b">
        <v>1</v>
      </c>
    </row>
    <row r="5894" spans="8:11" x14ac:dyDescent="0.25">
      <c r="H5894">
        <v>53</v>
      </c>
      <c r="I5894">
        <v>930</v>
      </c>
      <c r="J5894">
        <v>95</v>
      </c>
      <c r="K5894" t="b">
        <v>1</v>
      </c>
    </row>
    <row r="5895" spans="8:11" x14ac:dyDescent="0.25">
      <c r="H5895">
        <v>54</v>
      </c>
      <c r="I5895">
        <v>0</v>
      </c>
      <c r="J5895">
        <v>110</v>
      </c>
      <c r="K5895" t="b">
        <v>1</v>
      </c>
    </row>
    <row r="5896" spans="8:11" x14ac:dyDescent="0.25">
      <c r="H5896">
        <v>54</v>
      </c>
      <c r="I5896">
        <v>7</v>
      </c>
      <c r="J5896">
        <v>110</v>
      </c>
      <c r="K5896" t="b">
        <v>1</v>
      </c>
    </row>
    <row r="5897" spans="8:11" x14ac:dyDescent="0.25">
      <c r="H5897">
        <v>54</v>
      </c>
      <c r="I5897">
        <v>14</v>
      </c>
      <c r="J5897">
        <v>110</v>
      </c>
      <c r="K5897" t="b">
        <v>1</v>
      </c>
    </row>
    <row r="5898" spans="8:11" x14ac:dyDescent="0.25">
      <c r="H5898">
        <v>54</v>
      </c>
      <c r="I5898">
        <v>21</v>
      </c>
      <c r="J5898">
        <v>110</v>
      </c>
      <c r="K5898" t="b">
        <v>1</v>
      </c>
    </row>
    <row r="5899" spans="8:11" x14ac:dyDescent="0.25">
      <c r="H5899">
        <v>54</v>
      </c>
      <c r="I5899">
        <v>28</v>
      </c>
      <c r="J5899">
        <v>110</v>
      </c>
      <c r="K5899" t="b">
        <v>1</v>
      </c>
    </row>
    <row r="5900" spans="8:11" x14ac:dyDescent="0.25">
      <c r="H5900">
        <v>54</v>
      </c>
      <c r="I5900">
        <v>35</v>
      </c>
      <c r="J5900">
        <v>110</v>
      </c>
      <c r="K5900" t="b">
        <v>1</v>
      </c>
    </row>
    <row r="5901" spans="8:11" x14ac:dyDescent="0.25">
      <c r="H5901">
        <v>54</v>
      </c>
      <c r="I5901">
        <v>42</v>
      </c>
      <c r="J5901">
        <v>110</v>
      </c>
      <c r="K5901" t="b">
        <v>1</v>
      </c>
    </row>
    <row r="5902" spans="8:11" x14ac:dyDescent="0.25">
      <c r="H5902">
        <v>54</v>
      </c>
      <c r="I5902">
        <v>49</v>
      </c>
      <c r="J5902">
        <v>110</v>
      </c>
      <c r="K5902" t="b">
        <v>1</v>
      </c>
    </row>
    <row r="5903" spans="8:11" x14ac:dyDescent="0.25">
      <c r="H5903">
        <v>54</v>
      </c>
      <c r="I5903">
        <v>56</v>
      </c>
      <c r="J5903">
        <v>110</v>
      </c>
      <c r="K5903" t="b">
        <v>1</v>
      </c>
    </row>
    <row r="5904" spans="8:11" x14ac:dyDescent="0.25">
      <c r="H5904">
        <v>54</v>
      </c>
      <c r="I5904">
        <v>63</v>
      </c>
      <c r="J5904">
        <v>110</v>
      </c>
      <c r="K5904" t="b">
        <v>1</v>
      </c>
    </row>
    <row r="5905" spans="8:11" x14ac:dyDescent="0.25">
      <c r="H5905">
        <v>54</v>
      </c>
      <c r="I5905">
        <v>70</v>
      </c>
      <c r="J5905">
        <v>110</v>
      </c>
      <c r="K5905" t="b">
        <v>1</v>
      </c>
    </row>
    <row r="5906" spans="8:11" x14ac:dyDescent="0.25">
      <c r="H5906">
        <v>54</v>
      </c>
      <c r="I5906">
        <v>77</v>
      </c>
      <c r="J5906">
        <v>110</v>
      </c>
      <c r="K5906" t="b">
        <v>1</v>
      </c>
    </row>
    <row r="5907" spans="8:11" x14ac:dyDescent="0.25">
      <c r="H5907">
        <v>54</v>
      </c>
      <c r="I5907">
        <v>84</v>
      </c>
      <c r="J5907">
        <v>110</v>
      </c>
      <c r="K5907" t="b">
        <v>1</v>
      </c>
    </row>
    <row r="5908" spans="8:11" x14ac:dyDescent="0.25">
      <c r="H5908">
        <v>54</v>
      </c>
      <c r="I5908">
        <v>91</v>
      </c>
      <c r="J5908">
        <v>110</v>
      </c>
      <c r="K5908" t="b">
        <v>1</v>
      </c>
    </row>
    <row r="5909" spans="8:11" x14ac:dyDescent="0.25">
      <c r="H5909">
        <v>54</v>
      </c>
      <c r="I5909">
        <v>98</v>
      </c>
      <c r="J5909">
        <v>110</v>
      </c>
      <c r="K5909" t="b">
        <v>1</v>
      </c>
    </row>
    <row r="5910" spans="8:11" x14ac:dyDescent="0.25">
      <c r="H5910">
        <v>54</v>
      </c>
      <c r="I5910">
        <v>105</v>
      </c>
      <c r="J5910">
        <v>110</v>
      </c>
      <c r="K5910" t="b">
        <v>1</v>
      </c>
    </row>
    <row r="5911" spans="8:11" x14ac:dyDescent="0.25">
      <c r="H5911">
        <v>54</v>
      </c>
      <c r="I5911">
        <v>112</v>
      </c>
      <c r="J5911">
        <v>110</v>
      </c>
      <c r="K5911" t="b">
        <v>1</v>
      </c>
    </row>
    <row r="5912" spans="8:11" x14ac:dyDescent="0.25">
      <c r="H5912">
        <v>54</v>
      </c>
      <c r="I5912">
        <v>119</v>
      </c>
      <c r="J5912">
        <v>110</v>
      </c>
      <c r="K5912" t="b">
        <v>1</v>
      </c>
    </row>
    <row r="5913" spans="8:11" x14ac:dyDescent="0.25">
      <c r="H5913">
        <v>54</v>
      </c>
      <c r="I5913">
        <v>126</v>
      </c>
      <c r="J5913">
        <v>110</v>
      </c>
      <c r="K5913" t="b">
        <v>1</v>
      </c>
    </row>
    <row r="5914" spans="8:11" x14ac:dyDescent="0.25">
      <c r="H5914">
        <v>54</v>
      </c>
      <c r="I5914">
        <v>133</v>
      </c>
      <c r="J5914">
        <v>110</v>
      </c>
      <c r="K5914" t="b">
        <v>1</v>
      </c>
    </row>
    <row r="5915" spans="8:11" x14ac:dyDescent="0.25">
      <c r="H5915">
        <v>54</v>
      </c>
      <c r="I5915">
        <v>140</v>
      </c>
      <c r="J5915">
        <v>110</v>
      </c>
      <c r="K5915" t="b">
        <v>1</v>
      </c>
    </row>
    <row r="5916" spans="8:11" x14ac:dyDescent="0.25">
      <c r="H5916">
        <v>54</v>
      </c>
      <c r="I5916">
        <v>147</v>
      </c>
      <c r="J5916">
        <v>110</v>
      </c>
      <c r="K5916" t="b">
        <v>1</v>
      </c>
    </row>
    <row r="5917" spans="8:11" x14ac:dyDescent="0.25">
      <c r="H5917">
        <v>54</v>
      </c>
      <c r="I5917">
        <v>154</v>
      </c>
      <c r="J5917">
        <v>110</v>
      </c>
      <c r="K5917" t="b">
        <v>1</v>
      </c>
    </row>
    <row r="5918" spans="8:11" x14ac:dyDescent="0.25">
      <c r="H5918">
        <v>54</v>
      </c>
      <c r="I5918">
        <v>161</v>
      </c>
      <c r="J5918">
        <v>110</v>
      </c>
      <c r="K5918" t="b">
        <v>1</v>
      </c>
    </row>
    <row r="5919" spans="8:11" x14ac:dyDescent="0.25">
      <c r="H5919">
        <v>54</v>
      </c>
      <c r="I5919">
        <v>168</v>
      </c>
      <c r="J5919">
        <v>110</v>
      </c>
      <c r="K5919" t="b">
        <v>1</v>
      </c>
    </row>
    <row r="5920" spans="8:11" x14ac:dyDescent="0.25">
      <c r="H5920">
        <v>54</v>
      </c>
      <c r="I5920">
        <v>175</v>
      </c>
      <c r="J5920">
        <v>110</v>
      </c>
      <c r="K5920" t="b">
        <v>1</v>
      </c>
    </row>
    <row r="5921" spans="8:11" x14ac:dyDescent="0.25">
      <c r="H5921">
        <v>54</v>
      </c>
      <c r="I5921">
        <v>182</v>
      </c>
      <c r="J5921">
        <v>110</v>
      </c>
      <c r="K5921" t="b">
        <v>1</v>
      </c>
    </row>
    <row r="5922" spans="8:11" x14ac:dyDescent="0.25">
      <c r="H5922">
        <v>54</v>
      </c>
      <c r="I5922">
        <v>189</v>
      </c>
      <c r="J5922">
        <v>110</v>
      </c>
      <c r="K5922" t="b">
        <v>1</v>
      </c>
    </row>
    <row r="5923" spans="8:11" x14ac:dyDescent="0.25">
      <c r="H5923">
        <v>54</v>
      </c>
      <c r="I5923">
        <v>196</v>
      </c>
      <c r="J5923">
        <v>110</v>
      </c>
      <c r="K5923" t="b">
        <v>1</v>
      </c>
    </row>
    <row r="5924" spans="8:11" x14ac:dyDescent="0.25">
      <c r="H5924">
        <v>54</v>
      </c>
      <c r="I5924">
        <v>203</v>
      </c>
      <c r="J5924">
        <v>110</v>
      </c>
      <c r="K5924" t="b">
        <v>1</v>
      </c>
    </row>
    <row r="5925" spans="8:11" x14ac:dyDescent="0.25">
      <c r="H5925">
        <v>54</v>
      </c>
      <c r="I5925">
        <v>210</v>
      </c>
      <c r="J5925">
        <v>110</v>
      </c>
      <c r="K5925" t="b">
        <v>1</v>
      </c>
    </row>
    <row r="5926" spans="8:11" x14ac:dyDescent="0.25">
      <c r="H5926">
        <v>54</v>
      </c>
      <c r="I5926">
        <v>217</v>
      </c>
      <c r="J5926">
        <v>110</v>
      </c>
      <c r="K5926" t="b">
        <v>1</v>
      </c>
    </row>
    <row r="5927" spans="8:11" x14ac:dyDescent="0.25">
      <c r="H5927">
        <v>54</v>
      </c>
      <c r="I5927">
        <v>224</v>
      </c>
      <c r="J5927">
        <v>110</v>
      </c>
      <c r="K5927" t="b">
        <v>1</v>
      </c>
    </row>
    <row r="5928" spans="8:11" x14ac:dyDescent="0.25">
      <c r="H5928">
        <v>54</v>
      </c>
      <c r="I5928">
        <v>231</v>
      </c>
      <c r="J5928">
        <v>110</v>
      </c>
      <c r="K5928" t="b">
        <v>1</v>
      </c>
    </row>
    <row r="5929" spans="8:11" x14ac:dyDescent="0.25">
      <c r="H5929">
        <v>54</v>
      </c>
      <c r="I5929">
        <v>238</v>
      </c>
      <c r="J5929">
        <v>110</v>
      </c>
      <c r="K5929" t="b">
        <v>1</v>
      </c>
    </row>
    <row r="5930" spans="8:11" x14ac:dyDescent="0.25">
      <c r="H5930">
        <v>54</v>
      </c>
      <c r="I5930">
        <v>245</v>
      </c>
      <c r="J5930">
        <v>110</v>
      </c>
      <c r="K5930" t="b">
        <v>1</v>
      </c>
    </row>
    <row r="5931" spans="8:11" x14ac:dyDescent="0.25">
      <c r="H5931">
        <v>54</v>
      </c>
      <c r="I5931">
        <v>252</v>
      </c>
      <c r="J5931">
        <v>110</v>
      </c>
      <c r="K5931" t="b">
        <v>1</v>
      </c>
    </row>
    <row r="5932" spans="8:11" x14ac:dyDescent="0.25">
      <c r="H5932">
        <v>54</v>
      </c>
      <c r="I5932">
        <v>259</v>
      </c>
      <c r="J5932">
        <v>110</v>
      </c>
      <c r="K5932" t="b">
        <v>1</v>
      </c>
    </row>
    <row r="5933" spans="8:11" x14ac:dyDescent="0.25">
      <c r="H5933">
        <v>54</v>
      </c>
      <c r="I5933">
        <v>266</v>
      </c>
      <c r="J5933">
        <v>110</v>
      </c>
      <c r="K5933" t="b">
        <v>1</v>
      </c>
    </row>
    <row r="5934" spans="8:11" x14ac:dyDescent="0.25">
      <c r="H5934">
        <v>54</v>
      </c>
      <c r="I5934">
        <v>273</v>
      </c>
      <c r="J5934">
        <v>110</v>
      </c>
      <c r="K5934" t="b">
        <v>1</v>
      </c>
    </row>
    <row r="5935" spans="8:11" x14ac:dyDescent="0.25">
      <c r="H5935">
        <v>54</v>
      </c>
      <c r="I5935">
        <v>280</v>
      </c>
      <c r="J5935">
        <v>110</v>
      </c>
      <c r="K5935" t="b">
        <v>1</v>
      </c>
    </row>
    <row r="5936" spans="8:11" x14ac:dyDescent="0.25">
      <c r="H5936">
        <v>54</v>
      </c>
      <c r="I5936">
        <v>287</v>
      </c>
      <c r="J5936">
        <v>110</v>
      </c>
      <c r="K5936" t="b">
        <v>1</v>
      </c>
    </row>
    <row r="5937" spans="8:11" x14ac:dyDescent="0.25">
      <c r="H5937">
        <v>54</v>
      </c>
      <c r="I5937">
        <v>294</v>
      </c>
      <c r="J5937">
        <v>110</v>
      </c>
      <c r="K5937" t="b">
        <v>1</v>
      </c>
    </row>
    <row r="5938" spans="8:11" x14ac:dyDescent="0.25">
      <c r="H5938">
        <v>54</v>
      </c>
      <c r="I5938">
        <v>301</v>
      </c>
      <c r="J5938">
        <v>110</v>
      </c>
      <c r="K5938" t="b">
        <v>1</v>
      </c>
    </row>
    <row r="5939" spans="8:11" x14ac:dyDescent="0.25">
      <c r="H5939">
        <v>54</v>
      </c>
      <c r="I5939">
        <v>308</v>
      </c>
      <c r="J5939">
        <v>110</v>
      </c>
      <c r="K5939" t="b">
        <v>1</v>
      </c>
    </row>
    <row r="5940" spans="8:11" x14ac:dyDescent="0.25">
      <c r="H5940">
        <v>54</v>
      </c>
      <c r="I5940">
        <v>315</v>
      </c>
      <c r="J5940">
        <v>110</v>
      </c>
      <c r="K5940" t="b">
        <v>1</v>
      </c>
    </row>
    <row r="5941" spans="8:11" x14ac:dyDescent="0.25">
      <c r="H5941">
        <v>54</v>
      </c>
      <c r="I5941">
        <v>322</v>
      </c>
      <c r="J5941">
        <v>110</v>
      </c>
      <c r="K5941" t="b">
        <v>1</v>
      </c>
    </row>
    <row r="5942" spans="8:11" x14ac:dyDescent="0.25">
      <c r="H5942">
        <v>54</v>
      </c>
      <c r="I5942">
        <v>329</v>
      </c>
      <c r="J5942">
        <v>110</v>
      </c>
      <c r="K5942" t="b">
        <v>1</v>
      </c>
    </row>
    <row r="5943" spans="8:11" x14ac:dyDescent="0.25">
      <c r="H5943">
        <v>54</v>
      </c>
      <c r="I5943">
        <v>336</v>
      </c>
      <c r="J5943">
        <v>110</v>
      </c>
      <c r="K5943" t="b">
        <v>1</v>
      </c>
    </row>
    <row r="5944" spans="8:11" x14ac:dyDescent="0.25">
      <c r="H5944">
        <v>54</v>
      </c>
      <c r="I5944">
        <v>343</v>
      </c>
      <c r="J5944">
        <v>110</v>
      </c>
      <c r="K5944" t="b">
        <v>1</v>
      </c>
    </row>
    <row r="5945" spans="8:11" x14ac:dyDescent="0.25">
      <c r="H5945">
        <v>54</v>
      </c>
      <c r="I5945">
        <v>350</v>
      </c>
      <c r="J5945">
        <v>110</v>
      </c>
      <c r="K5945" t="b">
        <v>1</v>
      </c>
    </row>
    <row r="5946" spans="8:11" x14ac:dyDescent="0.25">
      <c r="H5946">
        <v>54</v>
      </c>
      <c r="I5946">
        <v>357</v>
      </c>
      <c r="J5946">
        <v>110</v>
      </c>
      <c r="K5946" t="b">
        <v>1</v>
      </c>
    </row>
    <row r="5947" spans="8:11" x14ac:dyDescent="0.25">
      <c r="H5947">
        <v>54</v>
      </c>
      <c r="I5947">
        <v>364</v>
      </c>
      <c r="J5947">
        <v>110</v>
      </c>
      <c r="K5947" t="b">
        <v>1</v>
      </c>
    </row>
    <row r="5948" spans="8:11" x14ac:dyDescent="0.25">
      <c r="H5948">
        <v>54</v>
      </c>
      <c r="I5948">
        <v>371</v>
      </c>
      <c r="J5948">
        <v>110</v>
      </c>
      <c r="K5948" t="b">
        <v>1</v>
      </c>
    </row>
    <row r="5949" spans="8:11" x14ac:dyDescent="0.25">
      <c r="H5949">
        <v>54</v>
      </c>
      <c r="I5949">
        <v>378</v>
      </c>
      <c r="J5949">
        <v>110</v>
      </c>
      <c r="K5949" t="b">
        <v>1</v>
      </c>
    </row>
    <row r="5950" spans="8:11" x14ac:dyDescent="0.25">
      <c r="H5950">
        <v>54</v>
      </c>
      <c r="I5950">
        <v>385</v>
      </c>
      <c r="J5950">
        <v>110</v>
      </c>
      <c r="K5950" t="b">
        <v>1</v>
      </c>
    </row>
    <row r="5951" spans="8:11" x14ac:dyDescent="0.25">
      <c r="H5951">
        <v>54</v>
      </c>
      <c r="I5951">
        <v>392</v>
      </c>
      <c r="J5951">
        <v>110</v>
      </c>
      <c r="K5951" t="b">
        <v>1</v>
      </c>
    </row>
    <row r="5952" spans="8:11" x14ac:dyDescent="0.25">
      <c r="H5952">
        <v>54</v>
      </c>
      <c r="I5952">
        <v>399</v>
      </c>
      <c r="J5952">
        <v>110</v>
      </c>
      <c r="K5952" t="b">
        <v>1</v>
      </c>
    </row>
    <row r="5953" spans="8:11" x14ac:dyDescent="0.25">
      <c r="H5953">
        <v>54</v>
      </c>
      <c r="I5953">
        <v>406</v>
      </c>
      <c r="J5953">
        <v>110</v>
      </c>
      <c r="K5953" t="b">
        <v>1</v>
      </c>
    </row>
    <row r="5954" spans="8:11" x14ac:dyDescent="0.25">
      <c r="H5954">
        <v>54</v>
      </c>
      <c r="I5954">
        <v>413</v>
      </c>
      <c r="J5954">
        <v>110</v>
      </c>
      <c r="K5954" t="b">
        <v>1</v>
      </c>
    </row>
    <row r="5955" spans="8:11" x14ac:dyDescent="0.25">
      <c r="H5955">
        <v>54</v>
      </c>
      <c r="I5955">
        <v>420</v>
      </c>
      <c r="J5955">
        <v>110</v>
      </c>
      <c r="K5955" t="b">
        <v>1</v>
      </c>
    </row>
    <row r="5956" spans="8:11" x14ac:dyDescent="0.25">
      <c r="H5956">
        <v>54</v>
      </c>
      <c r="I5956">
        <v>427</v>
      </c>
      <c r="J5956">
        <v>110</v>
      </c>
      <c r="K5956" t="b">
        <v>1</v>
      </c>
    </row>
    <row r="5957" spans="8:11" x14ac:dyDescent="0.25">
      <c r="H5957">
        <v>54</v>
      </c>
      <c r="I5957">
        <v>434</v>
      </c>
      <c r="J5957">
        <v>110</v>
      </c>
      <c r="K5957" t="b">
        <v>1</v>
      </c>
    </row>
    <row r="5958" spans="8:11" x14ac:dyDescent="0.25">
      <c r="H5958">
        <v>54</v>
      </c>
      <c r="I5958">
        <v>441</v>
      </c>
      <c r="J5958">
        <v>110</v>
      </c>
      <c r="K5958" t="b">
        <v>1</v>
      </c>
    </row>
    <row r="5959" spans="8:11" x14ac:dyDescent="0.25">
      <c r="H5959">
        <v>54</v>
      </c>
      <c r="I5959">
        <v>448</v>
      </c>
      <c r="J5959">
        <v>110</v>
      </c>
      <c r="K5959" t="b">
        <v>1</v>
      </c>
    </row>
    <row r="5960" spans="8:11" x14ac:dyDescent="0.25">
      <c r="H5960">
        <v>54</v>
      </c>
      <c r="I5960">
        <v>455</v>
      </c>
      <c r="J5960">
        <v>110</v>
      </c>
      <c r="K5960" t="b">
        <v>1</v>
      </c>
    </row>
    <row r="5961" spans="8:11" x14ac:dyDescent="0.25">
      <c r="H5961">
        <v>54</v>
      </c>
      <c r="I5961">
        <v>462</v>
      </c>
      <c r="J5961">
        <v>110</v>
      </c>
      <c r="K5961" t="b">
        <v>1</v>
      </c>
    </row>
    <row r="5962" spans="8:11" x14ac:dyDescent="0.25">
      <c r="H5962">
        <v>54</v>
      </c>
      <c r="I5962">
        <v>469</v>
      </c>
      <c r="J5962">
        <v>110</v>
      </c>
      <c r="K5962" t="b">
        <v>1</v>
      </c>
    </row>
    <row r="5963" spans="8:11" x14ac:dyDescent="0.25">
      <c r="H5963">
        <v>54</v>
      </c>
      <c r="I5963">
        <v>476</v>
      </c>
      <c r="J5963">
        <v>110</v>
      </c>
      <c r="K5963" t="b">
        <v>1</v>
      </c>
    </row>
    <row r="5964" spans="8:11" x14ac:dyDescent="0.25">
      <c r="H5964">
        <v>54</v>
      </c>
      <c r="I5964">
        <v>483</v>
      </c>
      <c r="J5964">
        <v>110</v>
      </c>
      <c r="K5964" t="b">
        <v>1</v>
      </c>
    </row>
    <row r="5965" spans="8:11" x14ac:dyDescent="0.25">
      <c r="H5965">
        <v>54</v>
      </c>
      <c r="I5965">
        <v>490</v>
      </c>
      <c r="J5965">
        <v>110</v>
      </c>
      <c r="K5965" t="b">
        <v>1</v>
      </c>
    </row>
    <row r="5966" spans="8:11" x14ac:dyDescent="0.25">
      <c r="H5966">
        <v>54</v>
      </c>
      <c r="I5966">
        <v>497</v>
      </c>
      <c r="J5966">
        <v>110</v>
      </c>
      <c r="K5966" t="b">
        <v>1</v>
      </c>
    </row>
    <row r="5967" spans="8:11" x14ac:dyDescent="0.25">
      <c r="H5967">
        <v>54</v>
      </c>
      <c r="I5967">
        <v>504</v>
      </c>
      <c r="J5967">
        <v>110</v>
      </c>
      <c r="K5967" t="b">
        <v>1</v>
      </c>
    </row>
    <row r="5968" spans="8:11" x14ac:dyDescent="0.25">
      <c r="H5968">
        <v>54</v>
      </c>
      <c r="I5968">
        <v>511</v>
      </c>
      <c r="J5968">
        <v>110</v>
      </c>
      <c r="K5968" t="b">
        <v>1</v>
      </c>
    </row>
    <row r="5969" spans="8:11" x14ac:dyDescent="0.25">
      <c r="H5969">
        <v>54</v>
      </c>
      <c r="I5969">
        <v>518</v>
      </c>
      <c r="J5969">
        <v>110</v>
      </c>
      <c r="K5969" t="b">
        <v>1</v>
      </c>
    </row>
    <row r="5970" spans="8:11" x14ac:dyDescent="0.25">
      <c r="H5970">
        <v>54</v>
      </c>
      <c r="I5970">
        <v>525</v>
      </c>
      <c r="J5970">
        <v>110</v>
      </c>
      <c r="K5970" t="b">
        <v>1</v>
      </c>
    </row>
    <row r="5971" spans="8:11" x14ac:dyDescent="0.25">
      <c r="H5971">
        <v>54</v>
      </c>
      <c r="I5971">
        <v>532</v>
      </c>
      <c r="J5971">
        <v>110</v>
      </c>
      <c r="K5971" t="b">
        <v>1</v>
      </c>
    </row>
    <row r="5972" spans="8:11" x14ac:dyDescent="0.25">
      <c r="H5972">
        <v>54</v>
      </c>
      <c r="I5972">
        <v>539</v>
      </c>
      <c r="J5972">
        <v>110</v>
      </c>
      <c r="K5972" t="b">
        <v>1</v>
      </c>
    </row>
    <row r="5973" spans="8:11" x14ac:dyDescent="0.25">
      <c r="H5973">
        <v>54</v>
      </c>
      <c r="I5973">
        <v>546</v>
      </c>
      <c r="J5973">
        <v>110</v>
      </c>
      <c r="K5973" t="b">
        <v>1</v>
      </c>
    </row>
    <row r="5974" spans="8:11" x14ac:dyDescent="0.25">
      <c r="H5974">
        <v>54</v>
      </c>
      <c r="I5974">
        <v>553</v>
      </c>
      <c r="J5974">
        <v>110</v>
      </c>
      <c r="K5974" t="b">
        <v>1</v>
      </c>
    </row>
    <row r="5975" spans="8:11" x14ac:dyDescent="0.25">
      <c r="H5975">
        <v>54</v>
      </c>
      <c r="I5975">
        <v>560</v>
      </c>
      <c r="J5975">
        <v>110</v>
      </c>
      <c r="K5975" t="b">
        <v>1</v>
      </c>
    </row>
    <row r="5976" spans="8:11" x14ac:dyDescent="0.25">
      <c r="H5976">
        <v>54</v>
      </c>
      <c r="I5976">
        <v>567</v>
      </c>
      <c r="J5976">
        <v>110</v>
      </c>
      <c r="K5976" t="b">
        <v>1</v>
      </c>
    </row>
    <row r="5977" spans="8:11" x14ac:dyDescent="0.25">
      <c r="H5977">
        <v>54</v>
      </c>
      <c r="I5977">
        <v>574</v>
      </c>
      <c r="J5977">
        <v>110</v>
      </c>
      <c r="K5977" t="b">
        <v>1</v>
      </c>
    </row>
    <row r="5978" spans="8:11" x14ac:dyDescent="0.25">
      <c r="H5978">
        <v>54</v>
      </c>
      <c r="I5978">
        <v>581</v>
      </c>
      <c r="J5978">
        <v>110</v>
      </c>
      <c r="K5978" t="b">
        <v>1</v>
      </c>
    </row>
    <row r="5979" spans="8:11" x14ac:dyDescent="0.25">
      <c r="H5979">
        <v>54</v>
      </c>
      <c r="I5979">
        <v>588</v>
      </c>
      <c r="J5979">
        <v>110</v>
      </c>
      <c r="K5979" t="b">
        <v>1</v>
      </c>
    </row>
    <row r="5980" spans="8:11" x14ac:dyDescent="0.25">
      <c r="H5980">
        <v>54</v>
      </c>
      <c r="I5980">
        <v>595</v>
      </c>
      <c r="J5980">
        <v>110</v>
      </c>
      <c r="K5980" t="b">
        <v>1</v>
      </c>
    </row>
    <row r="5981" spans="8:11" x14ac:dyDescent="0.25">
      <c r="H5981">
        <v>54</v>
      </c>
      <c r="I5981">
        <v>602</v>
      </c>
      <c r="J5981">
        <v>110</v>
      </c>
      <c r="K5981" t="b">
        <v>1</v>
      </c>
    </row>
    <row r="5982" spans="8:11" x14ac:dyDescent="0.25">
      <c r="H5982">
        <v>54</v>
      </c>
      <c r="I5982">
        <v>609</v>
      </c>
      <c r="J5982">
        <v>110</v>
      </c>
      <c r="K5982" t="b">
        <v>1</v>
      </c>
    </row>
    <row r="5983" spans="8:11" x14ac:dyDescent="0.25">
      <c r="H5983">
        <v>54</v>
      </c>
      <c r="I5983">
        <v>616</v>
      </c>
      <c r="J5983">
        <v>110</v>
      </c>
      <c r="K5983" t="b">
        <v>1</v>
      </c>
    </row>
    <row r="5984" spans="8:11" x14ac:dyDescent="0.25">
      <c r="H5984">
        <v>54</v>
      </c>
      <c r="I5984">
        <v>623</v>
      </c>
      <c r="J5984">
        <v>110</v>
      </c>
      <c r="K5984" t="b">
        <v>1</v>
      </c>
    </row>
    <row r="5985" spans="8:11" x14ac:dyDescent="0.25">
      <c r="H5985">
        <v>54</v>
      </c>
      <c r="I5985">
        <v>630</v>
      </c>
      <c r="J5985">
        <v>110</v>
      </c>
      <c r="K5985" t="b">
        <v>1</v>
      </c>
    </row>
    <row r="5986" spans="8:11" x14ac:dyDescent="0.25">
      <c r="H5986">
        <v>54</v>
      </c>
      <c r="I5986">
        <v>637</v>
      </c>
      <c r="J5986">
        <v>110</v>
      </c>
      <c r="K5986" t="b">
        <v>1</v>
      </c>
    </row>
    <row r="5987" spans="8:11" x14ac:dyDescent="0.25">
      <c r="H5987">
        <v>54</v>
      </c>
      <c r="I5987">
        <v>644</v>
      </c>
      <c r="J5987">
        <v>110</v>
      </c>
      <c r="K5987" t="b">
        <v>1</v>
      </c>
    </row>
    <row r="5988" spans="8:11" x14ac:dyDescent="0.25">
      <c r="H5988">
        <v>54</v>
      </c>
      <c r="I5988">
        <v>651</v>
      </c>
      <c r="J5988">
        <v>110</v>
      </c>
      <c r="K5988" t="b">
        <v>1</v>
      </c>
    </row>
    <row r="5989" spans="8:11" x14ac:dyDescent="0.25">
      <c r="H5989">
        <v>54</v>
      </c>
      <c r="I5989">
        <v>658</v>
      </c>
      <c r="J5989">
        <v>110</v>
      </c>
      <c r="K5989" t="b">
        <v>1</v>
      </c>
    </row>
    <row r="5990" spans="8:11" x14ac:dyDescent="0.25">
      <c r="H5990">
        <v>54</v>
      </c>
      <c r="I5990">
        <v>665</v>
      </c>
      <c r="J5990">
        <v>110</v>
      </c>
      <c r="K5990" t="b">
        <v>1</v>
      </c>
    </row>
    <row r="5991" spans="8:11" x14ac:dyDescent="0.25">
      <c r="H5991">
        <v>54</v>
      </c>
      <c r="I5991">
        <v>672</v>
      </c>
      <c r="J5991">
        <v>110</v>
      </c>
      <c r="K5991" t="b">
        <v>1</v>
      </c>
    </row>
    <row r="5992" spans="8:11" x14ac:dyDescent="0.25">
      <c r="H5992">
        <v>54</v>
      </c>
      <c r="I5992">
        <v>679</v>
      </c>
      <c r="J5992">
        <v>110</v>
      </c>
      <c r="K5992" t="b">
        <v>1</v>
      </c>
    </row>
    <row r="5993" spans="8:11" x14ac:dyDescent="0.25">
      <c r="H5993">
        <v>54</v>
      </c>
      <c r="I5993">
        <v>686</v>
      </c>
      <c r="J5993">
        <v>110</v>
      </c>
      <c r="K5993" t="b">
        <v>1</v>
      </c>
    </row>
    <row r="5994" spans="8:11" x14ac:dyDescent="0.25">
      <c r="H5994">
        <v>54</v>
      </c>
      <c r="I5994">
        <v>693</v>
      </c>
      <c r="J5994">
        <v>110</v>
      </c>
      <c r="K5994" t="b">
        <v>1</v>
      </c>
    </row>
    <row r="5995" spans="8:11" x14ac:dyDescent="0.25">
      <c r="H5995">
        <v>54</v>
      </c>
      <c r="I5995">
        <v>700</v>
      </c>
      <c r="J5995">
        <v>110</v>
      </c>
      <c r="K5995" t="b">
        <v>1</v>
      </c>
    </row>
    <row r="5996" spans="8:11" x14ac:dyDescent="0.25">
      <c r="H5996">
        <v>54</v>
      </c>
      <c r="I5996">
        <v>707</v>
      </c>
      <c r="J5996">
        <v>110</v>
      </c>
      <c r="K5996" t="b">
        <v>1</v>
      </c>
    </row>
    <row r="5997" spans="8:11" x14ac:dyDescent="0.25">
      <c r="H5997">
        <v>54</v>
      </c>
      <c r="I5997">
        <v>714</v>
      </c>
      <c r="J5997">
        <v>110</v>
      </c>
      <c r="K5997" t="b">
        <v>1</v>
      </c>
    </row>
    <row r="5998" spans="8:11" x14ac:dyDescent="0.25">
      <c r="H5998">
        <v>54</v>
      </c>
      <c r="I5998">
        <v>721</v>
      </c>
      <c r="J5998">
        <v>110</v>
      </c>
      <c r="K5998" t="b">
        <v>1</v>
      </c>
    </row>
    <row r="5999" spans="8:11" x14ac:dyDescent="0.25">
      <c r="H5999">
        <v>54</v>
      </c>
      <c r="I5999">
        <v>728</v>
      </c>
      <c r="J5999">
        <v>110</v>
      </c>
      <c r="K5999" t="b">
        <v>1</v>
      </c>
    </row>
    <row r="6000" spans="8:11" x14ac:dyDescent="0.25">
      <c r="H6000">
        <v>54</v>
      </c>
      <c r="I6000">
        <v>735</v>
      </c>
      <c r="J6000">
        <v>110</v>
      </c>
      <c r="K6000" t="b">
        <v>1</v>
      </c>
    </row>
    <row r="6001" spans="8:11" x14ac:dyDescent="0.25">
      <c r="H6001">
        <v>54</v>
      </c>
      <c r="I6001">
        <v>742</v>
      </c>
      <c r="J6001">
        <v>110</v>
      </c>
      <c r="K6001" t="b">
        <v>1</v>
      </c>
    </row>
    <row r="6002" spans="8:11" x14ac:dyDescent="0.25">
      <c r="H6002">
        <v>54</v>
      </c>
      <c r="I6002">
        <v>749</v>
      </c>
      <c r="J6002">
        <v>110</v>
      </c>
      <c r="K6002" t="b">
        <v>1</v>
      </c>
    </row>
    <row r="6003" spans="8:11" x14ac:dyDescent="0.25">
      <c r="H6003">
        <v>54</v>
      </c>
      <c r="I6003">
        <v>756</v>
      </c>
      <c r="J6003">
        <v>110</v>
      </c>
      <c r="K6003" t="b">
        <v>1</v>
      </c>
    </row>
    <row r="6004" spans="8:11" x14ac:dyDescent="0.25">
      <c r="H6004">
        <v>54</v>
      </c>
      <c r="I6004">
        <v>763</v>
      </c>
      <c r="J6004">
        <v>110</v>
      </c>
      <c r="K6004" t="b">
        <v>1</v>
      </c>
    </row>
    <row r="6005" spans="8:11" x14ac:dyDescent="0.25">
      <c r="H6005">
        <v>54</v>
      </c>
      <c r="I6005">
        <v>770</v>
      </c>
      <c r="J6005">
        <v>110</v>
      </c>
      <c r="K6005" t="b">
        <v>1</v>
      </c>
    </row>
    <row r="6006" spans="8:11" x14ac:dyDescent="0.25">
      <c r="H6006">
        <v>54</v>
      </c>
      <c r="I6006">
        <v>777</v>
      </c>
      <c r="J6006">
        <v>110</v>
      </c>
      <c r="K6006" t="b">
        <v>1</v>
      </c>
    </row>
    <row r="6007" spans="8:11" x14ac:dyDescent="0.25">
      <c r="H6007">
        <v>54</v>
      </c>
      <c r="I6007">
        <v>784</v>
      </c>
      <c r="J6007">
        <v>110</v>
      </c>
      <c r="K6007" t="b">
        <v>1</v>
      </c>
    </row>
    <row r="6008" spans="8:11" x14ac:dyDescent="0.25">
      <c r="H6008">
        <v>54</v>
      </c>
      <c r="I6008">
        <v>791</v>
      </c>
      <c r="J6008">
        <v>110</v>
      </c>
      <c r="K6008" t="b">
        <v>1</v>
      </c>
    </row>
    <row r="6009" spans="8:11" x14ac:dyDescent="0.25">
      <c r="H6009">
        <v>54</v>
      </c>
      <c r="I6009">
        <v>798</v>
      </c>
      <c r="J6009">
        <v>110</v>
      </c>
      <c r="K6009" t="b">
        <v>1</v>
      </c>
    </row>
    <row r="6010" spans="8:11" x14ac:dyDescent="0.25">
      <c r="H6010">
        <v>54</v>
      </c>
      <c r="I6010">
        <v>805</v>
      </c>
      <c r="J6010">
        <v>110</v>
      </c>
      <c r="K6010" t="b">
        <v>1</v>
      </c>
    </row>
    <row r="6011" spans="8:11" x14ac:dyDescent="0.25">
      <c r="H6011">
        <v>54</v>
      </c>
      <c r="I6011">
        <v>812</v>
      </c>
      <c r="J6011">
        <v>110</v>
      </c>
      <c r="K6011" t="b">
        <v>1</v>
      </c>
    </row>
    <row r="6012" spans="8:11" x14ac:dyDescent="0.25">
      <c r="H6012">
        <v>54</v>
      </c>
      <c r="I6012">
        <v>819</v>
      </c>
      <c r="J6012">
        <v>110</v>
      </c>
      <c r="K6012" t="b">
        <v>1</v>
      </c>
    </row>
    <row r="6013" spans="8:11" x14ac:dyDescent="0.25">
      <c r="H6013">
        <v>54</v>
      </c>
      <c r="I6013">
        <v>826</v>
      </c>
      <c r="J6013">
        <v>110</v>
      </c>
      <c r="K6013" t="b">
        <v>1</v>
      </c>
    </row>
    <row r="6014" spans="8:11" x14ac:dyDescent="0.25">
      <c r="H6014">
        <v>54</v>
      </c>
      <c r="I6014">
        <v>833</v>
      </c>
      <c r="J6014">
        <v>110</v>
      </c>
      <c r="K6014" t="b">
        <v>1</v>
      </c>
    </row>
    <row r="6015" spans="8:11" x14ac:dyDescent="0.25">
      <c r="H6015">
        <v>54</v>
      </c>
      <c r="I6015">
        <v>840</v>
      </c>
      <c r="J6015">
        <v>110</v>
      </c>
      <c r="K6015" t="b">
        <v>1</v>
      </c>
    </row>
    <row r="6016" spans="8:11" x14ac:dyDescent="0.25">
      <c r="H6016">
        <v>54</v>
      </c>
      <c r="I6016">
        <v>847</v>
      </c>
      <c r="J6016">
        <v>110</v>
      </c>
      <c r="K6016" t="b">
        <v>1</v>
      </c>
    </row>
    <row r="6017" spans="8:11" x14ac:dyDescent="0.25">
      <c r="H6017">
        <v>54</v>
      </c>
      <c r="I6017">
        <v>854</v>
      </c>
      <c r="J6017">
        <v>110</v>
      </c>
      <c r="K6017" t="b">
        <v>1</v>
      </c>
    </row>
    <row r="6018" spans="8:11" x14ac:dyDescent="0.25">
      <c r="H6018">
        <v>54</v>
      </c>
      <c r="I6018">
        <v>861</v>
      </c>
      <c r="J6018">
        <v>110</v>
      </c>
      <c r="K6018" t="b">
        <v>1</v>
      </c>
    </row>
    <row r="6019" spans="8:11" x14ac:dyDescent="0.25">
      <c r="H6019">
        <v>54</v>
      </c>
      <c r="I6019">
        <v>868</v>
      </c>
      <c r="J6019">
        <v>110</v>
      </c>
      <c r="K6019" t="b">
        <v>1</v>
      </c>
    </row>
    <row r="6020" spans="8:11" x14ac:dyDescent="0.25">
      <c r="H6020">
        <v>54</v>
      </c>
      <c r="I6020">
        <v>875</v>
      </c>
      <c r="J6020">
        <v>110</v>
      </c>
      <c r="K6020" t="b">
        <v>1</v>
      </c>
    </row>
    <row r="6021" spans="8:11" x14ac:dyDescent="0.25">
      <c r="H6021">
        <v>54</v>
      </c>
      <c r="I6021">
        <v>882</v>
      </c>
      <c r="J6021">
        <v>110</v>
      </c>
      <c r="K6021" t="b">
        <v>1</v>
      </c>
    </row>
    <row r="6022" spans="8:11" x14ac:dyDescent="0.25">
      <c r="H6022">
        <v>54</v>
      </c>
      <c r="I6022">
        <v>889</v>
      </c>
      <c r="J6022">
        <v>110</v>
      </c>
      <c r="K6022" t="b">
        <v>1</v>
      </c>
    </row>
    <row r="6023" spans="8:11" x14ac:dyDescent="0.25">
      <c r="H6023">
        <v>54</v>
      </c>
      <c r="I6023">
        <v>896</v>
      </c>
      <c r="J6023">
        <v>110</v>
      </c>
      <c r="K6023" t="b">
        <v>1</v>
      </c>
    </row>
    <row r="6024" spans="8:11" x14ac:dyDescent="0.25">
      <c r="H6024">
        <v>54</v>
      </c>
      <c r="I6024">
        <v>903</v>
      </c>
      <c r="J6024">
        <v>110</v>
      </c>
      <c r="K6024" t="b">
        <v>1</v>
      </c>
    </row>
    <row r="6025" spans="8:11" x14ac:dyDescent="0.25">
      <c r="H6025">
        <v>54</v>
      </c>
      <c r="I6025">
        <v>910</v>
      </c>
      <c r="J6025">
        <v>110</v>
      </c>
      <c r="K6025" t="b">
        <v>1</v>
      </c>
    </row>
    <row r="6026" spans="8:11" x14ac:dyDescent="0.25">
      <c r="H6026">
        <v>54</v>
      </c>
      <c r="I6026">
        <v>917</v>
      </c>
      <c r="J6026">
        <v>110</v>
      </c>
      <c r="K6026" t="b">
        <v>1</v>
      </c>
    </row>
    <row r="6027" spans="8:11" x14ac:dyDescent="0.25">
      <c r="H6027">
        <v>54</v>
      </c>
      <c r="I6027">
        <v>924</v>
      </c>
      <c r="J6027">
        <v>110</v>
      </c>
      <c r="K6027" t="b">
        <v>1</v>
      </c>
    </row>
    <row r="6028" spans="8:11" x14ac:dyDescent="0.25">
      <c r="H6028">
        <v>54</v>
      </c>
      <c r="I6028">
        <v>931</v>
      </c>
      <c r="J6028">
        <v>110</v>
      </c>
      <c r="K6028" t="b">
        <v>1</v>
      </c>
    </row>
    <row r="6029" spans="8:11" x14ac:dyDescent="0.25">
      <c r="H6029">
        <v>54</v>
      </c>
      <c r="I6029">
        <v>938</v>
      </c>
      <c r="J6029">
        <v>110</v>
      </c>
      <c r="K6029" t="b">
        <v>1</v>
      </c>
    </row>
    <row r="6030" spans="8:11" x14ac:dyDescent="0.25">
      <c r="H6030">
        <v>54</v>
      </c>
      <c r="I6030">
        <v>945</v>
      </c>
      <c r="J6030">
        <v>110</v>
      </c>
      <c r="K6030" t="b">
        <v>1</v>
      </c>
    </row>
    <row r="6031" spans="8:11" x14ac:dyDescent="0.25">
      <c r="H6031">
        <v>54</v>
      </c>
      <c r="I6031">
        <v>952</v>
      </c>
      <c r="J6031">
        <v>110</v>
      </c>
      <c r="K6031" t="b">
        <v>1</v>
      </c>
    </row>
    <row r="6032" spans="8:11" x14ac:dyDescent="0.25">
      <c r="H6032">
        <v>55</v>
      </c>
      <c r="I6032">
        <v>0</v>
      </c>
      <c r="J6032">
        <v>110</v>
      </c>
      <c r="K6032" t="b">
        <v>1</v>
      </c>
    </row>
    <row r="6033" spans="8:11" x14ac:dyDescent="0.25">
      <c r="H6033">
        <v>55</v>
      </c>
      <c r="I6033">
        <v>7</v>
      </c>
      <c r="J6033">
        <v>110</v>
      </c>
      <c r="K6033" t="b">
        <v>1</v>
      </c>
    </row>
    <row r="6034" spans="8:11" x14ac:dyDescent="0.25">
      <c r="H6034">
        <v>55</v>
      </c>
      <c r="I6034">
        <v>14</v>
      </c>
      <c r="J6034">
        <v>110</v>
      </c>
      <c r="K6034" t="b">
        <v>1</v>
      </c>
    </row>
    <row r="6035" spans="8:11" x14ac:dyDescent="0.25">
      <c r="H6035">
        <v>55</v>
      </c>
      <c r="I6035">
        <v>21</v>
      </c>
      <c r="J6035">
        <v>110</v>
      </c>
      <c r="K6035" t="b">
        <v>1</v>
      </c>
    </row>
    <row r="6036" spans="8:11" x14ac:dyDescent="0.25">
      <c r="H6036">
        <v>55</v>
      </c>
      <c r="I6036">
        <v>28</v>
      </c>
      <c r="J6036">
        <v>110</v>
      </c>
      <c r="K6036" t="b">
        <v>1</v>
      </c>
    </row>
    <row r="6037" spans="8:11" x14ac:dyDescent="0.25">
      <c r="H6037">
        <v>55</v>
      </c>
      <c r="I6037">
        <v>35</v>
      </c>
      <c r="J6037">
        <v>110</v>
      </c>
      <c r="K6037" t="b">
        <v>1</v>
      </c>
    </row>
    <row r="6038" spans="8:11" x14ac:dyDescent="0.25">
      <c r="H6038">
        <v>55</v>
      </c>
      <c r="I6038">
        <v>42</v>
      </c>
      <c r="J6038">
        <v>110</v>
      </c>
      <c r="K6038" t="b">
        <v>1</v>
      </c>
    </row>
    <row r="6039" spans="8:11" x14ac:dyDescent="0.25">
      <c r="H6039">
        <v>55</v>
      </c>
      <c r="I6039">
        <v>49</v>
      </c>
      <c r="J6039">
        <v>110</v>
      </c>
      <c r="K6039" t="b">
        <v>1</v>
      </c>
    </row>
    <row r="6040" spans="8:11" x14ac:dyDescent="0.25">
      <c r="H6040">
        <v>55</v>
      </c>
      <c r="I6040">
        <v>56</v>
      </c>
      <c r="J6040">
        <v>110</v>
      </c>
      <c r="K6040" t="b">
        <v>1</v>
      </c>
    </row>
    <row r="6041" spans="8:11" x14ac:dyDescent="0.25">
      <c r="H6041">
        <v>55</v>
      </c>
      <c r="I6041">
        <v>63</v>
      </c>
      <c r="J6041">
        <v>110</v>
      </c>
      <c r="K6041" t="b">
        <v>1</v>
      </c>
    </row>
    <row r="6042" spans="8:11" x14ac:dyDescent="0.25">
      <c r="H6042">
        <v>55</v>
      </c>
      <c r="I6042">
        <v>70</v>
      </c>
      <c r="J6042">
        <v>110</v>
      </c>
      <c r="K6042" t="b">
        <v>1</v>
      </c>
    </row>
    <row r="6043" spans="8:11" x14ac:dyDescent="0.25">
      <c r="H6043">
        <v>55</v>
      </c>
      <c r="I6043">
        <v>77</v>
      </c>
      <c r="J6043">
        <v>110</v>
      </c>
      <c r="K6043" t="b">
        <v>1</v>
      </c>
    </row>
    <row r="6044" spans="8:11" x14ac:dyDescent="0.25">
      <c r="H6044">
        <v>55</v>
      </c>
      <c r="I6044">
        <v>84</v>
      </c>
      <c r="J6044">
        <v>110</v>
      </c>
      <c r="K6044" t="b">
        <v>1</v>
      </c>
    </row>
    <row r="6045" spans="8:11" x14ac:dyDescent="0.25">
      <c r="H6045">
        <v>55</v>
      </c>
      <c r="I6045">
        <v>91</v>
      </c>
      <c r="J6045">
        <v>110</v>
      </c>
      <c r="K6045" t="b">
        <v>1</v>
      </c>
    </row>
    <row r="6046" spans="8:11" x14ac:dyDescent="0.25">
      <c r="H6046">
        <v>55</v>
      </c>
      <c r="I6046">
        <v>98</v>
      </c>
      <c r="J6046">
        <v>110</v>
      </c>
      <c r="K6046" t="b">
        <v>1</v>
      </c>
    </row>
    <row r="6047" spans="8:11" x14ac:dyDescent="0.25">
      <c r="H6047">
        <v>55</v>
      </c>
      <c r="I6047">
        <v>105</v>
      </c>
      <c r="J6047">
        <v>110</v>
      </c>
      <c r="K6047" t="b">
        <v>1</v>
      </c>
    </row>
    <row r="6048" spans="8:11" x14ac:dyDescent="0.25">
      <c r="H6048">
        <v>55</v>
      </c>
      <c r="I6048">
        <v>112</v>
      </c>
      <c r="J6048">
        <v>110</v>
      </c>
      <c r="K6048" t="b">
        <v>1</v>
      </c>
    </row>
    <row r="6049" spans="8:11" x14ac:dyDescent="0.25">
      <c r="H6049">
        <v>55</v>
      </c>
      <c r="I6049">
        <v>119</v>
      </c>
      <c r="J6049">
        <v>110</v>
      </c>
      <c r="K6049" t="b">
        <v>1</v>
      </c>
    </row>
    <row r="6050" spans="8:11" x14ac:dyDescent="0.25">
      <c r="H6050">
        <v>55</v>
      </c>
      <c r="I6050">
        <v>126</v>
      </c>
      <c r="J6050">
        <v>110</v>
      </c>
      <c r="K6050" t="b">
        <v>1</v>
      </c>
    </row>
    <row r="6051" spans="8:11" x14ac:dyDescent="0.25">
      <c r="H6051">
        <v>55</v>
      </c>
      <c r="I6051">
        <v>133</v>
      </c>
      <c r="J6051">
        <v>110</v>
      </c>
      <c r="K6051" t="b">
        <v>1</v>
      </c>
    </row>
    <row r="6052" spans="8:11" x14ac:dyDescent="0.25">
      <c r="H6052">
        <v>55</v>
      </c>
      <c r="I6052">
        <v>140</v>
      </c>
      <c r="J6052">
        <v>110</v>
      </c>
      <c r="K6052" t="b">
        <v>1</v>
      </c>
    </row>
    <row r="6053" spans="8:11" x14ac:dyDescent="0.25">
      <c r="H6053">
        <v>55</v>
      </c>
      <c r="I6053">
        <v>147</v>
      </c>
      <c r="J6053">
        <v>110</v>
      </c>
      <c r="K6053" t="b">
        <v>1</v>
      </c>
    </row>
    <row r="6054" spans="8:11" x14ac:dyDescent="0.25">
      <c r="H6054">
        <v>55</v>
      </c>
      <c r="I6054">
        <v>154</v>
      </c>
      <c r="J6054">
        <v>110</v>
      </c>
      <c r="K6054" t="b">
        <v>1</v>
      </c>
    </row>
    <row r="6055" spans="8:11" x14ac:dyDescent="0.25">
      <c r="H6055">
        <v>55</v>
      </c>
      <c r="I6055">
        <v>161</v>
      </c>
      <c r="J6055">
        <v>110</v>
      </c>
      <c r="K6055" t="b">
        <v>1</v>
      </c>
    </row>
    <row r="6056" spans="8:11" x14ac:dyDescent="0.25">
      <c r="H6056">
        <v>55</v>
      </c>
      <c r="I6056">
        <v>168</v>
      </c>
      <c r="J6056">
        <v>110</v>
      </c>
      <c r="K6056" t="b">
        <v>1</v>
      </c>
    </row>
    <row r="6057" spans="8:11" x14ac:dyDescent="0.25">
      <c r="H6057">
        <v>55</v>
      </c>
      <c r="I6057">
        <v>175</v>
      </c>
      <c r="J6057">
        <v>110</v>
      </c>
      <c r="K6057" t="b">
        <v>1</v>
      </c>
    </row>
    <row r="6058" spans="8:11" x14ac:dyDescent="0.25">
      <c r="H6058">
        <v>55</v>
      </c>
      <c r="I6058">
        <v>182</v>
      </c>
      <c r="J6058">
        <v>110</v>
      </c>
      <c r="K6058" t="b">
        <v>1</v>
      </c>
    </row>
    <row r="6059" spans="8:11" x14ac:dyDescent="0.25">
      <c r="H6059">
        <v>55</v>
      </c>
      <c r="I6059">
        <v>189</v>
      </c>
      <c r="J6059">
        <v>110</v>
      </c>
      <c r="K6059" t="b">
        <v>1</v>
      </c>
    </row>
    <row r="6060" spans="8:11" x14ac:dyDescent="0.25">
      <c r="H6060">
        <v>55</v>
      </c>
      <c r="I6060">
        <v>196</v>
      </c>
      <c r="J6060">
        <v>110</v>
      </c>
      <c r="K6060" t="b">
        <v>1</v>
      </c>
    </row>
    <row r="6061" spans="8:11" x14ac:dyDescent="0.25">
      <c r="H6061">
        <v>55</v>
      </c>
      <c r="I6061">
        <v>203</v>
      </c>
      <c r="J6061">
        <v>110</v>
      </c>
      <c r="K6061" t="b">
        <v>1</v>
      </c>
    </row>
    <row r="6062" spans="8:11" x14ac:dyDescent="0.25">
      <c r="H6062">
        <v>55</v>
      </c>
      <c r="I6062">
        <v>210</v>
      </c>
      <c r="J6062">
        <v>110</v>
      </c>
      <c r="K6062" t="b">
        <v>1</v>
      </c>
    </row>
    <row r="6063" spans="8:11" x14ac:dyDescent="0.25">
      <c r="H6063">
        <v>55</v>
      </c>
      <c r="I6063">
        <v>217</v>
      </c>
      <c r="J6063">
        <v>110</v>
      </c>
      <c r="K6063" t="b">
        <v>1</v>
      </c>
    </row>
    <row r="6064" spans="8:11" x14ac:dyDescent="0.25">
      <c r="H6064">
        <v>55</v>
      </c>
      <c r="I6064">
        <v>224</v>
      </c>
      <c r="J6064">
        <v>110</v>
      </c>
      <c r="K6064" t="b">
        <v>1</v>
      </c>
    </row>
    <row r="6065" spans="8:11" x14ac:dyDescent="0.25">
      <c r="H6065">
        <v>55</v>
      </c>
      <c r="I6065">
        <v>231</v>
      </c>
      <c r="J6065">
        <v>110</v>
      </c>
      <c r="K6065" t="b">
        <v>1</v>
      </c>
    </row>
    <row r="6066" spans="8:11" x14ac:dyDescent="0.25">
      <c r="H6066">
        <v>55</v>
      </c>
      <c r="I6066">
        <v>238</v>
      </c>
      <c r="J6066">
        <v>110</v>
      </c>
      <c r="K6066" t="b">
        <v>1</v>
      </c>
    </row>
    <row r="6067" spans="8:11" x14ac:dyDescent="0.25">
      <c r="H6067">
        <v>55</v>
      </c>
      <c r="I6067">
        <v>245</v>
      </c>
      <c r="J6067">
        <v>110</v>
      </c>
      <c r="K6067" t="b">
        <v>1</v>
      </c>
    </row>
    <row r="6068" spans="8:11" x14ac:dyDescent="0.25">
      <c r="H6068">
        <v>55</v>
      </c>
      <c r="I6068">
        <v>252</v>
      </c>
      <c r="J6068">
        <v>110</v>
      </c>
      <c r="K6068" t="b">
        <v>1</v>
      </c>
    </row>
    <row r="6069" spans="8:11" x14ac:dyDescent="0.25">
      <c r="H6069">
        <v>55</v>
      </c>
      <c r="I6069">
        <v>259</v>
      </c>
      <c r="J6069">
        <v>110</v>
      </c>
      <c r="K6069" t="b">
        <v>1</v>
      </c>
    </row>
    <row r="6070" spans="8:11" x14ac:dyDescent="0.25">
      <c r="H6070">
        <v>55</v>
      </c>
      <c r="I6070">
        <v>266</v>
      </c>
      <c r="J6070">
        <v>110</v>
      </c>
      <c r="K6070" t="b">
        <v>1</v>
      </c>
    </row>
    <row r="6071" spans="8:11" x14ac:dyDescent="0.25">
      <c r="H6071">
        <v>55</v>
      </c>
      <c r="I6071">
        <v>273</v>
      </c>
      <c r="J6071">
        <v>110</v>
      </c>
      <c r="K6071" t="b">
        <v>1</v>
      </c>
    </row>
    <row r="6072" spans="8:11" x14ac:dyDescent="0.25">
      <c r="H6072">
        <v>55</v>
      </c>
      <c r="I6072">
        <v>280</v>
      </c>
      <c r="J6072">
        <v>110</v>
      </c>
      <c r="K6072" t="b">
        <v>1</v>
      </c>
    </row>
    <row r="6073" spans="8:11" x14ac:dyDescent="0.25">
      <c r="H6073">
        <v>55</v>
      </c>
      <c r="I6073">
        <v>287</v>
      </c>
      <c r="J6073">
        <v>110</v>
      </c>
      <c r="K6073" t="b">
        <v>1</v>
      </c>
    </row>
    <row r="6074" spans="8:11" x14ac:dyDescent="0.25">
      <c r="H6074">
        <v>55</v>
      </c>
      <c r="I6074">
        <v>294</v>
      </c>
      <c r="J6074">
        <v>110</v>
      </c>
      <c r="K6074" t="b">
        <v>1</v>
      </c>
    </row>
    <row r="6075" spans="8:11" x14ac:dyDescent="0.25">
      <c r="H6075">
        <v>55</v>
      </c>
      <c r="I6075">
        <v>301</v>
      </c>
      <c r="J6075">
        <v>110</v>
      </c>
      <c r="K6075" t="b">
        <v>1</v>
      </c>
    </row>
    <row r="6076" spans="8:11" x14ac:dyDescent="0.25">
      <c r="H6076">
        <v>55</v>
      </c>
      <c r="I6076">
        <v>308</v>
      </c>
      <c r="J6076">
        <v>110</v>
      </c>
      <c r="K6076" t="b">
        <v>1</v>
      </c>
    </row>
    <row r="6077" spans="8:11" x14ac:dyDescent="0.25">
      <c r="H6077">
        <v>55</v>
      </c>
      <c r="I6077">
        <v>315</v>
      </c>
      <c r="J6077">
        <v>110</v>
      </c>
      <c r="K6077" t="b">
        <v>1</v>
      </c>
    </row>
    <row r="6078" spans="8:11" x14ac:dyDescent="0.25">
      <c r="H6078">
        <v>55</v>
      </c>
      <c r="I6078">
        <v>322</v>
      </c>
      <c r="J6078">
        <v>110</v>
      </c>
      <c r="K6078" t="b">
        <v>1</v>
      </c>
    </row>
    <row r="6079" spans="8:11" x14ac:dyDescent="0.25">
      <c r="H6079">
        <v>55</v>
      </c>
      <c r="I6079">
        <v>329</v>
      </c>
      <c r="J6079">
        <v>110</v>
      </c>
      <c r="K6079" t="b">
        <v>1</v>
      </c>
    </row>
    <row r="6080" spans="8:11" x14ac:dyDescent="0.25">
      <c r="H6080">
        <v>55</v>
      </c>
      <c r="I6080">
        <v>336</v>
      </c>
      <c r="J6080">
        <v>110</v>
      </c>
      <c r="K6080" t="b">
        <v>1</v>
      </c>
    </row>
    <row r="6081" spans="8:11" x14ac:dyDescent="0.25">
      <c r="H6081">
        <v>55</v>
      </c>
      <c r="I6081">
        <v>343</v>
      </c>
      <c r="J6081">
        <v>110</v>
      </c>
      <c r="K6081" t="b">
        <v>1</v>
      </c>
    </row>
    <row r="6082" spans="8:11" x14ac:dyDescent="0.25">
      <c r="H6082">
        <v>55</v>
      </c>
      <c r="I6082">
        <v>350</v>
      </c>
      <c r="J6082">
        <v>110</v>
      </c>
      <c r="K6082" t="b">
        <v>1</v>
      </c>
    </row>
    <row r="6083" spans="8:11" x14ac:dyDescent="0.25">
      <c r="H6083">
        <v>55</v>
      </c>
      <c r="I6083">
        <v>357</v>
      </c>
      <c r="J6083">
        <v>110</v>
      </c>
      <c r="K6083" t="b">
        <v>1</v>
      </c>
    </row>
    <row r="6084" spans="8:11" x14ac:dyDescent="0.25">
      <c r="H6084">
        <v>55</v>
      </c>
      <c r="I6084">
        <v>364</v>
      </c>
      <c r="J6084">
        <v>110</v>
      </c>
      <c r="K6084" t="b">
        <v>1</v>
      </c>
    </row>
    <row r="6085" spans="8:11" x14ac:dyDescent="0.25">
      <c r="H6085">
        <v>55</v>
      </c>
      <c r="I6085">
        <v>371</v>
      </c>
      <c r="J6085">
        <v>110</v>
      </c>
      <c r="K6085" t="b">
        <v>1</v>
      </c>
    </row>
    <row r="6086" spans="8:11" x14ac:dyDescent="0.25">
      <c r="H6086">
        <v>55</v>
      </c>
      <c r="I6086">
        <v>378</v>
      </c>
      <c r="J6086">
        <v>110</v>
      </c>
      <c r="K6086" t="b">
        <v>1</v>
      </c>
    </row>
    <row r="6087" spans="8:11" x14ac:dyDescent="0.25">
      <c r="H6087">
        <v>55</v>
      </c>
      <c r="I6087">
        <v>385</v>
      </c>
      <c r="J6087">
        <v>110</v>
      </c>
      <c r="K6087" t="b">
        <v>1</v>
      </c>
    </row>
    <row r="6088" spans="8:11" x14ac:dyDescent="0.25">
      <c r="H6088">
        <v>55</v>
      </c>
      <c r="I6088">
        <v>392</v>
      </c>
      <c r="J6088">
        <v>110</v>
      </c>
      <c r="K6088" t="b">
        <v>1</v>
      </c>
    </row>
    <row r="6089" spans="8:11" x14ac:dyDescent="0.25">
      <c r="H6089">
        <v>55</v>
      </c>
      <c r="I6089">
        <v>399</v>
      </c>
      <c r="J6089">
        <v>110</v>
      </c>
      <c r="K6089" t="b">
        <v>1</v>
      </c>
    </row>
    <row r="6090" spans="8:11" x14ac:dyDescent="0.25">
      <c r="H6090">
        <v>55</v>
      </c>
      <c r="I6090">
        <v>406</v>
      </c>
      <c r="J6090">
        <v>110</v>
      </c>
      <c r="K6090" t="b">
        <v>1</v>
      </c>
    </row>
    <row r="6091" spans="8:11" x14ac:dyDescent="0.25">
      <c r="H6091">
        <v>55</v>
      </c>
      <c r="I6091">
        <v>413</v>
      </c>
      <c r="J6091">
        <v>110</v>
      </c>
      <c r="K6091" t="b">
        <v>1</v>
      </c>
    </row>
    <row r="6092" spans="8:11" x14ac:dyDescent="0.25">
      <c r="H6092">
        <v>55</v>
      </c>
      <c r="I6092">
        <v>420</v>
      </c>
      <c r="J6092">
        <v>110</v>
      </c>
      <c r="K6092" t="b">
        <v>1</v>
      </c>
    </row>
    <row r="6093" spans="8:11" x14ac:dyDescent="0.25">
      <c r="H6093">
        <v>55</v>
      </c>
      <c r="I6093">
        <v>427</v>
      </c>
      <c r="J6093">
        <v>110</v>
      </c>
      <c r="K6093" t="b">
        <v>1</v>
      </c>
    </row>
    <row r="6094" spans="8:11" x14ac:dyDescent="0.25">
      <c r="H6094">
        <v>55</v>
      </c>
      <c r="I6094">
        <v>434</v>
      </c>
      <c r="J6094">
        <v>110</v>
      </c>
      <c r="K6094" t="b">
        <v>1</v>
      </c>
    </row>
    <row r="6095" spans="8:11" x14ac:dyDescent="0.25">
      <c r="H6095">
        <v>55</v>
      </c>
      <c r="I6095">
        <v>441</v>
      </c>
      <c r="J6095">
        <v>110</v>
      </c>
      <c r="K6095" t="b">
        <v>1</v>
      </c>
    </row>
    <row r="6096" spans="8:11" x14ac:dyDescent="0.25">
      <c r="H6096">
        <v>55</v>
      </c>
      <c r="I6096">
        <v>448</v>
      </c>
      <c r="J6096">
        <v>110</v>
      </c>
      <c r="K6096" t="b">
        <v>1</v>
      </c>
    </row>
    <row r="6097" spans="8:11" x14ac:dyDescent="0.25">
      <c r="H6097">
        <v>55</v>
      </c>
      <c r="I6097">
        <v>455</v>
      </c>
      <c r="J6097">
        <v>110</v>
      </c>
      <c r="K6097" t="b">
        <v>1</v>
      </c>
    </row>
    <row r="6098" spans="8:11" x14ac:dyDescent="0.25">
      <c r="H6098">
        <v>55</v>
      </c>
      <c r="I6098">
        <v>462</v>
      </c>
      <c r="J6098">
        <v>110</v>
      </c>
      <c r="K6098" t="b">
        <v>1</v>
      </c>
    </row>
    <row r="6099" spans="8:11" x14ac:dyDescent="0.25">
      <c r="H6099">
        <v>55</v>
      </c>
      <c r="I6099">
        <v>469</v>
      </c>
      <c r="J6099">
        <v>110</v>
      </c>
      <c r="K6099" t="b">
        <v>1</v>
      </c>
    </row>
    <row r="6100" spans="8:11" x14ac:dyDescent="0.25">
      <c r="H6100">
        <v>55</v>
      </c>
      <c r="I6100">
        <v>476</v>
      </c>
      <c r="J6100">
        <v>110</v>
      </c>
      <c r="K6100" t="b">
        <v>1</v>
      </c>
    </row>
    <row r="6101" spans="8:11" x14ac:dyDescent="0.25">
      <c r="H6101">
        <v>55</v>
      </c>
      <c r="I6101">
        <v>483</v>
      </c>
      <c r="J6101">
        <v>110</v>
      </c>
      <c r="K6101" t="b">
        <v>1</v>
      </c>
    </row>
    <row r="6102" spans="8:11" x14ac:dyDescent="0.25">
      <c r="H6102">
        <v>55</v>
      </c>
      <c r="I6102">
        <v>490</v>
      </c>
      <c r="J6102">
        <v>110</v>
      </c>
      <c r="K6102" t="b">
        <v>1</v>
      </c>
    </row>
    <row r="6103" spans="8:11" x14ac:dyDescent="0.25">
      <c r="H6103">
        <v>55</v>
      </c>
      <c r="I6103">
        <v>497</v>
      </c>
      <c r="J6103">
        <v>110</v>
      </c>
      <c r="K6103" t="b">
        <v>1</v>
      </c>
    </row>
    <row r="6104" spans="8:11" x14ac:dyDescent="0.25">
      <c r="H6104">
        <v>55</v>
      </c>
      <c r="I6104">
        <v>504</v>
      </c>
      <c r="J6104">
        <v>110</v>
      </c>
      <c r="K6104" t="b">
        <v>1</v>
      </c>
    </row>
    <row r="6105" spans="8:11" x14ac:dyDescent="0.25">
      <c r="H6105">
        <v>55</v>
      </c>
      <c r="I6105">
        <v>511</v>
      </c>
      <c r="J6105">
        <v>110</v>
      </c>
      <c r="K6105" t="b">
        <v>1</v>
      </c>
    </row>
    <row r="6106" spans="8:11" x14ac:dyDescent="0.25">
      <c r="H6106">
        <v>55</v>
      </c>
      <c r="I6106">
        <v>518</v>
      </c>
      <c r="J6106">
        <v>110</v>
      </c>
      <c r="K6106" t="b">
        <v>1</v>
      </c>
    </row>
    <row r="6107" spans="8:11" x14ac:dyDescent="0.25">
      <c r="H6107">
        <v>55</v>
      </c>
      <c r="I6107">
        <v>525</v>
      </c>
      <c r="J6107">
        <v>110</v>
      </c>
      <c r="K6107" t="b">
        <v>1</v>
      </c>
    </row>
    <row r="6108" spans="8:11" x14ac:dyDescent="0.25">
      <c r="H6108">
        <v>55</v>
      </c>
      <c r="I6108">
        <v>532</v>
      </c>
      <c r="J6108">
        <v>110</v>
      </c>
      <c r="K6108" t="b">
        <v>1</v>
      </c>
    </row>
    <row r="6109" spans="8:11" x14ac:dyDescent="0.25">
      <c r="H6109">
        <v>55</v>
      </c>
      <c r="I6109">
        <v>539</v>
      </c>
      <c r="J6109">
        <v>110</v>
      </c>
      <c r="K6109" t="b">
        <v>1</v>
      </c>
    </row>
    <row r="6110" spans="8:11" x14ac:dyDescent="0.25">
      <c r="H6110">
        <v>55</v>
      </c>
      <c r="I6110">
        <v>546</v>
      </c>
      <c r="J6110">
        <v>110</v>
      </c>
      <c r="K6110" t="b">
        <v>1</v>
      </c>
    </row>
    <row r="6111" spans="8:11" x14ac:dyDescent="0.25">
      <c r="H6111">
        <v>55</v>
      </c>
      <c r="I6111">
        <v>553</v>
      </c>
      <c r="J6111">
        <v>110</v>
      </c>
      <c r="K6111" t="b">
        <v>1</v>
      </c>
    </row>
    <row r="6112" spans="8:11" x14ac:dyDescent="0.25">
      <c r="H6112">
        <v>55</v>
      </c>
      <c r="I6112">
        <v>560</v>
      </c>
      <c r="J6112">
        <v>110</v>
      </c>
      <c r="K6112" t="b">
        <v>1</v>
      </c>
    </row>
    <row r="6113" spans="8:11" x14ac:dyDescent="0.25">
      <c r="H6113">
        <v>55</v>
      </c>
      <c r="I6113">
        <v>567</v>
      </c>
      <c r="J6113">
        <v>110</v>
      </c>
      <c r="K6113" t="b">
        <v>1</v>
      </c>
    </row>
    <row r="6114" spans="8:11" x14ac:dyDescent="0.25">
      <c r="H6114">
        <v>55</v>
      </c>
      <c r="I6114">
        <v>574</v>
      </c>
      <c r="J6114">
        <v>110</v>
      </c>
      <c r="K6114" t="b">
        <v>1</v>
      </c>
    </row>
    <row r="6115" spans="8:11" x14ac:dyDescent="0.25">
      <c r="H6115">
        <v>55</v>
      </c>
      <c r="I6115">
        <v>581</v>
      </c>
      <c r="J6115">
        <v>110</v>
      </c>
      <c r="K6115" t="b">
        <v>1</v>
      </c>
    </row>
    <row r="6116" spans="8:11" x14ac:dyDescent="0.25">
      <c r="H6116">
        <v>55</v>
      </c>
      <c r="I6116">
        <v>588</v>
      </c>
      <c r="J6116">
        <v>110</v>
      </c>
      <c r="K6116" t="b">
        <v>1</v>
      </c>
    </row>
    <row r="6117" spans="8:11" x14ac:dyDescent="0.25">
      <c r="H6117">
        <v>55</v>
      </c>
      <c r="I6117">
        <v>595</v>
      </c>
      <c r="J6117">
        <v>110</v>
      </c>
      <c r="K6117" t="b">
        <v>1</v>
      </c>
    </row>
    <row r="6118" spans="8:11" x14ac:dyDescent="0.25">
      <c r="H6118">
        <v>55</v>
      </c>
      <c r="I6118">
        <v>602</v>
      </c>
      <c r="J6118">
        <v>110</v>
      </c>
      <c r="K6118" t="b">
        <v>1</v>
      </c>
    </row>
    <row r="6119" spans="8:11" x14ac:dyDescent="0.25">
      <c r="H6119">
        <v>55</v>
      </c>
      <c r="I6119">
        <v>609</v>
      </c>
      <c r="J6119">
        <v>110</v>
      </c>
      <c r="K6119" t="b">
        <v>1</v>
      </c>
    </row>
    <row r="6120" spans="8:11" x14ac:dyDescent="0.25">
      <c r="H6120">
        <v>55</v>
      </c>
      <c r="I6120">
        <v>616</v>
      </c>
      <c r="J6120">
        <v>110</v>
      </c>
      <c r="K6120" t="b">
        <v>1</v>
      </c>
    </row>
    <row r="6121" spans="8:11" x14ac:dyDescent="0.25">
      <c r="H6121">
        <v>55</v>
      </c>
      <c r="I6121">
        <v>623</v>
      </c>
      <c r="J6121">
        <v>110</v>
      </c>
      <c r="K6121" t="b">
        <v>1</v>
      </c>
    </row>
    <row r="6122" spans="8:11" x14ac:dyDescent="0.25">
      <c r="H6122">
        <v>55</v>
      </c>
      <c r="I6122">
        <v>630</v>
      </c>
      <c r="J6122">
        <v>110</v>
      </c>
      <c r="K6122" t="b">
        <v>1</v>
      </c>
    </row>
    <row r="6123" spans="8:11" x14ac:dyDescent="0.25">
      <c r="H6123">
        <v>55</v>
      </c>
      <c r="I6123">
        <v>637</v>
      </c>
      <c r="J6123">
        <v>110</v>
      </c>
      <c r="K6123" t="b">
        <v>1</v>
      </c>
    </row>
    <row r="6124" spans="8:11" x14ac:dyDescent="0.25">
      <c r="H6124">
        <v>55</v>
      </c>
      <c r="I6124">
        <v>644</v>
      </c>
      <c r="J6124">
        <v>110</v>
      </c>
      <c r="K6124" t="b">
        <v>1</v>
      </c>
    </row>
    <row r="6125" spans="8:11" x14ac:dyDescent="0.25">
      <c r="H6125">
        <v>55</v>
      </c>
      <c r="I6125">
        <v>651</v>
      </c>
      <c r="J6125">
        <v>110</v>
      </c>
      <c r="K6125" t="b">
        <v>1</v>
      </c>
    </row>
    <row r="6126" spans="8:11" x14ac:dyDescent="0.25">
      <c r="H6126">
        <v>55</v>
      </c>
      <c r="I6126">
        <v>658</v>
      </c>
      <c r="J6126">
        <v>110</v>
      </c>
      <c r="K6126" t="b">
        <v>1</v>
      </c>
    </row>
    <row r="6127" spans="8:11" x14ac:dyDescent="0.25">
      <c r="H6127">
        <v>55</v>
      </c>
      <c r="I6127">
        <v>665</v>
      </c>
      <c r="J6127">
        <v>110</v>
      </c>
      <c r="K6127" t="b">
        <v>1</v>
      </c>
    </row>
    <row r="6128" spans="8:11" x14ac:dyDescent="0.25">
      <c r="H6128">
        <v>55</v>
      </c>
      <c r="I6128">
        <v>672</v>
      </c>
      <c r="J6128">
        <v>110</v>
      </c>
      <c r="K6128" t="b">
        <v>1</v>
      </c>
    </row>
    <row r="6129" spans="8:11" x14ac:dyDescent="0.25">
      <c r="H6129">
        <v>55</v>
      </c>
      <c r="I6129">
        <v>679</v>
      </c>
      <c r="J6129">
        <v>110</v>
      </c>
      <c r="K6129" t="b">
        <v>1</v>
      </c>
    </row>
    <row r="6130" spans="8:11" x14ac:dyDescent="0.25">
      <c r="H6130">
        <v>55</v>
      </c>
      <c r="I6130">
        <v>686</v>
      </c>
      <c r="J6130">
        <v>110</v>
      </c>
      <c r="K6130" t="b">
        <v>1</v>
      </c>
    </row>
    <row r="6131" spans="8:11" x14ac:dyDescent="0.25">
      <c r="H6131">
        <v>55</v>
      </c>
      <c r="I6131">
        <v>693</v>
      </c>
      <c r="J6131">
        <v>110</v>
      </c>
      <c r="K6131" t="b">
        <v>1</v>
      </c>
    </row>
    <row r="6132" spans="8:11" x14ac:dyDescent="0.25">
      <c r="H6132">
        <v>55</v>
      </c>
      <c r="I6132">
        <v>700</v>
      </c>
      <c r="J6132">
        <v>110</v>
      </c>
      <c r="K6132" t="b">
        <v>1</v>
      </c>
    </row>
    <row r="6133" spans="8:11" x14ac:dyDescent="0.25">
      <c r="H6133">
        <v>55</v>
      </c>
      <c r="I6133">
        <v>707</v>
      </c>
      <c r="J6133">
        <v>110</v>
      </c>
      <c r="K6133" t="b">
        <v>1</v>
      </c>
    </row>
    <row r="6134" spans="8:11" x14ac:dyDescent="0.25">
      <c r="H6134">
        <v>55</v>
      </c>
      <c r="I6134">
        <v>714</v>
      </c>
      <c r="J6134">
        <v>110</v>
      </c>
      <c r="K6134" t="b">
        <v>1</v>
      </c>
    </row>
    <row r="6135" spans="8:11" x14ac:dyDescent="0.25">
      <c r="H6135">
        <v>55</v>
      </c>
      <c r="I6135">
        <v>721</v>
      </c>
      <c r="J6135">
        <v>110</v>
      </c>
      <c r="K6135" t="b">
        <v>1</v>
      </c>
    </row>
    <row r="6136" spans="8:11" x14ac:dyDescent="0.25">
      <c r="H6136">
        <v>55</v>
      </c>
      <c r="I6136">
        <v>728</v>
      </c>
      <c r="J6136">
        <v>110</v>
      </c>
      <c r="K6136" t="b">
        <v>1</v>
      </c>
    </row>
    <row r="6137" spans="8:11" x14ac:dyDescent="0.25">
      <c r="H6137">
        <v>55</v>
      </c>
      <c r="I6137">
        <v>735</v>
      </c>
      <c r="J6137">
        <v>110</v>
      </c>
      <c r="K6137" t="b">
        <v>1</v>
      </c>
    </row>
    <row r="6138" spans="8:11" x14ac:dyDescent="0.25">
      <c r="H6138">
        <v>55</v>
      </c>
      <c r="I6138">
        <v>742</v>
      </c>
      <c r="J6138">
        <v>110</v>
      </c>
      <c r="K6138" t="b">
        <v>1</v>
      </c>
    </row>
    <row r="6139" spans="8:11" x14ac:dyDescent="0.25">
      <c r="H6139">
        <v>55</v>
      </c>
      <c r="I6139">
        <v>749</v>
      </c>
      <c r="J6139">
        <v>110</v>
      </c>
      <c r="K6139" t="b">
        <v>1</v>
      </c>
    </row>
    <row r="6140" spans="8:11" x14ac:dyDescent="0.25">
      <c r="H6140">
        <v>55</v>
      </c>
      <c r="I6140">
        <v>756</v>
      </c>
      <c r="J6140">
        <v>110</v>
      </c>
      <c r="K6140" t="b">
        <v>1</v>
      </c>
    </row>
    <row r="6141" spans="8:11" x14ac:dyDescent="0.25">
      <c r="H6141">
        <v>55</v>
      </c>
      <c r="I6141">
        <v>763</v>
      </c>
      <c r="J6141">
        <v>110</v>
      </c>
      <c r="K6141" t="b">
        <v>1</v>
      </c>
    </row>
    <row r="6142" spans="8:11" x14ac:dyDescent="0.25">
      <c r="H6142">
        <v>55</v>
      </c>
      <c r="I6142">
        <v>770</v>
      </c>
      <c r="J6142">
        <v>110</v>
      </c>
      <c r="K6142" t="b">
        <v>1</v>
      </c>
    </row>
    <row r="6143" spans="8:11" x14ac:dyDescent="0.25">
      <c r="H6143">
        <v>55</v>
      </c>
      <c r="I6143">
        <v>777</v>
      </c>
      <c r="J6143">
        <v>110</v>
      </c>
      <c r="K6143" t="b">
        <v>1</v>
      </c>
    </row>
    <row r="6144" spans="8:11" x14ac:dyDescent="0.25">
      <c r="H6144">
        <v>55</v>
      </c>
      <c r="I6144">
        <v>784</v>
      </c>
      <c r="J6144">
        <v>110</v>
      </c>
      <c r="K6144" t="b">
        <v>1</v>
      </c>
    </row>
    <row r="6145" spans="8:11" x14ac:dyDescent="0.25">
      <c r="H6145">
        <v>55</v>
      </c>
      <c r="I6145">
        <v>791</v>
      </c>
      <c r="J6145">
        <v>110</v>
      </c>
      <c r="K6145" t="b">
        <v>1</v>
      </c>
    </row>
    <row r="6146" spans="8:11" x14ac:dyDescent="0.25">
      <c r="H6146">
        <v>55</v>
      </c>
      <c r="I6146">
        <v>798</v>
      </c>
      <c r="J6146">
        <v>110</v>
      </c>
      <c r="K6146" t="b">
        <v>1</v>
      </c>
    </row>
    <row r="6147" spans="8:11" x14ac:dyDescent="0.25">
      <c r="H6147">
        <v>55</v>
      </c>
      <c r="I6147">
        <v>805</v>
      </c>
      <c r="J6147">
        <v>110</v>
      </c>
      <c r="K6147" t="b">
        <v>1</v>
      </c>
    </row>
    <row r="6148" spans="8:11" x14ac:dyDescent="0.25">
      <c r="H6148">
        <v>55</v>
      </c>
      <c r="I6148">
        <v>812</v>
      </c>
      <c r="J6148">
        <v>110</v>
      </c>
      <c r="K6148" t="b">
        <v>1</v>
      </c>
    </row>
    <row r="6149" spans="8:11" x14ac:dyDescent="0.25">
      <c r="H6149">
        <v>55</v>
      </c>
      <c r="I6149">
        <v>819</v>
      </c>
      <c r="J6149">
        <v>110</v>
      </c>
      <c r="K6149" t="b">
        <v>1</v>
      </c>
    </row>
    <row r="6150" spans="8:11" x14ac:dyDescent="0.25">
      <c r="H6150">
        <v>55</v>
      </c>
      <c r="I6150">
        <v>826</v>
      </c>
      <c r="J6150">
        <v>110</v>
      </c>
      <c r="K6150" t="b">
        <v>1</v>
      </c>
    </row>
    <row r="6151" spans="8:11" x14ac:dyDescent="0.25">
      <c r="H6151">
        <v>55</v>
      </c>
      <c r="I6151">
        <v>833</v>
      </c>
      <c r="J6151">
        <v>110</v>
      </c>
      <c r="K6151" t="b">
        <v>1</v>
      </c>
    </row>
    <row r="6152" spans="8:11" x14ac:dyDescent="0.25">
      <c r="H6152">
        <v>55</v>
      </c>
      <c r="I6152">
        <v>840</v>
      </c>
      <c r="J6152">
        <v>110</v>
      </c>
      <c r="K6152" t="b">
        <v>1</v>
      </c>
    </row>
    <row r="6153" spans="8:11" x14ac:dyDescent="0.25">
      <c r="H6153">
        <v>55</v>
      </c>
      <c r="I6153">
        <v>847</v>
      </c>
      <c r="J6153">
        <v>110</v>
      </c>
      <c r="K6153" t="b">
        <v>1</v>
      </c>
    </row>
    <row r="6154" spans="8:11" x14ac:dyDescent="0.25">
      <c r="H6154">
        <v>55</v>
      </c>
      <c r="I6154">
        <v>854</v>
      </c>
      <c r="J6154">
        <v>110</v>
      </c>
      <c r="K6154" t="b">
        <v>1</v>
      </c>
    </row>
    <row r="6155" spans="8:11" x14ac:dyDescent="0.25">
      <c r="H6155">
        <v>55</v>
      </c>
      <c r="I6155">
        <v>861</v>
      </c>
      <c r="J6155">
        <v>110</v>
      </c>
      <c r="K6155" t="b">
        <v>1</v>
      </c>
    </row>
    <row r="6156" spans="8:11" x14ac:dyDescent="0.25">
      <c r="H6156">
        <v>55</v>
      </c>
      <c r="I6156">
        <v>868</v>
      </c>
      <c r="J6156">
        <v>110</v>
      </c>
      <c r="K6156" t="b">
        <v>1</v>
      </c>
    </row>
    <row r="6157" spans="8:11" x14ac:dyDescent="0.25">
      <c r="H6157">
        <v>55</v>
      </c>
      <c r="I6157">
        <v>875</v>
      </c>
      <c r="J6157">
        <v>110</v>
      </c>
      <c r="K6157" t="b">
        <v>1</v>
      </c>
    </row>
    <row r="6158" spans="8:11" x14ac:dyDescent="0.25">
      <c r="H6158">
        <v>55</v>
      </c>
      <c r="I6158">
        <v>882</v>
      </c>
      <c r="J6158">
        <v>110</v>
      </c>
      <c r="K6158" t="b">
        <v>1</v>
      </c>
    </row>
    <row r="6159" spans="8:11" x14ac:dyDescent="0.25">
      <c r="H6159">
        <v>55</v>
      </c>
      <c r="I6159">
        <v>889</v>
      </c>
      <c r="J6159">
        <v>110</v>
      </c>
      <c r="K6159" t="b">
        <v>1</v>
      </c>
    </row>
    <row r="6160" spans="8:11" x14ac:dyDescent="0.25">
      <c r="H6160">
        <v>55</v>
      </c>
      <c r="I6160">
        <v>896</v>
      </c>
      <c r="J6160">
        <v>110</v>
      </c>
      <c r="K6160" t="b">
        <v>1</v>
      </c>
    </row>
    <row r="6161" spans="8:11" x14ac:dyDescent="0.25">
      <c r="H6161">
        <v>55</v>
      </c>
      <c r="I6161">
        <v>903</v>
      </c>
      <c r="J6161">
        <v>110</v>
      </c>
      <c r="K6161" t="b">
        <v>1</v>
      </c>
    </row>
    <row r="6162" spans="8:11" x14ac:dyDescent="0.25">
      <c r="H6162">
        <v>55</v>
      </c>
      <c r="I6162">
        <v>910</v>
      </c>
      <c r="J6162">
        <v>110</v>
      </c>
      <c r="K6162" t="b">
        <v>1</v>
      </c>
    </row>
    <row r="6163" spans="8:11" x14ac:dyDescent="0.25">
      <c r="H6163">
        <v>55</v>
      </c>
      <c r="I6163">
        <v>917</v>
      </c>
      <c r="J6163">
        <v>110</v>
      </c>
      <c r="K6163" t="b">
        <v>1</v>
      </c>
    </row>
    <row r="6164" spans="8:11" x14ac:dyDescent="0.25">
      <c r="H6164">
        <v>55</v>
      </c>
      <c r="I6164">
        <v>924</v>
      </c>
      <c r="J6164">
        <v>110</v>
      </c>
      <c r="K6164" t="b">
        <v>1</v>
      </c>
    </row>
    <row r="6165" spans="8:11" x14ac:dyDescent="0.25">
      <c r="H6165">
        <v>55</v>
      </c>
      <c r="I6165">
        <v>931</v>
      </c>
      <c r="J6165">
        <v>110</v>
      </c>
      <c r="K6165" t="b">
        <v>1</v>
      </c>
    </row>
    <row r="6166" spans="8:11" x14ac:dyDescent="0.25">
      <c r="H6166">
        <v>55</v>
      </c>
      <c r="I6166">
        <v>938</v>
      </c>
      <c r="J6166">
        <v>110</v>
      </c>
      <c r="K6166" t="b">
        <v>1</v>
      </c>
    </row>
    <row r="6167" spans="8:11" x14ac:dyDescent="0.25">
      <c r="H6167">
        <v>55</v>
      </c>
      <c r="I6167">
        <v>945</v>
      </c>
      <c r="J6167">
        <v>110</v>
      </c>
      <c r="K6167" t="b">
        <v>1</v>
      </c>
    </row>
    <row r="6168" spans="8:11" x14ac:dyDescent="0.25">
      <c r="H6168">
        <v>55</v>
      </c>
      <c r="I6168">
        <v>952</v>
      </c>
      <c r="J6168">
        <v>110</v>
      </c>
      <c r="K6168" t="b">
        <v>1</v>
      </c>
    </row>
    <row r="6169" spans="8:11" x14ac:dyDescent="0.25">
      <c r="H6169">
        <v>56</v>
      </c>
      <c r="I6169">
        <v>0</v>
      </c>
      <c r="J6169">
        <v>80</v>
      </c>
      <c r="K6169" t="b">
        <v>1</v>
      </c>
    </row>
    <row r="6170" spans="8:11" x14ac:dyDescent="0.25">
      <c r="H6170">
        <v>56</v>
      </c>
      <c r="I6170">
        <v>30</v>
      </c>
      <c r="J6170">
        <v>80</v>
      </c>
      <c r="K6170" t="b">
        <v>1</v>
      </c>
    </row>
    <row r="6171" spans="8:11" x14ac:dyDescent="0.25">
      <c r="H6171">
        <v>56</v>
      </c>
      <c r="I6171">
        <v>60</v>
      </c>
      <c r="J6171">
        <v>80</v>
      </c>
      <c r="K6171" t="b">
        <v>1</v>
      </c>
    </row>
    <row r="6172" spans="8:11" x14ac:dyDescent="0.25">
      <c r="H6172">
        <v>56</v>
      </c>
      <c r="I6172">
        <v>90</v>
      </c>
      <c r="J6172">
        <v>80</v>
      </c>
      <c r="K6172" t="b">
        <v>1</v>
      </c>
    </row>
    <row r="6173" spans="8:11" x14ac:dyDescent="0.25">
      <c r="H6173">
        <v>56</v>
      </c>
      <c r="I6173">
        <v>120</v>
      </c>
      <c r="J6173">
        <v>80</v>
      </c>
      <c r="K6173" t="b">
        <v>1</v>
      </c>
    </row>
    <row r="6174" spans="8:11" x14ac:dyDescent="0.25">
      <c r="H6174">
        <v>56</v>
      </c>
      <c r="I6174">
        <v>150</v>
      </c>
      <c r="J6174">
        <v>80</v>
      </c>
      <c r="K6174" t="b">
        <v>1</v>
      </c>
    </row>
    <row r="6175" spans="8:11" x14ac:dyDescent="0.25">
      <c r="H6175">
        <v>56</v>
      </c>
      <c r="I6175">
        <v>180</v>
      </c>
      <c r="J6175">
        <v>80</v>
      </c>
      <c r="K6175" t="b">
        <v>1</v>
      </c>
    </row>
    <row r="6176" spans="8:11" x14ac:dyDescent="0.25">
      <c r="H6176">
        <v>56</v>
      </c>
      <c r="I6176">
        <v>210</v>
      </c>
      <c r="J6176">
        <v>80</v>
      </c>
      <c r="K6176" t="b">
        <v>1</v>
      </c>
    </row>
    <row r="6177" spans="8:11" x14ac:dyDescent="0.25">
      <c r="H6177">
        <v>56</v>
      </c>
      <c r="I6177">
        <v>240</v>
      </c>
      <c r="J6177">
        <v>80</v>
      </c>
      <c r="K6177" t="b">
        <v>1</v>
      </c>
    </row>
    <row r="6178" spans="8:11" x14ac:dyDescent="0.25">
      <c r="H6178">
        <v>56</v>
      </c>
      <c r="I6178">
        <v>270</v>
      </c>
      <c r="J6178">
        <v>80</v>
      </c>
      <c r="K6178" t="b">
        <v>1</v>
      </c>
    </row>
    <row r="6179" spans="8:11" x14ac:dyDescent="0.25">
      <c r="H6179">
        <v>56</v>
      </c>
      <c r="I6179">
        <v>300</v>
      </c>
      <c r="J6179">
        <v>80</v>
      </c>
      <c r="K6179" t="b">
        <v>1</v>
      </c>
    </row>
    <row r="6180" spans="8:11" x14ac:dyDescent="0.25">
      <c r="H6180">
        <v>56</v>
      </c>
      <c r="I6180">
        <v>330</v>
      </c>
      <c r="J6180">
        <v>80</v>
      </c>
      <c r="K6180" t="b">
        <v>1</v>
      </c>
    </row>
    <row r="6181" spans="8:11" x14ac:dyDescent="0.25">
      <c r="H6181">
        <v>56</v>
      </c>
      <c r="I6181">
        <v>360</v>
      </c>
      <c r="J6181">
        <v>80</v>
      </c>
      <c r="K6181" t="b">
        <v>1</v>
      </c>
    </row>
    <row r="6182" spans="8:11" x14ac:dyDescent="0.25">
      <c r="H6182">
        <v>56</v>
      </c>
      <c r="I6182">
        <v>390</v>
      </c>
      <c r="J6182">
        <v>80</v>
      </c>
      <c r="K6182" t="b">
        <v>1</v>
      </c>
    </row>
    <row r="6183" spans="8:11" x14ac:dyDescent="0.25">
      <c r="H6183">
        <v>56</v>
      </c>
      <c r="I6183">
        <v>420</v>
      </c>
      <c r="J6183">
        <v>80</v>
      </c>
      <c r="K6183" t="b">
        <v>1</v>
      </c>
    </row>
    <row r="6184" spans="8:11" x14ac:dyDescent="0.25">
      <c r="H6184">
        <v>56</v>
      </c>
      <c r="I6184">
        <v>450</v>
      </c>
      <c r="J6184">
        <v>80</v>
      </c>
      <c r="K6184" t="b">
        <v>1</v>
      </c>
    </row>
    <row r="6185" spans="8:11" x14ac:dyDescent="0.25">
      <c r="H6185">
        <v>56</v>
      </c>
      <c r="I6185">
        <v>480</v>
      </c>
      <c r="J6185">
        <v>80</v>
      </c>
      <c r="K6185" t="b">
        <v>1</v>
      </c>
    </row>
    <row r="6186" spans="8:11" x14ac:dyDescent="0.25">
      <c r="H6186">
        <v>56</v>
      </c>
      <c r="I6186">
        <v>510</v>
      </c>
      <c r="J6186">
        <v>80</v>
      </c>
      <c r="K6186" t="b">
        <v>1</v>
      </c>
    </row>
    <row r="6187" spans="8:11" x14ac:dyDescent="0.25">
      <c r="H6187">
        <v>56</v>
      </c>
      <c r="I6187">
        <v>540</v>
      </c>
      <c r="J6187">
        <v>80</v>
      </c>
      <c r="K6187" t="b">
        <v>1</v>
      </c>
    </row>
    <row r="6188" spans="8:11" x14ac:dyDescent="0.25">
      <c r="H6188">
        <v>56</v>
      </c>
      <c r="I6188">
        <v>570</v>
      </c>
      <c r="J6188">
        <v>80</v>
      </c>
      <c r="K6188" t="b">
        <v>1</v>
      </c>
    </row>
    <row r="6189" spans="8:11" x14ac:dyDescent="0.25">
      <c r="H6189">
        <v>56</v>
      </c>
      <c r="I6189">
        <v>600</v>
      </c>
      <c r="J6189">
        <v>80</v>
      </c>
      <c r="K6189" t="b">
        <v>1</v>
      </c>
    </row>
    <row r="6190" spans="8:11" x14ac:dyDescent="0.25">
      <c r="H6190">
        <v>56</v>
      </c>
      <c r="I6190">
        <v>630</v>
      </c>
      <c r="J6190">
        <v>80</v>
      </c>
      <c r="K6190" t="b">
        <v>1</v>
      </c>
    </row>
    <row r="6191" spans="8:11" x14ac:dyDescent="0.25">
      <c r="H6191">
        <v>56</v>
      </c>
      <c r="I6191">
        <v>660</v>
      </c>
      <c r="J6191">
        <v>80</v>
      </c>
      <c r="K6191" t="b">
        <v>1</v>
      </c>
    </row>
    <row r="6192" spans="8:11" x14ac:dyDescent="0.25">
      <c r="H6192">
        <v>56</v>
      </c>
      <c r="I6192">
        <v>690</v>
      </c>
      <c r="J6192">
        <v>80</v>
      </c>
      <c r="K6192" t="b">
        <v>1</v>
      </c>
    </row>
    <row r="6193" spans="8:11" x14ac:dyDescent="0.25">
      <c r="H6193">
        <v>56</v>
      </c>
      <c r="I6193">
        <v>720</v>
      </c>
      <c r="J6193">
        <v>80</v>
      </c>
      <c r="K6193" t="b">
        <v>1</v>
      </c>
    </row>
    <row r="6194" spans="8:11" x14ac:dyDescent="0.25">
      <c r="H6194">
        <v>56</v>
      </c>
      <c r="I6194">
        <v>750</v>
      </c>
      <c r="J6194">
        <v>80</v>
      </c>
      <c r="K6194" t="b">
        <v>1</v>
      </c>
    </row>
    <row r="6195" spans="8:11" x14ac:dyDescent="0.25">
      <c r="H6195">
        <v>56</v>
      </c>
      <c r="I6195">
        <v>780</v>
      </c>
      <c r="J6195">
        <v>80</v>
      </c>
      <c r="K6195" t="b">
        <v>1</v>
      </c>
    </row>
    <row r="6196" spans="8:11" x14ac:dyDescent="0.25">
      <c r="H6196">
        <v>56</v>
      </c>
      <c r="I6196">
        <v>810</v>
      </c>
      <c r="J6196">
        <v>80</v>
      </c>
      <c r="K6196" t="b">
        <v>1</v>
      </c>
    </row>
    <row r="6197" spans="8:11" x14ac:dyDescent="0.25">
      <c r="H6197">
        <v>56</v>
      </c>
      <c r="I6197">
        <v>840</v>
      </c>
      <c r="J6197">
        <v>80</v>
      </c>
      <c r="K6197" t="b">
        <v>1</v>
      </c>
    </row>
    <row r="6198" spans="8:11" x14ac:dyDescent="0.25">
      <c r="H6198">
        <v>56</v>
      </c>
      <c r="I6198">
        <v>870</v>
      </c>
      <c r="J6198">
        <v>80</v>
      </c>
      <c r="K6198" t="b">
        <v>1</v>
      </c>
    </row>
    <row r="6199" spans="8:11" x14ac:dyDescent="0.25">
      <c r="H6199">
        <v>56</v>
      </c>
      <c r="I6199">
        <v>900</v>
      </c>
      <c r="J6199">
        <v>80</v>
      </c>
      <c r="K6199" t="b">
        <v>1</v>
      </c>
    </row>
    <row r="6200" spans="8:11" x14ac:dyDescent="0.25">
      <c r="H6200">
        <v>56</v>
      </c>
      <c r="I6200">
        <v>930</v>
      </c>
      <c r="J6200">
        <v>80</v>
      </c>
      <c r="K6200" t="b">
        <v>1</v>
      </c>
    </row>
    <row r="6201" spans="8:11" x14ac:dyDescent="0.25">
      <c r="H6201">
        <v>57</v>
      </c>
      <c r="I6201">
        <v>0</v>
      </c>
      <c r="J6201">
        <v>80</v>
      </c>
      <c r="K6201" t="b">
        <v>1</v>
      </c>
    </row>
    <row r="6202" spans="8:11" x14ac:dyDescent="0.25">
      <c r="H6202">
        <v>57</v>
      </c>
      <c r="I6202">
        <v>30</v>
      </c>
      <c r="J6202">
        <v>80</v>
      </c>
      <c r="K6202" t="b">
        <v>1</v>
      </c>
    </row>
    <row r="6203" spans="8:11" x14ac:dyDescent="0.25">
      <c r="H6203">
        <v>57</v>
      </c>
      <c r="I6203">
        <v>60</v>
      </c>
      <c r="J6203">
        <v>80</v>
      </c>
      <c r="K6203" t="b">
        <v>1</v>
      </c>
    </row>
    <row r="6204" spans="8:11" x14ac:dyDescent="0.25">
      <c r="H6204">
        <v>57</v>
      </c>
      <c r="I6204">
        <v>90</v>
      </c>
      <c r="J6204">
        <v>80</v>
      </c>
      <c r="K6204" t="b">
        <v>1</v>
      </c>
    </row>
    <row r="6205" spans="8:11" x14ac:dyDescent="0.25">
      <c r="H6205">
        <v>57</v>
      </c>
      <c r="I6205">
        <v>120</v>
      </c>
      <c r="J6205">
        <v>80</v>
      </c>
      <c r="K6205" t="b">
        <v>1</v>
      </c>
    </row>
    <row r="6206" spans="8:11" x14ac:dyDescent="0.25">
      <c r="H6206">
        <v>57</v>
      </c>
      <c r="I6206">
        <v>150</v>
      </c>
      <c r="J6206">
        <v>80</v>
      </c>
      <c r="K6206" t="b">
        <v>1</v>
      </c>
    </row>
    <row r="6207" spans="8:11" x14ac:dyDescent="0.25">
      <c r="H6207">
        <v>57</v>
      </c>
      <c r="I6207">
        <v>180</v>
      </c>
      <c r="J6207">
        <v>80</v>
      </c>
      <c r="K6207" t="b">
        <v>1</v>
      </c>
    </row>
    <row r="6208" spans="8:11" x14ac:dyDescent="0.25">
      <c r="H6208">
        <v>57</v>
      </c>
      <c r="I6208">
        <v>210</v>
      </c>
      <c r="J6208">
        <v>80</v>
      </c>
      <c r="K6208" t="b">
        <v>1</v>
      </c>
    </row>
    <row r="6209" spans="8:11" x14ac:dyDescent="0.25">
      <c r="H6209">
        <v>57</v>
      </c>
      <c r="I6209">
        <v>240</v>
      </c>
      <c r="J6209">
        <v>80</v>
      </c>
      <c r="K6209" t="b">
        <v>1</v>
      </c>
    </row>
    <row r="6210" spans="8:11" x14ac:dyDescent="0.25">
      <c r="H6210">
        <v>57</v>
      </c>
      <c r="I6210">
        <v>270</v>
      </c>
      <c r="J6210">
        <v>80</v>
      </c>
      <c r="K6210" t="b">
        <v>1</v>
      </c>
    </row>
    <row r="6211" spans="8:11" x14ac:dyDescent="0.25">
      <c r="H6211">
        <v>57</v>
      </c>
      <c r="I6211">
        <v>300</v>
      </c>
      <c r="J6211">
        <v>80</v>
      </c>
      <c r="K6211" t="b">
        <v>1</v>
      </c>
    </row>
    <row r="6212" spans="8:11" x14ac:dyDescent="0.25">
      <c r="H6212">
        <v>57</v>
      </c>
      <c r="I6212">
        <v>330</v>
      </c>
      <c r="J6212">
        <v>80</v>
      </c>
      <c r="K6212" t="b">
        <v>1</v>
      </c>
    </row>
    <row r="6213" spans="8:11" x14ac:dyDescent="0.25">
      <c r="H6213">
        <v>57</v>
      </c>
      <c r="I6213">
        <v>360</v>
      </c>
      <c r="J6213">
        <v>80</v>
      </c>
      <c r="K6213" t="b">
        <v>1</v>
      </c>
    </row>
    <row r="6214" spans="8:11" x14ac:dyDescent="0.25">
      <c r="H6214">
        <v>57</v>
      </c>
      <c r="I6214">
        <v>390</v>
      </c>
      <c r="J6214">
        <v>80</v>
      </c>
      <c r="K6214" t="b">
        <v>1</v>
      </c>
    </row>
    <row r="6215" spans="8:11" x14ac:dyDescent="0.25">
      <c r="H6215">
        <v>57</v>
      </c>
      <c r="I6215">
        <v>420</v>
      </c>
      <c r="J6215">
        <v>80</v>
      </c>
      <c r="K6215" t="b">
        <v>1</v>
      </c>
    </row>
    <row r="6216" spans="8:11" x14ac:dyDescent="0.25">
      <c r="H6216">
        <v>57</v>
      </c>
      <c r="I6216">
        <v>450</v>
      </c>
      <c r="J6216">
        <v>80</v>
      </c>
      <c r="K6216" t="b">
        <v>1</v>
      </c>
    </row>
    <row r="6217" spans="8:11" x14ac:dyDescent="0.25">
      <c r="H6217">
        <v>57</v>
      </c>
      <c r="I6217">
        <v>480</v>
      </c>
      <c r="J6217">
        <v>80</v>
      </c>
      <c r="K6217" t="b">
        <v>1</v>
      </c>
    </row>
    <row r="6218" spans="8:11" x14ac:dyDescent="0.25">
      <c r="H6218">
        <v>57</v>
      </c>
      <c r="I6218">
        <v>510</v>
      </c>
      <c r="J6218">
        <v>80</v>
      </c>
      <c r="K6218" t="b">
        <v>1</v>
      </c>
    </row>
    <row r="6219" spans="8:11" x14ac:dyDescent="0.25">
      <c r="H6219">
        <v>57</v>
      </c>
      <c r="I6219">
        <v>540</v>
      </c>
      <c r="J6219">
        <v>80</v>
      </c>
      <c r="K6219" t="b">
        <v>1</v>
      </c>
    </row>
    <row r="6220" spans="8:11" x14ac:dyDescent="0.25">
      <c r="H6220">
        <v>57</v>
      </c>
      <c r="I6220">
        <v>570</v>
      </c>
      <c r="J6220">
        <v>80</v>
      </c>
      <c r="K6220" t="b">
        <v>1</v>
      </c>
    </row>
    <row r="6221" spans="8:11" x14ac:dyDescent="0.25">
      <c r="H6221">
        <v>57</v>
      </c>
      <c r="I6221">
        <v>600</v>
      </c>
      <c r="J6221">
        <v>80</v>
      </c>
      <c r="K6221" t="b">
        <v>1</v>
      </c>
    </row>
    <row r="6222" spans="8:11" x14ac:dyDescent="0.25">
      <c r="H6222">
        <v>57</v>
      </c>
      <c r="I6222">
        <v>630</v>
      </c>
      <c r="J6222">
        <v>80</v>
      </c>
      <c r="K6222" t="b">
        <v>1</v>
      </c>
    </row>
    <row r="6223" spans="8:11" x14ac:dyDescent="0.25">
      <c r="H6223">
        <v>57</v>
      </c>
      <c r="I6223">
        <v>660</v>
      </c>
      <c r="J6223">
        <v>80</v>
      </c>
      <c r="K6223" t="b">
        <v>1</v>
      </c>
    </row>
    <row r="6224" spans="8:11" x14ac:dyDescent="0.25">
      <c r="H6224">
        <v>57</v>
      </c>
      <c r="I6224">
        <v>690</v>
      </c>
      <c r="J6224">
        <v>80</v>
      </c>
      <c r="K6224" t="b">
        <v>1</v>
      </c>
    </row>
    <row r="6225" spans="8:11" x14ac:dyDescent="0.25">
      <c r="H6225">
        <v>57</v>
      </c>
      <c r="I6225">
        <v>720</v>
      </c>
      <c r="J6225">
        <v>80</v>
      </c>
      <c r="K6225" t="b">
        <v>1</v>
      </c>
    </row>
    <row r="6226" spans="8:11" x14ac:dyDescent="0.25">
      <c r="H6226">
        <v>57</v>
      </c>
      <c r="I6226">
        <v>750</v>
      </c>
      <c r="J6226">
        <v>80</v>
      </c>
      <c r="K6226" t="b">
        <v>1</v>
      </c>
    </row>
    <row r="6227" spans="8:11" x14ac:dyDescent="0.25">
      <c r="H6227">
        <v>57</v>
      </c>
      <c r="I6227">
        <v>780</v>
      </c>
      <c r="J6227">
        <v>80</v>
      </c>
      <c r="K6227" t="b">
        <v>1</v>
      </c>
    </row>
    <row r="6228" spans="8:11" x14ac:dyDescent="0.25">
      <c r="H6228">
        <v>57</v>
      </c>
      <c r="I6228">
        <v>810</v>
      </c>
      <c r="J6228">
        <v>80</v>
      </c>
      <c r="K6228" t="b">
        <v>1</v>
      </c>
    </row>
    <row r="6229" spans="8:11" x14ac:dyDescent="0.25">
      <c r="H6229">
        <v>57</v>
      </c>
      <c r="I6229">
        <v>840</v>
      </c>
      <c r="J6229">
        <v>80</v>
      </c>
      <c r="K6229" t="b">
        <v>1</v>
      </c>
    </row>
    <row r="6230" spans="8:11" x14ac:dyDescent="0.25">
      <c r="H6230">
        <v>57</v>
      </c>
      <c r="I6230">
        <v>870</v>
      </c>
      <c r="J6230">
        <v>80</v>
      </c>
      <c r="K6230" t="b">
        <v>1</v>
      </c>
    </row>
    <row r="6231" spans="8:11" x14ac:dyDescent="0.25">
      <c r="H6231">
        <v>57</v>
      </c>
      <c r="I6231">
        <v>900</v>
      </c>
      <c r="J6231">
        <v>80</v>
      </c>
      <c r="K6231" t="b">
        <v>1</v>
      </c>
    </row>
    <row r="6232" spans="8:11" x14ac:dyDescent="0.25">
      <c r="H6232">
        <v>57</v>
      </c>
      <c r="I6232">
        <v>930</v>
      </c>
      <c r="J6232">
        <v>80</v>
      </c>
      <c r="K6232" t="b">
        <v>1</v>
      </c>
    </row>
    <row r="6233" spans="8:11" x14ac:dyDescent="0.25">
      <c r="H6233">
        <v>58</v>
      </c>
      <c r="I6233">
        <v>0</v>
      </c>
      <c r="J6233">
        <v>80</v>
      </c>
      <c r="K6233" t="b">
        <v>1</v>
      </c>
    </row>
    <row r="6234" spans="8:11" x14ac:dyDescent="0.25">
      <c r="H6234">
        <v>58</v>
      </c>
      <c r="I6234">
        <v>14</v>
      </c>
      <c r="J6234">
        <v>80</v>
      </c>
      <c r="K6234" t="b">
        <v>1</v>
      </c>
    </row>
    <row r="6235" spans="8:11" x14ac:dyDescent="0.25">
      <c r="H6235">
        <v>58</v>
      </c>
      <c r="I6235">
        <v>28</v>
      </c>
      <c r="J6235">
        <v>80</v>
      </c>
      <c r="K6235" t="b">
        <v>1</v>
      </c>
    </row>
    <row r="6236" spans="8:11" x14ac:dyDescent="0.25">
      <c r="H6236">
        <v>58</v>
      </c>
      <c r="I6236">
        <v>42</v>
      </c>
      <c r="J6236">
        <v>80</v>
      </c>
      <c r="K6236" t="b">
        <v>1</v>
      </c>
    </row>
    <row r="6237" spans="8:11" x14ac:dyDescent="0.25">
      <c r="H6237">
        <v>58</v>
      </c>
      <c r="I6237">
        <v>56</v>
      </c>
      <c r="J6237">
        <v>80</v>
      </c>
      <c r="K6237" t="b">
        <v>1</v>
      </c>
    </row>
    <row r="6238" spans="8:11" x14ac:dyDescent="0.25">
      <c r="H6238">
        <v>58</v>
      </c>
      <c r="I6238">
        <v>70</v>
      </c>
      <c r="J6238">
        <v>80</v>
      </c>
      <c r="K6238" t="b">
        <v>1</v>
      </c>
    </row>
    <row r="6239" spans="8:11" x14ac:dyDescent="0.25">
      <c r="H6239">
        <v>58</v>
      </c>
      <c r="I6239">
        <v>84</v>
      </c>
      <c r="J6239">
        <v>80</v>
      </c>
      <c r="K6239" t="b">
        <v>1</v>
      </c>
    </row>
    <row r="6240" spans="8:11" x14ac:dyDescent="0.25">
      <c r="H6240">
        <v>58</v>
      </c>
      <c r="I6240">
        <v>98</v>
      </c>
      <c r="J6240">
        <v>80</v>
      </c>
      <c r="K6240" t="b">
        <v>1</v>
      </c>
    </row>
    <row r="6241" spans="8:11" x14ac:dyDescent="0.25">
      <c r="H6241">
        <v>58</v>
      </c>
      <c r="I6241">
        <v>112</v>
      </c>
      <c r="J6241">
        <v>80</v>
      </c>
      <c r="K6241" t="b">
        <v>1</v>
      </c>
    </row>
    <row r="6242" spans="8:11" x14ac:dyDescent="0.25">
      <c r="H6242">
        <v>58</v>
      </c>
      <c r="I6242">
        <v>126</v>
      </c>
      <c r="J6242">
        <v>80</v>
      </c>
      <c r="K6242" t="b">
        <v>1</v>
      </c>
    </row>
    <row r="6243" spans="8:11" x14ac:dyDescent="0.25">
      <c r="H6243">
        <v>58</v>
      </c>
      <c r="I6243">
        <v>140</v>
      </c>
      <c r="J6243">
        <v>80</v>
      </c>
      <c r="K6243" t="b">
        <v>1</v>
      </c>
    </row>
    <row r="6244" spans="8:11" x14ac:dyDescent="0.25">
      <c r="H6244">
        <v>58</v>
      </c>
      <c r="I6244">
        <v>154</v>
      </c>
      <c r="J6244">
        <v>80</v>
      </c>
      <c r="K6244" t="b">
        <v>1</v>
      </c>
    </row>
    <row r="6245" spans="8:11" x14ac:dyDescent="0.25">
      <c r="H6245">
        <v>58</v>
      </c>
      <c r="I6245">
        <v>168</v>
      </c>
      <c r="J6245">
        <v>80</v>
      </c>
      <c r="K6245" t="b">
        <v>1</v>
      </c>
    </row>
    <row r="6246" spans="8:11" x14ac:dyDescent="0.25">
      <c r="H6246">
        <v>58</v>
      </c>
      <c r="I6246">
        <v>182</v>
      </c>
      <c r="J6246">
        <v>80</v>
      </c>
      <c r="K6246" t="b">
        <v>1</v>
      </c>
    </row>
    <row r="6247" spans="8:11" x14ac:dyDescent="0.25">
      <c r="H6247">
        <v>58</v>
      </c>
      <c r="I6247">
        <v>196</v>
      </c>
      <c r="J6247">
        <v>80</v>
      </c>
      <c r="K6247" t="b">
        <v>1</v>
      </c>
    </row>
    <row r="6248" spans="8:11" x14ac:dyDescent="0.25">
      <c r="H6248">
        <v>58</v>
      </c>
      <c r="I6248">
        <v>210</v>
      </c>
      <c r="J6248">
        <v>80</v>
      </c>
      <c r="K6248" t="b">
        <v>1</v>
      </c>
    </row>
    <row r="6249" spans="8:11" x14ac:dyDescent="0.25">
      <c r="H6249">
        <v>58</v>
      </c>
      <c r="I6249">
        <v>224</v>
      </c>
      <c r="J6249">
        <v>80</v>
      </c>
      <c r="K6249" t="b">
        <v>1</v>
      </c>
    </row>
    <row r="6250" spans="8:11" x14ac:dyDescent="0.25">
      <c r="H6250">
        <v>58</v>
      </c>
      <c r="I6250">
        <v>238</v>
      </c>
      <c r="J6250">
        <v>80</v>
      </c>
      <c r="K6250" t="b">
        <v>1</v>
      </c>
    </row>
    <row r="6251" spans="8:11" x14ac:dyDescent="0.25">
      <c r="H6251">
        <v>58</v>
      </c>
      <c r="I6251">
        <v>252</v>
      </c>
      <c r="J6251">
        <v>80</v>
      </c>
      <c r="K6251" t="b">
        <v>1</v>
      </c>
    </row>
    <row r="6252" spans="8:11" x14ac:dyDescent="0.25">
      <c r="H6252">
        <v>58</v>
      </c>
      <c r="I6252">
        <v>266</v>
      </c>
      <c r="J6252">
        <v>80</v>
      </c>
      <c r="K6252" t="b">
        <v>1</v>
      </c>
    </row>
    <row r="6253" spans="8:11" x14ac:dyDescent="0.25">
      <c r="H6253">
        <v>58</v>
      </c>
      <c r="I6253">
        <v>280</v>
      </c>
      <c r="J6253">
        <v>80</v>
      </c>
      <c r="K6253" t="b">
        <v>1</v>
      </c>
    </row>
    <row r="6254" spans="8:11" x14ac:dyDescent="0.25">
      <c r="H6254">
        <v>58</v>
      </c>
      <c r="I6254">
        <v>294</v>
      </c>
      <c r="J6254">
        <v>80</v>
      </c>
      <c r="K6254" t="b">
        <v>1</v>
      </c>
    </row>
    <row r="6255" spans="8:11" x14ac:dyDescent="0.25">
      <c r="H6255">
        <v>58</v>
      </c>
      <c r="I6255">
        <v>308</v>
      </c>
      <c r="J6255">
        <v>80</v>
      </c>
      <c r="K6255" t="b">
        <v>1</v>
      </c>
    </row>
    <row r="6256" spans="8:11" x14ac:dyDescent="0.25">
      <c r="H6256">
        <v>58</v>
      </c>
      <c r="I6256">
        <v>322</v>
      </c>
      <c r="J6256">
        <v>80</v>
      </c>
      <c r="K6256" t="b">
        <v>1</v>
      </c>
    </row>
    <row r="6257" spans="8:11" x14ac:dyDescent="0.25">
      <c r="H6257">
        <v>58</v>
      </c>
      <c r="I6257">
        <v>336</v>
      </c>
      <c r="J6257">
        <v>80</v>
      </c>
      <c r="K6257" t="b">
        <v>1</v>
      </c>
    </row>
    <row r="6258" spans="8:11" x14ac:dyDescent="0.25">
      <c r="H6258">
        <v>58</v>
      </c>
      <c r="I6258">
        <v>350</v>
      </c>
      <c r="J6258">
        <v>80</v>
      </c>
      <c r="K6258" t="b">
        <v>1</v>
      </c>
    </row>
    <row r="6259" spans="8:11" x14ac:dyDescent="0.25">
      <c r="H6259">
        <v>58</v>
      </c>
      <c r="I6259">
        <v>364</v>
      </c>
      <c r="J6259">
        <v>80</v>
      </c>
      <c r="K6259" t="b">
        <v>1</v>
      </c>
    </row>
    <row r="6260" spans="8:11" x14ac:dyDescent="0.25">
      <c r="H6260">
        <v>58</v>
      </c>
      <c r="I6260">
        <v>378</v>
      </c>
      <c r="J6260">
        <v>80</v>
      </c>
      <c r="K6260" t="b">
        <v>1</v>
      </c>
    </row>
    <row r="6261" spans="8:11" x14ac:dyDescent="0.25">
      <c r="H6261">
        <v>58</v>
      </c>
      <c r="I6261">
        <v>392</v>
      </c>
      <c r="J6261">
        <v>80</v>
      </c>
      <c r="K6261" t="b">
        <v>1</v>
      </c>
    </row>
    <row r="6262" spans="8:11" x14ac:dyDescent="0.25">
      <c r="H6262">
        <v>58</v>
      </c>
      <c r="I6262">
        <v>406</v>
      </c>
      <c r="J6262">
        <v>80</v>
      </c>
      <c r="K6262" t="b">
        <v>1</v>
      </c>
    </row>
    <row r="6263" spans="8:11" x14ac:dyDescent="0.25">
      <c r="H6263">
        <v>58</v>
      </c>
      <c r="I6263">
        <v>420</v>
      </c>
      <c r="J6263">
        <v>80</v>
      </c>
      <c r="K6263" t="b">
        <v>1</v>
      </c>
    </row>
    <row r="6264" spans="8:11" x14ac:dyDescent="0.25">
      <c r="H6264">
        <v>58</v>
      </c>
      <c r="I6264">
        <v>434</v>
      </c>
      <c r="J6264">
        <v>80</v>
      </c>
      <c r="K6264" t="b">
        <v>1</v>
      </c>
    </row>
    <row r="6265" spans="8:11" x14ac:dyDescent="0.25">
      <c r="H6265">
        <v>58</v>
      </c>
      <c r="I6265">
        <v>448</v>
      </c>
      <c r="J6265">
        <v>80</v>
      </c>
      <c r="K6265" t="b">
        <v>1</v>
      </c>
    </row>
    <row r="6266" spans="8:11" x14ac:dyDescent="0.25">
      <c r="H6266">
        <v>58</v>
      </c>
      <c r="I6266">
        <v>462</v>
      </c>
      <c r="J6266">
        <v>80</v>
      </c>
      <c r="K6266" t="b">
        <v>1</v>
      </c>
    </row>
    <row r="6267" spans="8:11" x14ac:dyDescent="0.25">
      <c r="H6267">
        <v>58</v>
      </c>
      <c r="I6267">
        <v>476</v>
      </c>
      <c r="J6267">
        <v>80</v>
      </c>
      <c r="K6267" t="b">
        <v>1</v>
      </c>
    </row>
    <row r="6268" spans="8:11" x14ac:dyDescent="0.25">
      <c r="H6268">
        <v>58</v>
      </c>
      <c r="I6268">
        <v>490</v>
      </c>
      <c r="J6268">
        <v>80</v>
      </c>
      <c r="K6268" t="b">
        <v>1</v>
      </c>
    </row>
    <row r="6269" spans="8:11" x14ac:dyDescent="0.25">
      <c r="H6269">
        <v>58</v>
      </c>
      <c r="I6269">
        <v>504</v>
      </c>
      <c r="J6269">
        <v>80</v>
      </c>
      <c r="K6269" t="b">
        <v>1</v>
      </c>
    </row>
    <row r="6270" spans="8:11" x14ac:dyDescent="0.25">
      <c r="H6270">
        <v>58</v>
      </c>
      <c r="I6270">
        <v>518</v>
      </c>
      <c r="J6270">
        <v>80</v>
      </c>
      <c r="K6270" t="b">
        <v>1</v>
      </c>
    </row>
    <row r="6271" spans="8:11" x14ac:dyDescent="0.25">
      <c r="H6271">
        <v>58</v>
      </c>
      <c r="I6271">
        <v>532</v>
      </c>
      <c r="J6271">
        <v>80</v>
      </c>
      <c r="K6271" t="b">
        <v>1</v>
      </c>
    </row>
    <row r="6272" spans="8:11" x14ac:dyDescent="0.25">
      <c r="H6272">
        <v>58</v>
      </c>
      <c r="I6272">
        <v>546</v>
      </c>
      <c r="J6272">
        <v>80</v>
      </c>
      <c r="K6272" t="b">
        <v>1</v>
      </c>
    </row>
    <row r="6273" spans="8:11" x14ac:dyDescent="0.25">
      <c r="H6273">
        <v>58</v>
      </c>
      <c r="I6273">
        <v>560</v>
      </c>
      <c r="J6273">
        <v>80</v>
      </c>
      <c r="K6273" t="b">
        <v>1</v>
      </c>
    </row>
    <row r="6274" spans="8:11" x14ac:dyDescent="0.25">
      <c r="H6274">
        <v>58</v>
      </c>
      <c r="I6274">
        <v>574</v>
      </c>
      <c r="J6274">
        <v>80</v>
      </c>
      <c r="K6274" t="b">
        <v>1</v>
      </c>
    </row>
    <row r="6275" spans="8:11" x14ac:dyDescent="0.25">
      <c r="H6275">
        <v>58</v>
      </c>
      <c r="I6275">
        <v>588</v>
      </c>
      <c r="J6275">
        <v>80</v>
      </c>
      <c r="K6275" t="b">
        <v>1</v>
      </c>
    </row>
    <row r="6276" spans="8:11" x14ac:dyDescent="0.25">
      <c r="H6276">
        <v>58</v>
      </c>
      <c r="I6276">
        <v>602</v>
      </c>
      <c r="J6276">
        <v>80</v>
      </c>
      <c r="K6276" t="b">
        <v>1</v>
      </c>
    </row>
    <row r="6277" spans="8:11" x14ac:dyDescent="0.25">
      <c r="H6277">
        <v>58</v>
      </c>
      <c r="I6277">
        <v>616</v>
      </c>
      <c r="J6277">
        <v>80</v>
      </c>
      <c r="K6277" t="b">
        <v>1</v>
      </c>
    </row>
    <row r="6278" spans="8:11" x14ac:dyDescent="0.25">
      <c r="H6278">
        <v>58</v>
      </c>
      <c r="I6278">
        <v>630</v>
      </c>
      <c r="J6278">
        <v>80</v>
      </c>
      <c r="K6278" t="b">
        <v>1</v>
      </c>
    </row>
    <row r="6279" spans="8:11" x14ac:dyDescent="0.25">
      <c r="H6279">
        <v>58</v>
      </c>
      <c r="I6279">
        <v>644</v>
      </c>
      <c r="J6279">
        <v>80</v>
      </c>
      <c r="K6279" t="b">
        <v>1</v>
      </c>
    </row>
    <row r="6280" spans="8:11" x14ac:dyDescent="0.25">
      <c r="H6280">
        <v>58</v>
      </c>
      <c r="I6280">
        <v>658</v>
      </c>
      <c r="J6280">
        <v>80</v>
      </c>
      <c r="K6280" t="b">
        <v>1</v>
      </c>
    </row>
    <row r="6281" spans="8:11" x14ac:dyDescent="0.25">
      <c r="H6281">
        <v>58</v>
      </c>
      <c r="I6281">
        <v>672</v>
      </c>
      <c r="J6281">
        <v>80</v>
      </c>
      <c r="K6281" t="b">
        <v>1</v>
      </c>
    </row>
    <row r="6282" spans="8:11" x14ac:dyDescent="0.25">
      <c r="H6282">
        <v>58</v>
      </c>
      <c r="I6282">
        <v>686</v>
      </c>
      <c r="J6282">
        <v>80</v>
      </c>
      <c r="K6282" t="b">
        <v>1</v>
      </c>
    </row>
    <row r="6283" spans="8:11" x14ac:dyDescent="0.25">
      <c r="H6283">
        <v>58</v>
      </c>
      <c r="I6283">
        <v>700</v>
      </c>
      <c r="J6283">
        <v>80</v>
      </c>
      <c r="K6283" t="b">
        <v>1</v>
      </c>
    </row>
    <row r="6284" spans="8:11" x14ac:dyDescent="0.25">
      <c r="H6284">
        <v>58</v>
      </c>
      <c r="I6284">
        <v>714</v>
      </c>
      <c r="J6284">
        <v>80</v>
      </c>
      <c r="K6284" t="b">
        <v>1</v>
      </c>
    </row>
    <row r="6285" spans="8:11" x14ac:dyDescent="0.25">
      <c r="H6285">
        <v>58</v>
      </c>
      <c r="I6285">
        <v>728</v>
      </c>
      <c r="J6285">
        <v>80</v>
      </c>
      <c r="K6285" t="b">
        <v>1</v>
      </c>
    </row>
    <row r="6286" spans="8:11" x14ac:dyDescent="0.25">
      <c r="H6286">
        <v>58</v>
      </c>
      <c r="I6286">
        <v>742</v>
      </c>
      <c r="J6286">
        <v>80</v>
      </c>
      <c r="K6286" t="b">
        <v>1</v>
      </c>
    </row>
    <row r="6287" spans="8:11" x14ac:dyDescent="0.25">
      <c r="H6287">
        <v>58</v>
      </c>
      <c r="I6287">
        <v>756</v>
      </c>
      <c r="J6287">
        <v>80</v>
      </c>
      <c r="K6287" t="b">
        <v>1</v>
      </c>
    </row>
    <row r="6288" spans="8:11" x14ac:dyDescent="0.25">
      <c r="H6288">
        <v>58</v>
      </c>
      <c r="I6288">
        <v>770</v>
      </c>
      <c r="J6288">
        <v>80</v>
      </c>
      <c r="K6288" t="b">
        <v>1</v>
      </c>
    </row>
    <row r="6289" spans="8:11" x14ac:dyDescent="0.25">
      <c r="H6289">
        <v>58</v>
      </c>
      <c r="I6289">
        <v>784</v>
      </c>
      <c r="J6289">
        <v>80</v>
      </c>
      <c r="K6289" t="b">
        <v>1</v>
      </c>
    </row>
    <row r="6290" spans="8:11" x14ac:dyDescent="0.25">
      <c r="H6290">
        <v>58</v>
      </c>
      <c r="I6290">
        <v>798</v>
      </c>
      <c r="J6290">
        <v>80</v>
      </c>
      <c r="K6290" t="b">
        <v>1</v>
      </c>
    </row>
    <row r="6291" spans="8:11" x14ac:dyDescent="0.25">
      <c r="H6291">
        <v>58</v>
      </c>
      <c r="I6291">
        <v>812</v>
      </c>
      <c r="J6291">
        <v>80</v>
      </c>
      <c r="K6291" t="b">
        <v>1</v>
      </c>
    </row>
    <row r="6292" spans="8:11" x14ac:dyDescent="0.25">
      <c r="H6292">
        <v>58</v>
      </c>
      <c r="I6292">
        <v>826</v>
      </c>
      <c r="J6292">
        <v>80</v>
      </c>
      <c r="K6292" t="b">
        <v>1</v>
      </c>
    </row>
    <row r="6293" spans="8:11" x14ac:dyDescent="0.25">
      <c r="H6293">
        <v>58</v>
      </c>
      <c r="I6293">
        <v>840</v>
      </c>
      <c r="J6293">
        <v>80</v>
      </c>
      <c r="K6293" t="b">
        <v>1</v>
      </c>
    </row>
    <row r="6294" spans="8:11" x14ac:dyDescent="0.25">
      <c r="H6294">
        <v>58</v>
      </c>
      <c r="I6294">
        <v>854</v>
      </c>
      <c r="J6294">
        <v>80</v>
      </c>
      <c r="K6294" t="b">
        <v>1</v>
      </c>
    </row>
    <row r="6295" spans="8:11" x14ac:dyDescent="0.25">
      <c r="H6295">
        <v>58</v>
      </c>
      <c r="I6295">
        <v>868</v>
      </c>
      <c r="J6295">
        <v>80</v>
      </c>
      <c r="K6295" t="b">
        <v>1</v>
      </c>
    </row>
    <row r="6296" spans="8:11" x14ac:dyDescent="0.25">
      <c r="H6296">
        <v>58</v>
      </c>
      <c r="I6296">
        <v>882</v>
      </c>
      <c r="J6296">
        <v>80</v>
      </c>
      <c r="K6296" t="b">
        <v>1</v>
      </c>
    </row>
    <row r="6297" spans="8:11" x14ac:dyDescent="0.25">
      <c r="H6297">
        <v>58</v>
      </c>
      <c r="I6297">
        <v>896</v>
      </c>
      <c r="J6297">
        <v>80</v>
      </c>
      <c r="K6297" t="b">
        <v>1</v>
      </c>
    </row>
    <row r="6298" spans="8:11" x14ac:dyDescent="0.25">
      <c r="H6298">
        <v>58</v>
      </c>
      <c r="I6298">
        <v>910</v>
      </c>
      <c r="J6298">
        <v>80</v>
      </c>
      <c r="K6298" t="b">
        <v>1</v>
      </c>
    </row>
    <row r="6299" spans="8:11" x14ac:dyDescent="0.25">
      <c r="H6299">
        <v>58</v>
      </c>
      <c r="I6299">
        <v>924</v>
      </c>
      <c r="J6299">
        <v>80</v>
      </c>
      <c r="K6299" t="b">
        <v>1</v>
      </c>
    </row>
    <row r="6300" spans="8:11" x14ac:dyDescent="0.25">
      <c r="H6300">
        <v>58</v>
      </c>
      <c r="I6300">
        <v>938</v>
      </c>
      <c r="J6300">
        <v>80</v>
      </c>
      <c r="K6300" t="b">
        <v>1</v>
      </c>
    </row>
    <row r="6301" spans="8:11" x14ac:dyDescent="0.25">
      <c r="H6301">
        <v>59</v>
      </c>
      <c r="I6301">
        <v>0</v>
      </c>
      <c r="J6301">
        <v>80</v>
      </c>
      <c r="K6301" t="b">
        <v>1</v>
      </c>
    </row>
    <row r="6302" spans="8:11" x14ac:dyDescent="0.25">
      <c r="H6302">
        <v>59</v>
      </c>
      <c r="I6302">
        <v>14</v>
      </c>
      <c r="J6302">
        <v>80</v>
      </c>
      <c r="K6302" t="b">
        <v>1</v>
      </c>
    </row>
    <row r="6303" spans="8:11" x14ac:dyDescent="0.25">
      <c r="H6303">
        <v>59</v>
      </c>
      <c r="I6303">
        <v>28</v>
      </c>
      <c r="J6303">
        <v>80</v>
      </c>
      <c r="K6303" t="b">
        <v>1</v>
      </c>
    </row>
    <row r="6304" spans="8:11" x14ac:dyDescent="0.25">
      <c r="H6304">
        <v>59</v>
      </c>
      <c r="I6304">
        <v>42</v>
      </c>
      <c r="J6304">
        <v>80</v>
      </c>
      <c r="K6304" t="b">
        <v>1</v>
      </c>
    </row>
    <row r="6305" spans="8:11" x14ac:dyDescent="0.25">
      <c r="H6305">
        <v>59</v>
      </c>
      <c r="I6305">
        <v>56</v>
      </c>
      <c r="J6305">
        <v>80</v>
      </c>
      <c r="K6305" t="b">
        <v>1</v>
      </c>
    </row>
    <row r="6306" spans="8:11" x14ac:dyDescent="0.25">
      <c r="H6306">
        <v>59</v>
      </c>
      <c r="I6306">
        <v>70</v>
      </c>
      <c r="J6306">
        <v>80</v>
      </c>
      <c r="K6306" t="b">
        <v>1</v>
      </c>
    </row>
    <row r="6307" spans="8:11" x14ac:dyDescent="0.25">
      <c r="H6307">
        <v>59</v>
      </c>
      <c r="I6307">
        <v>84</v>
      </c>
      <c r="J6307">
        <v>80</v>
      </c>
      <c r="K6307" t="b">
        <v>1</v>
      </c>
    </row>
    <row r="6308" spans="8:11" x14ac:dyDescent="0.25">
      <c r="H6308">
        <v>59</v>
      </c>
      <c r="I6308">
        <v>98</v>
      </c>
      <c r="J6308">
        <v>80</v>
      </c>
      <c r="K6308" t="b">
        <v>1</v>
      </c>
    </row>
    <row r="6309" spans="8:11" x14ac:dyDescent="0.25">
      <c r="H6309">
        <v>59</v>
      </c>
      <c r="I6309">
        <v>112</v>
      </c>
      <c r="J6309">
        <v>80</v>
      </c>
      <c r="K6309" t="b">
        <v>1</v>
      </c>
    </row>
    <row r="6310" spans="8:11" x14ac:dyDescent="0.25">
      <c r="H6310">
        <v>59</v>
      </c>
      <c r="I6310">
        <v>126</v>
      </c>
      <c r="J6310">
        <v>80</v>
      </c>
      <c r="K6310" t="b">
        <v>1</v>
      </c>
    </row>
    <row r="6311" spans="8:11" x14ac:dyDescent="0.25">
      <c r="H6311">
        <v>59</v>
      </c>
      <c r="I6311">
        <v>140</v>
      </c>
      <c r="J6311">
        <v>80</v>
      </c>
      <c r="K6311" t="b">
        <v>1</v>
      </c>
    </row>
    <row r="6312" spans="8:11" x14ac:dyDescent="0.25">
      <c r="H6312">
        <v>59</v>
      </c>
      <c r="I6312">
        <v>154</v>
      </c>
      <c r="J6312">
        <v>80</v>
      </c>
      <c r="K6312" t="b">
        <v>1</v>
      </c>
    </row>
    <row r="6313" spans="8:11" x14ac:dyDescent="0.25">
      <c r="H6313">
        <v>59</v>
      </c>
      <c r="I6313">
        <v>168</v>
      </c>
      <c r="J6313">
        <v>80</v>
      </c>
      <c r="K6313" t="b">
        <v>1</v>
      </c>
    </row>
    <row r="6314" spans="8:11" x14ac:dyDescent="0.25">
      <c r="H6314">
        <v>59</v>
      </c>
      <c r="I6314">
        <v>182</v>
      </c>
      <c r="J6314">
        <v>80</v>
      </c>
      <c r="K6314" t="b">
        <v>1</v>
      </c>
    </row>
    <row r="6315" spans="8:11" x14ac:dyDescent="0.25">
      <c r="H6315">
        <v>59</v>
      </c>
      <c r="I6315">
        <v>196</v>
      </c>
      <c r="J6315">
        <v>80</v>
      </c>
      <c r="K6315" t="b">
        <v>1</v>
      </c>
    </row>
    <row r="6316" spans="8:11" x14ac:dyDescent="0.25">
      <c r="H6316">
        <v>59</v>
      </c>
      <c r="I6316">
        <v>210</v>
      </c>
      <c r="J6316">
        <v>80</v>
      </c>
      <c r="K6316" t="b">
        <v>1</v>
      </c>
    </row>
    <row r="6317" spans="8:11" x14ac:dyDescent="0.25">
      <c r="H6317">
        <v>59</v>
      </c>
      <c r="I6317">
        <v>224</v>
      </c>
      <c r="J6317">
        <v>80</v>
      </c>
      <c r="K6317" t="b">
        <v>1</v>
      </c>
    </row>
    <row r="6318" spans="8:11" x14ac:dyDescent="0.25">
      <c r="H6318">
        <v>59</v>
      </c>
      <c r="I6318">
        <v>238</v>
      </c>
      <c r="J6318">
        <v>80</v>
      </c>
      <c r="K6318" t="b">
        <v>1</v>
      </c>
    </row>
    <row r="6319" spans="8:11" x14ac:dyDescent="0.25">
      <c r="H6319">
        <v>59</v>
      </c>
      <c r="I6319">
        <v>252</v>
      </c>
      <c r="J6319">
        <v>80</v>
      </c>
      <c r="K6319" t="b">
        <v>1</v>
      </c>
    </row>
    <row r="6320" spans="8:11" x14ac:dyDescent="0.25">
      <c r="H6320">
        <v>59</v>
      </c>
      <c r="I6320">
        <v>266</v>
      </c>
      <c r="J6320">
        <v>80</v>
      </c>
      <c r="K6320" t="b">
        <v>1</v>
      </c>
    </row>
    <row r="6321" spans="8:11" x14ac:dyDescent="0.25">
      <c r="H6321">
        <v>59</v>
      </c>
      <c r="I6321">
        <v>280</v>
      </c>
      <c r="J6321">
        <v>80</v>
      </c>
      <c r="K6321" t="b">
        <v>1</v>
      </c>
    </row>
    <row r="6322" spans="8:11" x14ac:dyDescent="0.25">
      <c r="H6322">
        <v>59</v>
      </c>
      <c r="I6322">
        <v>294</v>
      </c>
      <c r="J6322">
        <v>80</v>
      </c>
      <c r="K6322" t="b">
        <v>1</v>
      </c>
    </row>
    <row r="6323" spans="8:11" x14ac:dyDescent="0.25">
      <c r="H6323">
        <v>59</v>
      </c>
      <c r="I6323">
        <v>308</v>
      </c>
      <c r="J6323">
        <v>80</v>
      </c>
      <c r="K6323" t="b">
        <v>1</v>
      </c>
    </row>
    <row r="6324" spans="8:11" x14ac:dyDescent="0.25">
      <c r="H6324">
        <v>59</v>
      </c>
      <c r="I6324">
        <v>322</v>
      </c>
      <c r="J6324">
        <v>80</v>
      </c>
      <c r="K6324" t="b">
        <v>1</v>
      </c>
    </row>
    <row r="6325" spans="8:11" x14ac:dyDescent="0.25">
      <c r="H6325">
        <v>59</v>
      </c>
      <c r="I6325">
        <v>336</v>
      </c>
      <c r="J6325">
        <v>80</v>
      </c>
      <c r="K6325" t="b">
        <v>1</v>
      </c>
    </row>
    <row r="6326" spans="8:11" x14ac:dyDescent="0.25">
      <c r="H6326">
        <v>59</v>
      </c>
      <c r="I6326">
        <v>350</v>
      </c>
      <c r="J6326">
        <v>80</v>
      </c>
      <c r="K6326" t="b">
        <v>1</v>
      </c>
    </row>
    <row r="6327" spans="8:11" x14ac:dyDescent="0.25">
      <c r="H6327">
        <v>59</v>
      </c>
      <c r="I6327">
        <v>364</v>
      </c>
      <c r="J6327">
        <v>80</v>
      </c>
      <c r="K6327" t="b">
        <v>1</v>
      </c>
    </row>
    <row r="6328" spans="8:11" x14ac:dyDescent="0.25">
      <c r="H6328">
        <v>59</v>
      </c>
      <c r="I6328">
        <v>378</v>
      </c>
      <c r="J6328">
        <v>80</v>
      </c>
      <c r="K6328" t="b">
        <v>1</v>
      </c>
    </row>
    <row r="6329" spans="8:11" x14ac:dyDescent="0.25">
      <c r="H6329">
        <v>59</v>
      </c>
      <c r="I6329">
        <v>392</v>
      </c>
      <c r="J6329">
        <v>80</v>
      </c>
      <c r="K6329" t="b">
        <v>1</v>
      </c>
    </row>
    <row r="6330" spans="8:11" x14ac:dyDescent="0.25">
      <c r="H6330">
        <v>59</v>
      </c>
      <c r="I6330">
        <v>406</v>
      </c>
      <c r="J6330">
        <v>80</v>
      </c>
      <c r="K6330" t="b">
        <v>1</v>
      </c>
    </row>
    <row r="6331" spans="8:11" x14ac:dyDescent="0.25">
      <c r="H6331">
        <v>59</v>
      </c>
      <c r="I6331">
        <v>420</v>
      </c>
      <c r="J6331">
        <v>80</v>
      </c>
      <c r="K6331" t="b">
        <v>1</v>
      </c>
    </row>
    <row r="6332" spans="8:11" x14ac:dyDescent="0.25">
      <c r="H6332">
        <v>59</v>
      </c>
      <c r="I6332">
        <v>434</v>
      </c>
      <c r="J6332">
        <v>80</v>
      </c>
      <c r="K6332" t="b">
        <v>1</v>
      </c>
    </row>
    <row r="6333" spans="8:11" x14ac:dyDescent="0.25">
      <c r="H6333">
        <v>59</v>
      </c>
      <c r="I6333">
        <v>448</v>
      </c>
      <c r="J6333">
        <v>80</v>
      </c>
      <c r="K6333" t="b">
        <v>1</v>
      </c>
    </row>
    <row r="6334" spans="8:11" x14ac:dyDescent="0.25">
      <c r="H6334">
        <v>59</v>
      </c>
      <c r="I6334">
        <v>462</v>
      </c>
      <c r="J6334">
        <v>80</v>
      </c>
      <c r="K6334" t="b">
        <v>1</v>
      </c>
    </row>
    <row r="6335" spans="8:11" x14ac:dyDescent="0.25">
      <c r="H6335">
        <v>59</v>
      </c>
      <c r="I6335">
        <v>476</v>
      </c>
      <c r="J6335">
        <v>80</v>
      </c>
      <c r="K6335" t="b">
        <v>1</v>
      </c>
    </row>
    <row r="6336" spans="8:11" x14ac:dyDescent="0.25">
      <c r="H6336">
        <v>59</v>
      </c>
      <c r="I6336">
        <v>490</v>
      </c>
      <c r="J6336">
        <v>80</v>
      </c>
      <c r="K6336" t="b">
        <v>1</v>
      </c>
    </row>
    <row r="6337" spans="8:11" x14ac:dyDescent="0.25">
      <c r="H6337">
        <v>59</v>
      </c>
      <c r="I6337">
        <v>504</v>
      </c>
      <c r="J6337">
        <v>80</v>
      </c>
      <c r="K6337" t="b">
        <v>1</v>
      </c>
    </row>
    <row r="6338" spans="8:11" x14ac:dyDescent="0.25">
      <c r="H6338">
        <v>59</v>
      </c>
      <c r="I6338">
        <v>518</v>
      </c>
      <c r="J6338">
        <v>80</v>
      </c>
      <c r="K6338" t="b">
        <v>1</v>
      </c>
    </row>
    <row r="6339" spans="8:11" x14ac:dyDescent="0.25">
      <c r="H6339">
        <v>59</v>
      </c>
      <c r="I6339">
        <v>532</v>
      </c>
      <c r="J6339">
        <v>80</v>
      </c>
      <c r="K6339" t="b">
        <v>1</v>
      </c>
    </row>
    <row r="6340" spans="8:11" x14ac:dyDescent="0.25">
      <c r="H6340">
        <v>59</v>
      </c>
      <c r="I6340">
        <v>546</v>
      </c>
      <c r="J6340">
        <v>80</v>
      </c>
      <c r="K6340" t="b">
        <v>1</v>
      </c>
    </row>
    <row r="6341" spans="8:11" x14ac:dyDescent="0.25">
      <c r="H6341">
        <v>59</v>
      </c>
      <c r="I6341">
        <v>560</v>
      </c>
      <c r="J6341">
        <v>80</v>
      </c>
      <c r="K6341" t="b">
        <v>1</v>
      </c>
    </row>
    <row r="6342" spans="8:11" x14ac:dyDescent="0.25">
      <c r="H6342">
        <v>59</v>
      </c>
      <c r="I6342">
        <v>574</v>
      </c>
      <c r="J6342">
        <v>80</v>
      </c>
      <c r="K6342" t="b">
        <v>1</v>
      </c>
    </row>
    <row r="6343" spans="8:11" x14ac:dyDescent="0.25">
      <c r="H6343">
        <v>59</v>
      </c>
      <c r="I6343">
        <v>588</v>
      </c>
      <c r="J6343">
        <v>80</v>
      </c>
      <c r="K6343" t="b">
        <v>1</v>
      </c>
    </row>
    <row r="6344" spans="8:11" x14ac:dyDescent="0.25">
      <c r="H6344">
        <v>59</v>
      </c>
      <c r="I6344">
        <v>602</v>
      </c>
      <c r="J6344">
        <v>80</v>
      </c>
      <c r="K6344" t="b">
        <v>1</v>
      </c>
    </row>
    <row r="6345" spans="8:11" x14ac:dyDescent="0.25">
      <c r="H6345">
        <v>59</v>
      </c>
      <c r="I6345">
        <v>616</v>
      </c>
      <c r="J6345">
        <v>80</v>
      </c>
      <c r="K6345" t="b">
        <v>1</v>
      </c>
    </row>
    <row r="6346" spans="8:11" x14ac:dyDescent="0.25">
      <c r="H6346">
        <v>59</v>
      </c>
      <c r="I6346">
        <v>630</v>
      </c>
      <c r="J6346">
        <v>80</v>
      </c>
      <c r="K6346" t="b">
        <v>1</v>
      </c>
    </row>
    <row r="6347" spans="8:11" x14ac:dyDescent="0.25">
      <c r="H6347">
        <v>59</v>
      </c>
      <c r="I6347">
        <v>644</v>
      </c>
      <c r="J6347">
        <v>80</v>
      </c>
      <c r="K6347" t="b">
        <v>1</v>
      </c>
    </row>
    <row r="6348" spans="8:11" x14ac:dyDescent="0.25">
      <c r="H6348">
        <v>59</v>
      </c>
      <c r="I6348">
        <v>658</v>
      </c>
      <c r="J6348">
        <v>80</v>
      </c>
      <c r="K6348" t="b">
        <v>1</v>
      </c>
    </row>
    <row r="6349" spans="8:11" x14ac:dyDescent="0.25">
      <c r="H6349">
        <v>59</v>
      </c>
      <c r="I6349">
        <v>672</v>
      </c>
      <c r="J6349">
        <v>80</v>
      </c>
      <c r="K6349" t="b">
        <v>1</v>
      </c>
    </row>
    <row r="6350" spans="8:11" x14ac:dyDescent="0.25">
      <c r="H6350">
        <v>59</v>
      </c>
      <c r="I6350">
        <v>686</v>
      </c>
      <c r="J6350">
        <v>80</v>
      </c>
      <c r="K6350" t="b">
        <v>1</v>
      </c>
    </row>
    <row r="6351" spans="8:11" x14ac:dyDescent="0.25">
      <c r="H6351">
        <v>59</v>
      </c>
      <c r="I6351">
        <v>700</v>
      </c>
      <c r="J6351">
        <v>80</v>
      </c>
      <c r="K6351" t="b">
        <v>1</v>
      </c>
    </row>
    <row r="6352" spans="8:11" x14ac:dyDescent="0.25">
      <c r="H6352">
        <v>59</v>
      </c>
      <c r="I6352">
        <v>714</v>
      </c>
      <c r="J6352">
        <v>80</v>
      </c>
      <c r="K6352" t="b">
        <v>1</v>
      </c>
    </row>
    <row r="6353" spans="8:11" x14ac:dyDescent="0.25">
      <c r="H6353">
        <v>59</v>
      </c>
      <c r="I6353">
        <v>728</v>
      </c>
      <c r="J6353">
        <v>80</v>
      </c>
      <c r="K6353" t="b">
        <v>1</v>
      </c>
    </row>
    <row r="6354" spans="8:11" x14ac:dyDescent="0.25">
      <c r="H6354">
        <v>59</v>
      </c>
      <c r="I6354">
        <v>742</v>
      </c>
      <c r="J6354">
        <v>80</v>
      </c>
      <c r="K6354" t="b">
        <v>1</v>
      </c>
    </row>
    <row r="6355" spans="8:11" x14ac:dyDescent="0.25">
      <c r="H6355">
        <v>59</v>
      </c>
      <c r="I6355">
        <v>756</v>
      </c>
      <c r="J6355">
        <v>80</v>
      </c>
      <c r="K6355" t="b">
        <v>1</v>
      </c>
    </row>
    <row r="6356" spans="8:11" x14ac:dyDescent="0.25">
      <c r="H6356">
        <v>59</v>
      </c>
      <c r="I6356">
        <v>770</v>
      </c>
      <c r="J6356">
        <v>80</v>
      </c>
      <c r="K6356" t="b">
        <v>1</v>
      </c>
    </row>
    <row r="6357" spans="8:11" x14ac:dyDescent="0.25">
      <c r="H6357">
        <v>59</v>
      </c>
      <c r="I6357">
        <v>784</v>
      </c>
      <c r="J6357">
        <v>80</v>
      </c>
      <c r="K6357" t="b">
        <v>1</v>
      </c>
    </row>
    <row r="6358" spans="8:11" x14ac:dyDescent="0.25">
      <c r="H6358">
        <v>59</v>
      </c>
      <c r="I6358">
        <v>798</v>
      </c>
      <c r="J6358">
        <v>80</v>
      </c>
      <c r="K6358" t="b">
        <v>1</v>
      </c>
    </row>
    <row r="6359" spans="8:11" x14ac:dyDescent="0.25">
      <c r="H6359">
        <v>59</v>
      </c>
      <c r="I6359">
        <v>812</v>
      </c>
      <c r="J6359">
        <v>80</v>
      </c>
      <c r="K6359" t="b">
        <v>1</v>
      </c>
    </row>
    <row r="6360" spans="8:11" x14ac:dyDescent="0.25">
      <c r="H6360">
        <v>59</v>
      </c>
      <c r="I6360">
        <v>826</v>
      </c>
      <c r="J6360">
        <v>80</v>
      </c>
      <c r="K6360" t="b">
        <v>1</v>
      </c>
    </row>
    <row r="6361" spans="8:11" x14ac:dyDescent="0.25">
      <c r="H6361">
        <v>59</v>
      </c>
      <c r="I6361">
        <v>840</v>
      </c>
      <c r="J6361">
        <v>80</v>
      </c>
      <c r="K6361" t="b">
        <v>1</v>
      </c>
    </row>
    <row r="6362" spans="8:11" x14ac:dyDescent="0.25">
      <c r="H6362">
        <v>59</v>
      </c>
      <c r="I6362">
        <v>854</v>
      </c>
      <c r="J6362">
        <v>80</v>
      </c>
      <c r="K6362" t="b">
        <v>1</v>
      </c>
    </row>
    <row r="6363" spans="8:11" x14ac:dyDescent="0.25">
      <c r="H6363">
        <v>59</v>
      </c>
      <c r="I6363">
        <v>868</v>
      </c>
      <c r="J6363">
        <v>80</v>
      </c>
      <c r="K6363" t="b">
        <v>1</v>
      </c>
    </row>
    <row r="6364" spans="8:11" x14ac:dyDescent="0.25">
      <c r="H6364">
        <v>59</v>
      </c>
      <c r="I6364">
        <v>882</v>
      </c>
      <c r="J6364">
        <v>80</v>
      </c>
      <c r="K6364" t="b">
        <v>1</v>
      </c>
    </row>
    <row r="6365" spans="8:11" x14ac:dyDescent="0.25">
      <c r="H6365">
        <v>59</v>
      </c>
      <c r="I6365">
        <v>896</v>
      </c>
      <c r="J6365">
        <v>80</v>
      </c>
      <c r="K6365" t="b">
        <v>1</v>
      </c>
    </row>
    <row r="6366" spans="8:11" x14ac:dyDescent="0.25">
      <c r="H6366">
        <v>59</v>
      </c>
      <c r="I6366">
        <v>910</v>
      </c>
      <c r="J6366">
        <v>80</v>
      </c>
      <c r="K6366" t="b">
        <v>1</v>
      </c>
    </row>
    <row r="6367" spans="8:11" x14ac:dyDescent="0.25">
      <c r="H6367">
        <v>59</v>
      </c>
      <c r="I6367">
        <v>924</v>
      </c>
      <c r="J6367">
        <v>80</v>
      </c>
      <c r="K6367" t="b">
        <v>1</v>
      </c>
    </row>
    <row r="6368" spans="8:11" x14ac:dyDescent="0.25">
      <c r="H6368">
        <v>59</v>
      </c>
      <c r="I6368">
        <v>938</v>
      </c>
      <c r="J6368">
        <v>80</v>
      </c>
      <c r="K6368" t="b">
        <v>1</v>
      </c>
    </row>
    <row r="6369" spans="8:11" x14ac:dyDescent="0.25">
      <c r="H6369">
        <v>60</v>
      </c>
      <c r="I6369">
        <v>0</v>
      </c>
      <c r="J6369">
        <v>80</v>
      </c>
      <c r="K6369" t="b">
        <v>1</v>
      </c>
    </row>
    <row r="6370" spans="8:11" x14ac:dyDescent="0.25">
      <c r="H6370">
        <v>60</v>
      </c>
      <c r="I6370">
        <v>30</v>
      </c>
      <c r="J6370">
        <v>80</v>
      </c>
      <c r="K6370" t="b">
        <v>1</v>
      </c>
    </row>
    <row r="6371" spans="8:11" x14ac:dyDescent="0.25">
      <c r="H6371">
        <v>60</v>
      </c>
      <c r="I6371">
        <v>60</v>
      </c>
      <c r="J6371">
        <v>80</v>
      </c>
      <c r="K6371" t="b">
        <v>1</v>
      </c>
    </row>
    <row r="6372" spans="8:11" x14ac:dyDescent="0.25">
      <c r="H6372">
        <v>60</v>
      </c>
      <c r="I6372">
        <v>90</v>
      </c>
      <c r="J6372">
        <v>80</v>
      </c>
      <c r="K6372" t="b">
        <v>1</v>
      </c>
    </row>
    <row r="6373" spans="8:11" x14ac:dyDescent="0.25">
      <c r="H6373">
        <v>60</v>
      </c>
      <c r="I6373">
        <v>120</v>
      </c>
      <c r="J6373">
        <v>80</v>
      </c>
      <c r="K6373" t="b">
        <v>1</v>
      </c>
    </row>
    <row r="6374" spans="8:11" x14ac:dyDescent="0.25">
      <c r="H6374">
        <v>60</v>
      </c>
      <c r="I6374">
        <v>150</v>
      </c>
      <c r="J6374">
        <v>80</v>
      </c>
      <c r="K6374" t="b">
        <v>1</v>
      </c>
    </row>
    <row r="6375" spans="8:11" x14ac:dyDescent="0.25">
      <c r="H6375">
        <v>60</v>
      </c>
      <c r="I6375">
        <v>180</v>
      </c>
      <c r="J6375">
        <v>80</v>
      </c>
      <c r="K6375" t="b">
        <v>1</v>
      </c>
    </row>
    <row r="6376" spans="8:11" x14ac:dyDescent="0.25">
      <c r="H6376">
        <v>60</v>
      </c>
      <c r="I6376">
        <v>210</v>
      </c>
      <c r="J6376">
        <v>80</v>
      </c>
      <c r="K6376" t="b">
        <v>1</v>
      </c>
    </row>
    <row r="6377" spans="8:11" x14ac:dyDescent="0.25">
      <c r="H6377">
        <v>60</v>
      </c>
      <c r="I6377">
        <v>240</v>
      </c>
      <c r="J6377">
        <v>80</v>
      </c>
      <c r="K6377" t="b">
        <v>1</v>
      </c>
    </row>
    <row r="6378" spans="8:11" x14ac:dyDescent="0.25">
      <c r="H6378">
        <v>60</v>
      </c>
      <c r="I6378">
        <v>270</v>
      </c>
      <c r="J6378">
        <v>80</v>
      </c>
      <c r="K6378" t="b">
        <v>1</v>
      </c>
    </row>
    <row r="6379" spans="8:11" x14ac:dyDescent="0.25">
      <c r="H6379">
        <v>60</v>
      </c>
      <c r="I6379">
        <v>300</v>
      </c>
      <c r="J6379">
        <v>80</v>
      </c>
      <c r="K6379" t="b">
        <v>1</v>
      </c>
    </row>
    <row r="6380" spans="8:11" x14ac:dyDescent="0.25">
      <c r="H6380">
        <v>60</v>
      </c>
      <c r="I6380">
        <v>330</v>
      </c>
      <c r="J6380">
        <v>80</v>
      </c>
      <c r="K6380" t="b">
        <v>1</v>
      </c>
    </row>
    <row r="6381" spans="8:11" x14ac:dyDescent="0.25">
      <c r="H6381">
        <v>60</v>
      </c>
      <c r="I6381">
        <v>360</v>
      </c>
      <c r="J6381">
        <v>80</v>
      </c>
      <c r="K6381" t="b">
        <v>1</v>
      </c>
    </row>
    <row r="6382" spans="8:11" x14ac:dyDescent="0.25">
      <c r="H6382">
        <v>60</v>
      </c>
      <c r="I6382">
        <v>390</v>
      </c>
      <c r="J6382">
        <v>80</v>
      </c>
      <c r="K6382" t="b">
        <v>1</v>
      </c>
    </row>
    <row r="6383" spans="8:11" x14ac:dyDescent="0.25">
      <c r="H6383">
        <v>60</v>
      </c>
      <c r="I6383">
        <v>420</v>
      </c>
      <c r="J6383">
        <v>80</v>
      </c>
      <c r="K6383" t="b">
        <v>1</v>
      </c>
    </row>
    <row r="6384" spans="8:11" x14ac:dyDescent="0.25">
      <c r="H6384">
        <v>60</v>
      </c>
      <c r="I6384">
        <v>450</v>
      </c>
      <c r="J6384">
        <v>80</v>
      </c>
      <c r="K6384" t="b">
        <v>1</v>
      </c>
    </row>
    <row r="6385" spans="8:11" x14ac:dyDescent="0.25">
      <c r="H6385">
        <v>60</v>
      </c>
      <c r="I6385">
        <v>480</v>
      </c>
      <c r="J6385">
        <v>80</v>
      </c>
      <c r="K6385" t="b">
        <v>1</v>
      </c>
    </row>
    <row r="6386" spans="8:11" x14ac:dyDescent="0.25">
      <c r="H6386">
        <v>60</v>
      </c>
      <c r="I6386">
        <v>510</v>
      </c>
      <c r="J6386">
        <v>80</v>
      </c>
      <c r="K6386" t="b">
        <v>1</v>
      </c>
    </row>
    <row r="6387" spans="8:11" x14ac:dyDescent="0.25">
      <c r="H6387">
        <v>60</v>
      </c>
      <c r="I6387">
        <v>540</v>
      </c>
      <c r="J6387">
        <v>80</v>
      </c>
      <c r="K6387" t="b">
        <v>1</v>
      </c>
    </row>
    <row r="6388" spans="8:11" x14ac:dyDescent="0.25">
      <c r="H6388">
        <v>60</v>
      </c>
      <c r="I6388">
        <v>570</v>
      </c>
      <c r="J6388">
        <v>80</v>
      </c>
      <c r="K6388" t="b">
        <v>1</v>
      </c>
    </row>
    <row r="6389" spans="8:11" x14ac:dyDescent="0.25">
      <c r="H6389">
        <v>60</v>
      </c>
      <c r="I6389">
        <v>600</v>
      </c>
      <c r="J6389">
        <v>80</v>
      </c>
      <c r="K6389" t="b">
        <v>1</v>
      </c>
    </row>
    <row r="6390" spans="8:11" x14ac:dyDescent="0.25">
      <c r="H6390">
        <v>60</v>
      </c>
      <c r="I6390">
        <v>630</v>
      </c>
      <c r="J6390">
        <v>80</v>
      </c>
      <c r="K6390" t="b">
        <v>1</v>
      </c>
    </row>
    <row r="6391" spans="8:11" x14ac:dyDescent="0.25">
      <c r="H6391">
        <v>60</v>
      </c>
      <c r="I6391">
        <v>660</v>
      </c>
      <c r="J6391">
        <v>80</v>
      </c>
      <c r="K6391" t="b">
        <v>1</v>
      </c>
    </row>
    <row r="6392" spans="8:11" x14ac:dyDescent="0.25">
      <c r="H6392">
        <v>60</v>
      </c>
      <c r="I6392">
        <v>690</v>
      </c>
      <c r="J6392">
        <v>80</v>
      </c>
      <c r="K6392" t="b">
        <v>1</v>
      </c>
    </row>
    <row r="6393" spans="8:11" x14ac:dyDescent="0.25">
      <c r="H6393">
        <v>60</v>
      </c>
      <c r="I6393">
        <v>720</v>
      </c>
      <c r="J6393">
        <v>80</v>
      </c>
      <c r="K6393" t="b">
        <v>1</v>
      </c>
    </row>
    <row r="6394" spans="8:11" x14ac:dyDescent="0.25">
      <c r="H6394">
        <v>60</v>
      </c>
      <c r="I6394">
        <v>750</v>
      </c>
      <c r="J6394">
        <v>80</v>
      </c>
      <c r="K6394" t="b">
        <v>1</v>
      </c>
    </row>
    <row r="6395" spans="8:11" x14ac:dyDescent="0.25">
      <c r="H6395">
        <v>60</v>
      </c>
      <c r="I6395">
        <v>780</v>
      </c>
      <c r="J6395">
        <v>80</v>
      </c>
      <c r="K6395" t="b">
        <v>1</v>
      </c>
    </row>
    <row r="6396" spans="8:11" x14ac:dyDescent="0.25">
      <c r="H6396">
        <v>60</v>
      </c>
      <c r="I6396">
        <v>810</v>
      </c>
      <c r="J6396">
        <v>80</v>
      </c>
      <c r="K6396" t="b">
        <v>1</v>
      </c>
    </row>
    <row r="6397" spans="8:11" x14ac:dyDescent="0.25">
      <c r="H6397">
        <v>60</v>
      </c>
      <c r="I6397">
        <v>840</v>
      </c>
      <c r="J6397">
        <v>80</v>
      </c>
      <c r="K6397" t="b">
        <v>1</v>
      </c>
    </row>
    <row r="6398" spans="8:11" x14ac:dyDescent="0.25">
      <c r="H6398">
        <v>60</v>
      </c>
      <c r="I6398">
        <v>870</v>
      </c>
      <c r="J6398">
        <v>80</v>
      </c>
      <c r="K6398" t="b">
        <v>1</v>
      </c>
    </row>
    <row r="6399" spans="8:11" x14ac:dyDescent="0.25">
      <c r="H6399">
        <v>60</v>
      </c>
      <c r="I6399">
        <v>900</v>
      </c>
      <c r="J6399">
        <v>80</v>
      </c>
      <c r="K6399" t="b">
        <v>1</v>
      </c>
    </row>
    <row r="6400" spans="8:11" x14ac:dyDescent="0.25">
      <c r="H6400">
        <v>60</v>
      </c>
      <c r="I6400">
        <v>930</v>
      </c>
      <c r="J6400">
        <v>80</v>
      </c>
      <c r="K6400" t="b">
        <v>1</v>
      </c>
    </row>
    <row r="6401" spans="8:11" x14ac:dyDescent="0.25">
      <c r="H6401">
        <v>61</v>
      </c>
      <c r="I6401">
        <v>0</v>
      </c>
      <c r="J6401">
        <v>80</v>
      </c>
      <c r="K6401" t="b">
        <v>1</v>
      </c>
    </row>
    <row r="6402" spans="8:11" x14ac:dyDescent="0.25">
      <c r="H6402">
        <v>61</v>
      </c>
      <c r="I6402">
        <v>30</v>
      </c>
      <c r="J6402">
        <v>80</v>
      </c>
      <c r="K6402" t="b">
        <v>1</v>
      </c>
    </row>
    <row r="6403" spans="8:11" x14ac:dyDescent="0.25">
      <c r="H6403">
        <v>61</v>
      </c>
      <c r="I6403">
        <v>60</v>
      </c>
      <c r="J6403">
        <v>80</v>
      </c>
      <c r="K6403" t="b">
        <v>1</v>
      </c>
    </row>
    <row r="6404" spans="8:11" x14ac:dyDescent="0.25">
      <c r="H6404">
        <v>61</v>
      </c>
      <c r="I6404">
        <v>90</v>
      </c>
      <c r="J6404">
        <v>80</v>
      </c>
      <c r="K6404" t="b">
        <v>1</v>
      </c>
    </row>
    <row r="6405" spans="8:11" x14ac:dyDescent="0.25">
      <c r="H6405">
        <v>61</v>
      </c>
      <c r="I6405">
        <v>120</v>
      </c>
      <c r="J6405">
        <v>80</v>
      </c>
      <c r="K6405" t="b">
        <v>1</v>
      </c>
    </row>
    <row r="6406" spans="8:11" x14ac:dyDescent="0.25">
      <c r="H6406">
        <v>61</v>
      </c>
      <c r="I6406">
        <v>150</v>
      </c>
      <c r="J6406">
        <v>80</v>
      </c>
      <c r="K6406" t="b">
        <v>1</v>
      </c>
    </row>
    <row r="6407" spans="8:11" x14ac:dyDescent="0.25">
      <c r="H6407">
        <v>61</v>
      </c>
      <c r="I6407">
        <v>180</v>
      </c>
      <c r="J6407">
        <v>80</v>
      </c>
      <c r="K6407" t="b">
        <v>1</v>
      </c>
    </row>
    <row r="6408" spans="8:11" x14ac:dyDescent="0.25">
      <c r="H6408">
        <v>61</v>
      </c>
      <c r="I6408">
        <v>210</v>
      </c>
      <c r="J6408">
        <v>80</v>
      </c>
      <c r="K6408" t="b">
        <v>1</v>
      </c>
    </row>
    <row r="6409" spans="8:11" x14ac:dyDescent="0.25">
      <c r="H6409">
        <v>61</v>
      </c>
      <c r="I6409">
        <v>240</v>
      </c>
      <c r="J6409">
        <v>80</v>
      </c>
      <c r="K6409" t="b">
        <v>1</v>
      </c>
    </row>
    <row r="6410" spans="8:11" x14ac:dyDescent="0.25">
      <c r="H6410">
        <v>61</v>
      </c>
      <c r="I6410">
        <v>270</v>
      </c>
      <c r="J6410">
        <v>80</v>
      </c>
      <c r="K6410" t="b">
        <v>1</v>
      </c>
    </row>
    <row r="6411" spans="8:11" x14ac:dyDescent="0.25">
      <c r="H6411">
        <v>61</v>
      </c>
      <c r="I6411">
        <v>300</v>
      </c>
      <c r="J6411">
        <v>80</v>
      </c>
      <c r="K6411" t="b">
        <v>1</v>
      </c>
    </row>
    <row r="6412" spans="8:11" x14ac:dyDescent="0.25">
      <c r="H6412">
        <v>61</v>
      </c>
      <c r="I6412">
        <v>330</v>
      </c>
      <c r="J6412">
        <v>80</v>
      </c>
      <c r="K6412" t="b">
        <v>1</v>
      </c>
    </row>
    <row r="6413" spans="8:11" x14ac:dyDescent="0.25">
      <c r="H6413">
        <v>61</v>
      </c>
      <c r="I6413">
        <v>360</v>
      </c>
      <c r="J6413">
        <v>80</v>
      </c>
      <c r="K6413" t="b">
        <v>1</v>
      </c>
    </row>
    <row r="6414" spans="8:11" x14ac:dyDescent="0.25">
      <c r="H6414">
        <v>61</v>
      </c>
      <c r="I6414">
        <v>390</v>
      </c>
      <c r="J6414">
        <v>80</v>
      </c>
      <c r="K6414" t="b">
        <v>1</v>
      </c>
    </row>
    <row r="6415" spans="8:11" x14ac:dyDescent="0.25">
      <c r="H6415">
        <v>61</v>
      </c>
      <c r="I6415">
        <v>420</v>
      </c>
      <c r="J6415">
        <v>80</v>
      </c>
      <c r="K6415" t="b">
        <v>1</v>
      </c>
    </row>
    <row r="6416" spans="8:11" x14ac:dyDescent="0.25">
      <c r="H6416">
        <v>61</v>
      </c>
      <c r="I6416">
        <v>450</v>
      </c>
      <c r="J6416">
        <v>80</v>
      </c>
      <c r="K6416" t="b">
        <v>1</v>
      </c>
    </row>
    <row r="6417" spans="8:11" x14ac:dyDescent="0.25">
      <c r="H6417">
        <v>61</v>
      </c>
      <c r="I6417">
        <v>480</v>
      </c>
      <c r="J6417">
        <v>80</v>
      </c>
      <c r="K6417" t="b">
        <v>1</v>
      </c>
    </row>
    <row r="6418" spans="8:11" x14ac:dyDescent="0.25">
      <c r="H6418">
        <v>61</v>
      </c>
      <c r="I6418">
        <v>510</v>
      </c>
      <c r="J6418">
        <v>80</v>
      </c>
      <c r="K6418" t="b">
        <v>1</v>
      </c>
    </row>
    <row r="6419" spans="8:11" x14ac:dyDescent="0.25">
      <c r="H6419">
        <v>61</v>
      </c>
      <c r="I6419">
        <v>540</v>
      </c>
      <c r="J6419">
        <v>80</v>
      </c>
      <c r="K6419" t="b">
        <v>1</v>
      </c>
    </row>
    <row r="6420" spans="8:11" x14ac:dyDescent="0.25">
      <c r="H6420">
        <v>61</v>
      </c>
      <c r="I6420">
        <v>570</v>
      </c>
      <c r="J6420">
        <v>80</v>
      </c>
      <c r="K6420" t="b">
        <v>1</v>
      </c>
    </row>
    <row r="6421" spans="8:11" x14ac:dyDescent="0.25">
      <c r="H6421">
        <v>61</v>
      </c>
      <c r="I6421">
        <v>600</v>
      </c>
      <c r="J6421">
        <v>80</v>
      </c>
      <c r="K6421" t="b">
        <v>1</v>
      </c>
    </row>
    <row r="6422" spans="8:11" x14ac:dyDescent="0.25">
      <c r="H6422">
        <v>61</v>
      </c>
      <c r="I6422">
        <v>630</v>
      </c>
      <c r="J6422">
        <v>80</v>
      </c>
      <c r="K6422" t="b">
        <v>1</v>
      </c>
    </row>
    <row r="6423" spans="8:11" x14ac:dyDescent="0.25">
      <c r="H6423">
        <v>61</v>
      </c>
      <c r="I6423">
        <v>660</v>
      </c>
      <c r="J6423">
        <v>80</v>
      </c>
      <c r="K6423" t="b">
        <v>1</v>
      </c>
    </row>
    <row r="6424" spans="8:11" x14ac:dyDescent="0.25">
      <c r="H6424">
        <v>61</v>
      </c>
      <c r="I6424">
        <v>690</v>
      </c>
      <c r="J6424">
        <v>80</v>
      </c>
      <c r="K6424" t="b">
        <v>1</v>
      </c>
    </row>
    <row r="6425" spans="8:11" x14ac:dyDescent="0.25">
      <c r="H6425">
        <v>61</v>
      </c>
      <c r="I6425">
        <v>720</v>
      </c>
      <c r="J6425">
        <v>80</v>
      </c>
      <c r="K6425" t="b">
        <v>1</v>
      </c>
    </row>
    <row r="6426" spans="8:11" x14ac:dyDescent="0.25">
      <c r="H6426">
        <v>61</v>
      </c>
      <c r="I6426">
        <v>750</v>
      </c>
      <c r="J6426">
        <v>80</v>
      </c>
      <c r="K6426" t="b">
        <v>1</v>
      </c>
    </row>
    <row r="6427" spans="8:11" x14ac:dyDescent="0.25">
      <c r="H6427">
        <v>61</v>
      </c>
      <c r="I6427">
        <v>780</v>
      </c>
      <c r="J6427">
        <v>80</v>
      </c>
      <c r="K6427" t="b">
        <v>1</v>
      </c>
    </row>
    <row r="6428" spans="8:11" x14ac:dyDescent="0.25">
      <c r="H6428">
        <v>61</v>
      </c>
      <c r="I6428">
        <v>810</v>
      </c>
      <c r="J6428">
        <v>80</v>
      </c>
      <c r="K6428" t="b">
        <v>1</v>
      </c>
    </row>
    <row r="6429" spans="8:11" x14ac:dyDescent="0.25">
      <c r="H6429">
        <v>61</v>
      </c>
      <c r="I6429">
        <v>840</v>
      </c>
      <c r="J6429">
        <v>80</v>
      </c>
      <c r="K6429" t="b">
        <v>1</v>
      </c>
    </row>
    <row r="6430" spans="8:11" x14ac:dyDescent="0.25">
      <c r="H6430">
        <v>61</v>
      </c>
      <c r="I6430">
        <v>870</v>
      </c>
      <c r="J6430">
        <v>80</v>
      </c>
      <c r="K6430" t="b">
        <v>1</v>
      </c>
    </row>
    <row r="6431" spans="8:11" x14ac:dyDescent="0.25">
      <c r="H6431">
        <v>61</v>
      </c>
      <c r="I6431">
        <v>900</v>
      </c>
      <c r="J6431">
        <v>80</v>
      </c>
      <c r="K6431" t="b">
        <v>1</v>
      </c>
    </row>
    <row r="6432" spans="8:11" x14ac:dyDescent="0.25">
      <c r="H6432">
        <v>61</v>
      </c>
      <c r="I6432">
        <v>930</v>
      </c>
      <c r="J6432">
        <v>80</v>
      </c>
      <c r="K6432" t="b">
        <v>1</v>
      </c>
    </row>
    <row r="6433" spans="8:11" x14ac:dyDescent="0.25">
      <c r="H6433">
        <v>62</v>
      </c>
      <c r="I6433">
        <v>0</v>
      </c>
      <c r="J6433">
        <v>95</v>
      </c>
      <c r="K6433" t="b">
        <v>1</v>
      </c>
    </row>
    <row r="6434" spans="8:11" x14ac:dyDescent="0.25">
      <c r="H6434">
        <v>62</v>
      </c>
      <c r="I6434">
        <v>30</v>
      </c>
      <c r="J6434">
        <v>95</v>
      </c>
      <c r="K6434" t="b">
        <v>1</v>
      </c>
    </row>
    <row r="6435" spans="8:11" x14ac:dyDescent="0.25">
      <c r="H6435">
        <v>62</v>
      </c>
      <c r="I6435">
        <v>60</v>
      </c>
      <c r="J6435">
        <v>95</v>
      </c>
      <c r="K6435" t="b">
        <v>1</v>
      </c>
    </row>
    <row r="6436" spans="8:11" x14ac:dyDescent="0.25">
      <c r="H6436">
        <v>62</v>
      </c>
      <c r="I6436">
        <v>90</v>
      </c>
      <c r="J6436">
        <v>95</v>
      </c>
      <c r="K6436" t="b">
        <v>1</v>
      </c>
    </row>
    <row r="6437" spans="8:11" x14ac:dyDescent="0.25">
      <c r="H6437">
        <v>62</v>
      </c>
      <c r="I6437">
        <v>120</v>
      </c>
      <c r="J6437">
        <v>95</v>
      </c>
      <c r="K6437" t="b">
        <v>1</v>
      </c>
    </row>
    <row r="6438" spans="8:11" x14ac:dyDescent="0.25">
      <c r="H6438">
        <v>62</v>
      </c>
      <c r="I6438">
        <v>150</v>
      </c>
      <c r="J6438">
        <v>95</v>
      </c>
      <c r="K6438" t="b">
        <v>1</v>
      </c>
    </row>
    <row r="6439" spans="8:11" x14ac:dyDescent="0.25">
      <c r="H6439">
        <v>62</v>
      </c>
      <c r="I6439">
        <v>180</v>
      </c>
      <c r="J6439">
        <v>95</v>
      </c>
      <c r="K6439" t="b">
        <v>1</v>
      </c>
    </row>
    <row r="6440" spans="8:11" x14ac:dyDescent="0.25">
      <c r="H6440">
        <v>62</v>
      </c>
      <c r="I6440">
        <v>210</v>
      </c>
      <c r="J6440">
        <v>95</v>
      </c>
      <c r="K6440" t="b">
        <v>1</v>
      </c>
    </row>
    <row r="6441" spans="8:11" x14ac:dyDescent="0.25">
      <c r="H6441">
        <v>62</v>
      </c>
      <c r="I6441">
        <v>240</v>
      </c>
      <c r="J6441">
        <v>95</v>
      </c>
      <c r="K6441" t="b">
        <v>1</v>
      </c>
    </row>
    <row r="6442" spans="8:11" x14ac:dyDescent="0.25">
      <c r="H6442">
        <v>62</v>
      </c>
      <c r="I6442">
        <v>270</v>
      </c>
      <c r="J6442">
        <v>95</v>
      </c>
      <c r="K6442" t="b">
        <v>1</v>
      </c>
    </row>
    <row r="6443" spans="8:11" x14ac:dyDescent="0.25">
      <c r="H6443">
        <v>62</v>
      </c>
      <c r="I6443">
        <v>300</v>
      </c>
      <c r="J6443">
        <v>95</v>
      </c>
      <c r="K6443" t="b">
        <v>1</v>
      </c>
    </row>
    <row r="6444" spans="8:11" x14ac:dyDescent="0.25">
      <c r="H6444">
        <v>62</v>
      </c>
      <c r="I6444">
        <v>330</v>
      </c>
      <c r="J6444">
        <v>95</v>
      </c>
      <c r="K6444" t="b">
        <v>1</v>
      </c>
    </row>
    <row r="6445" spans="8:11" x14ac:dyDescent="0.25">
      <c r="H6445">
        <v>62</v>
      </c>
      <c r="I6445">
        <v>360</v>
      </c>
      <c r="J6445">
        <v>95</v>
      </c>
      <c r="K6445" t="b">
        <v>1</v>
      </c>
    </row>
    <row r="6446" spans="8:11" x14ac:dyDescent="0.25">
      <c r="H6446">
        <v>62</v>
      </c>
      <c r="I6446">
        <v>390</v>
      </c>
      <c r="J6446">
        <v>95</v>
      </c>
      <c r="K6446" t="b">
        <v>1</v>
      </c>
    </row>
    <row r="6447" spans="8:11" x14ac:dyDescent="0.25">
      <c r="H6447">
        <v>62</v>
      </c>
      <c r="I6447">
        <v>420</v>
      </c>
      <c r="J6447">
        <v>95</v>
      </c>
      <c r="K6447" t="b">
        <v>1</v>
      </c>
    </row>
    <row r="6448" spans="8:11" x14ac:dyDescent="0.25">
      <c r="H6448">
        <v>62</v>
      </c>
      <c r="I6448">
        <v>450</v>
      </c>
      <c r="J6448">
        <v>95</v>
      </c>
      <c r="K6448" t="b">
        <v>1</v>
      </c>
    </row>
    <row r="6449" spans="8:11" x14ac:dyDescent="0.25">
      <c r="H6449">
        <v>62</v>
      </c>
      <c r="I6449">
        <v>480</v>
      </c>
      <c r="J6449">
        <v>95</v>
      </c>
      <c r="K6449" t="b">
        <v>1</v>
      </c>
    </row>
    <row r="6450" spans="8:11" x14ac:dyDescent="0.25">
      <c r="H6450">
        <v>62</v>
      </c>
      <c r="I6450">
        <v>510</v>
      </c>
      <c r="J6450">
        <v>95</v>
      </c>
      <c r="K6450" t="b">
        <v>1</v>
      </c>
    </row>
    <row r="6451" spans="8:11" x14ac:dyDescent="0.25">
      <c r="H6451">
        <v>62</v>
      </c>
      <c r="I6451">
        <v>540</v>
      </c>
      <c r="J6451">
        <v>95</v>
      </c>
      <c r="K6451" t="b">
        <v>1</v>
      </c>
    </row>
    <row r="6452" spans="8:11" x14ac:dyDescent="0.25">
      <c r="H6452">
        <v>62</v>
      </c>
      <c r="I6452">
        <v>570</v>
      </c>
      <c r="J6452">
        <v>95</v>
      </c>
      <c r="K6452" t="b">
        <v>1</v>
      </c>
    </row>
    <row r="6453" spans="8:11" x14ac:dyDescent="0.25">
      <c r="H6453">
        <v>62</v>
      </c>
      <c r="I6453">
        <v>600</v>
      </c>
      <c r="J6453">
        <v>95</v>
      </c>
      <c r="K6453" t="b">
        <v>1</v>
      </c>
    </row>
    <row r="6454" spans="8:11" x14ac:dyDescent="0.25">
      <c r="H6454">
        <v>62</v>
      </c>
      <c r="I6454">
        <v>630</v>
      </c>
      <c r="J6454">
        <v>95</v>
      </c>
      <c r="K6454" t="b">
        <v>1</v>
      </c>
    </row>
    <row r="6455" spans="8:11" x14ac:dyDescent="0.25">
      <c r="H6455">
        <v>62</v>
      </c>
      <c r="I6455">
        <v>660</v>
      </c>
      <c r="J6455">
        <v>95</v>
      </c>
      <c r="K6455" t="b">
        <v>1</v>
      </c>
    </row>
    <row r="6456" spans="8:11" x14ac:dyDescent="0.25">
      <c r="H6456">
        <v>62</v>
      </c>
      <c r="I6456">
        <v>690</v>
      </c>
      <c r="J6456">
        <v>95</v>
      </c>
      <c r="K6456" t="b">
        <v>1</v>
      </c>
    </row>
    <row r="6457" spans="8:11" x14ac:dyDescent="0.25">
      <c r="H6457">
        <v>62</v>
      </c>
      <c r="I6457">
        <v>720</v>
      </c>
      <c r="J6457">
        <v>95</v>
      </c>
      <c r="K6457" t="b">
        <v>1</v>
      </c>
    </row>
    <row r="6458" spans="8:11" x14ac:dyDescent="0.25">
      <c r="H6458">
        <v>62</v>
      </c>
      <c r="I6458">
        <v>750</v>
      </c>
      <c r="J6458">
        <v>95</v>
      </c>
      <c r="K6458" t="b">
        <v>1</v>
      </c>
    </row>
    <row r="6459" spans="8:11" x14ac:dyDescent="0.25">
      <c r="H6459">
        <v>62</v>
      </c>
      <c r="I6459">
        <v>780</v>
      </c>
      <c r="J6459">
        <v>95</v>
      </c>
      <c r="K6459" t="b">
        <v>1</v>
      </c>
    </row>
    <row r="6460" spans="8:11" x14ac:dyDescent="0.25">
      <c r="H6460">
        <v>62</v>
      </c>
      <c r="I6460">
        <v>810</v>
      </c>
      <c r="J6460">
        <v>95</v>
      </c>
      <c r="K6460" t="b">
        <v>1</v>
      </c>
    </row>
    <row r="6461" spans="8:11" x14ac:dyDescent="0.25">
      <c r="H6461">
        <v>62</v>
      </c>
      <c r="I6461">
        <v>840</v>
      </c>
      <c r="J6461">
        <v>95</v>
      </c>
      <c r="K6461" t="b">
        <v>1</v>
      </c>
    </row>
    <row r="6462" spans="8:11" x14ac:dyDescent="0.25">
      <c r="H6462">
        <v>62</v>
      </c>
      <c r="I6462">
        <v>870</v>
      </c>
      <c r="J6462">
        <v>95</v>
      </c>
      <c r="K6462" t="b">
        <v>1</v>
      </c>
    </row>
    <row r="6463" spans="8:11" x14ac:dyDescent="0.25">
      <c r="H6463">
        <v>62</v>
      </c>
      <c r="I6463">
        <v>900</v>
      </c>
      <c r="J6463">
        <v>95</v>
      </c>
      <c r="K6463" t="b">
        <v>1</v>
      </c>
    </row>
    <row r="6464" spans="8:11" x14ac:dyDescent="0.25">
      <c r="H6464">
        <v>62</v>
      </c>
      <c r="I6464">
        <v>930</v>
      </c>
      <c r="J6464">
        <v>95</v>
      </c>
      <c r="K6464" t="b">
        <v>1</v>
      </c>
    </row>
    <row r="6465" spans="8:11" x14ac:dyDescent="0.25">
      <c r="H6465">
        <v>63</v>
      </c>
      <c r="I6465">
        <v>0</v>
      </c>
      <c r="J6465">
        <v>95</v>
      </c>
      <c r="K6465" t="b">
        <v>1</v>
      </c>
    </row>
    <row r="6466" spans="8:11" x14ac:dyDescent="0.25">
      <c r="H6466">
        <v>63</v>
      </c>
      <c r="I6466">
        <v>30</v>
      </c>
      <c r="J6466">
        <v>95</v>
      </c>
      <c r="K6466" t="b">
        <v>1</v>
      </c>
    </row>
    <row r="6467" spans="8:11" x14ac:dyDescent="0.25">
      <c r="H6467">
        <v>63</v>
      </c>
      <c r="I6467">
        <v>60</v>
      </c>
      <c r="J6467">
        <v>95</v>
      </c>
      <c r="K6467" t="b">
        <v>1</v>
      </c>
    </row>
    <row r="6468" spans="8:11" x14ac:dyDescent="0.25">
      <c r="H6468">
        <v>63</v>
      </c>
      <c r="I6468">
        <v>90</v>
      </c>
      <c r="J6468">
        <v>95</v>
      </c>
      <c r="K6468" t="b">
        <v>1</v>
      </c>
    </row>
    <row r="6469" spans="8:11" x14ac:dyDescent="0.25">
      <c r="H6469">
        <v>63</v>
      </c>
      <c r="I6469">
        <v>120</v>
      </c>
      <c r="J6469">
        <v>95</v>
      </c>
      <c r="K6469" t="b">
        <v>1</v>
      </c>
    </row>
    <row r="6470" spans="8:11" x14ac:dyDescent="0.25">
      <c r="H6470">
        <v>63</v>
      </c>
      <c r="I6470">
        <v>150</v>
      </c>
      <c r="J6470">
        <v>95</v>
      </c>
      <c r="K6470" t="b">
        <v>1</v>
      </c>
    </row>
    <row r="6471" spans="8:11" x14ac:dyDescent="0.25">
      <c r="H6471">
        <v>63</v>
      </c>
      <c r="I6471">
        <v>180</v>
      </c>
      <c r="J6471">
        <v>95</v>
      </c>
      <c r="K6471" t="b">
        <v>1</v>
      </c>
    </row>
    <row r="6472" spans="8:11" x14ac:dyDescent="0.25">
      <c r="H6472">
        <v>63</v>
      </c>
      <c r="I6472">
        <v>210</v>
      </c>
      <c r="J6472">
        <v>95</v>
      </c>
      <c r="K6472" t="b">
        <v>1</v>
      </c>
    </row>
    <row r="6473" spans="8:11" x14ac:dyDescent="0.25">
      <c r="H6473">
        <v>63</v>
      </c>
      <c r="I6473">
        <v>240</v>
      </c>
      <c r="J6473">
        <v>95</v>
      </c>
      <c r="K6473" t="b">
        <v>1</v>
      </c>
    </row>
    <row r="6474" spans="8:11" x14ac:dyDescent="0.25">
      <c r="H6474">
        <v>63</v>
      </c>
      <c r="I6474">
        <v>270</v>
      </c>
      <c r="J6474">
        <v>95</v>
      </c>
      <c r="K6474" t="b">
        <v>1</v>
      </c>
    </row>
    <row r="6475" spans="8:11" x14ac:dyDescent="0.25">
      <c r="H6475">
        <v>63</v>
      </c>
      <c r="I6475">
        <v>300</v>
      </c>
      <c r="J6475">
        <v>95</v>
      </c>
      <c r="K6475" t="b">
        <v>1</v>
      </c>
    </row>
    <row r="6476" spans="8:11" x14ac:dyDescent="0.25">
      <c r="H6476">
        <v>63</v>
      </c>
      <c r="I6476">
        <v>330</v>
      </c>
      <c r="J6476">
        <v>95</v>
      </c>
      <c r="K6476" t="b">
        <v>1</v>
      </c>
    </row>
    <row r="6477" spans="8:11" x14ac:dyDescent="0.25">
      <c r="H6477">
        <v>63</v>
      </c>
      <c r="I6477">
        <v>360</v>
      </c>
      <c r="J6477">
        <v>95</v>
      </c>
      <c r="K6477" t="b">
        <v>1</v>
      </c>
    </row>
    <row r="6478" spans="8:11" x14ac:dyDescent="0.25">
      <c r="H6478">
        <v>63</v>
      </c>
      <c r="I6478">
        <v>390</v>
      </c>
      <c r="J6478">
        <v>95</v>
      </c>
      <c r="K6478" t="b">
        <v>1</v>
      </c>
    </row>
    <row r="6479" spans="8:11" x14ac:dyDescent="0.25">
      <c r="H6479">
        <v>63</v>
      </c>
      <c r="I6479">
        <v>420</v>
      </c>
      <c r="J6479">
        <v>95</v>
      </c>
      <c r="K6479" t="b">
        <v>1</v>
      </c>
    </row>
    <row r="6480" spans="8:11" x14ac:dyDescent="0.25">
      <c r="H6480">
        <v>63</v>
      </c>
      <c r="I6480">
        <v>450</v>
      </c>
      <c r="J6480">
        <v>95</v>
      </c>
      <c r="K6480" t="b">
        <v>1</v>
      </c>
    </row>
    <row r="6481" spans="8:11" x14ac:dyDescent="0.25">
      <c r="H6481">
        <v>63</v>
      </c>
      <c r="I6481">
        <v>480</v>
      </c>
      <c r="J6481">
        <v>95</v>
      </c>
      <c r="K6481" t="b">
        <v>1</v>
      </c>
    </row>
    <row r="6482" spans="8:11" x14ac:dyDescent="0.25">
      <c r="H6482">
        <v>63</v>
      </c>
      <c r="I6482">
        <v>510</v>
      </c>
      <c r="J6482">
        <v>95</v>
      </c>
      <c r="K6482" t="b">
        <v>1</v>
      </c>
    </row>
    <row r="6483" spans="8:11" x14ac:dyDescent="0.25">
      <c r="H6483">
        <v>63</v>
      </c>
      <c r="I6483">
        <v>540</v>
      </c>
      <c r="J6483">
        <v>95</v>
      </c>
      <c r="K6483" t="b">
        <v>1</v>
      </c>
    </row>
    <row r="6484" spans="8:11" x14ac:dyDescent="0.25">
      <c r="H6484">
        <v>63</v>
      </c>
      <c r="I6484">
        <v>570</v>
      </c>
      <c r="J6484">
        <v>95</v>
      </c>
      <c r="K6484" t="b">
        <v>1</v>
      </c>
    </row>
    <row r="6485" spans="8:11" x14ac:dyDescent="0.25">
      <c r="H6485">
        <v>63</v>
      </c>
      <c r="I6485">
        <v>600</v>
      </c>
      <c r="J6485">
        <v>95</v>
      </c>
      <c r="K6485" t="b">
        <v>1</v>
      </c>
    </row>
    <row r="6486" spans="8:11" x14ac:dyDescent="0.25">
      <c r="H6486">
        <v>63</v>
      </c>
      <c r="I6486">
        <v>630</v>
      </c>
      <c r="J6486">
        <v>95</v>
      </c>
      <c r="K6486" t="b">
        <v>1</v>
      </c>
    </row>
    <row r="6487" spans="8:11" x14ac:dyDescent="0.25">
      <c r="H6487">
        <v>63</v>
      </c>
      <c r="I6487">
        <v>660</v>
      </c>
      <c r="J6487">
        <v>95</v>
      </c>
      <c r="K6487" t="b">
        <v>1</v>
      </c>
    </row>
    <row r="6488" spans="8:11" x14ac:dyDescent="0.25">
      <c r="H6488">
        <v>63</v>
      </c>
      <c r="I6488">
        <v>690</v>
      </c>
      <c r="J6488">
        <v>95</v>
      </c>
      <c r="K6488" t="b">
        <v>1</v>
      </c>
    </row>
    <row r="6489" spans="8:11" x14ac:dyDescent="0.25">
      <c r="H6489">
        <v>63</v>
      </c>
      <c r="I6489">
        <v>720</v>
      </c>
      <c r="J6489">
        <v>95</v>
      </c>
      <c r="K6489" t="b">
        <v>1</v>
      </c>
    </row>
    <row r="6490" spans="8:11" x14ac:dyDescent="0.25">
      <c r="H6490">
        <v>63</v>
      </c>
      <c r="I6490">
        <v>750</v>
      </c>
      <c r="J6490">
        <v>95</v>
      </c>
      <c r="K6490" t="b">
        <v>1</v>
      </c>
    </row>
    <row r="6491" spans="8:11" x14ac:dyDescent="0.25">
      <c r="H6491">
        <v>63</v>
      </c>
      <c r="I6491">
        <v>780</v>
      </c>
      <c r="J6491">
        <v>95</v>
      </c>
      <c r="K6491" t="b">
        <v>1</v>
      </c>
    </row>
    <row r="6492" spans="8:11" x14ac:dyDescent="0.25">
      <c r="H6492">
        <v>63</v>
      </c>
      <c r="I6492">
        <v>810</v>
      </c>
      <c r="J6492">
        <v>95</v>
      </c>
      <c r="K6492" t="b">
        <v>1</v>
      </c>
    </row>
    <row r="6493" spans="8:11" x14ac:dyDescent="0.25">
      <c r="H6493">
        <v>63</v>
      </c>
      <c r="I6493">
        <v>840</v>
      </c>
      <c r="J6493">
        <v>95</v>
      </c>
      <c r="K6493" t="b">
        <v>1</v>
      </c>
    </row>
    <row r="6494" spans="8:11" x14ac:dyDescent="0.25">
      <c r="H6494">
        <v>63</v>
      </c>
      <c r="I6494">
        <v>870</v>
      </c>
      <c r="J6494">
        <v>95</v>
      </c>
      <c r="K6494" t="b">
        <v>1</v>
      </c>
    </row>
    <row r="6495" spans="8:11" x14ac:dyDescent="0.25">
      <c r="H6495">
        <v>63</v>
      </c>
      <c r="I6495">
        <v>900</v>
      </c>
      <c r="J6495">
        <v>95</v>
      </c>
      <c r="K6495" t="b">
        <v>1</v>
      </c>
    </row>
    <row r="6496" spans="8:11" x14ac:dyDescent="0.25">
      <c r="H6496">
        <v>63</v>
      </c>
      <c r="I6496">
        <v>930</v>
      </c>
      <c r="J6496">
        <v>95</v>
      </c>
      <c r="K6496" t="b">
        <v>1</v>
      </c>
    </row>
    <row r="6497" spans="8:11" x14ac:dyDescent="0.25">
      <c r="H6497">
        <v>64</v>
      </c>
      <c r="I6497">
        <v>0</v>
      </c>
      <c r="J6497">
        <v>110</v>
      </c>
      <c r="K6497" t="b">
        <v>1</v>
      </c>
    </row>
    <row r="6498" spans="8:11" x14ac:dyDescent="0.25">
      <c r="H6498">
        <v>64</v>
      </c>
      <c r="I6498">
        <v>86</v>
      </c>
      <c r="J6498">
        <v>110</v>
      </c>
      <c r="K6498" t="b">
        <v>1</v>
      </c>
    </row>
    <row r="6499" spans="8:11" x14ac:dyDescent="0.25">
      <c r="H6499">
        <v>64</v>
      </c>
      <c r="I6499">
        <v>172</v>
      </c>
      <c r="J6499">
        <v>110</v>
      </c>
      <c r="K6499" t="b">
        <v>1</v>
      </c>
    </row>
    <row r="6500" spans="8:11" x14ac:dyDescent="0.25">
      <c r="H6500">
        <v>64</v>
      </c>
      <c r="I6500">
        <v>258</v>
      </c>
      <c r="J6500">
        <v>110</v>
      </c>
      <c r="K6500" t="b">
        <v>1</v>
      </c>
    </row>
    <row r="6501" spans="8:11" x14ac:dyDescent="0.25">
      <c r="H6501">
        <v>64</v>
      </c>
      <c r="I6501">
        <v>344</v>
      </c>
      <c r="J6501">
        <v>110</v>
      </c>
      <c r="K6501" t="b">
        <v>1</v>
      </c>
    </row>
    <row r="6502" spans="8:11" x14ac:dyDescent="0.25">
      <c r="H6502">
        <v>64</v>
      </c>
      <c r="I6502">
        <v>430</v>
      </c>
      <c r="J6502">
        <v>110</v>
      </c>
      <c r="K6502" t="b">
        <v>1</v>
      </c>
    </row>
    <row r="6503" spans="8:11" x14ac:dyDescent="0.25">
      <c r="H6503">
        <v>64</v>
      </c>
      <c r="I6503">
        <v>516</v>
      </c>
      <c r="J6503">
        <v>110</v>
      </c>
      <c r="K6503" t="b">
        <v>1</v>
      </c>
    </row>
    <row r="6504" spans="8:11" x14ac:dyDescent="0.25">
      <c r="H6504">
        <v>64</v>
      </c>
      <c r="I6504">
        <v>602</v>
      </c>
      <c r="J6504">
        <v>110</v>
      </c>
      <c r="K6504" t="b">
        <v>1</v>
      </c>
    </row>
    <row r="6505" spans="8:11" x14ac:dyDescent="0.25">
      <c r="H6505">
        <v>64</v>
      </c>
      <c r="I6505">
        <v>688</v>
      </c>
      <c r="J6505">
        <v>110</v>
      </c>
      <c r="K6505" t="b">
        <v>1</v>
      </c>
    </row>
    <row r="6506" spans="8:11" x14ac:dyDescent="0.25">
      <c r="H6506">
        <v>64</v>
      </c>
      <c r="I6506">
        <v>774</v>
      </c>
      <c r="J6506">
        <v>110</v>
      </c>
      <c r="K6506" t="b">
        <v>1</v>
      </c>
    </row>
    <row r="6507" spans="8:11" x14ac:dyDescent="0.25">
      <c r="H6507">
        <v>64</v>
      </c>
      <c r="I6507">
        <v>860</v>
      </c>
      <c r="J6507">
        <v>110</v>
      </c>
      <c r="K6507" t="b">
        <v>1</v>
      </c>
    </row>
    <row r="6508" spans="8:11" x14ac:dyDescent="0.25">
      <c r="H6508">
        <v>65</v>
      </c>
      <c r="I6508">
        <v>0</v>
      </c>
      <c r="J6508">
        <v>110</v>
      </c>
      <c r="K6508" t="b">
        <v>1</v>
      </c>
    </row>
    <row r="6509" spans="8:11" x14ac:dyDescent="0.25">
      <c r="H6509">
        <v>65</v>
      </c>
      <c r="I6509">
        <v>86</v>
      </c>
      <c r="J6509">
        <v>110</v>
      </c>
      <c r="K6509" t="b">
        <v>1</v>
      </c>
    </row>
    <row r="6510" spans="8:11" x14ac:dyDescent="0.25">
      <c r="H6510">
        <v>65</v>
      </c>
      <c r="I6510">
        <v>172</v>
      </c>
      <c r="J6510">
        <v>110</v>
      </c>
      <c r="K6510" t="b">
        <v>1</v>
      </c>
    </row>
    <row r="6511" spans="8:11" x14ac:dyDescent="0.25">
      <c r="H6511">
        <v>65</v>
      </c>
      <c r="I6511">
        <v>258</v>
      </c>
      <c r="J6511">
        <v>110</v>
      </c>
      <c r="K6511" t="b">
        <v>1</v>
      </c>
    </row>
    <row r="6512" spans="8:11" x14ac:dyDescent="0.25">
      <c r="H6512">
        <v>65</v>
      </c>
      <c r="I6512">
        <v>344</v>
      </c>
      <c r="J6512">
        <v>110</v>
      </c>
      <c r="K6512" t="b">
        <v>1</v>
      </c>
    </row>
    <row r="6513" spans="8:11" x14ac:dyDescent="0.25">
      <c r="H6513">
        <v>65</v>
      </c>
      <c r="I6513">
        <v>430</v>
      </c>
      <c r="J6513">
        <v>110</v>
      </c>
      <c r="K6513" t="b">
        <v>1</v>
      </c>
    </row>
    <row r="6514" spans="8:11" x14ac:dyDescent="0.25">
      <c r="H6514">
        <v>65</v>
      </c>
      <c r="I6514">
        <v>516</v>
      </c>
      <c r="J6514">
        <v>110</v>
      </c>
      <c r="K6514" t="b">
        <v>1</v>
      </c>
    </row>
    <row r="6515" spans="8:11" x14ac:dyDescent="0.25">
      <c r="H6515">
        <v>65</v>
      </c>
      <c r="I6515">
        <v>602</v>
      </c>
      <c r="J6515">
        <v>110</v>
      </c>
      <c r="K6515" t="b">
        <v>1</v>
      </c>
    </row>
    <row r="6516" spans="8:11" x14ac:dyDescent="0.25">
      <c r="H6516">
        <v>65</v>
      </c>
      <c r="I6516">
        <v>688</v>
      </c>
      <c r="J6516">
        <v>110</v>
      </c>
      <c r="K6516" t="b">
        <v>1</v>
      </c>
    </row>
    <row r="6517" spans="8:11" x14ac:dyDescent="0.25">
      <c r="H6517">
        <v>65</v>
      </c>
      <c r="I6517">
        <v>774</v>
      </c>
      <c r="J6517">
        <v>110</v>
      </c>
      <c r="K6517" t="b">
        <v>1</v>
      </c>
    </row>
    <row r="6518" spans="8:11" x14ac:dyDescent="0.25">
      <c r="H6518">
        <v>65</v>
      </c>
      <c r="I6518">
        <v>860</v>
      </c>
      <c r="J6518">
        <v>110</v>
      </c>
      <c r="K6518" t="b">
        <v>1</v>
      </c>
    </row>
    <row r="6519" spans="8:11" x14ac:dyDescent="0.25">
      <c r="H6519">
        <v>66</v>
      </c>
      <c r="I6519">
        <v>0</v>
      </c>
      <c r="J6519">
        <v>50</v>
      </c>
      <c r="K6519" t="b">
        <v>1</v>
      </c>
    </row>
    <row r="6520" spans="8:11" x14ac:dyDescent="0.25">
      <c r="H6520">
        <v>66</v>
      </c>
      <c r="I6520">
        <v>36</v>
      </c>
      <c r="J6520">
        <v>50</v>
      </c>
      <c r="K6520" t="b">
        <v>1</v>
      </c>
    </row>
    <row r="6521" spans="8:11" x14ac:dyDescent="0.25">
      <c r="H6521">
        <v>66</v>
      </c>
      <c r="I6521">
        <v>72</v>
      </c>
      <c r="J6521">
        <v>50</v>
      </c>
      <c r="K6521" t="b">
        <v>1</v>
      </c>
    </row>
    <row r="6522" spans="8:11" x14ac:dyDescent="0.25">
      <c r="H6522">
        <v>66</v>
      </c>
      <c r="I6522">
        <v>108</v>
      </c>
      <c r="J6522">
        <v>50</v>
      </c>
      <c r="K6522" t="b">
        <v>1</v>
      </c>
    </row>
    <row r="6523" spans="8:11" x14ac:dyDescent="0.25">
      <c r="H6523">
        <v>66</v>
      </c>
      <c r="I6523">
        <v>144</v>
      </c>
      <c r="J6523">
        <v>50</v>
      </c>
      <c r="K6523" t="b">
        <v>1</v>
      </c>
    </row>
    <row r="6524" spans="8:11" x14ac:dyDescent="0.25">
      <c r="H6524">
        <v>66</v>
      </c>
      <c r="I6524">
        <v>180</v>
      </c>
      <c r="J6524">
        <v>50</v>
      </c>
      <c r="K6524" t="b">
        <v>1</v>
      </c>
    </row>
    <row r="6525" spans="8:11" x14ac:dyDescent="0.25">
      <c r="H6525">
        <v>66</v>
      </c>
      <c r="I6525">
        <v>216</v>
      </c>
      <c r="J6525">
        <v>50</v>
      </c>
      <c r="K6525" t="b">
        <v>1</v>
      </c>
    </row>
    <row r="6526" spans="8:11" x14ac:dyDescent="0.25">
      <c r="H6526">
        <v>66</v>
      </c>
      <c r="I6526">
        <v>252</v>
      </c>
      <c r="J6526">
        <v>50</v>
      </c>
      <c r="K6526" t="b">
        <v>1</v>
      </c>
    </row>
    <row r="6527" spans="8:11" x14ac:dyDescent="0.25">
      <c r="H6527">
        <v>66</v>
      </c>
      <c r="I6527">
        <v>288</v>
      </c>
      <c r="J6527">
        <v>50</v>
      </c>
      <c r="K6527" t="b">
        <v>1</v>
      </c>
    </row>
    <row r="6528" spans="8:11" x14ac:dyDescent="0.25">
      <c r="H6528">
        <v>66</v>
      </c>
      <c r="I6528">
        <v>324</v>
      </c>
      <c r="J6528">
        <v>50</v>
      </c>
      <c r="K6528" t="b">
        <v>1</v>
      </c>
    </row>
    <row r="6529" spans="8:11" x14ac:dyDescent="0.25">
      <c r="H6529">
        <v>66</v>
      </c>
      <c r="I6529">
        <v>360</v>
      </c>
      <c r="J6529">
        <v>50</v>
      </c>
      <c r="K6529" t="b">
        <v>1</v>
      </c>
    </row>
    <row r="6530" spans="8:11" x14ac:dyDescent="0.25">
      <c r="H6530">
        <v>66</v>
      </c>
      <c r="I6530">
        <v>396</v>
      </c>
      <c r="J6530">
        <v>50</v>
      </c>
      <c r="K6530" t="b">
        <v>1</v>
      </c>
    </row>
    <row r="6531" spans="8:11" x14ac:dyDescent="0.25">
      <c r="H6531">
        <v>66</v>
      </c>
      <c r="I6531">
        <v>432</v>
      </c>
      <c r="J6531">
        <v>50</v>
      </c>
      <c r="K6531" t="b">
        <v>1</v>
      </c>
    </row>
    <row r="6532" spans="8:11" x14ac:dyDescent="0.25">
      <c r="H6532">
        <v>66</v>
      </c>
      <c r="I6532">
        <v>468</v>
      </c>
      <c r="J6532">
        <v>50</v>
      </c>
      <c r="K6532" t="b">
        <v>1</v>
      </c>
    </row>
    <row r="6533" spans="8:11" x14ac:dyDescent="0.25">
      <c r="H6533">
        <v>66</v>
      </c>
      <c r="I6533">
        <v>504</v>
      </c>
      <c r="J6533">
        <v>50</v>
      </c>
      <c r="K6533" t="b">
        <v>1</v>
      </c>
    </row>
    <row r="6534" spans="8:11" x14ac:dyDescent="0.25">
      <c r="H6534">
        <v>66</v>
      </c>
      <c r="I6534">
        <v>540</v>
      </c>
      <c r="J6534">
        <v>50</v>
      </c>
      <c r="K6534" t="b">
        <v>1</v>
      </c>
    </row>
    <row r="6535" spans="8:11" x14ac:dyDescent="0.25">
      <c r="H6535">
        <v>66</v>
      </c>
      <c r="I6535">
        <v>576</v>
      </c>
      <c r="J6535">
        <v>50</v>
      </c>
      <c r="K6535" t="b">
        <v>1</v>
      </c>
    </row>
    <row r="6536" spans="8:11" x14ac:dyDescent="0.25">
      <c r="H6536">
        <v>66</v>
      </c>
      <c r="I6536">
        <v>612</v>
      </c>
      <c r="J6536">
        <v>50</v>
      </c>
      <c r="K6536" t="b">
        <v>1</v>
      </c>
    </row>
    <row r="6537" spans="8:11" x14ac:dyDescent="0.25">
      <c r="H6537">
        <v>66</v>
      </c>
      <c r="I6537">
        <v>648</v>
      </c>
      <c r="J6537">
        <v>50</v>
      </c>
      <c r="K6537" t="b">
        <v>1</v>
      </c>
    </row>
    <row r="6538" spans="8:11" x14ac:dyDescent="0.25">
      <c r="H6538">
        <v>66</v>
      </c>
      <c r="I6538">
        <v>684</v>
      </c>
      <c r="J6538">
        <v>50</v>
      </c>
      <c r="K6538" t="b">
        <v>1</v>
      </c>
    </row>
    <row r="6539" spans="8:11" x14ac:dyDescent="0.25">
      <c r="H6539">
        <v>66</v>
      </c>
      <c r="I6539">
        <v>720</v>
      </c>
      <c r="J6539">
        <v>50</v>
      </c>
      <c r="K6539" t="b">
        <v>1</v>
      </c>
    </row>
    <row r="6540" spans="8:11" x14ac:dyDescent="0.25">
      <c r="H6540">
        <v>66</v>
      </c>
      <c r="I6540">
        <v>756</v>
      </c>
      <c r="J6540">
        <v>50</v>
      </c>
      <c r="K6540" t="b">
        <v>1</v>
      </c>
    </row>
    <row r="6541" spans="8:11" x14ac:dyDescent="0.25">
      <c r="H6541">
        <v>66</v>
      </c>
      <c r="I6541">
        <v>792</v>
      </c>
      <c r="J6541">
        <v>50</v>
      </c>
      <c r="K6541" t="b">
        <v>1</v>
      </c>
    </row>
    <row r="6542" spans="8:11" x14ac:dyDescent="0.25">
      <c r="H6542">
        <v>66</v>
      </c>
      <c r="I6542">
        <v>828</v>
      </c>
      <c r="J6542">
        <v>50</v>
      </c>
      <c r="K6542" t="b">
        <v>1</v>
      </c>
    </row>
    <row r="6543" spans="8:11" x14ac:dyDescent="0.25">
      <c r="H6543">
        <v>66</v>
      </c>
      <c r="I6543">
        <v>864</v>
      </c>
      <c r="J6543">
        <v>50</v>
      </c>
      <c r="K6543" t="b">
        <v>1</v>
      </c>
    </row>
    <row r="6544" spans="8:11" x14ac:dyDescent="0.25">
      <c r="H6544">
        <v>66</v>
      </c>
      <c r="I6544">
        <v>900</v>
      </c>
      <c r="J6544">
        <v>50</v>
      </c>
      <c r="K6544" t="b">
        <v>1</v>
      </c>
    </row>
    <row r="6545" spans="8:11" x14ac:dyDescent="0.25">
      <c r="H6545">
        <v>67</v>
      </c>
      <c r="I6545">
        <v>0</v>
      </c>
      <c r="J6545">
        <v>50</v>
      </c>
      <c r="K6545" t="b">
        <v>1</v>
      </c>
    </row>
    <row r="6546" spans="8:11" x14ac:dyDescent="0.25">
      <c r="H6546">
        <v>67</v>
      </c>
      <c r="I6546">
        <v>36</v>
      </c>
      <c r="J6546">
        <v>50</v>
      </c>
      <c r="K6546" t="b">
        <v>1</v>
      </c>
    </row>
    <row r="6547" spans="8:11" x14ac:dyDescent="0.25">
      <c r="H6547">
        <v>67</v>
      </c>
      <c r="I6547">
        <v>72</v>
      </c>
      <c r="J6547">
        <v>50</v>
      </c>
      <c r="K6547" t="b">
        <v>1</v>
      </c>
    </row>
    <row r="6548" spans="8:11" x14ac:dyDescent="0.25">
      <c r="H6548">
        <v>67</v>
      </c>
      <c r="I6548">
        <v>108</v>
      </c>
      <c r="J6548">
        <v>50</v>
      </c>
      <c r="K6548" t="b">
        <v>1</v>
      </c>
    </row>
    <row r="6549" spans="8:11" x14ac:dyDescent="0.25">
      <c r="H6549">
        <v>67</v>
      </c>
      <c r="I6549">
        <v>144</v>
      </c>
      <c r="J6549">
        <v>50</v>
      </c>
      <c r="K6549" t="b">
        <v>1</v>
      </c>
    </row>
    <row r="6550" spans="8:11" x14ac:dyDescent="0.25">
      <c r="H6550">
        <v>67</v>
      </c>
      <c r="I6550">
        <v>180</v>
      </c>
      <c r="J6550">
        <v>50</v>
      </c>
      <c r="K6550" t="b">
        <v>1</v>
      </c>
    </row>
    <row r="6551" spans="8:11" x14ac:dyDescent="0.25">
      <c r="H6551">
        <v>67</v>
      </c>
      <c r="I6551">
        <v>216</v>
      </c>
      <c r="J6551">
        <v>50</v>
      </c>
      <c r="K6551" t="b">
        <v>1</v>
      </c>
    </row>
    <row r="6552" spans="8:11" x14ac:dyDescent="0.25">
      <c r="H6552">
        <v>67</v>
      </c>
      <c r="I6552">
        <v>252</v>
      </c>
      <c r="J6552">
        <v>50</v>
      </c>
      <c r="K6552" t="b">
        <v>1</v>
      </c>
    </row>
    <row r="6553" spans="8:11" x14ac:dyDescent="0.25">
      <c r="H6553">
        <v>67</v>
      </c>
      <c r="I6553">
        <v>288</v>
      </c>
      <c r="J6553">
        <v>50</v>
      </c>
      <c r="K6553" t="b">
        <v>1</v>
      </c>
    </row>
    <row r="6554" spans="8:11" x14ac:dyDescent="0.25">
      <c r="H6554">
        <v>67</v>
      </c>
      <c r="I6554">
        <v>324</v>
      </c>
      <c r="J6554">
        <v>50</v>
      </c>
      <c r="K6554" t="b">
        <v>1</v>
      </c>
    </row>
    <row r="6555" spans="8:11" x14ac:dyDescent="0.25">
      <c r="H6555">
        <v>67</v>
      </c>
      <c r="I6555">
        <v>360</v>
      </c>
      <c r="J6555">
        <v>50</v>
      </c>
      <c r="K6555" t="b">
        <v>1</v>
      </c>
    </row>
    <row r="6556" spans="8:11" x14ac:dyDescent="0.25">
      <c r="H6556">
        <v>67</v>
      </c>
      <c r="I6556">
        <v>396</v>
      </c>
      <c r="J6556">
        <v>50</v>
      </c>
      <c r="K6556" t="b">
        <v>1</v>
      </c>
    </row>
    <row r="6557" spans="8:11" x14ac:dyDescent="0.25">
      <c r="H6557">
        <v>67</v>
      </c>
      <c r="I6557">
        <v>432</v>
      </c>
      <c r="J6557">
        <v>50</v>
      </c>
      <c r="K6557" t="b">
        <v>1</v>
      </c>
    </row>
    <row r="6558" spans="8:11" x14ac:dyDescent="0.25">
      <c r="H6558">
        <v>67</v>
      </c>
      <c r="I6558">
        <v>468</v>
      </c>
      <c r="J6558">
        <v>50</v>
      </c>
      <c r="K6558" t="b">
        <v>1</v>
      </c>
    </row>
    <row r="6559" spans="8:11" x14ac:dyDescent="0.25">
      <c r="H6559">
        <v>67</v>
      </c>
      <c r="I6559">
        <v>504</v>
      </c>
      <c r="J6559">
        <v>50</v>
      </c>
      <c r="K6559" t="b">
        <v>1</v>
      </c>
    </row>
    <row r="6560" spans="8:11" x14ac:dyDescent="0.25">
      <c r="H6560">
        <v>67</v>
      </c>
      <c r="I6560">
        <v>540</v>
      </c>
      <c r="J6560">
        <v>50</v>
      </c>
      <c r="K6560" t="b">
        <v>1</v>
      </c>
    </row>
    <row r="6561" spans="8:11" x14ac:dyDescent="0.25">
      <c r="H6561">
        <v>67</v>
      </c>
      <c r="I6561">
        <v>576</v>
      </c>
      <c r="J6561">
        <v>50</v>
      </c>
      <c r="K6561" t="b">
        <v>1</v>
      </c>
    </row>
    <row r="6562" spans="8:11" x14ac:dyDescent="0.25">
      <c r="H6562">
        <v>67</v>
      </c>
      <c r="I6562">
        <v>612</v>
      </c>
      <c r="J6562">
        <v>50</v>
      </c>
      <c r="K6562" t="b">
        <v>1</v>
      </c>
    </row>
    <row r="6563" spans="8:11" x14ac:dyDescent="0.25">
      <c r="H6563">
        <v>67</v>
      </c>
      <c r="I6563">
        <v>648</v>
      </c>
      <c r="J6563">
        <v>50</v>
      </c>
      <c r="K6563" t="b">
        <v>1</v>
      </c>
    </row>
    <row r="6564" spans="8:11" x14ac:dyDescent="0.25">
      <c r="H6564">
        <v>67</v>
      </c>
      <c r="I6564">
        <v>684</v>
      </c>
      <c r="J6564">
        <v>50</v>
      </c>
      <c r="K6564" t="b">
        <v>1</v>
      </c>
    </row>
    <row r="6565" spans="8:11" x14ac:dyDescent="0.25">
      <c r="H6565">
        <v>67</v>
      </c>
      <c r="I6565">
        <v>720</v>
      </c>
      <c r="J6565">
        <v>50</v>
      </c>
      <c r="K6565" t="b">
        <v>1</v>
      </c>
    </row>
    <row r="6566" spans="8:11" x14ac:dyDescent="0.25">
      <c r="H6566">
        <v>67</v>
      </c>
      <c r="I6566">
        <v>756</v>
      </c>
      <c r="J6566">
        <v>50</v>
      </c>
      <c r="K6566" t="b">
        <v>1</v>
      </c>
    </row>
    <row r="6567" spans="8:11" x14ac:dyDescent="0.25">
      <c r="H6567">
        <v>67</v>
      </c>
      <c r="I6567">
        <v>792</v>
      </c>
      <c r="J6567">
        <v>50</v>
      </c>
      <c r="K6567" t="b">
        <v>1</v>
      </c>
    </row>
    <row r="6568" spans="8:11" x14ac:dyDescent="0.25">
      <c r="H6568">
        <v>67</v>
      </c>
      <c r="I6568">
        <v>828</v>
      </c>
      <c r="J6568">
        <v>50</v>
      </c>
      <c r="K6568" t="b">
        <v>1</v>
      </c>
    </row>
    <row r="6569" spans="8:11" x14ac:dyDescent="0.25">
      <c r="H6569">
        <v>67</v>
      </c>
      <c r="I6569">
        <v>864</v>
      </c>
      <c r="J6569">
        <v>50</v>
      </c>
      <c r="K6569" t="b">
        <v>1</v>
      </c>
    </row>
    <row r="6570" spans="8:11" x14ac:dyDescent="0.25">
      <c r="H6570">
        <v>67</v>
      </c>
      <c r="I6570">
        <v>900</v>
      </c>
      <c r="J6570">
        <v>50</v>
      </c>
      <c r="K6570" t="b">
        <v>1</v>
      </c>
    </row>
    <row r="6571" spans="8:11" x14ac:dyDescent="0.25">
      <c r="H6571">
        <v>68</v>
      </c>
      <c r="I6571">
        <v>0</v>
      </c>
      <c r="J6571">
        <v>95</v>
      </c>
      <c r="K6571" t="b">
        <v>1</v>
      </c>
    </row>
    <row r="6572" spans="8:11" x14ac:dyDescent="0.25">
      <c r="H6572">
        <v>68</v>
      </c>
      <c r="I6572">
        <v>30</v>
      </c>
      <c r="J6572">
        <v>95</v>
      </c>
      <c r="K6572" t="b">
        <v>1</v>
      </c>
    </row>
    <row r="6573" spans="8:11" x14ac:dyDescent="0.25">
      <c r="H6573">
        <v>68</v>
      </c>
      <c r="I6573">
        <v>60</v>
      </c>
      <c r="J6573">
        <v>95</v>
      </c>
      <c r="K6573" t="b">
        <v>1</v>
      </c>
    </row>
    <row r="6574" spans="8:11" x14ac:dyDescent="0.25">
      <c r="H6574">
        <v>68</v>
      </c>
      <c r="I6574">
        <v>90</v>
      </c>
      <c r="J6574">
        <v>95</v>
      </c>
      <c r="K6574" t="b">
        <v>1</v>
      </c>
    </row>
    <row r="6575" spans="8:11" x14ac:dyDescent="0.25">
      <c r="H6575">
        <v>68</v>
      </c>
      <c r="I6575">
        <v>120</v>
      </c>
      <c r="J6575">
        <v>95</v>
      </c>
      <c r="K6575" t="b">
        <v>1</v>
      </c>
    </row>
    <row r="6576" spans="8:11" x14ac:dyDescent="0.25">
      <c r="H6576">
        <v>68</v>
      </c>
      <c r="I6576">
        <v>150</v>
      </c>
      <c r="J6576">
        <v>95</v>
      </c>
      <c r="K6576" t="b">
        <v>1</v>
      </c>
    </row>
    <row r="6577" spans="8:11" x14ac:dyDescent="0.25">
      <c r="H6577">
        <v>68</v>
      </c>
      <c r="I6577">
        <v>180</v>
      </c>
      <c r="J6577">
        <v>95</v>
      </c>
      <c r="K6577" t="b">
        <v>1</v>
      </c>
    </row>
    <row r="6578" spans="8:11" x14ac:dyDescent="0.25">
      <c r="H6578">
        <v>68</v>
      </c>
      <c r="I6578">
        <v>210</v>
      </c>
      <c r="J6578">
        <v>95</v>
      </c>
      <c r="K6578" t="b">
        <v>1</v>
      </c>
    </row>
    <row r="6579" spans="8:11" x14ac:dyDescent="0.25">
      <c r="H6579">
        <v>68</v>
      </c>
      <c r="I6579">
        <v>240</v>
      </c>
      <c r="J6579">
        <v>95</v>
      </c>
      <c r="K6579" t="b">
        <v>1</v>
      </c>
    </row>
    <row r="6580" spans="8:11" x14ac:dyDescent="0.25">
      <c r="H6580">
        <v>68</v>
      </c>
      <c r="I6580">
        <v>270</v>
      </c>
      <c r="J6580">
        <v>95</v>
      </c>
      <c r="K6580" t="b">
        <v>1</v>
      </c>
    </row>
    <row r="6581" spans="8:11" x14ac:dyDescent="0.25">
      <c r="H6581">
        <v>68</v>
      </c>
      <c r="I6581">
        <v>300</v>
      </c>
      <c r="J6581">
        <v>95</v>
      </c>
      <c r="K6581" t="b">
        <v>1</v>
      </c>
    </row>
    <row r="6582" spans="8:11" x14ac:dyDescent="0.25">
      <c r="H6582">
        <v>68</v>
      </c>
      <c r="I6582">
        <v>330</v>
      </c>
      <c r="J6582">
        <v>95</v>
      </c>
      <c r="K6582" t="b">
        <v>1</v>
      </c>
    </row>
    <row r="6583" spans="8:11" x14ac:dyDescent="0.25">
      <c r="H6583">
        <v>68</v>
      </c>
      <c r="I6583">
        <v>360</v>
      </c>
      <c r="J6583">
        <v>95</v>
      </c>
      <c r="K6583" t="b">
        <v>1</v>
      </c>
    </row>
    <row r="6584" spans="8:11" x14ac:dyDescent="0.25">
      <c r="H6584">
        <v>68</v>
      </c>
      <c r="I6584">
        <v>390</v>
      </c>
      <c r="J6584">
        <v>95</v>
      </c>
      <c r="K6584" t="b">
        <v>1</v>
      </c>
    </row>
    <row r="6585" spans="8:11" x14ac:dyDescent="0.25">
      <c r="H6585">
        <v>68</v>
      </c>
      <c r="I6585">
        <v>420</v>
      </c>
      <c r="J6585">
        <v>95</v>
      </c>
      <c r="K6585" t="b">
        <v>1</v>
      </c>
    </row>
    <row r="6586" spans="8:11" x14ac:dyDescent="0.25">
      <c r="H6586">
        <v>68</v>
      </c>
      <c r="I6586">
        <v>450</v>
      </c>
      <c r="J6586">
        <v>95</v>
      </c>
      <c r="K6586" t="b">
        <v>1</v>
      </c>
    </row>
    <row r="6587" spans="8:11" x14ac:dyDescent="0.25">
      <c r="H6587">
        <v>68</v>
      </c>
      <c r="I6587">
        <v>480</v>
      </c>
      <c r="J6587">
        <v>95</v>
      </c>
      <c r="K6587" t="b">
        <v>1</v>
      </c>
    </row>
    <row r="6588" spans="8:11" x14ac:dyDescent="0.25">
      <c r="H6588">
        <v>68</v>
      </c>
      <c r="I6588">
        <v>510</v>
      </c>
      <c r="J6588">
        <v>95</v>
      </c>
      <c r="K6588" t="b">
        <v>1</v>
      </c>
    </row>
    <row r="6589" spans="8:11" x14ac:dyDescent="0.25">
      <c r="H6589">
        <v>68</v>
      </c>
      <c r="I6589">
        <v>540</v>
      </c>
      <c r="J6589">
        <v>95</v>
      </c>
      <c r="K6589" t="b">
        <v>1</v>
      </c>
    </row>
    <row r="6590" spans="8:11" x14ac:dyDescent="0.25">
      <c r="H6590">
        <v>68</v>
      </c>
      <c r="I6590">
        <v>570</v>
      </c>
      <c r="J6590">
        <v>95</v>
      </c>
      <c r="K6590" t="b">
        <v>1</v>
      </c>
    </row>
    <row r="6591" spans="8:11" x14ac:dyDescent="0.25">
      <c r="H6591">
        <v>68</v>
      </c>
      <c r="I6591">
        <v>600</v>
      </c>
      <c r="J6591">
        <v>95</v>
      </c>
      <c r="K6591" t="b">
        <v>1</v>
      </c>
    </row>
    <row r="6592" spans="8:11" x14ac:dyDescent="0.25">
      <c r="H6592">
        <v>68</v>
      </c>
      <c r="I6592">
        <v>630</v>
      </c>
      <c r="J6592">
        <v>95</v>
      </c>
      <c r="K6592" t="b">
        <v>1</v>
      </c>
    </row>
    <row r="6593" spans="8:11" x14ac:dyDescent="0.25">
      <c r="H6593">
        <v>68</v>
      </c>
      <c r="I6593">
        <v>660</v>
      </c>
      <c r="J6593">
        <v>95</v>
      </c>
      <c r="K6593" t="b">
        <v>1</v>
      </c>
    </row>
    <row r="6594" spans="8:11" x14ac:dyDescent="0.25">
      <c r="H6594">
        <v>68</v>
      </c>
      <c r="I6594">
        <v>690</v>
      </c>
      <c r="J6594">
        <v>95</v>
      </c>
      <c r="K6594" t="b">
        <v>1</v>
      </c>
    </row>
    <row r="6595" spans="8:11" x14ac:dyDescent="0.25">
      <c r="H6595">
        <v>68</v>
      </c>
      <c r="I6595">
        <v>720</v>
      </c>
      <c r="J6595">
        <v>95</v>
      </c>
      <c r="K6595" t="b">
        <v>1</v>
      </c>
    </row>
    <row r="6596" spans="8:11" x14ac:dyDescent="0.25">
      <c r="H6596">
        <v>68</v>
      </c>
      <c r="I6596">
        <v>750</v>
      </c>
      <c r="J6596">
        <v>95</v>
      </c>
      <c r="K6596" t="b">
        <v>1</v>
      </c>
    </row>
    <row r="6597" spans="8:11" x14ac:dyDescent="0.25">
      <c r="H6597">
        <v>68</v>
      </c>
      <c r="I6597">
        <v>780</v>
      </c>
      <c r="J6597">
        <v>95</v>
      </c>
      <c r="K6597" t="b">
        <v>1</v>
      </c>
    </row>
    <row r="6598" spans="8:11" x14ac:dyDescent="0.25">
      <c r="H6598">
        <v>68</v>
      </c>
      <c r="I6598">
        <v>810</v>
      </c>
      <c r="J6598">
        <v>95</v>
      </c>
      <c r="K6598" t="b">
        <v>1</v>
      </c>
    </row>
    <row r="6599" spans="8:11" x14ac:dyDescent="0.25">
      <c r="H6599">
        <v>68</v>
      </c>
      <c r="I6599">
        <v>840</v>
      </c>
      <c r="J6599">
        <v>95</v>
      </c>
      <c r="K6599" t="b">
        <v>1</v>
      </c>
    </row>
    <row r="6600" spans="8:11" x14ac:dyDescent="0.25">
      <c r="H6600">
        <v>68</v>
      </c>
      <c r="I6600">
        <v>870</v>
      </c>
      <c r="J6600">
        <v>95</v>
      </c>
      <c r="K6600" t="b">
        <v>1</v>
      </c>
    </row>
    <row r="6601" spans="8:11" x14ac:dyDescent="0.25">
      <c r="H6601">
        <v>68</v>
      </c>
      <c r="I6601">
        <v>900</v>
      </c>
      <c r="J6601">
        <v>95</v>
      </c>
      <c r="K6601" t="b">
        <v>1</v>
      </c>
    </row>
    <row r="6602" spans="8:11" x14ac:dyDescent="0.25">
      <c r="H6602">
        <v>68</v>
      </c>
      <c r="I6602">
        <v>930</v>
      </c>
      <c r="J6602">
        <v>95</v>
      </c>
      <c r="K6602" t="b">
        <v>1</v>
      </c>
    </row>
    <row r="6603" spans="8:11" x14ac:dyDescent="0.25">
      <c r="H6603">
        <v>69</v>
      </c>
      <c r="I6603">
        <v>0</v>
      </c>
      <c r="J6603">
        <v>95</v>
      </c>
      <c r="K6603" t="b">
        <v>1</v>
      </c>
    </row>
    <row r="6604" spans="8:11" x14ac:dyDescent="0.25">
      <c r="H6604">
        <v>69</v>
      </c>
      <c r="I6604">
        <v>30</v>
      </c>
      <c r="J6604">
        <v>95</v>
      </c>
      <c r="K6604" t="b">
        <v>1</v>
      </c>
    </row>
    <row r="6605" spans="8:11" x14ac:dyDescent="0.25">
      <c r="H6605">
        <v>69</v>
      </c>
      <c r="I6605">
        <v>60</v>
      </c>
      <c r="J6605">
        <v>95</v>
      </c>
      <c r="K6605" t="b">
        <v>1</v>
      </c>
    </row>
    <row r="6606" spans="8:11" x14ac:dyDescent="0.25">
      <c r="H6606">
        <v>69</v>
      </c>
      <c r="I6606">
        <v>90</v>
      </c>
      <c r="J6606">
        <v>95</v>
      </c>
      <c r="K6606" t="b">
        <v>1</v>
      </c>
    </row>
    <row r="6607" spans="8:11" x14ac:dyDescent="0.25">
      <c r="H6607">
        <v>69</v>
      </c>
      <c r="I6607">
        <v>120</v>
      </c>
      <c r="J6607">
        <v>95</v>
      </c>
      <c r="K6607" t="b">
        <v>1</v>
      </c>
    </row>
    <row r="6608" spans="8:11" x14ac:dyDescent="0.25">
      <c r="H6608">
        <v>69</v>
      </c>
      <c r="I6608">
        <v>150</v>
      </c>
      <c r="J6608">
        <v>95</v>
      </c>
      <c r="K6608" t="b">
        <v>1</v>
      </c>
    </row>
    <row r="6609" spans="8:11" x14ac:dyDescent="0.25">
      <c r="H6609">
        <v>69</v>
      </c>
      <c r="I6609">
        <v>180</v>
      </c>
      <c r="J6609">
        <v>95</v>
      </c>
      <c r="K6609" t="b">
        <v>1</v>
      </c>
    </row>
    <row r="6610" spans="8:11" x14ac:dyDescent="0.25">
      <c r="H6610">
        <v>69</v>
      </c>
      <c r="I6610">
        <v>210</v>
      </c>
      <c r="J6610">
        <v>95</v>
      </c>
      <c r="K6610" t="b">
        <v>1</v>
      </c>
    </row>
    <row r="6611" spans="8:11" x14ac:dyDescent="0.25">
      <c r="H6611">
        <v>69</v>
      </c>
      <c r="I6611">
        <v>240</v>
      </c>
      <c r="J6611">
        <v>95</v>
      </c>
      <c r="K6611" t="b">
        <v>1</v>
      </c>
    </row>
    <row r="6612" spans="8:11" x14ac:dyDescent="0.25">
      <c r="H6612">
        <v>69</v>
      </c>
      <c r="I6612">
        <v>270</v>
      </c>
      <c r="J6612">
        <v>95</v>
      </c>
      <c r="K6612" t="b">
        <v>1</v>
      </c>
    </row>
    <row r="6613" spans="8:11" x14ac:dyDescent="0.25">
      <c r="H6613">
        <v>69</v>
      </c>
      <c r="I6613">
        <v>300</v>
      </c>
      <c r="J6613">
        <v>95</v>
      </c>
      <c r="K6613" t="b">
        <v>1</v>
      </c>
    </row>
    <row r="6614" spans="8:11" x14ac:dyDescent="0.25">
      <c r="H6614">
        <v>69</v>
      </c>
      <c r="I6614">
        <v>330</v>
      </c>
      <c r="J6614">
        <v>95</v>
      </c>
      <c r="K6614" t="b">
        <v>1</v>
      </c>
    </row>
    <row r="6615" spans="8:11" x14ac:dyDescent="0.25">
      <c r="H6615">
        <v>69</v>
      </c>
      <c r="I6615">
        <v>360</v>
      </c>
      <c r="J6615">
        <v>95</v>
      </c>
      <c r="K6615" t="b">
        <v>1</v>
      </c>
    </row>
    <row r="6616" spans="8:11" x14ac:dyDescent="0.25">
      <c r="H6616">
        <v>69</v>
      </c>
      <c r="I6616">
        <v>390</v>
      </c>
      <c r="J6616">
        <v>95</v>
      </c>
      <c r="K6616" t="b">
        <v>1</v>
      </c>
    </row>
    <row r="6617" spans="8:11" x14ac:dyDescent="0.25">
      <c r="H6617">
        <v>69</v>
      </c>
      <c r="I6617">
        <v>420</v>
      </c>
      <c r="J6617">
        <v>95</v>
      </c>
      <c r="K6617" t="b">
        <v>1</v>
      </c>
    </row>
    <row r="6618" spans="8:11" x14ac:dyDescent="0.25">
      <c r="H6618">
        <v>69</v>
      </c>
      <c r="I6618">
        <v>450</v>
      </c>
      <c r="J6618">
        <v>95</v>
      </c>
      <c r="K6618" t="b">
        <v>1</v>
      </c>
    </row>
    <row r="6619" spans="8:11" x14ac:dyDescent="0.25">
      <c r="H6619">
        <v>69</v>
      </c>
      <c r="I6619">
        <v>480</v>
      </c>
      <c r="J6619">
        <v>95</v>
      </c>
      <c r="K6619" t="b">
        <v>1</v>
      </c>
    </row>
    <row r="6620" spans="8:11" x14ac:dyDescent="0.25">
      <c r="H6620">
        <v>69</v>
      </c>
      <c r="I6620">
        <v>510</v>
      </c>
      <c r="J6620">
        <v>95</v>
      </c>
      <c r="K6620" t="b">
        <v>1</v>
      </c>
    </row>
    <row r="6621" spans="8:11" x14ac:dyDescent="0.25">
      <c r="H6621">
        <v>69</v>
      </c>
      <c r="I6621">
        <v>540</v>
      </c>
      <c r="J6621">
        <v>95</v>
      </c>
      <c r="K6621" t="b">
        <v>1</v>
      </c>
    </row>
    <row r="6622" spans="8:11" x14ac:dyDescent="0.25">
      <c r="H6622">
        <v>69</v>
      </c>
      <c r="I6622">
        <v>570</v>
      </c>
      <c r="J6622">
        <v>95</v>
      </c>
      <c r="K6622" t="b">
        <v>1</v>
      </c>
    </row>
    <row r="6623" spans="8:11" x14ac:dyDescent="0.25">
      <c r="H6623">
        <v>69</v>
      </c>
      <c r="I6623">
        <v>600</v>
      </c>
      <c r="J6623">
        <v>95</v>
      </c>
      <c r="K6623" t="b">
        <v>1</v>
      </c>
    </row>
    <row r="6624" spans="8:11" x14ac:dyDescent="0.25">
      <c r="H6624">
        <v>69</v>
      </c>
      <c r="I6624">
        <v>630</v>
      </c>
      <c r="J6624">
        <v>95</v>
      </c>
      <c r="K6624" t="b">
        <v>1</v>
      </c>
    </row>
    <row r="6625" spans="8:11" x14ac:dyDescent="0.25">
      <c r="H6625">
        <v>69</v>
      </c>
      <c r="I6625">
        <v>660</v>
      </c>
      <c r="J6625">
        <v>95</v>
      </c>
      <c r="K6625" t="b">
        <v>1</v>
      </c>
    </row>
    <row r="6626" spans="8:11" x14ac:dyDescent="0.25">
      <c r="H6626">
        <v>69</v>
      </c>
      <c r="I6626">
        <v>690</v>
      </c>
      <c r="J6626">
        <v>95</v>
      </c>
      <c r="K6626" t="b">
        <v>1</v>
      </c>
    </row>
    <row r="6627" spans="8:11" x14ac:dyDescent="0.25">
      <c r="H6627">
        <v>69</v>
      </c>
      <c r="I6627">
        <v>720</v>
      </c>
      <c r="J6627">
        <v>95</v>
      </c>
      <c r="K6627" t="b">
        <v>1</v>
      </c>
    </row>
    <row r="6628" spans="8:11" x14ac:dyDescent="0.25">
      <c r="H6628">
        <v>69</v>
      </c>
      <c r="I6628">
        <v>750</v>
      </c>
      <c r="J6628">
        <v>95</v>
      </c>
      <c r="K6628" t="b">
        <v>1</v>
      </c>
    </row>
    <row r="6629" spans="8:11" x14ac:dyDescent="0.25">
      <c r="H6629">
        <v>69</v>
      </c>
      <c r="I6629">
        <v>780</v>
      </c>
      <c r="J6629">
        <v>95</v>
      </c>
      <c r="K6629" t="b">
        <v>1</v>
      </c>
    </row>
    <row r="6630" spans="8:11" x14ac:dyDescent="0.25">
      <c r="H6630">
        <v>69</v>
      </c>
      <c r="I6630">
        <v>810</v>
      </c>
      <c r="J6630">
        <v>95</v>
      </c>
      <c r="K6630" t="b">
        <v>1</v>
      </c>
    </row>
    <row r="6631" spans="8:11" x14ac:dyDescent="0.25">
      <c r="H6631">
        <v>69</v>
      </c>
      <c r="I6631">
        <v>840</v>
      </c>
      <c r="J6631">
        <v>95</v>
      </c>
      <c r="K6631" t="b">
        <v>1</v>
      </c>
    </row>
    <row r="6632" spans="8:11" x14ac:dyDescent="0.25">
      <c r="H6632">
        <v>69</v>
      </c>
      <c r="I6632">
        <v>870</v>
      </c>
      <c r="J6632">
        <v>95</v>
      </c>
      <c r="K6632" t="b">
        <v>1</v>
      </c>
    </row>
    <row r="6633" spans="8:11" x14ac:dyDescent="0.25">
      <c r="H6633">
        <v>69</v>
      </c>
      <c r="I6633">
        <v>900</v>
      </c>
      <c r="J6633">
        <v>95</v>
      </c>
      <c r="K6633" t="b">
        <v>1</v>
      </c>
    </row>
    <row r="6634" spans="8:11" x14ac:dyDescent="0.25">
      <c r="H6634">
        <v>69</v>
      </c>
      <c r="I6634">
        <v>930</v>
      </c>
      <c r="J6634">
        <v>95</v>
      </c>
      <c r="K6634" t="b">
        <v>1</v>
      </c>
    </row>
    <row r="6635" spans="8:11" x14ac:dyDescent="0.25">
      <c r="H6635">
        <v>70</v>
      </c>
      <c r="I6635">
        <v>0</v>
      </c>
      <c r="J6635">
        <v>95</v>
      </c>
      <c r="K6635" t="b">
        <v>1</v>
      </c>
    </row>
    <row r="6636" spans="8:11" x14ac:dyDescent="0.25">
      <c r="H6636">
        <v>70</v>
      </c>
      <c r="I6636">
        <v>60</v>
      </c>
      <c r="J6636">
        <v>95</v>
      </c>
      <c r="K6636" t="b">
        <v>1</v>
      </c>
    </row>
    <row r="6637" spans="8:11" x14ac:dyDescent="0.25">
      <c r="H6637">
        <v>70</v>
      </c>
      <c r="I6637">
        <v>120</v>
      </c>
      <c r="J6637">
        <v>95</v>
      </c>
      <c r="K6637" t="b">
        <v>1</v>
      </c>
    </row>
    <row r="6638" spans="8:11" x14ac:dyDescent="0.25">
      <c r="H6638">
        <v>70</v>
      </c>
      <c r="I6638">
        <v>180</v>
      </c>
      <c r="J6638">
        <v>95</v>
      </c>
      <c r="K6638" t="b">
        <v>1</v>
      </c>
    </row>
    <row r="6639" spans="8:11" x14ac:dyDescent="0.25">
      <c r="H6639">
        <v>70</v>
      </c>
      <c r="I6639">
        <v>240</v>
      </c>
      <c r="J6639">
        <v>95</v>
      </c>
      <c r="K6639" t="b">
        <v>1</v>
      </c>
    </row>
    <row r="6640" spans="8:11" x14ac:dyDescent="0.25">
      <c r="H6640">
        <v>70</v>
      </c>
      <c r="I6640">
        <v>300</v>
      </c>
      <c r="J6640">
        <v>95</v>
      </c>
      <c r="K6640" t="b">
        <v>1</v>
      </c>
    </row>
    <row r="6641" spans="8:11" x14ac:dyDescent="0.25">
      <c r="H6641">
        <v>70</v>
      </c>
      <c r="I6641">
        <v>360</v>
      </c>
      <c r="J6641">
        <v>95</v>
      </c>
      <c r="K6641" t="b">
        <v>1</v>
      </c>
    </row>
    <row r="6642" spans="8:11" x14ac:dyDescent="0.25">
      <c r="H6642">
        <v>70</v>
      </c>
      <c r="I6642">
        <v>420</v>
      </c>
      <c r="J6642">
        <v>95</v>
      </c>
      <c r="K6642" t="b">
        <v>1</v>
      </c>
    </row>
    <row r="6643" spans="8:11" x14ac:dyDescent="0.25">
      <c r="H6643">
        <v>70</v>
      </c>
      <c r="I6643">
        <v>480</v>
      </c>
      <c r="J6643">
        <v>95</v>
      </c>
      <c r="K6643" t="b">
        <v>1</v>
      </c>
    </row>
    <row r="6644" spans="8:11" x14ac:dyDescent="0.25">
      <c r="H6644">
        <v>70</v>
      </c>
      <c r="I6644">
        <v>540</v>
      </c>
      <c r="J6644">
        <v>95</v>
      </c>
      <c r="K6644" t="b">
        <v>1</v>
      </c>
    </row>
    <row r="6645" spans="8:11" x14ac:dyDescent="0.25">
      <c r="H6645">
        <v>70</v>
      </c>
      <c r="I6645">
        <v>600</v>
      </c>
      <c r="J6645">
        <v>95</v>
      </c>
      <c r="K6645" t="b">
        <v>1</v>
      </c>
    </row>
    <row r="6646" spans="8:11" x14ac:dyDescent="0.25">
      <c r="H6646">
        <v>70</v>
      </c>
      <c r="I6646">
        <v>660</v>
      </c>
      <c r="J6646">
        <v>95</v>
      </c>
      <c r="K6646" t="b">
        <v>1</v>
      </c>
    </row>
    <row r="6647" spans="8:11" x14ac:dyDescent="0.25">
      <c r="H6647">
        <v>70</v>
      </c>
      <c r="I6647">
        <v>720</v>
      </c>
      <c r="J6647">
        <v>95</v>
      </c>
      <c r="K6647" t="b">
        <v>1</v>
      </c>
    </row>
    <row r="6648" spans="8:11" x14ac:dyDescent="0.25">
      <c r="H6648">
        <v>70</v>
      </c>
      <c r="I6648">
        <v>780</v>
      </c>
      <c r="J6648">
        <v>95</v>
      </c>
      <c r="K6648" t="b">
        <v>1</v>
      </c>
    </row>
    <row r="6649" spans="8:11" x14ac:dyDescent="0.25">
      <c r="H6649">
        <v>70</v>
      </c>
      <c r="I6649">
        <v>840</v>
      </c>
      <c r="J6649">
        <v>95</v>
      </c>
      <c r="K6649" t="b">
        <v>1</v>
      </c>
    </row>
    <row r="6650" spans="8:11" x14ac:dyDescent="0.25">
      <c r="H6650">
        <v>70</v>
      </c>
      <c r="I6650">
        <v>900</v>
      </c>
      <c r="J6650">
        <v>95</v>
      </c>
      <c r="K6650" t="b">
        <v>1</v>
      </c>
    </row>
    <row r="6651" spans="8:11" x14ac:dyDescent="0.25">
      <c r="H6651">
        <v>71</v>
      </c>
      <c r="I6651">
        <v>0</v>
      </c>
      <c r="J6651">
        <v>95</v>
      </c>
      <c r="K6651" t="b">
        <v>1</v>
      </c>
    </row>
    <row r="6652" spans="8:11" x14ac:dyDescent="0.25">
      <c r="H6652">
        <v>71</v>
      </c>
      <c r="I6652">
        <v>60</v>
      </c>
      <c r="J6652">
        <v>95</v>
      </c>
      <c r="K6652" t="b">
        <v>1</v>
      </c>
    </row>
    <row r="6653" spans="8:11" x14ac:dyDescent="0.25">
      <c r="H6653">
        <v>71</v>
      </c>
      <c r="I6653">
        <v>120</v>
      </c>
      <c r="J6653">
        <v>95</v>
      </c>
      <c r="K6653" t="b">
        <v>1</v>
      </c>
    </row>
    <row r="6654" spans="8:11" x14ac:dyDescent="0.25">
      <c r="H6654">
        <v>71</v>
      </c>
      <c r="I6654">
        <v>180</v>
      </c>
      <c r="J6654">
        <v>95</v>
      </c>
      <c r="K6654" t="b">
        <v>1</v>
      </c>
    </row>
    <row r="6655" spans="8:11" x14ac:dyDescent="0.25">
      <c r="H6655">
        <v>71</v>
      </c>
      <c r="I6655">
        <v>240</v>
      </c>
      <c r="J6655">
        <v>95</v>
      </c>
      <c r="K6655" t="b">
        <v>1</v>
      </c>
    </row>
    <row r="6656" spans="8:11" x14ac:dyDescent="0.25">
      <c r="H6656">
        <v>71</v>
      </c>
      <c r="I6656">
        <v>300</v>
      </c>
      <c r="J6656">
        <v>95</v>
      </c>
      <c r="K6656" t="b">
        <v>1</v>
      </c>
    </row>
    <row r="6657" spans="8:11" x14ac:dyDescent="0.25">
      <c r="H6657">
        <v>71</v>
      </c>
      <c r="I6657">
        <v>360</v>
      </c>
      <c r="J6657">
        <v>95</v>
      </c>
      <c r="K6657" t="b">
        <v>1</v>
      </c>
    </row>
    <row r="6658" spans="8:11" x14ac:dyDescent="0.25">
      <c r="H6658">
        <v>71</v>
      </c>
      <c r="I6658">
        <v>420</v>
      </c>
      <c r="J6658">
        <v>95</v>
      </c>
      <c r="K6658" t="b">
        <v>1</v>
      </c>
    </row>
    <row r="6659" spans="8:11" x14ac:dyDescent="0.25">
      <c r="H6659">
        <v>71</v>
      </c>
      <c r="I6659">
        <v>480</v>
      </c>
      <c r="J6659">
        <v>95</v>
      </c>
      <c r="K6659" t="b">
        <v>1</v>
      </c>
    </row>
    <row r="6660" spans="8:11" x14ac:dyDescent="0.25">
      <c r="H6660">
        <v>71</v>
      </c>
      <c r="I6660">
        <v>540</v>
      </c>
      <c r="J6660">
        <v>95</v>
      </c>
      <c r="K6660" t="b">
        <v>1</v>
      </c>
    </row>
    <row r="6661" spans="8:11" x14ac:dyDescent="0.25">
      <c r="H6661">
        <v>71</v>
      </c>
      <c r="I6661">
        <v>600</v>
      </c>
      <c r="J6661">
        <v>95</v>
      </c>
      <c r="K6661" t="b">
        <v>1</v>
      </c>
    </row>
    <row r="6662" spans="8:11" x14ac:dyDescent="0.25">
      <c r="H6662">
        <v>71</v>
      </c>
      <c r="I6662">
        <v>660</v>
      </c>
      <c r="J6662">
        <v>95</v>
      </c>
      <c r="K6662" t="b">
        <v>1</v>
      </c>
    </row>
    <row r="6663" spans="8:11" x14ac:dyDescent="0.25">
      <c r="H6663">
        <v>71</v>
      </c>
      <c r="I6663">
        <v>720</v>
      </c>
      <c r="J6663">
        <v>95</v>
      </c>
      <c r="K6663" t="b">
        <v>1</v>
      </c>
    </row>
    <row r="6664" spans="8:11" x14ac:dyDescent="0.25">
      <c r="H6664">
        <v>71</v>
      </c>
      <c r="I6664">
        <v>780</v>
      </c>
      <c r="J6664">
        <v>95</v>
      </c>
      <c r="K6664" t="b">
        <v>1</v>
      </c>
    </row>
    <row r="6665" spans="8:11" x14ac:dyDescent="0.25">
      <c r="H6665">
        <v>71</v>
      </c>
      <c r="I6665">
        <v>840</v>
      </c>
      <c r="J6665">
        <v>95</v>
      </c>
      <c r="K6665" t="b">
        <v>1</v>
      </c>
    </row>
    <row r="6666" spans="8:11" x14ac:dyDescent="0.25">
      <c r="H6666">
        <v>71</v>
      </c>
      <c r="I6666">
        <v>900</v>
      </c>
      <c r="J6666">
        <v>95</v>
      </c>
      <c r="K6666" t="b">
        <v>1</v>
      </c>
    </row>
    <row r="6667" spans="8:11" x14ac:dyDescent="0.25">
      <c r="H6667">
        <v>72</v>
      </c>
      <c r="I6667">
        <v>0</v>
      </c>
      <c r="J6667">
        <v>80</v>
      </c>
      <c r="K6667" t="b">
        <v>1</v>
      </c>
    </row>
    <row r="6668" spans="8:11" x14ac:dyDescent="0.25">
      <c r="H6668">
        <v>72</v>
      </c>
      <c r="I6668">
        <v>4</v>
      </c>
      <c r="J6668">
        <v>80</v>
      </c>
      <c r="K6668" t="b">
        <v>1</v>
      </c>
    </row>
    <row r="6669" spans="8:11" x14ac:dyDescent="0.25">
      <c r="H6669">
        <v>72</v>
      </c>
      <c r="I6669">
        <v>8</v>
      </c>
      <c r="J6669">
        <v>80</v>
      </c>
      <c r="K6669" t="b">
        <v>1</v>
      </c>
    </row>
    <row r="6670" spans="8:11" x14ac:dyDescent="0.25">
      <c r="H6670">
        <v>72</v>
      </c>
      <c r="I6670">
        <v>12</v>
      </c>
      <c r="J6670">
        <v>80</v>
      </c>
      <c r="K6670" t="b">
        <v>1</v>
      </c>
    </row>
    <row r="6671" spans="8:11" x14ac:dyDescent="0.25">
      <c r="H6671">
        <v>72</v>
      </c>
      <c r="I6671">
        <v>16</v>
      </c>
      <c r="J6671">
        <v>80</v>
      </c>
      <c r="K6671" t="b">
        <v>1</v>
      </c>
    </row>
    <row r="6672" spans="8:11" x14ac:dyDescent="0.25">
      <c r="H6672">
        <v>72</v>
      </c>
      <c r="I6672">
        <v>20</v>
      </c>
      <c r="J6672">
        <v>80</v>
      </c>
      <c r="K6672" t="b">
        <v>1</v>
      </c>
    </row>
    <row r="6673" spans="8:11" x14ac:dyDescent="0.25">
      <c r="H6673">
        <v>72</v>
      </c>
      <c r="I6673">
        <v>24</v>
      </c>
      <c r="J6673">
        <v>80</v>
      </c>
      <c r="K6673" t="b">
        <v>1</v>
      </c>
    </row>
    <row r="6674" spans="8:11" x14ac:dyDescent="0.25">
      <c r="H6674">
        <v>72</v>
      </c>
      <c r="I6674">
        <v>28</v>
      </c>
      <c r="J6674">
        <v>80</v>
      </c>
      <c r="K6674" t="b">
        <v>1</v>
      </c>
    </row>
    <row r="6675" spans="8:11" x14ac:dyDescent="0.25">
      <c r="H6675">
        <v>72</v>
      </c>
      <c r="I6675">
        <v>32</v>
      </c>
      <c r="J6675">
        <v>80</v>
      </c>
      <c r="K6675" t="b">
        <v>1</v>
      </c>
    </row>
    <row r="6676" spans="8:11" x14ac:dyDescent="0.25">
      <c r="H6676">
        <v>72</v>
      </c>
      <c r="I6676">
        <v>36</v>
      </c>
      <c r="J6676">
        <v>80</v>
      </c>
      <c r="K6676" t="b">
        <v>1</v>
      </c>
    </row>
    <row r="6677" spans="8:11" x14ac:dyDescent="0.25">
      <c r="H6677">
        <v>72</v>
      </c>
      <c r="I6677">
        <v>40</v>
      </c>
      <c r="J6677">
        <v>80</v>
      </c>
      <c r="K6677" t="b">
        <v>1</v>
      </c>
    </row>
    <row r="6678" spans="8:11" x14ac:dyDescent="0.25">
      <c r="H6678">
        <v>72</v>
      </c>
      <c r="I6678">
        <v>44</v>
      </c>
      <c r="J6678">
        <v>80</v>
      </c>
      <c r="K6678" t="b">
        <v>1</v>
      </c>
    </row>
    <row r="6679" spans="8:11" x14ac:dyDescent="0.25">
      <c r="H6679">
        <v>72</v>
      </c>
      <c r="I6679">
        <v>48</v>
      </c>
      <c r="J6679">
        <v>80</v>
      </c>
      <c r="K6679" t="b">
        <v>1</v>
      </c>
    </row>
    <row r="6680" spans="8:11" x14ac:dyDescent="0.25">
      <c r="H6680">
        <v>72</v>
      </c>
      <c r="I6680">
        <v>52</v>
      </c>
      <c r="J6680">
        <v>80</v>
      </c>
      <c r="K6680" t="b">
        <v>1</v>
      </c>
    </row>
    <row r="6681" spans="8:11" x14ac:dyDescent="0.25">
      <c r="H6681">
        <v>72</v>
      </c>
      <c r="I6681">
        <v>56</v>
      </c>
      <c r="J6681">
        <v>80</v>
      </c>
      <c r="K6681" t="b">
        <v>1</v>
      </c>
    </row>
    <row r="6682" spans="8:11" x14ac:dyDescent="0.25">
      <c r="H6682">
        <v>72</v>
      </c>
      <c r="I6682">
        <v>60</v>
      </c>
      <c r="J6682">
        <v>80</v>
      </c>
      <c r="K6682" t="b">
        <v>1</v>
      </c>
    </row>
    <row r="6683" spans="8:11" x14ac:dyDescent="0.25">
      <c r="H6683">
        <v>72</v>
      </c>
      <c r="I6683">
        <v>64</v>
      </c>
      <c r="J6683">
        <v>80</v>
      </c>
      <c r="K6683" t="b">
        <v>1</v>
      </c>
    </row>
    <row r="6684" spans="8:11" x14ac:dyDescent="0.25">
      <c r="H6684">
        <v>72</v>
      </c>
      <c r="I6684">
        <v>68</v>
      </c>
      <c r="J6684">
        <v>80</v>
      </c>
      <c r="K6684" t="b">
        <v>1</v>
      </c>
    </row>
    <row r="6685" spans="8:11" x14ac:dyDescent="0.25">
      <c r="H6685">
        <v>72</v>
      </c>
      <c r="I6685">
        <v>72</v>
      </c>
      <c r="J6685">
        <v>80</v>
      </c>
      <c r="K6685" t="b">
        <v>1</v>
      </c>
    </row>
    <row r="6686" spans="8:11" x14ac:dyDescent="0.25">
      <c r="H6686">
        <v>72</v>
      </c>
      <c r="I6686">
        <v>76</v>
      </c>
      <c r="J6686">
        <v>80</v>
      </c>
      <c r="K6686" t="b">
        <v>1</v>
      </c>
    </row>
    <row r="6687" spans="8:11" x14ac:dyDescent="0.25">
      <c r="H6687">
        <v>72</v>
      </c>
      <c r="I6687">
        <v>80</v>
      </c>
      <c r="J6687">
        <v>80</v>
      </c>
      <c r="K6687" t="b">
        <v>1</v>
      </c>
    </row>
    <row r="6688" spans="8:11" x14ac:dyDescent="0.25">
      <c r="H6688">
        <v>72</v>
      </c>
      <c r="I6688">
        <v>84</v>
      </c>
      <c r="J6688">
        <v>80</v>
      </c>
      <c r="K6688" t="b">
        <v>1</v>
      </c>
    </row>
    <row r="6689" spans="8:11" x14ac:dyDescent="0.25">
      <c r="H6689">
        <v>72</v>
      </c>
      <c r="I6689">
        <v>88</v>
      </c>
      <c r="J6689">
        <v>80</v>
      </c>
      <c r="K6689" t="b">
        <v>1</v>
      </c>
    </row>
    <row r="6690" spans="8:11" x14ac:dyDescent="0.25">
      <c r="H6690">
        <v>72</v>
      </c>
      <c r="I6690">
        <v>92</v>
      </c>
      <c r="J6690">
        <v>80</v>
      </c>
      <c r="K6690" t="b">
        <v>1</v>
      </c>
    </row>
    <row r="6691" spans="8:11" x14ac:dyDescent="0.25">
      <c r="H6691">
        <v>72</v>
      </c>
      <c r="I6691">
        <v>96</v>
      </c>
      <c r="J6691">
        <v>80</v>
      </c>
      <c r="K6691" t="b">
        <v>1</v>
      </c>
    </row>
    <row r="6692" spans="8:11" x14ac:dyDescent="0.25">
      <c r="H6692">
        <v>72</v>
      </c>
      <c r="I6692">
        <v>100</v>
      </c>
      <c r="J6692">
        <v>80</v>
      </c>
      <c r="K6692" t="b">
        <v>1</v>
      </c>
    </row>
    <row r="6693" spans="8:11" x14ac:dyDescent="0.25">
      <c r="H6693">
        <v>72</v>
      </c>
      <c r="I6693">
        <v>104</v>
      </c>
      <c r="J6693">
        <v>80</v>
      </c>
      <c r="K6693" t="b">
        <v>1</v>
      </c>
    </row>
    <row r="6694" spans="8:11" x14ac:dyDescent="0.25">
      <c r="H6694">
        <v>72</v>
      </c>
      <c r="I6694">
        <v>108</v>
      </c>
      <c r="J6694">
        <v>80</v>
      </c>
      <c r="K6694" t="b">
        <v>1</v>
      </c>
    </row>
    <row r="6695" spans="8:11" x14ac:dyDescent="0.25">
      <c r="H6695">
        <v>72</v>
      </c>
      <c r="I6695">
        <v>112</v>
      </c>
      <c r="J6695">
        <v>80</v>
      </c>
      <c r="K6695" t="b">
        <v>1</v>
      </c>
    </row>
    <row r="6696" spans="8:11" x14ac:dyDescent="0.25">
      <c r="H6696">
        <v>72</v>
      </c>
      <c r="I6696">
        <v>116</v>
      </c>
      <c r="J6696">
        <v>80</v>
      </c>
      <c r="K6696" t="b">
        <v>1</v>
      </c>
    </row>
    <row r="6697" spans="8:11" x14ac:dyDescent="0.25">
      <c r="H6697">
        <v>72</v>
      </c>
      <c r="I6697">
        <v>120</v>
      </c>
      <c r="J6697">
        <v>80</v>
      </c>
      <c r="K6697" t="b">
        <v>1</v>
      </c>
    </row>
    <row r="6698" spans="8:11" x14ac:dyDescent="0.25">
      <c r="H6698">
        <v>72</v>
      </c>
      <c r="I6698">
        <v>124</v>
      </c>
      <c r="J6698">
        <v>80</v>
      </c>
      <c r="K6698" t="b">
        <v>1</v>
      </c>
    </row>
    <row r="6699" spans="8:11" x14ac:dyDescent="0.25">
      <c r="H6699">
        <v>72</v>
      </c>
      <c r="I6699">
        <v>128</v>
      </c>
      <c r="J6699">
        <v>80</v>
      </c>
      <c r="K6699" t="b">
        <v>1</v>
      </c>
    </row>
    <row r="6700" spans="8:11" x14ac:dyDescent="0.25">
      <c r="H6700">
        <v>72</v>
      </c>
      <c r="I6700">
        <v>132</v>
      </c>
      <c r="J6700">
        <v>80</v>
      </c>
      <c r="K6700" t="b">
        <v>1</v>
      </c>
    </row>
    <row r="6701" spans="8:11" x14ac:dyDescent="0.25">
      <c r="H6701">
        <v>72</v>
      </c>
      <c r="I6701">
        <v>136</v>
      </c>
      <c r="J6701">
        <v>80</v>
      </c>
      <c r="K6701" t="b">
        <v>1</v>
      </c>
    </row>
    <row r="6702" spans="8:11" x14ac:dyDescent="0.25">
      <c r="H6702">
        <v>72</v>
      </c>
      <c r="I6702">
        <v>140</v>
      </c>
      <c r="J6702">
        <v>80</v>
      </c>
      <c r="K6702" t="b">
        <v>1</v>
      </c>
    </row>
    <row r="6703" spans="8:11" x14ac:dyDescent="0.25">
      <c r="H6703">
        <v>72</v>
      </c>
      <c r="I6703">
        <v>144</v>
      </c>
      <c r="J6703">
        <v>80</v>
      </c>
      <c r="K6703" t="b">
        <v>1</v>
      </c>
    </row>
    <row r="6704" spans="8:11" x14ac:dyDescent="0.25">
      <c r="H6704">
        <v>72</v>
      </c>
      <c r="I6704">
        <v>148</v>
      </c>
      <c r="J6704">
        <v>80</v>
      </c>
      <c r="K6704" t="b">
        <v>1</v>
      </c>
    </row>
    <row r="6705" spans="8:11" x14ac:dyDescent="0.25">
      <c r="H6705">
        <v>72</v>
      </c>
      <c r="I6705">
        <v>152</v>
      </c>
      <c r="J6705">
        <v>80</v>
      </c>
      <c r="K6705" t="b">
        <v>1</v>
      </c>
    </row>
    <row r="6706" spans="8:11" x14ac:dyDescent="0.25">
      <c r="H6706">
        <v>72</v>
      </c>
      <c r="I6706">
        <v>156</v>
      </c>
      <c r="J6706">
        <v>80</v>
      </c>
      <c r="K6706" t="b">
        <v>1</v>
      </c>
    </row>
    <row r="6707" spans="8:11" x14ac:dyDescent="0.25">
      <c r="H6707">
        <v>72</v>
      </c>
      <c r="I6707">
        <v>160</v>
      </c>
      <c r="J6707">
        <v>80</v>
      </c>
      <c r="K6707" t="b">
        <v>1</v>
      </c>
    </row>
    <row r="6708" spans="8:11" x14ac:dyDescent="0.25">
      <c r="H6708">
        <v>72</v>
      </c>
      <c r="I6708">
        <v>164</v>
      </c>
      <c r="J6708">
        <v>80</v>
      </c>
      <c r="K6708" t="b">
        <v>1</v>
      </c>
    </row>
    <row r="6709" spans="8:11" x14ac:dyDescent="0.25">
      <c r="H6709">
        <v>72</v>
      </c>
      <c r="I6709">
        <v>168</v>
      </c>
      <c r="J6709">
        <v>80</v>
      </c>
      <c r="K6709" t="b">
        <v>1</v>
      </c>
    </row>
    <row r="6710" spans="8:11" x14ac:dyDescent="0.25">
      <c r="H6710">
        <v>72</v>
      </c>
      <c r="I6710">
        <v>172</v>
      </c>
      <c r="J6710">
        <v>80</v>
      </c>
      <c r="K6710" t="b">
        <v>1</v>
      </c>
    </row>
    <row r="6711" spans="8:11" x14ac:dyDescent="0.25">
      <c r="H6711">
        <v>72</v>
      </c>
      <c r="I6711">
        <v>176</v>
      </c>
      <c r="J6711">
        <v>80</v>
      </c>
      <c r="K6711" t="b">
        <v>1</v>
      </c>
    </row>
    <row r="6712" spans="8:11" x14ac:dyDescent="0.25">
      <c r="H6712">
        <v>72</v>
      </c>
      <c r="I6712">
        <v>180</v>
      </c>
      <c r="J6712">
        <v>80</v>
      </c>
      <c r="K6712" t="b">
        <v>1</v>
      </c>
    </row>
    <row r="6713" spans="8:11" x14ac:dyDescent="0.25">
      <c r="H6713">
        <v>72</v>
      </c>
      <c r="I6713">
        <v>184</v>
      </c>
      <c r="J6713">
        <v>80</v>
      </c>
      <c r="K6713" t="b">
        <v>1</v>
      </c>
    </row>
    <row r="6714" spans="8:11" x14ac:dyDescent="0.25">
      <c r="H6714">
        <v>72</v>
      </c>
      <c r="I6714">
        <v>188</v>
      </c>
      <c r="J6714">
        <v>80</v>
      </c>
      <c r="K6714" t="b">
        <v>1</v>
      </c>
    </row>
    <row r="6715" spans="8:11" x14ac:dyDescent="0.25">
      <c r="H6715">
        <v>72</v>
      </c>
      <c r="I6715">
        <v>192</v>
      </c>
      <c r="J6715">
        <v>80</v>
      </c>
      <c r="K6715" t="b">
        <v>1</v>
      </c>
    </row>
    <row r="6716" spans="8:11" x14ac:dyDescent="0.25">
      <c r="H6716">
        <v>72</v>
      </c>
      <c r="I6716">
        <v>196</v>
      </c>
      <c r="J6716">
        <v>80</v>
      </c>
      <c r="K6716" t="b">
        <v>1</v>
      </c>
    </row>
    <row r="6717" spans="8:11" x14ac:dyDescent="0.25">
      <c r="H6717">
        <v>72</v>
      </c>
      <c r="I6717">
        <v>200</v>
      </c>
      <c r="J6717">
        <v>80</v>
      </c>
      <c r="K6717" t="b">
        <v>1</v>
      </c>
    </row>
    <row r="6718" spans="8:11" x14ac:dyDescent="0.25">
      <c r="H6718">
        <v>72</v>
      </c>
      <c r="I6718">
        <v>204</v>
      </c>
      <c r="J6718">
        <v>80</v>
      </c>
      <c r="K6718" t="b">
        <v>1</v>
      </c>
    </row>
    <row r="6719" spans="8:11" x14ac:dyDescent="0.25">
      <c r="H6719">
        <v>72</v>
      </c>
      <c r="I6719">
        <v>208</v>
      </c>
      <c r="J6719">
        <v>80</v>
      </c>
      <c r="K6719" t="b">
        <v>1</v>
      </c>
    </row>
    <row r="6720" spans="8:11" x14ac:dyDescent="0.25">
      <c r="H6720">
        <v>72</v>
      </c>
      <c r="I6720">
        <v>212</v>
      </c>
      <c r="J6720">
        <v>80</v>
      </c>
      <c r="K6720" t="b">
        <v>1</v>
      </c>
    </row>
    <row r="6721" spans="8:11" x14ac:dyDescent="0.25">
      <c r="H6721">
        <v>72</v>
      </c>
      <c r="I6721">
        <v>216</v>
      </c>
      <c r="J6721">
        <v>80</v>
      </c>
      <c r="K6721" t="b">
        <v>1</v>
      </c>
    </row>
    <row r="6722" spans="8:11" x14ac:dyDescent="0.25">
      <c r="H6722">
        <v>72</v>
      </c>
      <c r="I6722">
        <v>220</v>
      </c>
      <c r="J6722">
        <v>80</v>
      </c>
      <c r="K6722" t="b">
        <v>1</v>
      </c>
    </row>
    <row r="6723" spans="8:11" x14ac:dyDescent="0.25">
      <c r="H6723">
        <v>72</v>
      </c>
      <c r="I6723">
        <v>224</v>
      </c>
      <c r="J6723">
        <v>80</v>
      </c>
      <c r="K6723" t="b">
        <v>1</v>
      </c>
    </row>
    <row r="6724" spans="8:11" x14ac:dyDescent="0.25">
      <c r="H6724">
        <v>72</v>
      </c>
      <c r="I6724">
        <v>228</v>
      </c>
      <c r="J6724">
        <v>80</v>
      </c>
      <c r="K6724" t="b">
        <v>1</v>
      </c>
    </row>
    <row r="6725" spans="8:11" x14ac:dyDescent="0.25">
      <c r="H6725">
        <v>72</v>
      </c>
      <c r="I6725">
        <v>232</v>
      </c>
      <c r="J6725">
        <v>80</v>
      </c>
      <c r="K6725" t="b">
        <v>1</v>
      </c>
    </row>
    <row r="6726" spans="8:11" x14ac:dyDescent="0.25">
      <c r="H6726">
        <v>72</v>
      </c>
      <c r="I6726">
        <v>236</v>
      </c>
      <c r="J6726">
        <v>80</v>
      </c>
      <c r="K6726" t="b">
        <v>1</v>
      </c>
    </row>
    <row r="6727" spans="8:11" x14ac:dyDescent="0.25">
      <c r="H6727">
        <v>72</v>
      </c>
      <c r="I6727">
        <v>240</v>
      </c>
      <c r="J6727">
        <v>80</v>
      </c>
      <c r="K6727" t="b">
        <v>1</v>
      </c>
    </row>
    <row r="6728" spans="8:11" x14ac:dyDescent="0.25">
      <c r="H6728">
        <v>72</v>
      </c>
      <c r="I6728">
        <v>244</v>
      </c>
      <c r="J6728">
        <v>80</v>
      </c>
      <c r="K6728" t="b">
        <v>1</v>
      </c>
    </row>
    <row r="6729" spans="8:11" x14ac:dyDescent="0.25">
      <c r="H6729">
        <v>72</v>
      </c>
      <c r="I6729">
        <v>248</v>
      </c>
      <c r="J6729">
        <v>80</v>
      </c>
      <c r="K6729" t="b">
        <v>1</v>
      </c>
    </row>
    <row r="6730" spans="8:11" x14ac:dyDescent="0.25">
      <c r="H6730">
        <v>72</v>
      </c>
      <c r="I6730">
        <v>252</v>
      </c>
      <c r="J6730">
        <v>80</v>
      </c>
      <c r="K6730" t="b">
        <v>1</v>
      </c>
    </row>
    <row r="6731" spans="8:11" x14ac:dyDescent="0.25">
      <c r="H6731">
        <v>72</v>
      </c>
      <c r="I6731">
        <v>256</v>
      </c>
      <c r="J6731">
        <v>80</v>
      </c>
      <c r="K6731" t="b">
        <v>1</v>
      </c>
    </row>
    <row r="6732" spans="8:11" x14ac:dyDescent="0.25">
      <c r="H6732">
        <v>72</v>
      </c>
      <c r="I6732">
        <v>260</v>
      </c>
      <c r="J6732">
        <v>80</v>
      </c>
      <c r="K6732" t="b">
        <v>1</v>
      </c>
    </row>
    <row r="6733" spans="8:11" x14ac:dyDescent="0.25">
      <c r="H6733">
        <v>72</v>
      </c>
      <c r="I6733">
        <v>264</v>
      </c>
      <c r="J6733">
        <v>80</v>
      </c>
      <c r="K6733" t="b">
        <v>1</v>
      </c>
    </row>
    <row r="6734" spans="8:11" x14ac:dyDescent="0.25">
      <c r="H6734">
        <v>72</v>
      </c>
      <c r="I6734">
        <v>268</v>
      </c>
      <c r="J6734">
        <v>80</v>
      </c>
      <c r="K6734" t="b">
        <v>1</v>
      </c>
    </row>
    <row r="6735" spans="8:11" x14ac:dyDescent="0.25">
      <c r="H6735">
        <v>72</v>
      </c>
      <c r="I6735">
        <v>272</v>
      </c>
      <c r="J6735">
        <v>80</v>
      </c>
      <c r="K6735" t="b">
        <v>1</v>
      </c>
    </row>
    <row r="6736" spans="8:11" x14ac:dyDescent="0.25">
      <c r="H6736">
        <v>72</v>
      </c>
      <c r="I6736">
        <v>276</v>
      </c>
      <c r="J6736">
        <v>80</v>
      </c>
      <c r="K6736" t="b">
        <v>1</v>
      </c>
    </row>
    <row r="6737" spans="8:11" x14ac:dyDescent="0.25">
      <c r="H6737">
        <v>72</v>
      </c>
      <c r="I6737">
        <v>280</v>
      </c>
      <c r="J6737">
        <v>80</v>
      </c>
      <c r="K6737" t="b">
        <v>1</v>
      </c>
    </row>
    <row r="6738" spans="8:11" x14ac:dyDescent="0.25">
      <c r="H6738">
        <v>72</v>
      </c>
      <c r="I6738">
        <v>284</v>
      </c>
      <c r="J6738">
        <v>80</v>
      </c>
      <c r="K6738" t="b">
        <v>1</v>
      </c>
    </row>
    <row r="6739" spans="8:11" x14ac:dyDescent="0.25">
      <c r="H6739">
        <v>72</v>
      </c>
      <c r="I6739">
        <v>288</v>
      </c>
      <c r="J6739">
        <v>80</v>
      </c>
      <c r="K6739" t="b">
        <v>1</v>
      </c>
    </row>
    <row r="6740" spans="8:11" x14ac:dyDescent="0.25">
      <c r="H6740">
        <v>72</v>
      </c>
      <c r="I6740">
        <v>292</v>
      </c>
      <c r="J6740">
        <v>80</v>
      </c>
      <c r="K6740" t="b">
        <v>1</v>
      </c>
    </row>
    <row r="6741" spans="8:11" x14ac:dyDescent="0.25">
      <c r="H6741">
        <v>72</v>
      </c>
      <c r="I6741">
        <v>296</v>
      </c>
      <c r="J6741">
        <v>80</v>
      </c>
      <c r="K6741" t="b">
        <v>1</v>
      </c>
    </row>
    <row r="6742" spans="8:11" x14ac:dyDescent="0.25">
      <c r="H6742">
        <v>72</v>
      </c>
      <c r="I6742">
        <v>300</v>
      </c>
      <c r="J6742">
        <v>80</v>
      </c>
      <c r="K6742" t="b">
        <v>1</v>
      </c>
    </row>
    <row r="6743" spans="8:11" x14ac:dyDescent="0.25">
      <c r="H6743">
        <v>72</v>
      </c>
      <c r="I6743">
        <v>304</v>
      </c>
      <c r="J6743">
        <v>80</v>
      </c>
      <c r="K6743" t="b">
        <v>1</v>
      </c>
    </row>
    <row r="6744" spans="8:11" x14ac:dyDescent="0.25">
      <c r="H6744">
        <v>72</v>
      </c>
      <c r="I6744">
        <v>308</v>
      </c>
      <c r="J6744">
        <v>80</v>
      </c>
      <c r="K6744" t="b">
        <v>1</v>
      </c>
    </row>
    <row r="6745" spans="8:11" x14ac:dyDescent="0.25">
      <c r="H6745">
        <v>72</v>
      </c>
      <c r="I6745">
        <v>312</v>
      </c>
      <c r="J6745">
        <v>80</v>
      </c>
      <c r="K6745" t="b">
        <v>1</v>
      </c>
    </row>
    <row r="6746" spans="8:11" x14ac:dyDescent="0.25">
      <c r="H6746">
        <v>72</v>
      </c>
      <c r="I6746">
        <v>316</v>
      </c>
      <c r="J6746">
        <v>80</v>
      </c>
      <c r="K6746" t="b">
        <v>1</v>
      </c>
    </row>
    <row r="6747" spans="8:11" x14ac:dyDescent="0.25">
      <c r="H6747">
        <v>72</v>
      </c>
      <c r="I6747">
        <v>320</v>
      </c>
      <c r="J6747">
        <v>80</v>
      </c>
      <c r="K6747" t="b">
        <v>1</v>
      </c>
    </row>
    <row r="6748" spans="8:11" x14ac:dyDescent="0.25">
      <c r="H6748">
        <v>72</v>
      </c>
      <c r="I6748">
        <v>324</v>
      </c>
      <c r="J6748">
        <v>80</v>
      </c>
      <c r="K6748" t="b">
        <v>1</v>
      </c>
    </row>
    <row r="6749" spans="8:11" x14ac:dyDescent="0.25">
      <c r="H6749">
        <v>72</v>
      </c>
      <c r="I6749">
        <v>328</v>
      </c>
      <c r="J6749">
        <v>80</v>
      </c>
      <c r="K6749" t="b">
        <v>1</v>
      </c>
    </row>
    <row r="6750" spans="8:11" x14ac:dyDescent="0.25">
      <c r="H6750">
        <v>72</v>
      </c>
      <c r="I6750">
        <v>332</v>
      </c>
      <c r="J6750">
        <v>80</v>
      </c>
      <c r="K6750" t="b">
        <v>1</v>
      </c>
    </row>
    <row r="6751" spans="8:11" x14ac:dyDescent="0.25">
      <c r="H6751">
        <v>72</v>
      </c>
      <c r="I6751">
        <v>336</v>
      </c>
      <c r="J6751">
        <v>80</v>
      </c>
      <c r="K6751" t="b">
        <v>1</v>
      </c>
    </row>
    <row r="6752" spans="8:11" x14ac:dyDescent="0.25">
      <c r="H6752">
        <v>72</v>
      </c>
      <c r="I6752">
        <v>340</v>
      </c>
      <c r="J6752">
        <v>80</v>
      </c>
      <c r="K6752" t="b">
        <v>1</v>
      </c>
    </row>
    <row r="6753" spans="8:11" x14ac:dyDescent="0.25">
      <c r="H6753">
        <v>72</v>
      </c>
      <c r="I6753">
        <v>344</v>
      </c>
      <c r="J6753">
        <v>80</v>
      </c>
      <c r="K6753" t="b">
        <v>1</v>
      </c>
    </row>
    <row r="6754" spans="8:11" x14ac:dyDescent="0.25">
      <c r="H6754">
        <v>72</v>
      </c>
      <c r="I6754">
        <v>348</v>
      </c>
      <c r="J6754">
        <v>80</v>
      </c>
      <c r="K6754" t="b">
        <v>1</v>
      </c>
    </row>
    <row r="6755" spans="8:11" x14ac:dyDescent="0.25">
      <c r="H6755">
        <v>72</v>
      </c>
      <c r="I6755">
        <v>352</v>
      </c>
      <c r="J6755">
        <v>80</v>
      </c>
      <c r="K6755" t="b">
        <v>1</v>
      </c>
    </row>
    <row r="6756" spans="8:11" x14ac:dyDescent="0.25">
      <c r="H6756">
        <v>72</v>
      </c>
      <c r="I6756">
        <v>356</v>
      </c>
      <c r="J6756">
        <v>80</v>
      </c>
      <c r="K6756" t="b">
        <v>1</v>
      </c>
    </row>
    <row r="6757" spans="8:11" x14ac:dyDescent="0.25">
      <c r="H6757">
        <v>72</v>
      </c>
      <c r="I6757">
        <v>360</v>
      </c>
      <c r="J6757">
        <v>80</v>
      </c>
      <c r="K6757" t="b">
        <v>1</v>
      </c>
    </row>
    <row r="6758" spans="8:11" x14ac:dyDescent="0.25">
      <c r="H6758">
        <v>72</v>
      </c>
      <c r="I6758">
        <v>364</v>
      </c>
      <c r="J6758">
        <v>80</v>
      </c>
      <c r="K6758" t="b">
        <v>1</v>
      </c>
    </row>
    <row r="6759" spans="8:11" x14ac:dyDescent="0.25">
      <c r="H6759">
        <v>72</v>
      </c>
      <c r="I6759">
        <v>368</v>
      </c>
      <c r="J6759">
        <v>80</v>
      </c>
      <c r="K6759" t="b">
        <v>1</v>
      </c>
    </row>
    <row r="6760" spans="8:11" x14ac:dyDescent="0.25">
      <c r="H6760">
        <v>72</v>
      </c>
      <c r="I6760">
        <v>372</v>
      </c>
      <c r="J6760">
        <v>80</v>
      </c>
      <c r="K6760" t="b">
        <v>1</v>
      </c>
    </row>
    <row r="6761" spans="8:11" x14ac:dyDescent="0.25">
      <c r="H6761">
        <v>72</v>
      </c>
      <c r="I6761">
        <v>376</v>
      </c>
      <c r="J6761">
        <v>80</v>
      </c>
      <c r="K6761" t="b">
        <v>1</v>
      </c>
    </row>
    <row r="6762" spans="8:11" x14ac:dyDescent="0.25">
      <c r="H6762">
        <v>72</v>
      </c>
      <c r="I6762">
        <v>380</v>
      </c>
      <c r="J6762">
        <v>80</v>
      </c>
      <c r="K6762" t="b">
        <v>1</v>
      </c>
    </row>
    <row r="6763" spans="8:11" x14ac:dyDescent="0.25">
      <c r="H6763">
        <v>72</v>
      </c>
      <c r="I6763">
        <v>384</v>
      </c>
      <c r="J6763">
        <v>80</v>
      </c>
      <c r="K6763" t="b">
        <v>1</v>
      </c>
    </row>
    <row r="6764" spans="8:11" x14ac:dyDescent="0.25">
      <c r="H6764">
        <v>72</v>
      </c>
      <c r="I6764">
        <v>388</v>
      </c>
      <c r="J6764">
        <v>80</v>
      </c>
      <c r="K6764" t="b">
        <v>1</v>
      </c>
    </row>
    <row r="6765" spans="8:11" x14ac:dyDescent="0.25">
      <c r="H6765">
        <v>72</v>
      </c>
      <c r="I6765">
        <v>392</v>
      </c>
      <c r="J6765">
        <v>80</v>
      </c>
      <c r="K6765" t="b">
        <v>1</v>
      </c>
    </row>
    <row r="6766" spans="8:11" x14ac:dyDescent="0.25">
      <c r="H6766">
        <v>72</v>
      </c>
      <c r="I6766">
        <v>396</v>
      </c>
      <c r="J6766">
        <v>80</v>
      </c>
      <c r="K6766" t="b">
        <v>1</v>
      </c>
    </row>
    <row r="6767" spans="8:11" x14ac:dyDescent="0.25">
      <c r="H6767">
        <v>72</v>
      </c>
      <c r="I6767">
        <v>400</v>
      </c>
      <c r="J6767">
        <v>80</v>
      </c>
      <c r="K6767" t="b">
        <v>1</v>
      </c>
    </row>
    <row r="6768" spans="8:11" x14ac:dyDescent="0.25">
      <c r="H6768">
        <v>72</v>
      </c>
      <c r="I6768">
        <v>404</v>
      </c>
      <c r="J6768">
        <v>80</v>
      </c>
      <c r="K6768" t="b">
        <v>1</v>
      </c>
    </row>
    <row r="6769" spans="8:11" x14ac:dyDescent="0.25">
      <c r="H6769">
        <v>72</v>
      </c>
      <c r="I6769">
        <v>408</v>
      </c>
      <c r="J6769">
        <v>80</v>
      </c>
      <c r="K6769" t="b">
        <v>1</v>
      </c>
    </row>
    <row r="6770" spans="8:11" x14ac:dyDescent="0.25">
      <c r="H6770">
        <v>72</v>
      </c>
      <c r="I6770">
        <v>412</v>
      </c>
      <c r="J6770">
        <v>80</v>
      </c>
      <c r="K6770" t="b">
        <v>1</v>
      </c>
    </row>
    <row r="6771" spans="8:11" x14ac:dyDescent="0.25">
      <c r="H6771">
        <v>72</v>
      </c>
      <c r="I6771">
        <v>416</v>
      </c>
      <c r="J6771">
        <v>80</v>
      </c>
      <c r="K6771" t="b">
        <v>1</v>
      </c>
    </row>
    <row r="6772" spans="8:11" x14ac:dyDescent="0.25">
      <c r="H6772">
        <v>72</v>
      </c>
      <c r="I6772">
        <v>420</v>
      </c>
      <c r="J6772">
        <v>80</v>
      </c>
      <c r="K6772" t="b">
        <v>1</v>
      </c>
    </row>
    <row r="6773" spans="8:11" x14ac:dyDescent="0.25">
      <c r="H6773">
        <v>72</v>
      </c>
      <c r="I6773">
        <v>424</v>
      </c>
      <c r="J6773">
        <v>80</v>
      </c>
      <c r="K6773" t="b">
        <v>1</v>
      </c>
    </row>
    <row r="6774" spans="8:11" x14ac:dyDescent="0.25">
      <c r="H6774">
        <v>72</v>
      </c>
      <c r="I6774">
        <v>428</v>
      </c>
      <c r="J6774">
        <v>80</v>
      </c>
      <c r="K6774" t="b">
        <v>1</v>
      </c>
    </row>
    <row r="6775" spans="8:11" x14ac:dyDescent="0.25">
      <c r="H6775">
        <v>72</v>
      </c>
      <c r="I6775">
        <v>432</v>
      </c>
      <c r="J6775">
        <v>80</v>
      </c>
      <c r="K6775" t="b">
        <v>1</v>
      </c>
    </row>
    <row r="6776" spans="8:11" x14ac:dyDescent="0.25">
      <c r="H6776">
        <v>72</v>
      </c>
      <c r="I6776">
        <v>436</v>
      </c>
      <c r="J6776">
        <v>80</v>
      </c>
      <c r="K6776" t="b">
        <v>1</v>
      </c>
    </row>
    <row r="6777" spans="8:11" x14ac:dyDescent="0.25">
      <c r="H6777">
        <v>72</v>
      </c>
      <c r="I6777">
        <v>440</v>
      </c>
      <c r="J6777">
        <v>80</v>
      </c>
      <c r="K6777" t="b">
        <v>1</v>
      </c>
    </row>
    <row r="6778" spans="8:11" x14ac:dyDescent="0.25">
      <c r="H6778">
        <v>72</v>
      </c>
      <c r="I6778">
        <v>444</v>
      </c>
      <c r="J6778">
        <v>80</v>
      </c>
      <c r="K6778" t="b">
        <v>1</v>
      </c>
    </row>
    <row r="6779" spans="8:11" x14ac:dyDescent="0.25">
      <c r="H6779">
        <v>72</v>
      </c>
      <c r="I6779">
        <v>448</v>
      </c>
      <c r="J6779">
        <v>80</v>
      </c>
      <c r="K6779" t="b">
        <v>1</v>
      </c>
    </row>
    <row r="6780" spans="8:11" x14ac:dyDescent="0.25">
      <c r="H6780">
        <v>72</v>
      </c>
      <c r="I6780">
        <v>452</v>
      </c>
      <c r="J6780">
        <v>80</v>
      </c>
      <c r="K6780" t="b">
        <v>1</v>
      </c>
    </row>
    <row r="6781" spans="8:11" x14ac:dyDescent="0.25">
      <c r="H6781">
        <v>72</v>
      </c>
      <c r="I6781">
        <v>456</v>
      </c>
      <c r="J6781">
        <v>80</v>
      </c>
      <c r="K6781" t="b">
        <v>1</v>
      </c>
    </row>
    <row r="6782" spans="8:11" x14ac:dyDescent="0.25">
      <c r="H6782">
        <v>72</v>
      </c>
      <c r="I6782">
        <v>460</v>
      </c>
      <c r="J6782">
        <v>80</v>
      </c>
      <c r="K6782" t="b">
        <v>1</v>
      </c>
    </row>
    <row r="6783" spans="8:11" x14ac:dyDescent="0.25">
      <c r="H6783">
        <v>72</v>
      </c>
      <c r="I6783">
        <v>464</v>
      </c>
      <c r="J6783">
        <v>80</v>
      </c>
      <c r="K6783" t="b">
        <v>1</v>
      </c>
    </row>
    <row r="6784" spans="8:11" x14ac:dyDescent="0.25">
      <c r="H6784">
        <v>72</v>
      </c>
      <c r="I6784">
        <v>468</v>
      </c>
      <c r="J6784">
        <v>80</v>
      </c>
      <c r="K6784" t="b">
        <v>1</v>
      </c>
    </row>
    <row r="6785" spans="8:11" x14ac:dyDescent="0.25">
      <c r="H6785">
        <v>72</v>
      </c>
      <c r="I6785">
        <v>472</v>
      </c>
      <c r="J6785">
        <v>80</v>
      </c>
      <c r="K6785" t="b">
        <v>1</v>
      </c>
    </row>
    <row r="6786" spans="8:11" x14ac:dyDescent="0.25">
      <c r="H6786">
        <v>72</v>
      </c>
      <c r="I6786">
        <v>476</v>
      </c>
      <c r="J6786">
        <v>80</v>
      </c>
      <c r="K6786" t="b">
        <v>1</v>
      </c>
    </row>
    <row r="6787" spans="8:11" x14ac:dyDescent="0.25">
      <c r="H6787">
        <v>72</v>
      </c>
      <c r="I6787">
        <v>480</v>
      </c>
      <c r="J6787">
        <v>80</v>
      </c>
      <c r="K6787" t="b">
        <v>1</v>
      </c>
    </row>
    <row r="6788" spans="8:11" x14ac:dyDescent="0.25">
      <c r="H6788">
        <v>72</v>
      </c>
      <c r="I6788">
        <v>484</v>
      </c>
      <c r="J6788">
        <v>80</v>
      </c>
      <c r="K6788" t="b">
        <v>1</v>
      </c>
    </row>
    <row r="6789" spans="8:11" x14ac:dyDescent="0.25">
      <c r="H6789">
        <v>72</v>
      </c>
      <c r="I6789">
        <v>488</v>
      </c>
      <c r="J6789">
        <v>80</v>
      </c>
      <c r="K6789" t="b">
        <v>1</v>
      </c>
    </row>
    <row r="6790" spans="8:11" x14ac:dyDescent="0.25">
      <c r="H6790">
        <v>72</v>
      </c>
      <c r="I6790">
        <v>492</v>
      </c>
      <c r="J6790">
        <v>80</v>
      </c>
      <c r="K6790" t="b">
        <v>1</v>
      </c>
    </row>
    <row r="6791" spans="8:11" x14ac:dyDescent="0.25">
      <c r="H6791">
        <v>72</v>
      </c>
      <c r="I6791">
        <v>496</v>
      </c>
      <c r="J6791">
        <v>80</v>
      </c>
      <c r="K6791" t="b">
        <v>1</v>
      </c>
    </row>
    <row r="6792" spans="8:11" x14ac:dyDescent="0.25">
      <c r="H6792">
        <v>72</v>
      </c>
      <c r="I6792">
        <v>500</v>
      </c>
      <c r="J6792">
        <v>80</v>
      </c>
      <c r="K6792" t="b">
        <v>1</v>
      </c>
    </row>
    <row r="6793" spans="8:11" x14ac:dyDescent="0.25">
      <c r="H6793">
        <v>72</v>
      </c>
      <c r="I6793">
        <v>504</v>
      </c>
      <c r="J6793">
        <v>80</v>
      </c>
      <c r="K6793" t="b">
        <v>1</v>
      </c>
    </row>
    <row r="6794" spans="8:11" x14ac:dyDescent="0.25">
      <c r="H6794">
        <v>72</v>
      </c>
      <c r="I6794">
        <v>508</v>
      </c>
      <c r="J6794">
        <v>80</v>
      </c>
      <c r="K6794" t="b">
        <v>1</v>
      </c>
    </row>
    <row r="6795" spans="8:11" x14ac:dyDescent="0.25">
      <c r="H6795">
        <v>72</v>
      </c>
      <c r="I6795">
        <v>512</v>
      </c>
      <c r="J6795">
        <v>80</v>
      </c>
      <c r="K6795" t="b">
        <v>1</v>
      </c>
    </row>
    <row r="6796" spans="8:11" x14ac:dyDescent="0.25">
      <c r="H6796">
        <v>72</v>
      </c>
      <c r="I6796">
        <v>516</v>
      </c>
      <c r="J6796">
        <v>80</v>
      </c>
      <c r="K6796" t="b">
        <v>1</v>
      </c>
    </row>
    <row r="6797" spans="8:11" x14ac:dyDescent="0.25">
      <c r="H6797">
        <v>72</v>
      </c>
      <c r="I6797">
        <v>520</v>
      </c>
      <c r="J6797">
        <v>80</v>
      </c>
      <c r="K6797" t="b">
        <v>1</v>
      </c>
    </row>
    <row r="6798" spans="8:11" x14ac:dyDescent="0.25">
      <c r="H6798">
        <v>72</v>
      </c>
      <c r="I6798">
        <v>524</v>
      </c>
      <c r="J6798">
        <v>80</v>
      </c>
      <c r="K6798" t="b">
        <v>1</v>
      </c>
    </row>
    <row r="6799" spans="8:11" x14ac:dyDescent="0.25">
      <c r="H6799">
        <v>72</v>
      </c>
      <c r="I6799">
        <v>528</v>
      </c>
      <c r="J6799">
        <v>80</v>
      </c>
      <c r="K6799" t="b">
        <v>1</v>
      </c>
    </row>
    <row r="6800" spans="8:11" x14ac:dyDescent="0.25">
      <c r="H6800">
        <v>72</v>
      </c>
      <c r="I6800">
        <v>532</v>
      </c>
      <c r="J6800">
        <v>80</v>
      </c>
      <c r="K6800" t="b">
        <v>1</v>
      </c>
    </row>
    <row r="6801" spans="8:11" x14ac:dyDescent="0.25">
      <c r="H6801">
        <v>72</v>
      </c>
      <c r="I6801">
        <v>536</v>
      </c>
      <c r="J6801">
        <v>80</v>
      </c>
      <c r="K6801" t="b">
        <v>1</v>
      </c>
    </row>
    <row r="6802" spans="8:11" x14ac:dyDescent="0.25">
      <c r="H6802">
        <v>72</v>
      </c>
      <c r="I6802">
        <v>540</v>
      </c>
      <c r="J6802">
        <v>80</v>
      </c>
      <c r="K6802" t="b">
        <v>1</v>
      </c>
    </row>
    <row r="6803" spans="8:11" x14ac:dyDescent="0.25">
      <c r="H6803">
        <v>72</v>
      </c>
      <c r="I6803">
        <v>544</v>
      </c>
      <c r="J6803">
        <v>80</v>
      </c>
      <c r="K6803" t="b">
        <v>1</v>
      </c>
    </row>
    <row r="6804" spans="8:11" x14ac:dyDescent="0.25">
      <c r="H6804">
        <v>72</v>
      </c>
      <c r="I6804">
        <v>548</v>
      </c>
      <c r="J6804">
        <v>80</v>
      </c>
      <c r="K6804" t="b">
        <v>1</v>
      </c>
    </row>
    <row r="6805" spans="8:11" x14ac:dyDescent="0.25">
      <c r="H6805">
        <v>72</v>
      </c>
      <c r="I6805">
        <v>552</v>
      </c>
      <c r="J6805">
        <v>80</v>
      </c>
      <c r="K6805" t="b">
        <v>1</v>
      </c>
    </row>
    <row r="6806" spans="8:11" x14ac:dyDescent="0.25">
      <c r="H6806">
        <v>72</v>
      </c>
      <c r="I6806">
        <v>556</v>
      </c>
      <c r="J6806">
        <v>80</v>
      </c>
      <c r="K6806" t="b">
        <v>1</v>
      </c>
    </row>
    <row r="6807" spans="8:11" x14ac:dyDescent="0.25">
      <c r="H6807">
        <v>72</v>
      </c>
      <c r="I6807">
        <v>560</v>
      </c>
      <c r="J6807">
        <v>80</v>
      </c>
      <c r="K6807" t="b">
        <v>1</v>
      </c>
    </row>
    <row r="6808" spans="8:11" x14ac:dyDescent="0.25">
      <c r="H6808">
        <v>72</v>
      </c>
      <c r="I6808">
        <v>564</v>
      </c>
      <c r="J6808">
        <v>80</v>
      </c>
      <c r="K6808" t="b">
        <v>1</v>
      </c>
    </row>
    <row r="6809" spans="8:11" x14ac:dyDescent="0.25">
      <c r="H6809">
        <v>72</v>
      </c>
      <c r="I6809">
        <v>568</v>
      </c>
      <c r="J6809">
        <v>80</v>
      </c>
      <c r="K6809" t="b">
        <v>1</v>
      </c>
    </row>
    <row r="6810" spans="8:11" x14ac:dyDescent="0.25">
      <c r="H6810">
        <v>72</v>
      </c>
      <c r="I6810">
        <v>572</v>
      </c>
      <c r="J6810">
        <v>80</v>
      </c>
      <c r="K6810" t="b">
        <v>1</v>
      </c>
    </row>
    <row r="6811" spans="8:11" x14ac:dyDescent="0.25">
      <c r="H6811">
        <v>72</v>
      </c>
      <c r="I6811">
        <v>576</v>
      </c>
      <c r="J6811">
        <v>80</v>
      </c>
      <c r="K6811" t="b">
        <v>1</v>
      </c>
    </row>
    <row r="6812" spans="8:11" x14ac:dyDescent="0.25">
      <c r="H6812">
        <v>72</v>
      </c>
      <c r="I6812">
        <v>580</v>
      </c>
      <c r="J6812">
        <v>80</v>
      </c>
      <c r="K6812" t="b">
        <v>1</v>
      </c>
    </row>
    <row r="6813" spans="8:11" x14ac:dyDescent="0.25">
      <c r="H6813">
        <v>72</v>
      </c>
      <c r="I6813">
        <v>584</v>
      </c>
      <c r="J6813">
        <v>80</v>
      </c>
      <c r="K6813" t="b">
        <v>1</v>
      </c>
    </row>
    <row r="6814" spans="8:11" x14ac:dyDescent="0.25">
      <c r="H6814">
        <v>72</v>
      </c>
      <c r="I6814">
        <v>588</v>
      </c>
      <c r="J6814">
        <v>80</v>
      </c>
      <c r="K6814" t="b">
        <v>1</v>
      </c>
    </row>
    <row r="6815" spans="8:11" x14ac:dyDescent="0.25">
      <c r="H6815">
        <v>72</v>
      </c>
      <c r="I6815">
        <v>592</v>
      </c>
      <c r="J6815">
        <v>80</v>
      </c>
      <c r="K6815" t="b">
        <v>1</v>
      </c>
    </row>
    <row r="6816" spans="8:11" x14ac:dyDescent="0.25">
      <c r="H6816">
        <v>72</v>
      </c>
      <c r="I6816">
        <v>596</v>
      </c>
      <c r="J6816">
        <v>80</v>
      </c>
      <c r="K6816" t="b">
        <v>1</v>
      </c>
    </row>
    <row r="6817" spans="8:11" x14ac:dyDescent="0.25">
      <c r="H6817">
        <v>72</v>
      </c>
      <c r="I6817">
        <v>600</v>
      </c>
      <c r="J6817">
        <v>80</v>
      </c>
      <c r="K6817" t="b">
        <v>1</v>
      </c>
    </row>
    <row r="6818" spans="8:11" x14ac:dyDescent="0.25">
      <c r="H6818">
        <v>72</v>
      </c>
      <c r="I6818">
        <v>604</v>
      </c>
      <c r="J6818">
        <v>80</v>
      </c>
      <c r="K6818" t="b">
        <v>1</v>
      </c>
    </row>
    <row r="6819" spans="8:11" x14ac:dyDescent="0.25">
      <c r="H6819">
        <v>72</v>
      </c>
      <c r="I6819">
        <v>608</v>
      </c>
      <c r="J6819">
        <v>80</v>
      </c>
      <c r="K6819" t="b">
        <v>1</v>
      </c>
    </row>
    <row r="6820" spans="8:11" x14ac:dyDescent="0.25">
      <c r="H6820">
        <v>72</v>
      </c>
      <c r="I6820">
        <v>612</v>
      </c>
      <c r="J6820">
        <v>80</v>
      </c>
      <c r="K6820" t="b">
        <v>1</v>
      </c>
    </row>
    <row r="6821" spans="8:11" x14ac:dyDescent="0.25">
      <c r="H6821">
        <v>72</v>
      </c>
      <c r="I6821">
        <v>616</v>
      </c>
      <c r="J6821">
        <v>80</v>
      </c>
      <c r="K6821" t="b">
        <v>1</v>
      </c>
    </row>
    <row r="6822" spans="8:11" x14ac:dyDescent="0.25">
      <c r="H6822">
        <v>72</v>
      </c>
      <c r="I6822">
        <v>620</v>
      </c>
      <c r="J6822">
        <v>80</v>
      </c>
      <c r="K6822" t="b">
        <v>1</v>
      </c>
    </row>
    <row r="6823" spans="8:11" x14ac:dyDescent="0.25">
      <c r="H6823">
        <v>72</v>
      </c>
      <c r="I6823">
        <v>624</v>
      </c>
      <c r="J6823">
        <v>80</v>
      </c>
      <c r="K6823" t="b">
        <v>1</v>
      </c>
    </row>
    <row r="6824" spans="8:11" x14ac:dyDescent="0.25">
      <c r="H6824">
        <v>72</v>
      </c>
      <c r="I6824">
        <v>628</v>
      </c>
      <c r="J6824">
        <v>80</v>
      </c>
      <c r="K6824" t="b">
        <v>1</v>
      </c>
    </row>
    <row r="6825" spans="8:11" x14ac:dyDescent="0.25">
      <c r="H6825">
        <v>72</v>
      </c>
      <c r="I6825">
        <v>632</v>
      </c>
      <c r="J6825">
        <v>80</v>
      </c>
      <c r="K6825" t="b">
        <v>1</v>
      </c>
    </row>
    <row r="6826" spans="8:11" x14ac:dyDescent="0.25">
      <c r="H6826">
        <v>72</v>
      </c>
      <c r="I6826">
        <v>636</v>
      </c>
      <c r="J6826">
        <v>80</v>
      </c>
      <c r="K6826" t="b">
        <v>1</v>
      </c>
    </row>
    <row r="6827" spans="8:11" x14ac:dyDescent="0.25">
      <c r="H6827">
        <v>72</v>
      </c>
      <c r="I6827">
        <v>640</v>
      </c>
      <c r="J6827">
        <v>80</v>
      </c>
      <c r="K6827" t="b">
        <v>1</v>
      </c>
    </row>
    <row r="6828" spans="8:11" x14ac:dyDescent="0.25">
      <c r="H6828">
        <v>72</v>
      </c>
      <c r="I6828">
        <v>644</v>
      </c>
      <c r="J6828">
        <v>80</v>
      </c>
      <c r="K6828" t="b">
        <v>1</v>
      </c>
    </row>
    <row r="6829" spans="8:11" x14ac:dyDescent="0.25">
      <c r="H6829">
        <v>72</v>
      </c>
      <c r="I6829">
        <v>648</v>
      </c>
      <c r="J6829">
        <v>80</v>
      </c>
      <c r="K6829" t="b">
        <v>1</v>
      </c>
    </row>
    <row r="6830" spans="8:11" x14ac:dyDescent="0.25">
      <c r="H6830">
        <v>72</v>
      </c>
      <c r="I6830">
        <v>652</v>
      </c>
      <c r="J6830">
        <v>80</v>
      </c>
      <c r="K6830" t="b">
        <v>1</v>
      </c>
    </row>
    <row r="6831" spans="8:11" x14ac:dyDescent="0.25">
      <c r="H6831">
        <v>72</v>
      </c>
      <c r="I6831">
        <v>656</v>
      </c>
      <c r="J6831">
        <v>80</v>
      </c>
      <c r="K6831" t="b">
        <v>1</v>
      </c>
    </row>
    <row r="6832" spans="8:11" x14ac:dyDescent="0.25">
      <c r="H6832">
        <v>72</v>
      </c>
      <c r="I6832">
        <v>660</v>
      </c>
      <c r="J6832">
        <v>80</v>
      </c>
      <c r="K6832" t="b">
        <v>1</v>
      </c>
    </row>
    <row r="6833" spans="8:11" x14ac:dyDescent="0.25">
      <c r="H6833">
        <v>72</v>
      </c>
      <c r="I6833">
        <v>664</v>
      </c>
      <c r="J6833">
        <v>80</v>
      </c>
      <c r="K6833" t="b">
        <v>1</v>
      </c>
    </row>
    <row r="6834" spans="8:11" x14ac:dyDescent="0.25">
      <c r="H6834">
        <v>72</v>
      </c>
      <c r="I6834">
        <v>668</v>
      </c>
      <c r="J6834">
        <v>80</v>
      </c>
      <c r="K6834" t="b">
        <v>1</v>
      </c>
    </row>
    <row r="6835" spans="8:11" x14ac:dyDescent="0.25">
      <c r="H6835">
        <v>72</v>
      </c>
      <c r="I6835">
        <v>672</v>
      </c>
      <c r="J6835">
        <v>80</v>
      </c>
      <c r="K6835" t="b">
        <v>1</v>
      </c>
    </row>
    <row r="6836" spans="8:11" x14ac:dyDescent="0.25">
      <c r="H6836">
        <v>72</v>
      </c>
      <c r="I6836">
        <v>676</v>
      </c>
      <c r="J6836">
        <v>80</v>
      </c>
      <c r="K6836" t="b">
        <v>1</v>
      </c>
    </row>
    <row r="6837" spans="8:11" x14ac:dyDescent="0.25">
      <c r="H6837">
        <v>72</v>
      </c>
      <c r="I6837">
        <v>680</v>
      </c>
      <c r="J6837">
        <v>80</v>
      </c>
      <c r="K6837" t="b">
        <v>1</v>
      </c>
    </row>
    <row r="6838" spans="8:11" x14ac:dyDescent="0.25">
      <c r="H6838">
        <v>72</v>
      </c>
      <c r="I6838">
        <v>684</v>
      </c>
      <c r="J6838">
        <v>80</v>
      </c>
      <c r="K6838" t="b">
        <v>1</v>
      </c>
    </row>
    <row r="6839" spans="8:11" x14ac:dyDescent="0.25">
      <c r="H6839">
        <v>72</v>
      </c>
      <c r="I6839">
        <v>688</v>
      </c>
      <c r="J6839">
        <v>80</v>
      </c>
      <c r="K6839" t="b">
        <v>1</v>
      </c>
    </row>
    <row r="6840" spans="8:11" x14ac:dyDescent="0.25">
      <c r="H6840">
        <v>72</v>
      </c>
      <c r="I6840">
        <v>692</v>
      </c>
      <c r="J6840">
        <v>80</v>
      </c>
      <c r="K6840" t="b">
        <v>1</v>
      </c>
    </row>
    <row r="6841" spans="8:11" x14ac:dyDescent="0.25">
      <c r="H6841">
        <v>72</v>
      </c>
      <c r="I6841">
        <v>696</v>
      </c>
      <c r="J6841">
        <v>80</v>
      </c>
      <c r="K6841" t="b">
        <v>1</v>
      </c>
    </row>
    <row r="6842" spans="8:11" x14ac:dyDescent="0.25">
      <c r="H6842">
        <v>72</v>
      </c>
      <c r="I6842">
        <v>700</v>
      </c>
      <c r="J6842">
        <v>80</v>
      </c>
      <c r="K6842" t="b">
        <v>1</v>
      </c>
    </row>
    <row r="6843" spans="8:11" x14ac:dyDescent="0.25">
      <c r="H6843">
        <v>72</v>
      </c>
      <c r="I6843">
        <v>704</v>
      </c>
      <c r="J6843">
        <v>80</v>
      </c>
      <c r="K6843" t="b">
        <v>1</v>
      </c>
    </row>
    <row r="6844" spans="8:11" x14ac:dyDescent="0.25">
      <c r="H6844">
        <v>72</v>
      </c>
      <c r="I6844">
        <v>708</v>
      </c>
      <c r="J6844">
        <v>80</v>
      </c>
      <c r="K6844" t="b">
        <v>1</v>
      </c>
    </row>
    <row r="6845" spans="8:11" x14ac:dyDescent="0.25">
      <c r="H6845">
        <v>72</v>
      </c>
      <c r="I6845">
        <v>712</v>
      </c>
      <c r="J6845">
        <v>80</v>
      </c>
      <c r="K6845" t="b">
        <v>1</v>
      </c>
    </row>
    <row r="6846" spans="8:11" x14ac:dyDescent="0.25">
      <c r="H6846">
        <v>72</v>
      </c>
      <c r="I6846">
        <v>716</v>
      </c>
      <c r="J6846">
        <v>80</v>
      </c>
      <c r="K6846" t="b">
        <v>1</v>
      </c>
    </row>
    <row r="6847" spans="8:11" x14ac:dyDescent="0.25">
      <c r="H6847">
        <v>72</v>
      </c>
      <c r="I6847">
        <v>720</v>
      </c>
      <c r="J6847">
        <v>80</v>
      </c>
      <c r="K6847" t="b">
        <v>1</v>
      </c>
    </row>
    <row r="6848" spans="8:11" x14ac:dyDescent="0.25">
      <c r="H6848">
        <v>72</v>
      </c>
      <c r="I6848">
        <v>724</v>
      </c>
      <c r="J6848">
        <v>80</v>
      </c>
      <c r="K6848" t="b">
        <v>1</v>
      </c>
    </row>
    <row r="6849" spans="8:11" x14ac:dyDescent="0.25">
      <c r="H6849">
        <v>72</v>
      </c>
      <c r="I6849">
        <v>728</v>
      </c>
      <c r="J6849">
        <v>80</v>
      </c>
      <c r="K6849" t="b">
        <v>1</v>
      </c>
    </row>
    <row r="6850" spans="8:11" x14ac:dyDescent="0.25">
      <c r="H6850">
        <v>72</v>
      </c>
      <c r="I6850">
        <v>732</v>
      </c>
      <c r="J6850">
        <v>80</v>
      </c>
      <c r="K6850" t="b">
        <v>1</v>
      </c>
    </row>
    <row r="6851" spans="8:11" x14ac:dyDescent="0.25">
      <c r="H6851">
        <v>72</v>
      </c>
      <c r="I6851">
        <v>736</v>
      </c>
      <c r="J6851">
        <v>80</v>
      </c>
      <c r="K6851" t="b">
        <v>1</v>
      </c>
    </row>
    <row r="6852" spans="8:11" x14ac:dyDescent="0.25">
      <c r="H6852">
        <v>72</v>
      </c>
      <c r="I6852">
        <v>740</v>
      </c>
      <c r="J6852">
        <v>80</v>
      </c>
      <c r="K6852" t="b">
        <v>1</v>
      </c>
    </row>
    <row r="6853" spans="8:11" x14ac:dyDescent="0.25">
      <c r="H6853">
        <v>72</v>
      </c>
      <c r="I6853">
        <v>744</v>
      </c>
      <c r="J6853">
        <v>80</v>
      </c>
      <c r="K6853" t="b">
        <v>1</v>
      </c>
    </row>
    <row r="6854" spans="8:11" x14ac:dyDescent="0.25">
      <c r="H6854">
        <v>72</v>
      </c>
      <c r="I6854">
        <v>748</v>
      </c>
      <c r="J6854">
        <v>80</v>
      </c>
      <c r="K6854" t="b">
        <v>1</v>
      </c>
    </row>
    <row r="6855" spans="8:11" x14ac:dyDescent="0.25">
      <c r="H6855">
        <v>72</v>
      </c>
      <c r="I6855">
        <v>752</v>
      </c>
      <c r="J6855">
        <v>80</v>
      </c>
      <c r="K6855" t="b">
        <v>1</v>
      </c>
    </row>
    <row r="6856" spans="8:11" x14ac:dyDescent="0.25">
      <c r="H6856">
        <v>72</v>
      </c>
      <c r="I6856">
        <v>756</v>
      </c>
      <c r="J6856">
        <v>80</v>
      </c>
      <c r="K6856" t="b">
        <v>1</v>
      </c>
    </row>
    <row r="6857" spans="8:11" x14ac:dyDescent="0.25">
      <c r="H6857">
        <v>72</v>
      </c>
      <c r="I6857">
        <v>760</v>
      </c>
      <c r="J6857">
        <v>80</v>
      </c>
      <c r="K6857" t="b">
        <v>1</v>
      </c>
    </row>
    <row r="6858" spans="8:11" x14ac:dyDescent="0.25">
      <c r="H6858">
        <v>72</v>
      </c>
      <c r="I6858">
        <v>764</v>
      </c>
      <c r="J6858">
        <v>80</v>
      </c>
      <c r="K6858" t="b">
        <v>1</v>
      </c>
    </row>
    <row r="6859" spans="8:11" x14ac:dyDescent="0.25">
      <c r="H6859">
        <v>72</v>
      </c>
      <c r="I6859">
        <v>768</v>
      </c>
      <c r="J6859">
        <v>80</v>
      </c>
      <c r="K6859" t="b">
        <v>1</v>
      </c>
    </row>
    <row r="6860" spans="8:11" x14ac:dyDescent="0.25">
      <c r="H6860">
        <v>72</v>
      </c>
      <c r="I6860">
        <v>772</v>
      </c>
      <c r="J6860">
        <v>80</v>
      </c>
      <c r="K6860" t="b">
        <v>1</v>
      </c>
    </row>
    <row r="6861" spans="8:11" x14ac:dyDescent="0.25">
      <c r="H6861">
        <v>72</v>
      </c>
      <c r="I6861">
        <v>776</v>
      </c>
      <c r="J6861">
        <v>80</v>
      </c>
      <c r="K6861" t="b">
        <v>1</v>
      </c>
    </row>
    <row r="6862" spans="8:11" x14ac:dyDescent="0.25">
      <c r="H6862">
        <v>72</v>
      </c>
      <c r="I6862">
        <v>780</v>
      </c>
      <c r="J6862">
        <v>80</v>
      </c>
      <c r="K6862" t="b">
        <v>1</v>
      </c>
    </row>
    <row r="6863" spans="8:11" x14ac:dyDescent="0.25">
      <c r="H6863">
        <v>72</v>
      </c>
      <c r="I6863">
        <v>784</v>
      </c>
      <c r="J6863">
        <v>80</v>
      </c>
      <c r="K6863" t="b">
        <v>1</v>
      </c>
    </row>
    <row r="6864" spans="8:11" x14ac:dyDescent="0.25">
      <c r="H6864">
        <v>72</v>
      </c>
      <c r="I6864">
        <v>788</v>
      </c>
      <c r="J6864">
        <v>80</v>
      </c>
      <c r="K6864" t="b">
        <v>1</v>
      </c>
    </row>
    <row r="6865" spans="8:11" x14ac:dyDescent="0.25">
      <c r="H6865">
        <v>72</v>
      </c>
      <c r="I6865">
        <v>792</v>
      </c>
      <c r="J6865">
        <v>80</v>
      </c>
      <c r="K6865" t="b">
        <v>1</v>
      </c>
    </row>
    <row r="6866" spans="8:11" x14ac:dyDescent="0.25">
      <c r="H6866">
        <v>72</v>
      </c>
      <c r="I6866">
        <v>796</v>
      </c>
      <c r="J6866">
        <v>80</v>
      </c>
      <c r="K6866" t="b">
        <v>1</v>
      </c>
    </row>
    <row r="6867" spans="8:11" x14ac:dyDescent="0.25">
      <c r="H6867">
        <v>72</v>
      </c>
      <c r="I6867">
        <v>800</v>
      </c>
      <c r="J6867">
        <v>80</v>
      </c>
      <c r="K6867" t="b">
        <v>1</v>
      </c>
    </row>
    <row r="6868" spans="8:11" x14ac:dyDescent="0.25">
      <c r="H6868">
        <v>72</v>
      </c>
      <c r="I6868">
        <v>804</v>
      </c>
      <c r="J6868">
        <v>80</v>
      </c>
      <c r="K6868" t="b">
        <v>1</v>
      </c>
    </row>
    <row r="6869" spans="8:11" x14ac:dyDescent="0.25">
      <c r="H6869">
        <v>72</v>
      </c>
      <c r="I6869">
        <v>808</v>
      </c>
      <c r="J6869">
        <v>80</v>
      </c>
      <c r="K6869" t="b">
        <v>1</v>
      </c>
    </row>
    <row r="6870" spans="8:11" x14ac:dyDescent="0.25">
      <c r="H6870">
        <v>72</v>
      </c>
      <c r="I6870">
        <v>812</v>
      </c>
      <c r="J6870">
        <v>80</v>
      </c>
      <c r="K6870" t="b">
        <v>1</v>
      </c>
    </row>
    <row r="6871" spans="8:11" x14ac:dyDescent="0.25">
      <c r="H6871">
        <v>72</v>
      </c>
      <c r="I6871">
        <v>816</v>
      </c>
      <c r="J6871">
        <v>80</v>
      </c>
      <c r="K6871" t="b">
        <v>1</v>
      </c>
    </row>
    <row r="6872" spans="8:11" x14ac:dyDescent="0.25">
      <c r="H6872">
        <v>72</v>
      </c>
      <c r="I6872">
        <v>820</v>
      </c>
      <c r="J6872">
        <v>80</v>
      </c>
      <c r="K6872" t="b">
        <v>1</v>
      </c>
    </row>
    <row r="6873" spans="8:11" x14ac:dyDescent="0.25">
      <c r="H6873">
        <v>72</v>
      </c>
      <c r="I6873">
        <v>824</v>
      </c>
      <c r="J6873">
        <v>80</v>
      </c>
      <c r="K6873" t="b">
        <v>1</v>
      </c>
    </row>
    <row r="6874" spans="8:11" x14ac:dyDescent="0.25">
      <c r="H6874">
        <v>72</v>
      </c>
      <c r="I6874">
        <v>828</v>
      </c>
      <c r="J6874">
        <v>80</v>
      </c>
      <c r="K6874" t="b">
        <v>1</v>
      </c>
    </row>
    <row r="6875" spans="8:11" x14ac:dyDescent="0.25">
      <c r="H6875">
        <v>72</v>
      </c>
      <c r="I6875">
        <v>832</v>
      </c>
      <c r="J6875">
        <v>80</v>
      </c>
      <c r="K6875" t="b">
        <v>1</v>
      </c>
    </row>
    <row r="6876" spans="8:11" x14ac:dyDescent="0.25">
      <c r="H6876">
        <v>72</v>
      </c>
      <c r="I6876">
        <v>836</v>
      </c>
      <c r="J6876">
        <v>80</v>
      </c>
      <c r="K6876" t="b">
        <v>1</v>
      </c>
    </row>
    <row r="6877" spans="8:11" x14ac:dyDescent="0.25">
      <c r="H6877">
        <v>72</v>
      </c>
      <c r="I6877">
        <v>840</v>
      </c>
      <c r="J6877">
        <v>80</v>
      </c>
      <c r="K6877" t="b">
        <v>1</v>
      </c>
    </row>
    <row r="6878" spans="8:11" x14ac:dyDescent="0.25">
      <c r="H6878">
        <v>72</v>
      </c>
      <c r="I6878">
        <v>844</v>
      </c>
      <c r="J6878">
        <v>80</v>
      </c>
      <c r="K6878" t="b">
        <v>1</v>
      </c>
    </row>
    <row r="6879" spans="8:11" x14ac:dyDescent="0.25">
      <c r="H6879">
        <v>72</v>
      </c>
      <c r="I6879">
        <v>848</v>
      </c>
      <c r="J6879">
        <v>80</v>
      </c>
      <c r="K6879" t="b">
        <v>1</v>
      </c>
    </row>
    <row r="6880" spans="8:11" x14ac:dyDescent="0.25">
      <c r="H6880">
        <v>72</v>
      </c>
      <c r="I6880">
        <v>852</v>
      </c>
      <c r="J6880">
        <v>80</v>
      </c>
      <c r="K6880" t="b">
        <v>1</v>
      </c>
    </row>
    <row r="6881" spans="8:11" x14ac:dyDescent="0.25">
      <c r="H6881">
        <v>72</v>
      </c>
      <c r="I6881">
        <v>856</v>
      </c>
      <c r="J6881">
        <v>80</v>
      </c>
      <c r="K6881" t="b">
        <v>1</v>
      </c>
    </row>
    <row r="6882" spans="8:11" x14ac:dyDescent="0.25">
      <c r="H6882">
        <v>72</v>
      </c>
      <c r="I6882">
        <v>860</v>
      </c>
      <c r="J6882">
        <v>80</v>
      </c>
      <c r="K6882" t="b">
        <v>1</v>
      </c>
    </row>
    <row r="6883" spans="8:11" x14ac:dyDescent="0.25">
      <c r="H6883">
        <v>72</v>
      </c>
      <c r="I6883">
        <v>864</v>
      </c>
      <c r="J6883">
        <v>80</v>
      </c>
      <c r="K6883" t="b">
        <v>1</v>
      </c>
    </row>
    <row r="6884" spans="8:11" x14ac:dyDescent="0.25">
      <c r="H6884">
        <v>72</v>
      </c>
      <c r="I6884">
        <v>868</v>
      </c>
      <c r="J6884">
        <v>80</v>
      </c>
      <c r="K6884" t="b">
        <v>1</v>
      </c>
    </row>
    <row r="6885" spans="8:11" x14ac:dyDescent="0.25">
      <c r="H6885">
        <v>72</v>
      </c>
      <c r="I6885">
        <v>872</v>
      </c>
      <c r="J6885">
        <v>80</v>
      </c>
      <c r="K6885" t="b">
        <v>1</v>
      </c>
    </row>
    <row r="6886" spans="8:11" x14ac:dyDescent="0.25">
      <c r="H6886">
        <v>72</v>
      </c>
      <c r="I6886">
        <v>876</v>
      </c>
      <c r="J6886">
        <v>80</v>
      </c>
      <c r="K6886" t="b">
        <v>1</v>
      </c>
    </row>
    <row r="6887" spans="8:11" x14ac:dyDescent="0.25">
      <c r="H6887">
        <v>72</v>
      </c>
      <c r="I6887">
        <v>880</v>
      </c>
      <c r="J6887">
        <v>80</v>
      </c>
      <c r="K6887" t="b">
        <v>1</v>
      </c>
    </row>
    <row r="6888" spans="8:11" x14ac:dyDescent="0.25">
      <c r="H6888">
        <v>72</v>
      </c>
      <c r="I6888">
        <v>884</v>
      </c>
      <c r="J6888">
        <v>80</v>
      </c>
      <c r="K6888" t="b">
        <v>1</v>
      </c>
    </row>
    <row r="6889" spans="8:11" x14ac:dyDescent="0.25">
      <c r="H6889">
        <v>72</v>
      </c>
      <c r="I6889">
        <v>888</v>
      </c>
      <c r="J6889">
        <v>80</v>
      </c>
      <c r="K6889" t="b">
        <v>1</v>
      </c>
    </row>
    <row r="6890" spans="8:11" x14ac:dyDescent="0.25">
      <c r="H6890">
        <v>72</v>
      </c>
      <c r="I6890">
        <v>892</v>
      </c>
      <c r="J6890">
        <v>80</v>
      </c>
      <c r="K6890" t="b">
        <v>1</v>
      </c>
    </row>
    <row r="6891" spans="8:11" x14ac:dyDescent="0.25">
      <c r="H6891">
        <v>72</v>
      </c>
      <c r="I6891">
        <v>896</v>
      </c>
      <c r="J6891">
        <v>80</v>
      </c>
      <c r="K6891" t="b">
        <v>1</v>
      </c>
    </row>
    <row r="6892" spans="8:11" x14ac:dyDescent="0.25">
      <c r="H6892">
        <v>72</v>
      </c>
      <c r="I6892">
        <v>900</v>
      </c>
      <c r="J6892">
        <v>80</v>
      </c>
      <c r="K6892" t="b">
        <v>1</v>
      </c>
    </row>
    <row r="6893" spans="8:11" x14ac:dyDescent="0.25">
      <c r="H6893">
        <v>72</v>
      </c>
      <c r="I6893">
        <v>904</v>
      </c>
      <c r="J6893">
        <v>80</v>
      </c>
      <c r="K6893" t="b">
        <v>1</v>
      </c>
    </row>
    <row r="6894" spans="8:11" x14ac:dyDescent="0.25">
      <c r="H6894">
        <v>72</v>
      </c>
      <c r="I6894">
        <v>908</v>
      </c>
      <c r="J6894">
        <v>80</v>
      </c>
      <c r="K6894" t="b">
        <v>1</v>
      </c>
    </row>
    <row r="6895" spans="8:11" x14ac:dyDescent="0.25">
      <c r="H6895">
        <v>72</v>
      </c>
      <c r="I6895">
        <v>912</v>
      </c>
      <c r="J6895">
        <v>80</v>
      </c>
      <c r="K6895" t="b">
        <v>1</v>
      </c>
    </row>
    <row r="6896" spans="8:11" x14ac:dyDescent="0.25">
      <c r="H6896">
        <v>72</v>
      </c>
      <c r="I6896">
        <v>916</v>
      </c>
      <c r="J6896">
        <v>80</v>
      </c>
      <c r="K6896" t="b">
        <v>1</v>
      </c>
    </row>
    <row r="6897" spans="8:11" x14ac:dyDescent="0.25">
      <c r="H6897">
        <v>72</v>
      </c>
      <c r="I6897">
        <v>920</v>
      </c>
      <c r="J6897">
        <v>80</v>
      </c>
      <c r="K6897" t="b">
        <v>1</v>
      </c>
    </row>
    <row r="6898" spans="8:11" x14ac:dyDescent="0.25">
      <c r="H6898">
        <v>72</v>
      </c>
      <c r="I6898">
        <v>924</v>
      </c>
      <c r="J6898">
        <v>80</v>
      </c>
      <c r="K6898" t="b">
        <v>1</v>
      </c>
    </row>
    <row r="6899" spans="8:11" x14ac:dyDescent="0.25">
      <c r="H6899">
        <v>72</v>
      </c>
      <c r="I6899">
        <v>928</v>
      </c>
      <c r="J6899">
        <v>80</v>
      </c>
      <c r="K6899" t="b">
        <v>1</v>
      </c>
    </row>
    <row r="6900" spans="8:11" x14ac:dyDescent="0.25">
      <c r="H6900">
        <v>72</v>
      </c>
      <c r="I6900">
        <v>932</v>
      </c>
      <c r="J6900">
        <v>80</v>
      </c>
      <c r="K6900" t="b">
        <v>1</v>
      </c>
    </row>
    <row r="6901" spans="8:11" x14ac:dyDescent="0.25">
      <c r="H6901">
        <v>72</v>
      </c>
      <c r="I6901">
        <v>936</v>
      </c>
      <c r="J6901">
        <v>80</v>
      </c>
      <c r="K6901" t="b">
        <v>1</v>
      </c>
    </row>
    <row r="6902" spans="8:11" x14ac:dyDescent="0.25">
      <c r="H6902">
        <v>72</v>
      </c>
      <c r="I6902">
        <v>940</v>
      </c>
      <c r="J6902">
        <v>80</v>
      </c>
      <c r="K6902" t="b">
        <v>1</v>
      </c>
    </row>
    <row r="6903" spans="8:11" x14ac:dyDescent="0.25">
      <c r="H6903">
        <v>72</v>
      </c>
      <c r="I6903">
        <v>944</v>
      </c>
      <c r="J6903">
        <v>80</v>
      </c>
      <c r="K6903" t="b">
        <v>1</v>
      </c>
    </row>
    <row r="6904" spans="8:11" x14ac:dyDescent="0.25">
      <c r="H6904">
        <v>72</v>
      </c>
      <c r="I6904">
        <v>948</v>
      </c>
      <c r="J6904">
        <v>80</v>
      </c>
      <c r="K6904" t="b">
        <v>1</v>
      </c>
    </row>
    <row r="6905" spans="8:11" x14ac:dyDescent="0.25">
      <c r="H6905">
        <v>72</v>
      </c>
      <c r="I6905">
        <v>952</v>
      </c>
      <c r="J6905">
        <v>80</v>
      </c>
      <c r="K6905" t="b">
        <v>1</v>
      </c>
    </row>
    <row r="6906" spans="8:11" x14ac:dyDescent="0.25">
      <c r="H6906">
        <v>72</v>
      </c>
      <c r="I6906">
        <v>956</v>
      </c>
      <c r="J6906">
        <v>80</v>
      </c>
      <c r="K6906" t="b">
        <v>1</v>
      </c>
    </row>
    <row r="6907" spans="8:11" x14ac:dyDescent="0.25">
      <c r="H6907">
        <v>73</v>
      </c>
      <c r="I6907">
        <v>0</v>
      </c>
      <c r="J6907">
        <v>80</v>
      </c>
      <c r="K6907" t="b">
        <v>1</v>
      </c>
    </row>
    <row r="6908" spans="8:11" x14ac:dyDescent="0.25">
      <c r="H6908">
        <v>73</v>
      </c>
      <c r="I6908">
        <v>4</v>
      </c>
      <c r="J6908">
        <v>80</v>
      </c>
      <c r="K6908" t="b">
        <v>1</v>
      </c>
    </row>
    <row r="6909" spans="8:11" x14ac:dyDescent="0.25">
      <c r="H6909">
        <v>73</v>
      </c>
      <c r="I6909">
        <v>8</v>
      </c>
      <c r="J6909">
        <v>80</v>
      </c>
      <c r="K6909" t="b">
        <v>1</v>
      </c>
    </row>
    <row r="6910" spans="8:11" x14ac:dyDescent="0.25">
      <c r="H6910">
        <v>73</v>
      </c>
      <c r="I6910">
        <v>12</v>
      </c>
      <c r="J6910">
        <v>80</v>
      </c>
      <c r="K6910" t="b">
        <v>1</v>
      </c>
    </row>
    <row r="6911" spans="8:11" x14ac:dyDescent="0.25">
      <c r="H6911">
        <v>73</v>
      </c>
      <c r="I6911">
        <v>16</v>
      </c>
      <c r="J6911">
        <v>80</v>
      </c>
      <c r="K6911" t="b">
        <v>1</v>
      </c>
    </row>
    <row r="6912" spans="8:11" x14ac:dyDescent="0.25">
      <c r="H6912">
        <v>73</v>
      </c>
      <c r="I6912">
        <v>20</v>
      </c>
      <c r="J6912">
        <v>80</v>
      </c>
      <c r="K6912" t="b">
        <v>1</v>
      </c>
    </row>
    <row r="6913" spans="8:11" x14ac:dyDescent="0.25">
      <c r="H6913">
        <v>73</v>
      </c>
      <c r="I6913">
        <v>24</v>
      </c>
      <c r="J6913">
        <v>80</v>
      </c>
      <c r="K6913" t="b">
        <v>1</v>
      </c>
    </row>
    <row r="6914" spans="8:11" x14ac:dyDescent="0.25">
      <c r="H6914">
        <v>73</v>
      </c>
      <c r="I6914">
        <v>28</v>
      </c>
      <c r="J6914">
        <v>80</v>
      </c>
      <c r="K6914" t="b">
        <v>1</v>
      </c>
    </row>
    <row r="6915" spans="8:11" x14ac:dyDescent="0.25">
      <c r="H6915">
        <v>73</v>
      </c>
      <c r="I6915">
        <v>32</v>
      </c>
      <c r="J6915">
        <v>80</v>
      </c>
      <c r="K6915" t="b">
        <v>1</v>
      </c>
    </row>
    <row r="6916" spans="8:11" x14ac:dyDescent="0.25">
      <c r="H6916">
        <v>73</v>
      </c>
      <c r="I6916">
        <v>36</v>
      </c>
      <c r="J6916">
        <v>80</v>
      </c>
      <c r="K6916" t="b">
        <v>1</v>
      </c>
    </row>
    <row r="6917" spans="8:11" x14ac:dyDescent="0.25">
      <c r="H6917">
        <v>73</v>
      </c>
      <c r="I6917">
        <v>40</v>
      </c>
      <c r="J6917">
        <v>80</v>
      </c>
      <c r="K6917" t="b">
        <v>1</v>
      </c>
    </row>
    <row r="6918" spans="8:11" x14ac:dyDescent="0.25">
      <c r="H6918">
        <v>73</v>
      </c>
      <c r="I6918">
        <v>44</v>
      </c>
      <c r="J6918">
        <v>80</v>
      </c>
      <c r="K6918" t="b">
        <v>1</v>
      </c>
    </row>
    <row r="6919" spans="8:11" x14ac:dyDescent="0.25">
      <c r="H6919">
        <v>73</v>
      </c>
      <c r="I6919">
        <v>48</v>
      </c>
      <c r="J6919">
        <v>80</v>
      </c>
      <c r="K6919" t="b">
        <v>1</v>
      </c>
    </row>
    <row r="6920" spans="8:11" x14ac:dyDescent="0.25">
      <c r="H6920">
        <v>73</v>
      </c>
      <c r="I6920">
        <v>52</v>
      </c>
      <c r="J6920">
        <v>80</v>
      </c>
      <c r="K6920" t="b">
        <v>1</v>
      </c>
    </row>
    <row r="6921" spans="8:11" x14ac:dyDescent="0.25">
      <c r="H6921">
        <v>73</v>
      </c>
      <c r="I6921">
        <v>56</v>
      </c>
      <c r="J6921">
        <v>80</v>
      </c>
      <c r="K6921" t="b">
        <v>1</v>
      </c>
    </row>
    <row r="6922" spans="8:11" x14ac:dyDescent="0.25">
      <c r="H6922">
        <v>73</v>
      </c>
      <c r="I6922">
        <v>60</v>
      </c>
      <c r="J6922">
        <v>80</v>
      </c>
      <c r="K6922" t="b">
        <v>1</v>
      </c>
    </row>
    <row r="6923" spans="8:11" x14ac:dyDescent="0.25">
      <c r="H6923">
        <v>73</v>
      </c>
      <c r="I6923">
        <v>64</v>
      </c>
      <c r="J6923">
        <v>80</v>
      </c>
      <c r="K6923" t="b">
        <v>1</v>
      </c>
    </row>
    <row r="6924" spans="8:11" x14ac:dyDescent="0.25">
      <c r="H6924">
        <v>73</v>
      </c>
      <c r="I6924">
        <v>68</v>
      </c>
      <c r="J6924">
        <v>80</v>
      </c>
      <c r="K6924" t="b">
        <v>1</v>
      </c>
    </row>
    <row r="6925" spans="8:11" x14ac:dyDescent="0.25">
      <c r="H6925">
        <v>73</v>
      </c>
      <c r="I6925">
        <v>72</v>
      </c>
      <c r="J6925">
        <v>80</v>
      </c>
      <c r="K6925" t="b">
        <v>1</v>
      </c>
    </row>
    <row r="6926" spans="8:11" x14ac:dyDescent="0.25">
      <c r="H6926">
        <v>73</v>
      </c>
      <c r="I6926">
        <v>76</v>
      </c>
      <c r="J6926">
        <v>80</v>
      </c>
      <c r="K6926" t="b">
        <v>1</v>
      </c>
    </row>
    <row r="6927" spans="8:11" x14ac:dyDescent="0.25">
      <c r="H6927">
        <v>73</v>
      </c>
      <c r="I6927">
        <v>80</v>
      </c>
      <c r="J6927">
        <v>80</v>
      </c>
      <c r="K6927" t="b">
        <v>1</v>
      </c>
    </row>
    <row r="6928" spans="8:11" x14ac:dyDescent="0.25">
      <c r="H6928">
        <v>73</v>
      </c>
      <c r="I6928">
        <v>84</v>
      </c>
      <c r="J6928">
        <v>80</v>
      </c>
      <c r="K6928" t="b">
        <v>1</v>
      </c>
    </row>
    <row r="6929" spans="8:11" x14ac:dyDescent="0.25">
      <c r="H6929">
        <v>73</v>
      </c>
      <c r="I6929">
        <v>88</v>
      </c>
      <c r="J6929">
        <v>80</v>
      </c>
      <c r="K6929" t="b">
        <v>1</v>
      </c>
    </row>
    <row r="6930" spans="8:11" x14ac:dyDescent="0.25">
      <c r="H6930">
        <v>73</v>
      </c>
      <c r="I6930">
        <v>92</v>
      </c>
      <c r="J6930">
        <v>80</v>
      </c>
      <c r="K6930" t="b">
        <v>1</v>
      </c>
    </row>
    <row r="6931" spans="8:11" x14ac:dyDescent="0.25">
      <c r="H6931">
        <v>73</v>
      </c>
      <c r="I6931">
        <v>96</v>
      </c>
      <c r="J6931">
        <v>80</v>
      </c>
      <c r="K6931" t="b">
        <v>1</v>
      </c>
    </row>
    <row r="6932" spans="8:11" x14ac:dyDescent="0.25">
      <c r="H6932">
        <v>73</v>
      </c>
      <c r="I6932">
        <v>100</v>
      </c>
      <c r="J6932">
        <v>80</v>
      </c>
      <c r="K6932" t="b">
        <v>1</v>
      </c>
    </row>
    <row r="6933" spans="8:11" x14ac:dyDescent="0.25">
      <c r="H6933">
        <v>73</v>
      </c>
      <c r="I6933">
        <v>104</v>
      </c>
      <c r="J6933">
        <v>80</v>
      </c>
      <c r="K6933" t="b">
        <v>1</v>
      </c>
    </row>
    <row r="6934" spans="8:11" x14ac:dyDescent="0.25">
      <c r="H6934">
        <v>73</v>
      </c>
      <c r="I6934">
        <v>108</v>
      </c>
      <c r="J6934">
        <v>80</v>
      </c>
      <c r="K6934" t="b">
        <v>1</v>
      </c>
    </row>
    <row r="6935" spans="8:11" x14ac:dyDescent="0.25">
      <c r="H6935">
        <v>73</v>
      </c>
      <c r="I6935">
        <v>112</v>
      </c>
      <c r="J6935">
        <v>80</v>
      </c>
      <c r="K6935" t="b">
        <v>1</v>
      </c>
    </row>
    <row r="6936" spans="8:11" x14ac:dyDescent="0.25">
      <c r="H6936">
        <v>73</v>
      </c>
      <c r="I6936">
        <v>116</v>
      </c>
      <c r="J6936">
        <v>80</v>
      </c>
      <c r="K6936" t="b">
        <v>1</v>
      </c>
    </row>
    <row r="6937" spans="8:11" x14ac:dyDescent="0.25">
      <c r="H6937">
        <v>73</v>
      </c>
      <c r="I6937">
        <v>120</v>
      </c>
      <c r="J6937">
        <v>80</v>
      </c>
      <c r="K6937" t="b">
        <v>1</v>
      </c>
    </row>
    <row r="6938" spans="8:11" x14ac:dyDescent="0.25">
      <c r="H6938">
        <v>73</v>
      </c>
      <c r="I6938">
        <v>124</v>
      </c>
      <c r="J6938">
        <v>80</v>
      </c>
      <c r="K6938" t="b">
        <v>1</v>
      </c>
    </row>
    <row r="6939" spans="8:11" x14ac:dyDescent="0.25">
      <c r="H6939">
        <v>73</v>
      </c>
      <c r="I6939">
        <v>128</v>
      </c>
      <c r="J6939">
        <v>80</v>
      </c>
      <c r="K6939" t="b">
        <v>1</v>
      </c>
    </row>
    <row r="6940" spans="8:11" x14ac:dyDescent="0.25">
      <c r="H6940">
        <v>73</v>
      </c>
      <c r="I6940">
        <v>132</v>
      </c>
      <c r="J6940">
        <v>80</v>
      </c>
      <c r="K6940" t="b">
        <v>1</v>
      </c>
    </row>
    <row r="6941" spans="8:11" x14ac:dyDescent="0.25">
      <c r="H6941">
        <v>73</v>
      </c>
      <c r="I6941">
        <v>136</v>
      </c>
      <c r="J6941">
        <v>80</v>
      </c>
      <c r="K6941" t="b">
        <v>1</v>
      </c>
    </row>
    <row r="6942" spans="8:11" x14ac:dyDescent="0.25">
      <c r="H6942">
        <v>73</v>
      </c>
      <c r="I6942">
        <v>140</v>
      </c>
      <c r="J6942">
        <v>80</v>
      </c>
      <c r="K6942" t="b">
        <v>1</v>
      </c>
    </row>
    <row r="6943" spans="8:11" x14ac:dyDescent="0.25">
      <c r="H6943">
        <v>73</v>
      </c>
      <c r="I6943">
        <v>144</v>
      </c>
      <c r="J6943">
        <v>80</v>
      </c>
      <c r="K6943" t="b">
        <v>1</v>
      </c>
    </row>
    <row r="6944" spans="8:11" x14ac:dyDescent="0.25">
      <c r="H6944">
        <v>73</v>
      </c>
      <c r="I6944">
        <v>148</v>
      </c>
      <c r="J6944">
        <v>80</v>
      </c>
      <c r="K6944" t="b">
        <v>1</v>
      </c>
    </row>
    <row r="6945" spans="8:11" x14ac:dyDescent="0.25">
      <c r="H6945">
        <v>73</v>
      </c>
      <c r="I6945">
        <v>152</v>
      </c>
      <c r="J6945">
        <v>80</v>
      </c>
      <c r="K6945" t="b">
        <v>1</v>
      </c>
    </row>
    <row r="6946" spans="8:11" x14ac:dyDescent="0.25">
      <c r="H6946">
        <v>73</v>
      </c>
      <c r="I6946">
        <v>156</v>
      </c>
      <c r="J6946">
        <v>80</v>
      </c>
      <c r="K6946" t="b">
        <v>1</v>
      </c>
    </row>
    <row r="6947" spans="8:11" x14ac:dyDescent="0.25">
      <c r="H6947">
        <v>73</v>
      </c>
      <c r="I6947">
        <v>160</v>
      </c>
      <c r="J6947">
        <v>80</v>
      </c>
      <c r="K6947" t="b">
        <v>1</v>
      </c>
    </row>
    <row r="6948" spans="8:11" x14ac:dyDescent="0.25">
      <c r="H6948">
        <v>73</v>
      </c>
      <c r="I6948">
        <v>164</v>
      </c>
      <c r="J6948">
        <v>80</v>
      </c>
      <c r="K6948" t="b">
        <v>1</v>
      </c>
    </row>
    <row r="6949" spans="8:11" x14ac:dyDescent="0.25">
      <c r="H6949">
        <v>73</v>
      </c>
      <c r="I6949">
        <v>168</v>
      </c>
      <c r="J6949">
        <v>80</v>
      </c>
      <c r="K6949" t="b">
        <v>1</v>
      </c>
    </row>
    <row r="6950" spans="8:11" x14ac:dyDescent="0.25">
      <c r="H6950">
        <v>73</v>
      </c>
      <c r="I6950">
        <v>172</v>
      </c>
      <c r="J6950">
        <v>80</v>
      </c>
      <c r="K6950" t="b">
        <v>1</v>
      </c>
    </row>
    <row r="6951" spans="8:11" x14ac:dyDescent="0.25">
      <c r="H6951">
        <v>73</v>
      </c>
      <c r="I6951">
        <v>176</v>
      </c>
      <c r="J6951">
        <v>80</v>
      </c>
      <c r="K6951" t="b">
        <v>1</v>
      </c>
    </row>
    <row r="6952" spans="8:11" x14ac:dyDescent="0.25">
      <c r="H6952">
        <v>73</v>
      </c>
      <c r="I6952">
        <v>180</v>
      </c>
      <c r="J6952">
        <v>80</v>
      </c>
      <c r="K6952" t="b">
        <v>1</v>
      </c>
    </row>
    <row r="6953" spans="8:11" x14ac:dyDescent="0.25">
      <c r="H6953">
        <v>73</v>
      </c>
      <c r="I6953">
        <v>184</v>
      </c>
      <c r="J6953">
        <v>80</v>
      </c>
      <c r="K6953" t="b">
        <v>1</v>
      </c>
    </row>
    <row r="6954" spans="8:11" x14ac:dyDescent="0.25">
      <c r="H6954">
        <v>73</v>
      </c>
      <c r="I6954">
        <v>188</v>
      </c>
      <c r="J6954">
        <v>80</v>
      </c>
      <c r="K6954" t="b">
        <v>1</v>
      </c>
    </row>
    <row r="6955" spans="8:11" x14ac:dyDescent="0.25">
      <c r="H6955">
        <v>73</v>
      </c>
      <c r="I6955">
        <v>192</v>
      </c>
      <c r="J6955">
        <v>80</v>
      </c>
      <c r="K6955" t="b">
        <v>1</v>
      </c>
    </row>
    <row r="6956" spans="8:11" x14ac:dyDescent="0.25">
      <c r="H6956">
        <v>73</v>
      </c>
      <c r="I6956">
        <v>196</v>
      </c>
      <c r="J6956">
        <v>80</v>
      </c>
      <c r="K6956" t="b">
        <v>1</v>
      </c>
    </row>
    <row r="6957" spans="8:11" x14ac:dyDescent="0.25">
      <c r="H6957">
        <v>73</v>
      </c>
      <c r="I6957">
        <v>200</v>
      </c>
      <c r="J6957">
        <v>80</v>
      </c>
      <c r="K6957" t="b">
        <v>1</v>
      </c>
    </row>
    <row r="6958" spans="8:11" x14ac:dyDescent="0.25">
      <c r="H6958">
        <v>73</v>
      </c>
      <c r="I6958">
        <v>204</v>
      </c>
      <c r="J6958">
        <v>80</v>
      </c>
      <c r="K6958" t="b">
        <v>1</v>
      </c>
    </row>
    <row r="6959" spans="8:11" x14ac:dyDescent="0.25">
      <c r="H6959">
        <v>73</v>
      </c>
      <c r="I6959">
        <v>208</v>
      </c>
      <c r="J6959">
        <v>80</v>
      </c>
      <c r="K6959" t="b">
        <v>1</v>
      </c>
    </row>
    <row r="6960" spans="8:11" x14ac:dyDescent="0.25">
      <c r="H6960">
        <v>73</v>
      </c>
      <c r="I6960">
        <v>212</v>
      </c>
      <c r="J6960">
        <v>80</v>
      </c>
      <c r="K6960" t="b">
        <v>1</v>
      </c>
    </row>
    <row r="6961" spans="8:11" x14ac:dyDescent="0.25">
      <c r="H6961">
        <v>73</v>
      </c>
      <c r="I6961">
        <v>216</v>
      </c>
      <c r="J6961">
        <v>80</v>
      </c>
      <c r="K6961" t="b">
        <v>1</v>
      </c>
    </row>
    <row r="6962" spans="8:11" x14ac:dyDescent="0.25">
      <c r="H6962">
        <v>73</v>
      </c>
      <c r="I6962">
        <v>220</v>
      </c>
      <c r="J6962">
        <v>80</v>
      </c>
      <c r="K6962" t="b">
        <v>1</v>
      </c>
    </row>
    <row r="6963" spans="8:11" x14ac:dyDescent="0.25">
      <c r="H6963">
        <v>73</v>
      </c>
      <c r="I6963">
        <v>224</v>
      </c>
      <c r="J6963">
        <v>80</v>
      </c>
      <c r="K6963" t="b">
        <v>1</v>
      </c>
    </row>
    <row r="6964" spans="8:11" x14ac:dyDescent="0.25">
      <c r="H6964">
        <v>73</v>
      </c>
      <c r="I6964">
        <v>228</v>
      </c>
      <c r="J6964">
        <v>80</v>
      </c>
      <c r="K6964" t="b">
        <v>1</v>
      </c>
    </row>
    <row r="6965" spans="8:11" x14ac:dyDescent="0.25">
      <c r="H6965">
        <v>73</v>
      </c>
      <c r="I6965">
        <v>232</v>
      </c>
      <c r="J6965">
        <v>80</v>
      </c>
      <c r="K6965" t="b">
        <v>1</v>
      </c>
    </row>
    <row r="6966" spans="8:11" x14ac:dyDescent="0.25">
      <c r="H6966">
        <v>73</v>
      </c>
      <c r="I6966">
        <v>236</v>
      </c>
      <c r="J6966">
        <v>80</v>
      </c>
      <c r="K6966" t="b">
        <v>1</v>
      </c>
    </row>
    <row r="6967" spans="8:11" x14ac:dyDescent="0.25">
      <c r="H6967">
        <v>73</v>
      </c>
      <c r="I6967">
        <v>240</v>
      </c>
      <c r="J6967">
        <v>80</v>
      </c>
      <c r="K6967" t="b">
        <v>1</v>
      </c>
    </row>
    <row r="6968" spans="8:11" x14ac:dyDescent="0.25">
      <c r="H6968">
        <v>73</v>
      </c>
      <c r="I6968">
        <v>244</v>
      </c>
      <c r="J6968">
        <v>80</v>
      </c>
      <c r="K6968" t="b">
        <v>1</v>
      </c>
    </row>
    <row r="6969" spans="8:11" x14ac:dyDescent="0.25">
      <c r="H6969">
        <v>73</v>
      </c>
      <c r="I6969">
        <v>248</v>
      </c>
      <c r="J6969">
        <v>80</v>
      </c>
      <c r="K6969" t="b">
        <v>1</v>
      </c>
    </row>
    <row r="6970" spans="8:11" x14ac:dyDescent="0.25">
      <c r="H6970">
        <v>73</v>
      </c>
      <c r="I6970">
        <v>252</v>
      </c>
      <c r="J6970">
        <v>80</v>
      </c>
      <c r="K6970" t="b">
        <v>1</v>
      </c>
    </row>
    <row r="6971" spans="8:11" x14ac:dyDescent="0.25">
      <c r="H6971">
        <v>73</v>
      </c>
      <c r="I6971">
        <v>256</v>
      </c>
      <c r="J6971">
        <v>80</v>
      </c>
      <c r="K6971" t="b">
        <v>1</v>
      </c>
    </row>
    <row r="6972" spans="8:11" x14ac:dyDescent="0.25">
      <c r="H6972">
        <v>73</v>
      </c>
      <c r="I6972">
        <v>260</v>
      </c>
      <c r="J6972">
        <v>80</v>
      </c>
      <c r="K6972" t="b">
        <v>1</v>
      </c>
    </row>
    <row r="6973" spans="8:11" x14ac:dyDescent="0.25">
      <c r="H6973">
        <v>73</v>
      </c>
      <c r="I6973">
        <v>264</v>
      </c>
      <c r="J6973">
        <v>80</v>
      </c>
      <c r="K6973" t="b">
        <v>1</v>
      </c>
    </row>
    <row r="6974" spans="8:11" x14ac:dyDescent="0.25">
      <c r="H6974">
        <v>73</v>
      </c>
      <c r="I6974">
        <v>268</v>
      </c>
      <c r="J6974">
        <v>80</v>
      </c>
      <c r="K6974" t="b">
        <v>1</v>
      </c>
    </row>
    <row r="6975" spans="8:11" x14ac:dyDescent="0.25">
      <c r="H6975">
        <v>73</v>
      </c>
      <c r="I6975">
        <v>272</v>
      </c>
      <c r="J6975">
        <v>80</v>
      </c>
      <c r="K6975" t="b">
        <v>1</v>
      </c>
    </row>
    <row r="6976" spans="8:11" x14ac:dyDescent="0.25">
      <c r="H6976">
        <v>73</v>
      </c>
      <c r="I6976">
        <v>276</v>
      </c>
      <c r="J6976">
        <v>80</v>
      </c>
      <c r="K6976" t="b">
        <v>1</v>
      </c>
    </row>
    <row r="6977" spans="8:11" x14ac:dyDescent="0.25">
      <c r="H6977">
        <v>73</v>
      </c>
      <c r="I6977">
        <v>280</v>
      </c>
      <c r="J6977">
        <v>80</v>
      </c>
      <c r="K6977" t="b">
        <v>1</v>
      </c>
    </row>
    <row r="6978" spans="8:11" x14ac:dyDescent="0.25">
      <c r="H6978">
        <v>73</v>
      </c>
      <c r="I6978">
        <v>284</v>
      </c>
      <c r="J6978">
        <v>80</v>
      </c>
      <c r="K6978" t="b">
        <v>1</v>
      </c>
    </row>
    <row r="6979" spans="8:11" x14ac:dyDescent="0.25">
      <c r="H6979">
        <v>73</v>
      </c>
      <c r="I6979">
        <v>288</v>
      </c>
      <c r="J6979">
        <v>80</v>
      </c>
      <c r="K6979" t="b">
        <v>1</v>
      </c>
    </row>
    <row r="6980" spans="8:11" x14ac:dyDescent="0.25">
      <c r="H6980">
        <v>73</v>
      </c>
      <c r="I6980">
        <v>292</v>
      </c>
      <c r="J6980">
        <v>80</v>
      </c>
      <c r="K6980" t="b">
        <v>1</v>
      </c>
    </row>
    <row r="6981" spans="8:11" x14ac:dyDescent="0.25">
      <c r="H6981">
        <v>73</v>
      </c>
      <c r="I6981">
        <v>296</v>
      </c>
      <c r="J6981">
        <v>80</v>
      </c>
      <c r="K6981" t="b">
        <v>1</v>
      </c>
    </row>
    <row r="6982" spans="8:11" x14ac:dyDescent="0.25">
      <c r="H6982">
        <v>73</v>
      </c>
      <c r="I6982">
        <v>300</v>
      </c>
      <c r="J6982">
        <v>80</v>
      </c>
      <c r="K6982" t="b">
        <v>1</v>
      </c>
    </row>
    <row r="6983" spans="8:11" x14ac:dyDescent="0.25">
      <c r="H6983">
        <v>73</v>
      </c>
      <c r="I6983">
        <v>304</v>
      </c>
      <c r="J6983">
        <v>80</v>
      </c>
      <c r="K6983" t="b">
        <v>1</v>
      </c>
    </row>
    <row r="6984" spans="8:11" x14ac:dyDescent="0.25">
      <c r="H6984">
        <v>73</v>
      </c>
      <c r="I6984">
        <v>308</v>
      </c>
      <c r="J6984">
        <v>80</v>
      </c>
      <c r="K6984" t="b">
        <v>1</v>
      </c>
    </row>
    <row r="6985" spans="8:11" x14ac:dyDescent="0.25">
      <c r="H6985">
        <v>73</v>
      </c>
      <c r="I6985">
        <v>312</v>
      </c>
      <c r="J6985">
        <v>80</v>
      </c>
      <c r="K6985" t="b">
        <v>1</v>
      </c>
    </row>
    <row r="6986" spans="8:11" x14ac:dyDescent="0.25">
      <c r="H6986">
        <v>73</v>
      </c>
      <c r="I6986">
        <v>316</v>
      </c>
      <c r="J6986">
        <v>80</v>
      </c>
      <c r="K6986" t="b">
        <v>1</v>
      </c>
    </row>
    <row r="6987" spans="8:11" x14ac:dyDescent="0.25">
      <c r="H6987">
        <v>73</v>
      </c>
      <c r="I6987">
        <v>320</v>
      </c>
      <c r="J6987">
        <v>80</v>
      </c>
      <c r="K6987" t="b">
        <v>1</v>
      </c>
    </row>
    <row r="6988" spans="8:11" x14ac:dyDescent="0.25">
      <c r="H6988">
        <v>73</v>
      </c>
      <c r="I6988">
        <v>324</v>
      </c>
      <c r="J6988">
        <v>80</v>
      </c>
      <c r="K6988" t="b">
        <v>1</v>
      </c>
    </row>
    <row r="6989" spans="8:11" x14ac:dyDescent="0.25">
      <c r="H6989">
        <v>73</v>
      </c>
      <c r="I6989">
        <v>328</v>
      </c>
      <c r="J6989">
        <v>80</v>
      </c>
      <c r="K6989" t="b">
        <v>1</v>
      </c>
    </row>
    <row r="6990" spans="8:11" x14ac:dyDescent="0.25">
      <c r="H6990">
        <v>73</v>
      </c>
      <c r="I6990">
        <v>332</v>
      </c>
      <c r="J6990">
        <v>80</v>
      </c>
      <c r="K6990" t="b">
        <v>1</v>
      </c>
    </row>
    <row r="6991" spans="8:11" x14ac:dyDescent="0.25">
      <c r="H6991">
        <v>73</v>
      </c>
      <c r="I6991">
        <v>336</v>
      </c>
      <c r="J6991">
        <v>80</v>
      </c>
      <c r="K6991" t="b">
        <v>1</v>
      </c>
    </row>
    <row r="6992" spans="8:11" x14ac:dyDescent="0.25">
      <c r="H6992">
        <v>73</v>
      </c>
      <c r="I6992">
        <v>340</v>
      </c>
      <c r="J6992">
        <v>80</v>
      </c>
      <c r="K6992" t="b">
        <v>1</v>
      </c>
    </row>
    <row r="6993" spans="8:11" x14ac:dyDescent="0.25">
      <c r="H6993">
        <v>73</v>
      </c>
      <c r="I6993">
        <v>344</v>
      </c>
      <c r="J6993">
        <v>80</v>
      </c>
      <c r="K6993" t="b">
        <v>1</v>
      </c>
    </row>
    <row r="6994" spans="8:11" x14ac:dyDescent="0.25">
      <c r="H6994">
        <v>73</v>
      </c>
      <c r="I6994">
        <v>348</v>
      </c>
      <c r="J6994">
        <v>80</v>
      </c>
      <c r="K6994" t="b">
        <v>1</v>
      </c>
    </row>
    <row r="6995" spans="8:11" x14ac:dyDescent="0.25">
      <c r="H6995">
        <v>73</v>
      </c>
      <c r="I6995">
        <v>352</v>
      </c>
      <c r="J6995">
        <v>80</v>
      </c>
      <c r="K6995" t="b">
        <v>1</v>
      </c>
    </row>
    <row r="6996" spans="8:11" x14ac:dyDescent="0.25">
      <c r="H6996">
        <v>73</v>
      </c>
      <c r="I6996">
        <v>356</v>
      </c>
      <c r="J6996">
        <v>80</v>
      </c>
      <c r="K6996" t="b">
        <v>1</v>
      </c>
    </row>
    <row r="6997" spans="8:11" x14ac:dyDescent="0.25">
      <c r="H6997">
        <v>73</v>
      </c>
      <c r="I6997">
        <v>360</v>
      </c>
      <c r="J6997">
        <v>80</v>
      </c>
      <c r="K6997" t="b">
        <v>1</v>
      </c>
    </row>
    <row r="6998" spans="8:11" x14ac:dyDescent="0.25">
      <c r="H6998">
        <v>73</v>
      </c>
      <c r="I6998">
        <v>364</v>
      </c>
      <c r="J6998">
        <v>80</v>
      </c>
      <c r="K6998" t="b">
        <v>1</v>
      </c>
    </row>
    <row r="6999" spans="8:11" x14ac:dyDescent="0.25">
      <c r="H6999">
        <v>73</v>
      </c>
      <c r="I6999">
        <v>368</v>
      </c>
      <c r="J6999">
        <v>80</v>
      </c>
      <c r="K6999" t="b">
        <v>1</v>
      </c>
    </row>
    <row r="7000" spans="8:11" x14ac:dyDescent="0.25">
      <c r="H7000">
        <v>73</v>
      </c>
      <c r="I7000">
        <v>372</v>
      </c>
      <c r="J7000">
        <v>80</v>
      </c>
      <c r="K7000" t="b">
        <v>1</v>
      </c>
    </row>
    <row r="7001" spans="8:11" x14ac:dyDescent="0.25">
      <c r="H7001">
        <v>73</v>
      </c>
      <c r="I7001">
        <v>376</v>
      </c>
      <c r="J7001">
        <v>80</v>
      </c>
      <c r="K7001" t="b">
        <v>1</v>
      </c>
    </row>
    <row r="7002" spans="8:11" x14ac:dyDescent="0.25">
      <c r="H7002">
        <v>73</v>
      </c>
      <c r="I7002">
        <v>380</v>
      </c>
      <c r="J7002">
        <v>80</v>
      </c>
      <c r="K7002" t="b">
        <v>1</v>
      </c>
    </row>
    <row r="7003" spans="8:11" x14ac:dyDescent="0.25">
      <c r="H7003">
        <v>73</v>
      </c>
      <c r="I7003">
        <v>384</v>
      </c>
      <c r="J7003">
        <v>80</v>
      </c>
      <c r="K7003" t="b">
        <v>1</v>
      </c>
    </row>
    <row r="7004" spans="8:11" x14ac:dyDescent="0.25">
      <c r="H7004">
        <v>73</v>
      </c>
      <c r="I7004">
        <v>388</v>
      </c>
      <c r="J7004">
        <v>80</v>
      </c>
      <c r="K7004" t="b">
        <v>1</v>
      </c>
    </row>
    <row r="7005" spans="8:11" x14ac:dyDescent="0.25">
      <c r="H7005">
        <v>73</v>
      </c>
      <c r="I7005">
        <v>392</v>
      </c>
      <c r="J7005">
        <v>80</v>
      </c>
      <c r="K7005" t="b">
        <v>1</v>
      </c>
    </row>
    <row r="7006" spans="8:11" x14ac:dyDescent="0.25">
      <c r="H7006">
        <v>73</v>
      </c>
      <c r="I7006">
        <v>396</v>
      </c>
      <c r="J7006">
        <v>80</v>
      </c>
      <c r="K7006" t="b">
        <v>1</v>
      </c>
    </row>
    <row r="7007" spans="8:11" x14ac:dyDescent="0.25">
      <c r="H7007">
        <v>73</v>
      </c>
      <c r="I7007">
        <v>400</v>
      </c>
      <c r="J7007">
        <v>80</v>
      </c>
      <c r="K7007" t="b">
        <v>1</v>
      </c>
    </row>
    <row r="7008" spans="8:11" x14ac:dyDescent="0.25">
      <c r="H7008">
        <v>73</v>
      </c>
      <c r="I7008">
        <v>404</v>
      </c>
      <c r="J7008">
        <v>80</v>
      </c>
      <c r="K7008" t="b">
        <v>1</v>
      </c>
    </row>
    <row r="7009" spans="8:11" x14ac:dyDescent="0.25">
      <c r="H7009">
        <v>73</v>
      </c>
      <c r="I7009">
        <v>408</v>
      </c>
      <c r="J7009">
        <v>80</v>
      </c>
      <c r="K7009" t="b">
        <v>1</v>
      </c>
    </row>
    <row r="7010" spans="8:11" x14ac:dyDescent="0.25">
      <c r="H7010">
        <v>73</v>
      </c>
      <c r="I7010">
        <v>412</v>
      </c>
      <c r="J7010">
        <v>80</v>
      </c>
      <c r="K7010" t="b">
        <v>1</v>
      </c>
    </row>
    <row r="7011" spans="8:11" x14ac:dyDescent="0.25">
      <c r="H7011">
        <v>73</v>
      </c>
      <c r="I7011">
        <v>416</v>
      </c>
      <c r="J7011">
        <v>80</v>
      </c>
      <c r="K7011" t="b">
        <v>1</v>
      </c>
    </row>
    <row r="7012" spans="8:11" x14ac:dyDescent="0.25">
      <c r="H7012">
        <v>73</v>
      </c>
      <c r="I7012">
        <v>420</v>
      </c>
      <c r="J7012">
        <v>80</v>
      </c>
      <c r="K7012" t="b">
        <v>1</v>
      </c>
    </row>
    <row r="7013" spans="8:11" x14ac:dyDescent="0.25">
      <c r="H7013">
        <v>73</v>
      </c>
      <c r="I7013">
        <v>424</v>
      </c>
      <c r="J7013">
        <v>80</v>
      </c>
      <c r="K7013" t="b">
        <v>1</v>
      </c>
    </row>
    <row r="7014" spans="8:11" x14ac:dyDescent="0.25">
      <c r="H7014">
        <v>73</v>
      </c>
      <c r="I7014">
        <v>428</v>
      </c>
      <c r="J7014">
        <v>80</v>
      </c>
      <c r="K7014" t="b">
        <v>1</v>
      </c>
    </row>
    <row r="7015" spans="8:11" x14ac:dyDescent="0.25">
      <c r="H7015">
        <v>73</v>
      </c>
      <c r="I7015">
        <v>432</v>
      </c>
      <c r="J7015">
        <v>80</v>
      </c>
      <c r="K7015" t="b">
        <v>1</v>
      </c>
    </row>
    <row r="7016" spans="8:11" x14ac:dyDescent="0.25">
      <c r="H7016">
        <v>73</v>
      </c>
      <c r="I7016">
        <v>436</v>
      </c>
      <c r="J7016">
        <v>80</v>
      </c>
      <c r="K7016" t="b">
        <v>1</v>
      </c>
    </row>
    <row r="7017" spans="8:11" x14ac:dyDescent="0.25">
      <c r="H7017">
        <v>73</v>
      </c>
      <c r="I7017">
        <v>440</v>
      </c>
      <c r="J7017">
        <v>80</v>
      </c>
      <c r="K7017" t="b">
        <v>1</v>
      </c>
    </row>
    <row r="7018" spans="8:11" x14ac:dyDescent="0.25">
      <c r="H7018">
        <v>73</v>
      </c>
      <c r="I7018">
        <v>444</v>
      </c>
      <c r="J7018">
        <v>80</v>
      </c>
      <c r="K7018" t="b">
        <v>1</v>
      </c>
    </row>
    <row r="7019" spans="8:11" x14ac:dyDescent="0.25">
      <c r="H7019">
        <v>73</v>
      </c>
      <c r="I7019">
        <v>448</v>
      </c>
      <c r="J7019">
        <v>80</v>
      </c>
      <c r="K7019" t="b">
        <v>1</v>
      </c>
    </row>
    <row r="7020" spans="8:11" x14ac:dyDescent="0.25">
      <c r="H7020">
        <v>73</v>
      </c>
      <c r="I7020">
        <v>452</v>
      </c>
      <c r="J7020">
        <v>80</v>
      </c>
      <c r="K7020" t="b">
        <v>1</v>
      </c>
    </row>
    <row r="7021" spans="8:11" x14ac:dyDescent="0.25">
      <c r="H7021">
        <v>73</v>
      </c>
      <c r="I7021">
        <v>456</v>
      </c>
      <c r="J7021">
        <v>80</v>
      </c>
      <c r="K7021" t="b">
        <v>1</v>
      </c>
    </row>
    <row r="7022" spans="8:11" x14ac:dyDescent="0.25">
      <c r="H7022">
        <v>73</v>
      </c>
      <c r="I7022">
        <v>460</v>
      </c>
      <c r="J7022">
        <v>80</v>
      </c>
      <c r="K7022" t="b">
        <v>1</v>
      </c>
    </row>
    <row r="7023" spans="8:11" x14ac:dyDescent="0.25">
      <c r="H7023">
        <v>73</v>
      </c>
      <c r="I7023">
        <v>464</v>
      </c>
      <c r="J7023">
        <v>80</v>
      </c>
      <c r="K7023" t="b">
        <v>1</v>
      </c>
    </row>
    <row r="7024" spans="8:11" x14ac:dyDescent="0.25">
      <c r="H7024">
        <v>73</v>
      </c>
      <c r="I7024">
        <v>468</v>
      </c>
      <c r="J7024">
        <v>80</v>
      </c>
      <c r="K7024" t="b">
        <v>1</v>
      </c>
    </row>
    <row r="7025" spans="8:11" x14ac:dyDescent="0.25">
      <c r="H7025">
        <v>73</v>
      </c>
      <c r="I7025">
        <v>472</v>
      </c>
      <c r="J7025">
        <v>80</v>
      </c>
      <c r="K7025" t="b">
        <v>1</v>
      </c>
    </row>
    <row r="7026" spans="8:11" x14ac:dyDescent="0.25">
      <c r="H7026">
        <v>73</v>
      </c>
      <c r="I7026">
        <v>476</v>
      </c>
      <c r="J7026">
        <v>80</v>
      </c>
      <c r="K7026" t="b">
        <v>1</v>
      </c>
    </row>
    <row r="7027" spans="8:11" x14ac:dyDescent="0.25">
      <c r="H7027">
        <v>73</v>
      </c>
      <c r="I7027">
        <v>480</v>
      </c>
      <c r="J7027">
        <v>80</v>
      </c>
      <c r="K7027" t="b">
        <v>1</v>
      </c>
    </row>
    <row r="7028" spans="8:11" x14ac:dyDescent="0.25">
      <c r="H7028">
        <v>73</v>
      </c>
      <c r="I7028">
        <v>484</v>
      </c>
      <c r="J7028">
        <v>80</v>
      </c>
      <c r="K7028" t="b">
        <v>1</v>
      </c>
    </row>
    <row r="7029" spans="8:11" x14ac:dyDescent="0.25">
      <c r="H7029">
        <v>73</v>
      </c>
      <c r="I7029">
        <v>488</v>
      </c>
      <c r="J7029">
        <v>80</v>
      </c>
      <c r="K7029" t="b">
        <v>1</v>
      </c>
    </row>
    <row r="7030" spans="8:11" x14ac:dyDescent="0.25">
      <c r="H7030">
        <v>73</v>
      </c>
      <c r="I7030">
        <v>492</v>
      </c>
      <c r="J7030">
        <v>80</v>
      </c>
      <c r="K7030" t="b">
        <v>1</v>
      </c>
    </row>
    <row r="7031" spans="8:11" x14ac:dyDescent="0.25">
      <c r="H7031">
        <v>73</v>
      </c>
      <c r="I7031">
        <v>496</v>
      </c>
      <c r="J7031">
        <v>80</v>
      </c>
      <c r="K7031" t="b">
        <v>1</v>
      </c>
    </row>
    <row r="7032" spans="8:11" x14ac:dyDescent="0.25">
      <c r="H7032">
        <v>73</v>
      </c>
      <c r="I7032">
        <v>500</v>
      </c>
      <c r="J7032">
        <v>80</v>
      </c>
      <c r="K7032" t="b">
        <v>1</v>
      </c>
    </row>
    <row r="7033" spans="8:11" x14ac:dyDescent="0.25">
      <c r="H7033">
        <v>73</v>
      </c>
      <c r="I7033">
        <v>504</v>
      </c>
      <c r="J7033">
        <v>80</v>
      </c>
      <c r="K7033" t="b">
        <v>1</v>
      </c>
    </row>
    <row r="7034" spans="8:11" x14ac:dyDescent="0.25">
      <c r="H7034">
        <v>73</v>
      </c>
      <c r="I7034">
        <v>508</v>
      </c>
      <c r="J7034">
        <v>80</v>
      </c>
      <c r="K7034" t="b">
        <v>1</v>
      </c>
    </row>
    <row r="7035" spans="8:11" x14ac:dyDescent="0.25">
      <c r="H7035">
        <v>73</v>
      </c>
      <c r="I7035">
        <v>512</v>
      </c>
      <c r="J7035">
        <v>80</v>
      </c>
      <c r="K7035" t="b">
        <v>1</v>
      </c>
    </row>
    <row r="7036" spans="8:11" x14ac:dyDescent="0.25">
      <c r="H7036">
        <v>73</v>
      </c>
      <c r="I7036">
        <v>516</v>
      </c>
      <c r="J7036">
        <v>80</v>
      </c>
      <c r="K7036" t="b">
        <v>1</v>
      </c>
    </row>
    <row r="7037" spans="8:11" x14ac:dyDescent="0.25">
      <c r="H7037">
        <v>73</v>
      </c>
      <c r="I7037">
        <v>520</v>
      </c>
      <c r="J7037">
        <v>80</v>
      </c>
      <c r="K7037" t="b">
        <v>1</v>
      </c>
    </row>
    <row r="7038" spans="8:11" x14ac:dyDescent="0.25">
      <c r="H7038">
        <v>73</v>
      </c>
      <c r="I7038">
        <v>524</v>
      </c>
      <c r="J7038">
        <v>80</v>
      </c>
      <c r="K7038" t="b">
        <v>1</v>
      </c>
    </row>
    <row r="7039" spans="8:11" x14ac:dyDescent="0.25">
      <c r="H7039">
        <v>73</v>
      </c>
      <c r="I7039">
        <v>528</v>
      </c>
      <c r="J7039">
        <v>80</v>
      </c>
      <c r="K7039" t="b">
        <v>1</v>
      </c>
    </row>
    <row r="7040" spans="8:11" x14ac:dyDescent="0.25">
      <c r="H7040">
        <v>73</v>
      </c>
      <c r="I7040">
        <v>532</v>
      </c>
      <c r="J7040">
        <v>80</v>
      </c>
      <c r="K7040" t="b">
        <v>1</v>
      </c>
    </row>
    <row r="7041" spans="8:11" x14ac:dyDescent="0.25">
      <c r="H7041">
        <v>73</v>
      </c>
      <c r="I7041">
        <v>536</v>
      </c>
      <c r="J7041">
        <v>80</v>
      </c>
      <c r="K7041" t="b">
        <v>1</v>
      </c>
    </row>
    <row r="7042" spans="8:11" x14ac:dyDescent="0.25">
      <c r="H7042">
        <v>73</v>
      </c>
      <c r="I7042">
        <v>540</v>
      </c>
      <c r="J7042">
        <v>80</v>
      </c>
      <c r="K7042" t="b">
        <v>1</v>
      </c>
    </row>
    <row r="7043" spans="8:11" x14ac:dyDescent="0.25">
      <c r="H7043">
        <v>73</v>
      </c>
      <c r="I7043">
        <v>544</v>
      </c>
      <c r="J7043">
        <v>80</v>
      </c>
      <c r="K7043" t="b">
        <v>1</v>
      </c>
    </row>
    <row r="7044" spans="8:11" x14ac:dyDescent="0.25">
      <c r="H7044">
        <v>73</v>
      </c>
      <c r="I7044">
        <v>548</v>
      </c>
      <c r="J7044">
        <v>80</v>
      </c>
      <c r="K7044" t="b">
        <v>1</v>
      </c>
    </row>
    <row r="7045" spans="8:11" x14ac:dyDescent="0.25">
      <c r="H7045">
        <v>73</v>
      </c>
      <c r="I7045">
        <v>552</v>
      </c>
      <c r="J7045">
        <v>80</v>
      </c>
      <c r="K7045" t="b">
        <v>1</v>
      </c>
    </row>
    <row r="7046" spans="8:11" x14ac:dyDescent="0.25">
      <c r="H7046">
        <v>73</v>
      </c>
      <c r="I7046">
        <v>556</v>
      </c>
      <c r="J7046">
        <v>80</v>
      </c>
      <c r="K7046" t="b">
        <v>1</v>
      </c>
    </row>
    <row r="7047" spans="8:11" x14ac:dyDescent="0.25">
      <c r="H7047">
        <v>73</v>
      </c>
      <c r="I7047">
        <v>560</v>
      </c>
      <c r="J7047">
        <v>80</v>
      </c>
      <c r="K7047" t="b">
        <v>1</v>
      </c>
    </row>
    <row r="7048" spans="8:11" x14ac:dyDescent="0.25">
      <c r="H7048">
        <v>73</v>
      </c>
      <c r="I7048">
        <v>564</v>
      </c>
      <c r="J7048">
        <v>80</v>
      </c>
      <c r="K7048" t="b">
        <v>1</v>
      </c>
    </row>
    <row r="7049" spans="8:11" x14ac:dyDescent="0.25">
      <c r="H7049">
        <v>73</v>
      </c>
      <c r="I7049">
        <v>568</v>
      </c>
      <c r="J7049">
        <v>80</v>
      </c>
      <c r="K7049" t="b">
        <v>1</v>
      </c>
    </row>
    <row r="7050" spans="8:11" x14ac:dyDescent="0.25">
      <c r="H7050">
        <v>73</v>
      </c>
      <c r="I7050">
        <v>572</v>
      </c>
      <c r="J7050">
        <v>80</v>
      </c>
      <c r="K7050" t="b">
        <v>1</v>
      </c>
    </row>
    <row r="7051" spans="8:11" x14ac:dyDescent="0.25">
      <c r="H7051">
        <v>73</v>
      </c>
      <c r="I7051">
        <v>576</v>
      </c>
      <c r="J7051">
        <v>80</v>
      </c>
      <c r="K7051" t="b">
        <v>1</v>
      </c>
    </row>
    <row r="7052" spans="8:11" x14ac:dyDescent="0.25">
      <c r="H7052">
        <v>73</v>
      </c>
      <c r="I7052">
        <v>580</v>
      </c>
      <c r="J7052">
        <v>80</v>
      </c>
      <c r="K7052" t="b">
        <v>1</v>
      </c>
    </row>
    <row r="7053" spans="8:11" x14ac:dyDescent="0.25">
      <c r="H7053">
        <v>73</v>
      </c>
      <c r="I7053">
        <v>584</v>
      </c>
      <c r="J7053">
        <v>80</v>
      </c>
      <c r="K7053" t="b">
        <v>1</v>
      </c>
    </row>
    <row r="7054" spans="8:11" x14ac:dyDescent="0.25">
      <c r="H7054">
        <v>73</v>
      </c>
      <c r="I7054">
        <v>588</v>
      </c>
      <c r="J7054">
        <v>80</v>
      </c>
      <c r="K7054" t="b">
        <v>1</v>
      </c>
    </row>
    <row r="7055" spans="8:11" x14ac:dyDescent="0.25">
      <c r="H7055">
        <v>73</v>
      </c>
      <c r="I7055">
        <v>592</v>
      </c>
      <c r="J7055">
        <v>80</v>
      </c>
      <c r="K7055" t="b">
        <v>1</v>
      </c>
    </row>
    <row r="7056" spans="8:11" x14ac:dyDescent="0.25">
      <c r="H7056">
        <v>73</v>
      </c>
      <c r="I7056">
        <v>596</v>
      </c>
      <c r="J7056">
        <v>80</v>
      </c>
      <c r="K7056" t="b">
        <v>1</v>
      </c>
    </row>
    <row r="7057" spans="8:11" x14ac:dyDescent="0.25">
      <c r="H7057">
        <v>73</v>
      </c>
      <c r="I7057">
        <v>600</v>
      </c>
      <c r="J7057">
        <v>80</v>
      </c>
      <c r="K7057" t="b">
        <v>1</v>
      </c>
    </row>
    <row r="7058" spans="8:11" x14ac:dyDescent="0.25">
      <c r="H7058">
        <v>73</v>
      </c>
      <c r="I7058">
        <v>604</v>
      </c>
      <c r="J7058">
        <v>80</v>
      </c>
      <c r="K7058" t="b">
        <v>1</v>
      </c>
    </row>
    <row r="7059" spans="8:11" x14ac:dyDescent="0.25">
      <c r="H7059">
        <v>73</v>
      </c>
      <c r="I7059">
        <v>608</v>
      </c>
      <c r="J7059">
        <v>80</v>
      </c>
      <c r="K7059" t="b">
        <v>1</v>
      </c>
    </row>
    <row r="7060" spans="8:11" x14ac:dyDescent="0.25">
      <c r="H7060">
        <v>73</v>
      </c>
      <c r="I7060">
        <v>612</v>
      </c>
      <c r="J7060">
        <v>80</v>
      </c>
      <c r="K7060" t="b">
        <v>1</v>
      </c>
    </row>
    <row r="7061" spans="8:11" x14ac:dyDescent="0.25">
      <c r="H7061">
        <v>73</v>
      </c>
      <c r="I7061">
        <v>616</v>
      </c>
      <c r="J7061">
        <v>80</v>
      </c>
      <c r="K7061" t="b">
        <v>1</v>
      </c>
    </row>
    <row r="7062" spans="8:11" x14ac:dyDescent="0.25">
      <c r="H7062">
        <v>73</v>
      </c>
      <c r="I7062">
        <v>620</v>
      </c>
      <c r="J7062">
        <v>80</v>
      </c>
      <c r="K7062" t="b">
        <v>1</v>
      </c>
    </row>
    <row r="7063" spans="8:11" x14ac:dyDescent="0.25">
      <c r="H7063">
        <v>73</v>
      </c>
      <c r="I7063">
        <v>624</v>
      </c>
      <c r="J7063">
        <v>80</v>
      </c>
      <c r="K7063" t="b">
        <v>1</v>
      </c>
    </row>
    <row r="7064" spans="8:11" x14ac:dyDescent="0.25">
      <c r="H7064">
        <v>73</v>
      </c>
      <c r="I7064">
        <v>628</v>
      </c>
      <c r="J7064">
        <v>80</v>
      </c>
      <c r="K7064" t="b">
        <v>1</v>
      </c>
    </row>
    <row r="7065" spans="8:11" x14ac:dyDescent="0.25">
      <c r="H7065">
        <v>73</v>
      </c>
      <c r="I7065">
        <v>632</v>
      </c>
      <c r="J7065">
        <v>80</v>
      </c>
      <c r="K7065" t="b">
        <v>1</v>
      </c>
    </row>
    <row r="7066" spans="8:11" x14ac:dyDescent="0.25">
      <c r="H7066">
        <v>73</v>
      </c>
      <c r="I7066">
        <v>636</v>
      </c>
      <c r="J7066">
        <v>80</v>
      </c>
      <c r="K7066" t="b">
        <v>1</v>
      </c>
    </row>
    <row r="7067" spans="8:11" x14ac:dyDescent="0.25">
      <c r="H7067">
        <v>73</v>
      </c>
      <c r="I7067">
        <v>640</v>
      </c>
      <c r="J7067">
        <v>80</v>
      </c>
      <c r="K7067" t="b">
        <v>1</v>
      </c>
    </row>
    <row r="7068" spans="8:11" x14ac:dyDescent="0.25">
      <c r="H7068">
        <v>73</v>
      </c>
      <c r="I7068">
        <v>644</v>
      </c>
      <c r="J7068">
        <v>80</v>
      </c>
      <c r="K7068" t="b">
        <v>1</v>
      </c>
    </row>
    <row r="7069" spans="8:11" x14ac:dyDescent="0.25">
      <c r="H7069">
        <v>73</v>
      </c>
      <c r="I7069">
        <v>648</v>
      </c>
      <c r="J7069">
        <v>80</v>
      </c>
      <c r="K7069" t="b">
        <v>1</v>
      </c>
    </row>
    <row r="7070" spans="8:11" x14ac:dyDescent="0.25">
      <c r="H7070">
        <v>73</v>
      </c>
      <c r="I7070">
        <v>652</v>
      </c>
      <c r="J7070">
        <v>80</v>
      </c>
      <c r="K7070" t="b">
        <v>1</v>
      </c>
    </row>
    <row r="7071" spans="8:11" x14ac:dyDescent="0.25">
      <c r="H7071">
        <v>73</v>
      </c>
      <c r="I7071">
        <v>656</v>
      </c>
      <c r="J7071">
        <v>80</v>
      </c>
      <c r="K7071" t="b">
        <v>1</v>
      </c>
    </row>
    <row r="7072" spans="8:11" x14ac:dyDescent="0.25">
      <c r="H7072">
        <v>73</v>
      </c>
      <c r="I7072">
        <v>660</v>
      </c>
      <c r="J7072">
        <v>80</v>
      </c>
      <c r="K7072" t="b">
        <v>1</v>
      </c>
    </row>
    <row r="7073" spans="8:11" x14ac:dyDescent="0.25">
      <c r="H7073">
        <v>73</v>
      </c>
      <c r="I7073">
        <v>664</v>
      </c>
      <c r="J7073">
        <v>80</v>
      </c>
      <c r="K7073" t="b">
        <v>1</v>
      </c>
    </row>
    <row r="7074" spans="8:11" x14ac:dyDescent="0.25">
      <c r="H7074">
        <v>73</v>
      </c>
      <c r="I7074">
        <v>668</v>
      </c>
      <c r="J7074">
        <v>80</v>
      </c>
      <c r="K7074" t="b">
        <v>1</v>
      </c>
    </row>
    <row r="7075" spans="8:11" x14ac:dyDescent="0.25">
      <c r="H7075">
        <v>73</v>
      </c>
      <c r="I7075">
        <v>672</v>
      </c>
      <c r="J7075">
        <v>80</v>
      </c>
      <c r="K7075" t="b">
        <v>1</v>
      </c>
    </row>
    <row r="7076" spans="8:11" x14ac:dyDescent="0.25">
      <c r="H7076">
        <v>73</v>
      </c>
      <c r="I7076">
        <v>676</v>
      </c>
      <c r="J7076">
        <v>80</v>
      </c>
      <c r="K7076" t="b">
        <v>1</v>
      </c>
    </row>
    <row r="7077" spans="8:11" x14ac:dyDescent="0.25">
      <c r="H7077">
        <v>73</v>
      </c>
      <c r="I7077">
        <v>680</v>
      </c>
      <c r="J7077">
        <v>80</v>
      </c>
      <c r="K7077" t="b">
        <v>1</v>
      </c>
    </row>
    <row r="7078" spans="8:11" x14ac:dyDescent="0.25">
      <c r="H7078">
        <v>73</v>
      </c>
      <c r="I7078">
        <v>684</v>
      </c>
      <c r="J7078">
        <v>80</v>
      </c>
      <c r="K7078" t="b">
        <v>1</v>
      </c>
    </row>
    <row r="7079" spans="8:11" x14ac:dyDescent="0.25">
      <c r="H7079">
        <v>73</v>
      </c>
      <c r="I7079">
        <v>688</v>
      </c>
      <c r="J7079">
        <v>80</v>
      </c>
      <c r="K7079" t="b">
        <v>1</v>
      </c>
    </row>
    <row r="7080" spans="8:11" x14ac:dyDescent="0.25">
      <c r="H7080">
        <v>73</v>
      </c>
      <c r="I7080">
        <v>692</v>
      </c>
      <c r="J7080">
        <v>80</v>
      </c>
      <c r="K7080" t="b">
        <v>1</v>
      </c>
    </row>
    <row r="7081" spans="8:11" x14ac:dyDescent="0.25">
      <c r="H7081">
        <v>73</v>
      </c>
      <c r="I7081">
        <v>696</v>
      </c>
      <c r="J7081">
        <v>80</v>
      </c>
      <c r="K7081" t="b">
        <v>1</v>
      </c>
    </row>
    <row r="7082" spans="8:11" x14ac:dyDescent="0.25">
      <c r="H7082">
        <v>73</v>
      </c>
      <c r="I7082">
        <v>700</v>
      </c>
      <c r="J7082">
        <v>80</v>
      </c>
      <c r="K7082" t="b">
        <v>1</v>
      </c>
    </row>
    <row r="7083" spans="8:11" x14ac:dyDescent="0.25">
      <c r="H7083">
        <v>73</v>
      </c>
      <c r="I7083">
        <v>704</v>
      </c>
      <c r="J7083">
        <v>80</v>
      </c>
      <c r="K7083" t="b">
        <v>1</v>
      </c>
    </row>
    <row r="7084" spans="8:11" x14ac:dyDescent="0.25">
      <c r="H7084">
        <v>73</v>
      </c>
      <c r="I7084">
        <v>708</v>
      </c>
      <c r="J7084">
        <v>80</v>
      </c>
      <c r="K7084" t="b">
        <v>1</v>
      </c>
    </row>
    <row r="7085" spans="8:11" x14ac:dyDescent="0.25">
      <c r="H7085">
        <v>73</v>
      </c>
      <c r="I7085">
        <v>712</v>
      </c>
      <c r="J7085">
        <v>80</v>
      </c>
      <c r="K7085" t="b">
        <v>1</v>
      </c>
    </row>
    <row r="7086" spans="8:11" x14ac:dyDescent="0.25">
      <c r="H7086">
        <v>73</v>
      </c>
      <c r="I7086">
        <v>716</v>
      </c>
      <c r="J7086">
        <v>80</v>
      </c>
      <c r="K7086" t="b">
        <v>1</v>
      </c>
    </row>
    <row r="7087" spans="8:11" x14ac:dyDescent="0.25">
      <c r="H7087">
        <v>73</v>
      </c>
      <c r="I7087">
        <v>720</v>
      </c>
      <c r="J7087">
        <v>80</v>
      </c>
      <c r="K7087" t="b">
        <v>1</v>
      </c>
    </row>
    <row r="7088" spans="8:11" x14ac:dyDescent="0.25">
      <c r="H7088">
        <v>73</v>
      </c>
      <c r="I7088">
        <v>724</v>
      </c>
      <c r="J7088">
        <v>80</v>
      </c>
      <c r="K7088" t="b">
        <v>1</v>
      </c>
    </row>
    <row r="7089" spans="8:11" x14ac:dyDescent="0.25">
      <c r="H7089">
        <v>73</v>
      </c>
      <c r="I7089">
        <v>728</v>
      </c>
      <c r="J7089">
        <v>80</v>
      </c>
      <c r="K7089" t="b">
        <v>1</v>
      </c>
    </row>
    <row r="7090" spans="8:11" x14ac:dyDescent="0.25">
      <c r="H7090">
        <v>73</v>
      </c>
      <c r="I7090">
        <v>732</v>
      </c>
      <c r="J7090">
        <v>80</v>
      </c>
      <c r="K7090" t="b">
        <v>1</v>
      </c>
    </row>
    <row r="7091" spans="8:11" x14ac:dyDescent="0.25">
      <c r="H7091">
        <v>73</v>
      </c>
      <c r="I7091">
        <v>736</v>
      </c>
      <c r="J7091">
        <v>80</v>
      </c>
      <c r="K7091" t="b">
        <v>1</v>
      </c>
    </row>
    <row r="7092" spans="8:11" x14ac:dyDescent="0.25">
      <c r="H7092">
        <v>73</v>
      </c>
      <c r="I7092">
        <v>740</v>
      </c>
      <c r="J7092">
        <v>80</v>
      </c>
      <c r="K7092" t="b">
        <v>1</v>
      </c>
    </row>
    <row r="7093" spans="8:11" x14ac:dyDescent="0.25">
      <c r="H7093">
        <v>73</v>
      </c>
      <c r="I7093">
        <v>744</v>
      </c>
      <c r="J7093">
        <v>80</v>
      </c>
      <c r="K7093" t="b">
        <v>1</v>
      </c>
    </row>
    <row r="7094" spans="8:11" x14ac:dyDescent="0.25">
      <c r="H7094">
        <v>73</v>
      </c>
      <c r="I7094">
        <v>748</v>
      </c>
      <c r="J7094">
        <v>80</v>
      </c>
      <c r="K7094" t="b">
        <v>1</v>
      </c>
    </row>
    <row r="7095" spans="8:11" x14ac:dyDescent="0.25">
      <c r="H7095">
        <v>73</v>
      </c>
      <c r="I7095">
        <v>752</v>
      </c>
      <c r="J7095">
        <v>80</v>
      </c>
      <c r="K7095" t="b">
        <v>1</v>
      </c>
    </row>
    <row r="7096" spans="8:11" x14ac:dyDescent="0.25">
      <c r="H7096">
        <v>73</v>
      </c>
      <c r="I7096">
        <v>756</v>
      </c>
      <c r="J7096">
        <v>80</v>
      </c>
      <c r="K7096" t="b">
        <v>1</v>
      </c>
    </row>
    <row r="7097" spans="8:11" x14ac:dyDescent="0.25">
      <c r="H7097">
        <v>73</v>
      </c>
      <c r="I7097">
        <v>760</v>
      </c>
      <c r="J7097">
        <v>80</v>
      </c>
      <c r="K7097" t="b">
        <v>1</v>
      </c>
    </row>
    <row r="7098" spans="8:11" x14ac:dyDescent="0.25">
      <c r="H7098">
        <v>73</v>
      </c>
      <c r="I7098">
        <v>764</v>
      </c>
      <c r="J7098">
        <v>80</v>
      </c>
      <c r="K7098" t="b">
        <v>1</v>
      </c>
    </row>
    <row r="7099" spans="8:11" x14ac:dyDescent="0.25">
      <c r="H7099">
        <v>73</v>
      </c>
      <c r="I7099">
        <v>768</v>
      </c>
      <c r="J7099">
        <v>80</v>
      </c>
      <c r="K7099" t="b">
        <v>1</v>
      </c>
    </row>
    <row r="7100" spans="8:11" x14ac:dyDescent="0.25">
      <c r="H7100">
        <v>73</v>
      </c>
      <c r="I7100">
        <v>772</v>
      </c>
      <c r="J7100">
        <v>80</v>
      </c>
      <c r="K7100" t="b">
        <v>1</v>
      </c>
    </row>
    <row r="7101" spans="8:11" x14ac:dyDescent="0.25">
      <c r="H7101">
        <v>73</v>
      </c>
      <c r="I7101">
        <v>776</v>
      </c>
      <c r="J7101">
        <v>80</v>
      </c>
      <c r="K7101" t="b">
        <v>1</v>
      </c>
    </row>
    <row r="7102" spans="8:11" x14ac:dyDescent="0.25">
      <c r="H7102">
        <v>73</v>
      </c>
      <c r="I7102">
        <v>780</v>
      </c>
      <c r="J7102">
        <v>80</v>
      </c>
      <c r="K7102" t="b">
        <v>1</v>
      </c>
    </row>
    <row r="7103" spans="8:11" x14ac:dyDescent="0.25">
      <c r="H7103">
        <v>73</v>
      </c>
      <c r="I7103">
        <v>784</v>
      </c>
      <c r="J7103">
        <v>80</v>
      </c>
      <c r="K7103" t="b">
        <v>1</v>
      </c>
    </row>
    <row r="7104" spans="8:11" x14ac:dyDescent="0.25">
      <c r="H7104">
        <v>73</v>
      </c>
      <c r="I7104">
        <v>788</v>
      </c>
      <c r="J7104">
        <v>80</v>
      </c>
      <c r="K7104" t="b">
        <v>1</v>
      </c>
    </row>
    <row r="7105" spans="8:11" x14ac:dyDescent="0.25">
      <c r="H7105">
        <v>73</v>
      </c>
      <c r="I7105">
        <v>792</v>
      </c>
      <c r="J7105">
        <v>80</v>
      </c>
      <c r="K7105" t="b">
        <v>1</v>
      </c>
    </row>
    <row r="7106" spans="8:11" x14ac:dyDescent="0.25">
      <c r="H7106">
        <v>73</v>
      </c>
      <c r="I7106">
        <v>796</v>
      </c>
      <c r="J7106">
        <v>80</v>
      </c>
      <c r="K7106" t="b">
        <v>1</v>
      </c>
    </row>
    <row r="7107" spans="8:11" x14ac:dyDescent="0.25">
      <c r="H7107">
        <v>73</v>
      </c>
      <c r="I7107">
        <v>800</v>
      </c>
      <c r="J7107">
        <v>80</v>
      </c>
      <c r="K7107" t="b">
        <v>1</v>
      </c>
    </row>
    <row r="7108" spans="8:11" x14ac:dyDescent="0.25">
      <c r="H7108">
        <v>73</v>
      </c>
      <c r="I7108">
        <v>804</v>
      </c>
      <c r="J7108">
        <v>80</v>
      </c>
      <c r="K7108" t="b">
        <v>1</v>
      </c>
    </row>
    <row r="7109" spans="8:11" x14ac:dyDescent="0.25">
      <c r="H7109">
        <v>73</v>
      </c>
      <c r="I7109">
        <v>808</v>
      </c>
      <c r="J7109">
        <v>80</v>
      </c>
      <c r="K7109" t="b">
        <v>1</v>
      </c>
    </row>
    <row r="7110" spans="8:11" x14ac:dyDescent="0.25">
      <c r="H7110">
        <v>73</v>
      </c>
      <c r="I7110">
        <v>812</v>
      </c>
      <c r="J7110">
        <v>80</v>
      </c>
      <c r="K7110" t="b">
        <v>1</v>
      </c>
    </row>
    <row r="7111" spans="8:11" x14ac:dyDescent="0.25">
      <c r="H7111">
        <v>73</v>
      </c>
      <c r="I7111">
        <v>816</v>
      </c>
      <c r="J7111">
        <v>80</v>
      </c>
      <c r="K7111" t="b">
        <v>1</v>
      </c>
    </row>
    <row r="7112" spans="8:11" x14ac:dyDescent="0.25">
      <c r="H7112">
        <v>73</v>
      </c>
      <c r="I7112">
        <v>820</v>
      </c>
      <c r="J7112">
        <v>80</v>
      </c>
      <c r="K7112" t="b">
        <v>1</v>
      </c>
    </row>
    <row r="7113" spans="8:11" x14ac:dyDescent="0.25">
      <c r="H7113">
        <v>73</v>
      </c>
      <c r="I7113">
        <v>824</v>
      </c>
      <c r="J7113">
        <v>80</v>
      </c>
      <c r="K7113" t="b">
        <v>1</v>
      </c>
    </row>
    <row r="7114" spans="8:11" x14ac:dyDescent="0.25">
      <c r="H7114">
        <v>73</v>
      </c>
      <c r="I7114">
        <v>828</v>
      </c>
      <c r="J7114">
        <v>80</v>
      </c>
      <c r="K7114" t="b">
        <v>1</v>
      </c>
    </row>
    <row r="7115" spans="8:11" x14ac:dyDescent="0.25">
      <c r="H7115">
        <v>73</v>
      </c>
      <c r="I7115">
        <v>832</v>
      </c>
      <c r="J7115">
        <v>80</v>
      </c>
      <c r="K7115" t="b">
        <v>1</v>
      </c>
    </row>
    <row r="7116" spans="8:11" x14ac:dyDescent="0.25">
      <c r="H7116">
        <v>73</v>
      </c>
      <c r="I7116">
        <v>836</v>
      </c>
      <c r="J7116">
        <v>80</v>
      </c>
      <c r="K7116" t="b">
        <v>1</v>
      </c>
    </row>
    <row r="7117" spans="8:11" x14ac:dyDescent="0.25">
      <c r="H7117">
        <v>73</v>
      </c>
      <c r="I7117">
        <v>840</v>
      </c>
      <c r="J7117">
        <v>80</v>
      </c>
      <c r="K7117" t="b">
        <v>1</v>
      </c>
    </row>
    <row r="7118" spans="8:11" x14ac:dyDescent="0.25">
      <c r="H7118">
        <v>73</v>
      </c>
      <c r="I7118">
        <v>844</v>
      </c>
      <c r="J7118">
        <v>80</v>
      </c>
      <c r="K7118" t="b">
        <v>1</v>
      </c>
    </row>
    <row r="7119" spans="8:11" x14ac:dyDescent="0.25">
      <c r="H7119">
        <v>73</v>
      </c>
      <c r="I7119">
        <v>848</v>
      </c>
      <c r="J7119">
        <v>80</v>
      </c>
      <c r="K7119" t="b">
        <v>1</v>
      </c>
    </row>
    <row r="7120" spans="8:11" x14ac:dyDescent="0.25">
      <c r="H7120">
        <v>73</v>
      </c>
      <c r="I7120">
        <v>852</v>
      </c>
      <c r="J7120">
        <v>80</v>
      </c>
      <c r="K7120" t="b">
        <v>1</v>
      </c>
    </row>
    <row r="7121" spans="8:11" x14ac:dyDescent="0.25">
      <c r="H7121">
        <v>73</v>
      </c>
      <c r="I7121">
        <v>856</v>
      </c>
      <c r="J7121">
        <v>80</v>
      </c>
      <c r="K7121" t="b">
        <v>1</v>
      </c>
    </row>
    <row r="7122" spans="8:11" x14ac:dyDescent="0.25">
      <c r="H7122">
        <v>73</v>
      </c>
      <c r="I7122">
        <v>860</v>
      </c>
      <c r="J7122">
        <v>80</v>
      </c>
      <c r="K7122" t="b">
        <v>1</v>
      </c>
    </row>
    <row r="7123" spans="8:11" x14ac:dyDescent="0.25">
      <c r="H7123">
        <v>73</v>
      </c>
      <c r="I7123">
        <v>864</v>
      </c>
      <c r="J7123">
        <v>80</v>
      </c>
      <c r="K7123" t="b">
        <v>1</v>
      </c>
    </row>
    <row r="7124" spans="8:11" x14ac:dyDescent="0.25">
      <c r="H7124">
        <v>73</v>
      </c>
      <c r="I7124">
        <v>868</v>
      </c>
      <c r="J7124">
        <v>80</v>
      </c>
      <c r="K7124" t="b">
        <v>1</v>
      </c>
    </row>
    <row r="7125" spans="8:11" x14ac:dyDescent="0.25">
      <c r="H7125">
        <v>73</v>
      </c>
      <c r="I7125">
        <v>872</v>
      </c>
      <c r="J7125">
        <v>80</v>
      </c>
      <c r="K7125" t="b">
        <v>1</v>
      </c>
    </row>
    <row r="7126" spans="8:11" x14ac:dyDescent="0.25">
      <c r="H7126">
        <v>73</v>
      </c>
      <c r="I7126">
        <v>876</v>
      </c>
      <c r="J7126">
        <v>80</v>
      </c>
      <c r="K7126" t="b">
        <v>1</v>
      </c>
    </row>
    <row r="7127" spans="8:11" x14ac:dyDescent="0.25">
      <c r="H7127">
        <v>73</v>
      </c>
      <c r="I7127">
        <v>880</v>
      </c>
      <c r="J7127">
        <v>80</v>
      </c>
      <c r="K7127" t="b">
        <v>1</v>
      </c>
    </row>
    <row r="7128" spans="8:11" x14ac:dyDescent="0.25">
      <c r="H7128">
        <v>73</v>
      </c>
      <c r="I7128">
        <v>884</v>
      </c>
      <c r="J7128">
        <v>80</v>
      </c>
      <c r="K7128" t="b">
        <v>1</v>
      </c>
    </row>
    <row r="7129" spans="8:11" x14ac:dyDescent="0.25">
      <c r="H7129">
        <v>73</v>
      </c>
      <c r="I7129">
        <v>888</v>
      </c>
      <c r="J7129">
        <v>80</v>
      </c>
      <c r="K7129" t="b">
        <v>1</v>
      </c>
    </row>
    <row r="7130" spans="8:11" x14ac:dyDescent="0.25">
      <c r="H7130">
        <v>73</v>
      </c>
      <c r="I7130">
        <v>892</v>
      </c>
      <c r="J7130">
        <v>80</v>
      </c>
      <c r="K7130" t="b">
        <v>1</v>
      </c>
    </row>
    <row r="7131" spans="8:11" x14ac:dyDescent="0.25">
      <c r="H7131">
        <v>73</v>
      </c>
      <c r="I7131">
        <v>896</v>
      </c>
      <c r="J7131">
        <v>80</v>
      </c>
      <c r="K7131" t="b">
        <v>1</v>
      </c>
    </row>
    <row r="7132" spans="8:11" x14ac:dyDescent="0.25">
      <c r="H7132">
        <v>73</v>
      </c>
      <c r="I7132">
        <v>900</v>
      </c>
      <c r="J7132">
        <v>80</v>
      </c>
      <c r="K7132" t="b">
        <v>1</v>
      </c>
    </row>
    <row r="7133" spans="8:11" x14ac:dyDescent="0.25">
      <c r="H7133">
        <v>73</v>
      </c>
      <c r="I7133">
        <v>904</v>
      </c>
      <c r="J7133">
        <v>80</v>
      </c>
      <c r="K7133" t="b">
        <v>1</v>
      </c>
    </row>
    <row r="7134" spans="8:11" x14ac:dyDescent="0.25">
      <c r="H7134">
        <v>73</v>
      </c>
      <c r="I7134">
        <v>908</v>
      </c>
      <c r="J7134">
        <v>80</v>
      </c>
      <c r="K7134" t="b">
        <v>1</v>
      </c>
    </row>
    <row r="7135" spans="8:11" x14ac:dyDescent="0.25">
      <c r="H7135">
        <v>73</v>
      </c>
      <c r="I7135">
        <v>912</v>
      </c>
      <c r="J7135">
        <v>80</v>
      </c>
      <c r="K7135" t="b">
        <v>1</v>
      </c>
    </row>
    <row r="7136" spans="8:11" x14ac:dyDescent="0.25">
      <c r="H7136">
        <v>73</v>
      </c>
      <c r="I7136">
        <v>916</v>
      </c>
      <c r="J7136">
        <v>80</v>
      </c>
      <c r="K7136" t="b">
        <v>1</v>
      </c>
    </row>
    <row r="7137" spans="8:11" x14ac:dyDescent="0.25">
      <c r="H7137">
        <v>73</v>
      </c>
      <c r="I7137">
        <v>920</v>
      </c>
      <c r="J7137">
        <v>80</v>
      </c>
      <c r="K7137" t="b">
        <v>1</v>
      </c>
    </row>
    <row r="7138" spans="8:11" x14ac:dyDescent="0.25">
      <c r="H7138">
        <v>73</v>
      </c>
      <c r="I7138">
        <v>924</v>
      </c>
      <c r="J7138">
        <v>80</v>
      </c>
      <c r="K7138" t="b">
        <v>1</v>
      </c>
    </row>
    <row r="7139" spans="8:11" x14ac:dyDescent="0.25">
      <c r="H7139">
        <v>73</v>
      </c>
      <c r="I7139">
        <v>928</v>
      </c>
      <c r="J7139">
        <v>80</v>
      </c>
      <c r="K7139" t="b">
        <v>1</v>
      </c>
    </row>
    <row r="7140" spans="8:11" x14ac:dyDescent="0.25">
      <c r="H7140">
        <v>73</v>
      </c>
      <c r="I7140">
        <v>932</v>
      </c>
      <c r="J7140">
        <v>80</v>
      </c>
      <c r="K7140" t="b">
        <v>1</v>
      </c>
    </row>
    <row r="7141" spans="8:11" x14ac:dyDescent="0.25">
      <c r="H7141">
        <v>73</v>
      </c>
      <c r="I7141">
        <v>936</v>
      </c>
      <c r="J7141">
        <v>80</v>
      </c>
      <c r="K7141" t="b">
        <v>1</v>
      </c>
    </row>
    <row r="7142" spans="8:11" x14ac:dyDescent="0.25">
      <c r="H7142">
        <v>73</v>
      </c>
      <c r="I7142">
        <v>940</v>
      </c>
      <c r="J7142">
        <v>80</v>
      </c>
      <c r="K7142" t="b">
        <v>1</v>
      </c>
    </row>
    <row r="7143" spans="8:11" x14ac:dyDescent="0.25">
      <c r="H7143">
        <v>73</v>
      </c>
      <c r="I7143">
        <v>944</v>
      </c>
      <c r="J7143">
        <v>80</v>
      </c>
      <c r="K7143" t="b">
        <v>1</v>
      </c>
    </row>
    <row r="7144" spans="8:11" x14ac:dyDescent="0.25">
      <c r="H7144">
        <v>73</v>
      </c>
      <c r="I7144">
        <v>948</v>
      </c>
      <c r="J7144">
        <v>80</v>
      </c>
      <c r="K7144" t="b">
        <v>1</v>
      </c>
    </row>
    <row r="7145" spans="8:11" x14ac:dyDescent="0.25">
      <c r="H7145">
        <v>73</v>
      </c>
      <c r="I7145">
        <v>952</v>
      </c>
      <c r="J7145">
        <v>80</v>
      </c>
      <c r="K7145" t="b">
        <v>1</v>
      </c>
    </row>
    <row r="7146" spans="8:11" x14ac:dyDescent="0.25">
      <c r="H7146">
        <v>73</v>
      </c>
      <c r="I7146">
        <v>956</v>
      </c>
      <c r="J7146">
        <v>80</v>
      </c>
      <c r="K7146" t="b">
        <v>1</v>
      </c>
    </row>
    <row r="7147" spans="8:11" x14ac:dyDescent="0.25">
      <c r="H7147">
        <v>74</v>
      </c>
      <c r="I7147">
        <v>0</v>
      </c>
      <c r="J7147">
        <v>95</v>
      </c>
      <c r="K7147" t="b">
        <v>1</v>
      </c>
    </row>
    <row r="7148" spans="8:11" x14ac:dyDescent="0.25">
      <c r="H7148">
        <v>74</v>
      </c>
      <c r="I7148">
        <v>30</v>
      </c>
      <c r="J7148">
        <v>95</v>
      </c>
      <c r="K7148" t="b">
        <v>1</v>
      </c>
    </row>
    <row r="7149" spans="8:11" x14ac:dyDescent="0.25">
      <c r="H7149">
        <v>74</v>
      </c>
      <c r="I7149">
        <v>60</v>
      </c>
      <c r="J7149">
        <v>95</v>
      </c>
      <c r="K7149" t="b">
        <v>1</v>
      </c>
    </row>
    <row r="7150" spans="8:11" x14ac:dyDescent="0.25">
      <c r="H7150">
        <v>74</v>
      </c>
      <c r="I7150">
        <v>90</v>
      </c>
      <c r="J7150">
        <v>95</v>
      </c>
      <c r="K7150" t="b">
        <v>1</v>
      </c>
    </row>
    <row r="7151" spans="8:11" x14ac:dyDescent="0.25">
      <c r="H7151">
        <v>74</v>
      </c>
      <c r="I7151">
        <v>120</v>
      </c>
      <c r="J7151">
        <v>95</v>
      </c>
      <c r="K7151" t="b">
        <v>1</v>
      </c>
    </row>
    <row r="7152" spans="8:11" x14ac:dyDescent="0.25">
      <c r="H7152">
        <v>74</v>
      </c>
      <c r="I7152">
        <v>150</v>
      </c>
      <c r="J7152">
        <v>95</v>
      </c>
      <c r="K7152" t="b">
        <v>1</v>
      </c>
    </row>
    <row r="7153" spans="8:11" x14ac:dyDescent="0.25">
      <c r="H7153">
        <v>74</v>
      </c>
      <c r="I7153">
        <v>180</v>
      </c>
      <c r="J7153">
        <v>95</v>
      </c>
      <c r="K7153" t="b">
        <v>1</v>
      </c>
    </row>
    <row r="7154" spans="8:11" x14ac:dyDescent="0.25">
      <c r="H7154">
        <v>74</v>
      </c>
      <c r="I7154">
        <v>210</v>
      </c>
      <c r="J7154">
        <v>95</v>
      </c>
      <c r="K7154" t="b">
        <v>1</v>
      </c>
    </row>
    <row r="7155" spans="8:11" x14ac:dyDescent="0.25">
      <c r="H7155">
        <v>74</v>
      </c>
      <c r="I7155">
        <v>240</v>
      </c>
      <c r="J7155">
        <v>95</v>
      </c>
      <c r="K7155" t="b">
        <v>1</v>
      </c>
    </row>
    <row r="7156" spans="8:11" x14ac:dyDescent="0.25">
      <c r="H7156">
        <v>74</v>
      </c>
      <c r="I7156">
        <v>270</v>
      </c>
      <c r="J7156">
        <v>95</v>
      </c>
      <c r="K7156" t="b">
        <v>1</v>
      </c>
    </row>
    <row r="7157" spans="8:11" x14ac:dyDescent="0.25">
      <c r="H7157">
        <v>74</v>
      </c>
      <c r="I7157">
        <v>300</v>
      </c>
      <c r="J7157">
        <v>95</v>
      </c>
      <c r="K7157" t="b">
        <v>1</v>
      </c>
    </row>
    <row r="7158" spans="8:11" x14ac:dyDescent="0.25">
      <c r="H7158">
        <v>74</v>
      </c>
      <c r="I7158">
        <v>330</v>
      </c>
      <c r="J7158">
        <v>95</v>
      </c>
      <c r="K7158" t="b">
        <v>1</v>
      </c>
    </row>
    <row r="7159" spans="8:11" x14ac:dyDescent="0.25">
      <c r="H7159">
        <v>74</v>
      </c>
      <c r="I7159">
        <v>360</v>
      </c>
      <c r="J7159">
        <v>95</v>
      </c>
      <c r="K7159" t="b">
        <v>1</v>
      </c>
    </row>
    <row r="7160" spans="8:11" x14ac:dyDescent="0.25">
      <c r="H7160">
        <v>74</v>
      </c>
      <c r="I7160">
        <v>390</v>
      </c>
      <c r="J7160">
        <v>95</v>
      </c>
      <c r="K7160" t="b">
        <v>1</v>
      </c>
    </row>
    <row r="7161" spans="8:11" x14ac:dyDescent="0.25">
      <c r="H7161">
        <v>74</v>
      </c>
      <c r="I7161">
        <v>420</v>
      </c>
      <c r="J7161">
        <v>95</v>
      </c>
      <c r="K7161" t="b">
        <v>1</v>
      </c>
    </row>
    <row r="7162" spans="8:11" x14ac:dyDescent="0.25">
      <c r="H7162">
        <v>74</v>
      </c>
      <c r="I7162">
        <v>450</v>
      </c>
      <c r="J7162">
        <v>95</v>
      </c>
      <c r="K7162" t="b">
        <v>1</v>
      </c>
    </row>
    <row r="7163" spans="8:11" x14ac:dyDescent="0.25">
      <c r="H7163">
        <v>74</v>
      </c>
      <c r="I7163">
        <v>480</v>
      </c>
      <c r="J7163">
        <v>95</v>
      </c>
      <c r="K7163" t="b">
        <v>1</v>
      </c>
    </row>
    <row r="7164" spans="8:11" x14ac:dyDescent="0.25">
      <c r="H7164">
        <v>74</v>
      </c>
      <c r="I7164">
        <v>510</v>
      </c>
      <c r="J7164">
        <v>95</v>
      </c>
      <c r="K7164" t="b">
        <v>1</v>
      </c>
    </row>
    <row r="7165" spans="8:11" x14ac:dyDescent="0.25">
      <c r="H7165">
        <v>74</v>
      </c>
      <c r="I7165">
        <v>540</v>
      </c>
      <c r="J7165">
        <v>95</v>
      </c>
      <c r="K7165" t="b">
        <v>1</v>
      </c>
    </row>
    <row r="7166" spans="8:11" x14ac:dyDescent="0.25">
      <c r="H7166">
        <v>74</v>
      </c>
      <c r="I7166">
        <v>570</v>
      </c>
      <c r="J7166">
        <v>95</v>
      </c>
      <c r="K7166" t="b">
        <v>1</v>
      </c>
    </row>
    <row r="7167" spans="8:11" x14ac:dyDescent="0.25">
      <c r="H7167">
        <v>74</v>
      </c>
      <c r="I7167">
        <v>600</v>
      </c>
      <c r="J7167">
        <v>95</v>
      </c>
      <c r="K7167" t="b">
        <v>1</v>
      </c>
    </row>
    <row r="7168" spans="8:11" x14ac:dyDescent="0.25">
      <c r="H7168">
        <v>74</v>
      </c>
      <c r="I7168">
        <v>630</v>
      </c>
      <c r="J7168">
        <v>95</v>
      </c>
      <c r="K7168" t="b">
        <v>1</v>
      </c>
    </row>
    <row r="7169" spans="8:11" x14ac:dyDescent="0.25">
      <c r="H7169">
        <v>74</v>
      </c>
      <c r="I7169">
        <v>660</v>
      </c>
      <c r="J7169">
        <v>95</v>
      </c>
      <c r="K7169" t="b">
        <v>1</v>
      </c>
    </row>
    <row r="7170" spans="8:11" x14ac:dyDescent="0.25">
      <c r="H7170">
        <v>74</v>
      </c>
      <c r="I7170">
        <v>690</v>
      </c>
      <c r="J7170">
        <v>95</v>
      </c>
      <c r="K7170" t="b">
        <v>1</v>
      </c>
    </row>
    <row r="7171" spans="8:11" x14ac:dyDescent="0.25">
      <c r="H7171">
        <v>74</v>
      </c>
      <c r="I7171">
        <v>720</v>
      </c>
      <c r="J7171">
        <v>95</v>
      </c>
      <c r="K7171" t="b">
        <v>1</v>
      </c>
    </row>
    <row r="7172" spans="8:11" x14ac:dyDescent="0.25">
      <c r="H7172">
        <v>74</v>
      </c>
      <c r="I7172">
        <v>750</v>
      </c>
      <c r="J7172">
        <v>95</v>
      </c>
      <c r="K7172" t="b">
        <v>1</v>
      </c>
    </row>
    <row r="7173" spans="8:11" x14ac:dyDescent="0.25">
      <c r="H7173">
        <v>74</v>
      </c>
      <c r="I7173">
        <v>780</v>
      </c>
      <c r="J7173">
        <v>95</v>
      </c>
      <c r="K7173" t="b">
        <v>1</v>
      </c>
    </row>
    <row r="7174" spans="8:11" x14ac:dyDescent="0.25">
      <c r="H7174">
        <v>74</v>
      </c>
      <c r="I7174">
        <v>810</v>
      </c>
      <c r="J7174">
        <v>95</v>
      </c>
      <c r="K7174" t="b">
        <v>1</v>
      </c>
    </row>
    <row r="7175" spans="8:11" x14ac:dyDescent="0.25">
      <c r="H7175">
        <v>74</v>
      </c>
      <c r="I7175">
        <v>840</v>
      </c>
      <c r="J7175">
        <v>95</v>
      </c>
      <c r="K7175" t="b">
        <v>1</v>
      </c>
    </row>
    <row r="7176" spans="8:11" x14ac:dyDescent="0.25">
      <c r="H7176">
        <v>74</v>
      </c>
      <c r="I7176">
        <v>870</v>
      </c>
      <c r="J7176">
        <v>95</v>
      </c>
      <c r="K7176" t="b">
        <v>1</v>
      </c>
    </row>
    <row r="7177" spans="8:11" x14ac:dyDescent="0.25">
      <c r="H7177">
        <v>74</v>
      </c>
      <c r="I7177">
        <v>900</v>
      </c>
      <c r="J7177">
        <v>95</v>
      </c>
      <c r="K7177" t="b">
        <v>1</v>
      </c>
    </row>
    <row r="7178" spans="8:11" x14ac:dyDescent="0.25">
      <c r="H7178">
        <v>74</v>
      </c>
      <c r="I7178">
        <v>930</v>
      </c>
      <c r="J7178">
        <v>95</v>
      </c>
      <c r="K7178" t="b">
        <v>1</v>
      </c>
    </row>
    <row r="7179" spans="8:11" x14ac:dyDescent="0.25">
      <c r="H7179">
        <v>75</v>
      </c>
      <c r="I7179">
        <v>0</v>
      </c>
      <c r="J7179">
        <v>95</v>
      </c>
      <c r="K7179" t="b">
        <v>1</v>
      </c>
    </row>
    <row r="7180" spans="8:11" x14ac:dyDescent="0.25">
      <c r="H7180">
        <v>75</v>
      </c>
      <c r="I7180">
        <v>30</v>
      </c>
      <c r="J7180">
        <v>95</v>
      </c>
      <c r="K7180" t="b">
        <v>1</v>
      </c>
    </row>
    <row r="7181" spans="8:11" x14ac:dyDescent="0.25">
      <c r="H7181">
        <v>75</v>
      </c>
      <c r="I7181">
        <v>60</v>
      </c>
      <c r="J7181">
        <v>95</v>
      </c>
      <c r="K7181" t="b">
        <v>1</v>
      </c>
    </row>
    <row r="7182" spans="8:11" x14ac:dyDescent="0.25">
      <c r="H7182">
        <v>75</v>
      </c>
      <c r="I7182">
        <v>90</v>
      </c>
      <c r="J7182">
        <v>95</v>
      </c>
      <c r="K7182" t="b">
        <v>1</v>
      </c>
    </row>
    <row r="7183" spans="8:11" x14ac:dyDescent="0.25">
      <c r="H7183">
        <v>75</v>
      </c>
      <c r="I7183">
        <v>120</v>
      </c>
      <c r="J7183">
        <v>95</v>
      </c>
      <c r="K7183" t="b">
        <v>1</v>
      </c>
    </row>
    <row r="7184" spans="8:11" x14ac:dyDescent="0.25">
      <c r="H7184">
        <v>75</v>
      </c>
      <c r="I7184">
        <v>150</v>
      </c>
      <c r="J7184">
        <v>95</v>
      </c>
      <c r="K7184" t="b">
        <v>1</v>
      </c>
    </row>
    <row r="7185" spans="8:11" x14ac:dyDescent="0.25">
      <c r="H7185">
        <v>75</v>
      </c>
      <c r="I7185">
        <v>180</v>
      </c>
      <c r="J7185">
        <v>95</v>
      </c>
      <c r="K7185" t="b">
        <v>1</v>
      </c>
    </row>
    <row r="7186" spans="8:11" x14ac:dyDescent="0.25">
      <c r="H7186">
        <v>75</v>
      </c>
      <c r="I7186">
        <v>210</v>
      </c>
      <c r="J7186">
        <v>95</v>
      </c>
      <c r="K7186" t="b">
        <v>1</v>
      </c>
    </row>
    <row r="7187" spans="8:11" x14ac:dyDescent="0.25">
      <c r="H7187">
        <v>75</v>
      </c>
      <c r="I7187">
        <v>240</v>
      </c>
      <c r="J7187">
        <v>95</v>
      </c>
      <c r="K7187" t="b">
        <v>1</v>
      </c>
    </row>
    <row r="7188" spans="8:11" x14ac:dyDescent="0.25">
      <c r="H7188">
        <v>75</v>
      </c>
      <c r="I7188">
        <v>270</v>
      </c>
      <c r="J7188">
        <v>95</v>
      </c>
      <c r="K7188" t="b">
        <v>1</v>
      </c>
    </row>
    <row r="7189" spans="8:11" x14ac:dyDescent="0.25">
      <c r="H7189">
        <v>75</v>
      </c>
      <c r="I7189">
        <v>300</v>
      </c>
      <c r="J7189">
        <v>95</v>
      </c>
      <c r="K7189" t="b">
        <v>1</v>
      </c>
    </row>
    <row r="7190" spans="8:11" x14ac:dyDescent="0.25">
      <c r="H7190">
        <v>75</v>
      </c>
      <c r="I7190">
        <v>330</v>
      </c>
      <c r="J7190">
        <v>95</v>
      </c>
      <c r="K7190" t="b">
        <v>1</v>
      </c>
    </row>
    <row r="7191" spans="8:11" x14ac:dyDescent="0.25">
      <c r="H7191">
        <v>75</v>
      </c>
      <c r="I7191">
        <v>360</v>
      </c>
      <c r="J7191">
        <v>95</v>
      </c>
      <c r="K7191" t="b">
        <v>1</v>
      </c>
    </row>
    <row r="7192" spans="8:11" x14ac:dyDescent="0.25">
      <c r="H7192">
        <v>75</v>
      </c>
      <c r="I7192">
        <v>390</v>
      </c>
      <c r="J7192">
        <v>95</v>
      </c>
      <c r="K7192" t="b">
        <v>1</v>
      </c>
    </row>
    <row r="7193" spans="8:11" x14ac:dyDescent="0.25">
      <c r="H7193">
        <v>75</v>
      </c>
      <c r="I7193">
        <v>420</v>
      </c>
      <c r="J7193">
        <v>95</v>
      </c>
      <c r="K7193" t="b">
        <v>1</v>
      </c>
    </row>
    <row r="7194" spans="8:11" x14ac:dyDescent="0.25">
      <c r="H7194">
        <v>75</v>
      </c>
      <c r="I7194">
        <v>450</v>
      </c>
      <c r="J7194">
        <v>95</v>
      </c>
      <c r="K7194" t="b">
        <v>1</v>
      </c>
    </row>
    <row r="7195" spans="8:11" x14ac:dyDescent="0.25">
      <c r="H7195">
        <v>75</v>
      </c>
      <c r="I7195">
        <v>480</v>
      </c>
      <c r="J7195">
        <v>95</v>
      </c>
      <c r="K7195" t="b">
        <v>1</v>
      </c>
    </row>
    <row r="7196" spans="8:11" x14ac:dyDescent="0.25">
      <c r="H7196">
        <v>75</v>
      </c>
      <c r="I7196">
        <v>510</v>
      </c>
      <c r="J7196">
        <v>95</v>
      </c>
      <c r="K7196" t="b">
        <v>1</v>
      </c>
    </row>
    <row r="7197" spans="8:11" x14ac:dyDescent="0.25">
      <c r="H7197">
        <v>75</v>
      </c>
      <c r="I7197">
        <v>540</v>
      </c>
      <c r="J7197">
        <v>95</v>
      </c>
      <c r="K7197" t="b">
        <v>1</v>
      </c>
    </row>
    <row r="7198" spans="8:11" x14ac:dyDescent="0.25">
      <c r="H7198">
        <v>75</v>
      </c>
      <c r="I7198">
        <v>570</v>
      </c>
      <c r="J7198">
        <v>95</v>
      </c>
      <c r="K7198" t="b">
        <v>1</v>
      </c>
    </row>
    <row r="7199" spans="8:11" x14ac:dyDescent="0.25">
      <c r="H7199">
        <v>75</v>
      </c>
      <c r="I7199">
        <v>600</v>
      </c>
      <c r="J7199">
        <v>95</v>
      </c>
      <c r="K7199" t="b">
        <v>1</v>
      </c>
    </row>
    <row r="7200" spans="8:11" x14ac:dyDescent="0.25">
      <c r="H7200">
        <v>75</v>
      </c>
      <c r="I7200">
        <v>630</v>
      </c>
      <c r="J7200">
        <v>95</v>
      </c>
      <c r="K7200" t="b">
        <v>1</v>
      </c>
    </row>
    <row r="7201" spans="8:11" x14ac:dyDescent="0.25">
      <c r="H7201">
        <v>75</v>
      </c>
      <c r="I7201">
        <v>660</v>
      </c>
      <c r="J7201">
        <v>95</v>
      </c>
      <c r="K7201" t="b">
        <v>1</v>
      </c>
    </row>
    <row r="7202" spans="8:11" x14ac:dyDescent="0.25">
      <c r="H7202">
        <v>75</v>
      </c>
      <c r="I7202">
        <v>690</v>
      </c>
      <c r="J7202">
        <v>95</v>
      </c>
      <c r="K7202" t="b">
        <v>1</v>
      </c>
    </row>
    <row r="7203" spans="8:11" x14ac:dyDescent="0.25">
      <c r="H7203">
        <v>75</v>
      </c>
      <c r="I7203">
        <v>720</v>
      </c>
      <c r="J7203">
        <v>95</v>
      </c>
      <c r="K7203" t="b">
        <v>1</v>
      </c>
    </row>
    <row r="7204" spans="8:11" x14ac:dyDescent="0.25">
      <c r="H7204">
        <v>75</v>
      </c>
      <c r="I7204">
        <v>750</v>
      </c>
      <c r="J7204">
        <v>95</v>
      </c>
      <c r="K7204" t="b">
        <v>1</v>
      </c>
    </row>
    <row r="7205" spans="8:11" x14ac:dyDescent="0.25">
      <c r="H7205">
        <v>75</v>
      </c>
      <c r="I7205">
        <v>780</v>
      </c>
      <c r="J7205">
        <v>95</v>
      </c>
      <c r="K7205" t="b">
        <v>1</v>
      </c>
    </row>
    <row r="7206" spans="8:11" x14ac:dyDescent="0.25">
      <c r="H7206">
        <v>75</v>
      </c>
      <c r="I7206">
        <v>810</v>
      </c>
      <c r="J7206">
        <v>95</v>
      </c>
      <c r="K7206" t="b">
        <v>1</v>
      </c>
    </row>
    <row r="7207" spans="8:11" x14ac:dyDescent="0.25">
      <c r="H7207">
        <v>75</v>
      </c>
      <c r="I7207">
        <v>840</v>
      </c>
      <c r="J7207">
        <v>95</v>
      </c>
      <c r="K7207" t="b">
        <v>1</v>
      </c>
    </row>
    <row r="7208" spans="8:11" x14ac:dyDescent="0.25">
      <c r="H7208">
        <v>75</v>
      </c>
      <c r="I7208">
        <v>870</v>
      </c>
      <c r="J7208">
        <v>95</v>
      </c>
      <c r="K7208" t="b">
        <v>1</v>
      </c>
    </row>
    <row r="7209" spans="8:11" x14ac:dyDescent="0.25">
      <c r="H7209">
        <v>75</v>
      </c>
      <c r="I7209">
        <v>900</v>
      </c>
      <c r="J7209">
        <v>95</v>
      </c>
      <c r="K7209" t="b">
        <v>1</v>
      </c>
    </row>
    <row r="7210" spans="8:11" x14ac:dyDescent="0.25">
      <c r="H7210">
        <v>75</v>
      </c>
      <c r="I7210">
        <v>930</v>
      </c>
      <c r="J7210">
        <v>95</v>
      </c>
      <c r="K7210" t="b">
        <v>1</v>
      </c>
    </row>
    <row r="7211" spans="8:11" x14ac:dyDescent="0.25">
      <c r="H7211">
        <v>76</v>
      </c>
      <c r="I7211">
        <v>0</v>
      </c>
      <c r="J7211">
        <v>110</v>
      </c>
      <c r="K7211" t="b">
        <v>1</v>
      </c>
    </row>
    <row r="7212" spans="8:11" x14ac:dyDescent="0.25">
      <c r="H7212">
        <v>76</v>
      </c>
      <c r="I7212">
        <v>5</v>
      </c>
      <c r="J7212">
        <v>110</v>
      </c>
      <c r="K7212" t="b">
        <v>1</v>
      </c>
    </row>
    <row r="7213" spans="8:11" x14ac:dyDescent="0.25">
      <c r="H7213">
        <v>76</v>
      </c>
      <c r="I7213">
        <v>10</v>
      </c>
      <c r="J7213">
        <v>110</v>
      </c>
      <c r="K7213" t="b">
        <v>1</v>
      </c>
    </row>
    <row r="7214" spans="8:11" x14ac:dyDescent="0.25">
      <c r="H7214">
        <v>76</v>
      </c>
      <c r="I7214">
        <v>15</v>
      </c>
      <c r="J7214">
        <v>110</v>
      </c>
      <c r="K7214" t="b">
        <v>1</v>
      </c>
    </row>
    <row r="7215" spans="8:11" x14ac:dyDescent="0.25">
      <c r="H7215">
        <v>76</v>
      </c>
      <c r="I7215">
        <v>20</v>
      </c>
      <c r="J7215">
        <v>110</v>
      </c>
      <c r="K7215" t="b">
        <v>1</v>
      </c>
    </row>
    <row r="7216" spans="8:11" x14ac:dyDescent="0.25">
      <c r="H7216">
        <v>76</v>
      </c>
      <c r="I7216">
        <v>25</v>
      </c>
      <c r="J7216">
        <v>110</v>
      </c>
      <c r="K7216" t="b">
        <v>1</v>
      </c>
    </row>
    <row r="7217" spans="8:11" x14ac:dyDescent="0.25">
      <c r="H7217">
        <v>76</v>
      </c>
      <c r="I7217">
        <v>30</v>
      </c>
      <c r="J7217">
        <v>110</v>
      </c>
      <c r="K7217" t="b">
        <v>1</v>
      </c>
    </row>
    <row r="7218" spans="8:11" x14ac:dyDescent="0.25">
      <c r="H7218">
        <v>76</v>
      </c>
      <c r="I7218">
        <v>35</v>
      </c>
      <c r="J7218">
        <v>110</v>
      </c>
      <c r="K7218" t="b">
        <v>1</v>
      </c>
    </row>
    <row r="7219" spans="8:11" x14ac:dyDescent="0.25">
      <c r="H7219">
        <v>76</v>
      </c>
      <c r="I7219">
        <v>40</v>
      </c>
      <c r="J7219">
        <v>110</v>
      </c>
      <c r="K7219" t="b">
        <v>1</v>
      </c>
    </row>
    <row r="7220" spans="8:11" x14ac:dyDescent="0.25">
      <c r="H7220">
        <v>76</v>
      </c>
      <c r="I7220">
        <v>45</v>
      </c>
      <c r="J7220">
        <v>110</v>
      </c>
      <c r="K7220" t="b">
        <v>1</v>
      </c>
    </row>
    <row r="7221" spans="8:11" x14ac:dyDescent="0.25">
      <c r="H7221">
        <v>76</v>
      </c>
      <c r="I7221">
        <v>50</v>
      </c>
      <c r="J7221">
        <v>110</v>
      </c>
      <c r="K7221" t="b">
        <v>1</v>
      </c>
    </row>
    <row r="7222" spans="8:11" x14ac:dyDescent="0.25">
      <c r="H7222">
        <v>76</v>
      </c>
      <c r="I7222">
        <v>55</v>
      </c>
      <c r="J7222">
        <v>110</v>
      </c>
      <c r="K7222" t="b">
        <v>1</v>
      </c>
    </row>
    <row r="7223" spans="8:11" x14ac:dyDescent="0.25">
      <c r="H7223">
        <v>76</v>
      </c>
      <c r="I7223">
        <v>60</v>
      </c>
      <c r="J7223">
        <v>110</v>
      </c>
      <c r="K7223" t="b">
        <v>1</v>
      </c>
    </row>
    <row r="7224" spans="8:11" x14ac:dyDescent="0.25">
      <c r="H7224">
        <v>76</v>
      </c>
      <c r="I7224">
        <v>65</v>
      </c>
      <c r="J7224">
        <v>110</v>
      </c>
      <c r="K7224" t="b">
        <v>1</v>
      </c>
    </row>
    <row r="7225" spans="8:11" x14ac:dyDescent="0.25">
      <c r="H7225">
        <v>76</v>
      </c>
      <c r="I7225">
        <v>70</v>
      </c>
      <c r="J7225">
        <v>110</v>
      </c>
      <c r="K7225" t="b">
        <v>1</v>
      </c>
    </row>
    <row r="7226" spans="8:11" x14ac:dyDescent="0.25">
      <c r="H7226">
        <v>76</v>
      </c>
      <c r="I7226">
        <v>75</v>
      </c>
      <c r="J7226">
        <v>110</v>
      </c>
      <c r="K7226" t="b">
        <v>1</v>
      </c>
    </row>
    <row r="7227" spans="8:11" x14ac:dyDescent="0.25">
      <c r="H7227">
        <v>76</v>
      </c>
      <c r="I7227">
        <v>80</v>
      </c>
      <c r="J7227">
        <v>110</v>
      </c>
      <c r="K7227" t="b">
        <v>1</v>
      </c>
    </row>
    <row r="7228" spans="8:11" x14ac:dyDescent="0.25">
      <c r="H7228">
        <v>76</v>
      </c>
      <c r="I7228">
        <v>85</v>
      </c>
      <c r="J7228">
        <v>110</v>
      </c>
      <c r="K7228" t="b">
        <v>1</v>
      </c>
    </row>
    <row r="7229" spans="8:11" x14ac:dyDescent="0.25">
      <c r="H7229">
        <v>76</v>
      </c>
      <c r="I7229">
        <v>90</v>
      </c>
      <c r="J7229">
        <v>110</v>
      </c>
      <c r="K7229" t="b">
        <v>1</v>
      </c>
    </row>
    <row r="7230" spans="8:11" x14ac:dyDescent="0.25">
      <c r="H7230">
        <v>76</v>
      </c>
      <c r="I7230">
        <v>95</v>
      </c>
      <c r="J7230">
        <v>110</v>
      </c>
      <c r="K7230" t="b">
        <v>1</v>
      </c>
    </row>
    <row r="7231" spans="8:11" x14ac:dyDescent="0.25">
      <c r="H7231">
        <v>76</v>
      </c>
      <c r="I7231">
        <v>100</v>
      </c>
      <c r="J7231">
        <v>110</v>
      </c>
      <c r="K7231" t="b">
        <v>1</v>
      </c>
    </row>
    <row r="7232" spans="8:11" x14ac:dyDescent="0.25">
      <c r="H7232">
        <v>76</v>
      </c>
      <c r="I7232">
        <v>105</v>
      </c>
      <c r="J7232">
        <v>110</v>
      </c>
      <c r="K7232" t="b">
        <v>1</v>
      </c>
    </row>
    <row r="7233" spans="8:11" x14ac:dyDescent="0.25">
      <c r="H7233">
        <v>76</v>
      </c>
      <c r="I7233">
        <v>110</v>
      </c>
      <c r="J7233">
        <v>110</v>
      </c>
      <c r="K7233" t="b">
        <v>1</v>
      </c>
    </row>
    <row r="7234" spans="8:11" x14ac:dyDescent="0.25">
      <c r="H7234">
        <v>76</v>
      </c>
      <c r="I7234">
        <v>115</v>
      </c>
      <c r="J7234">
        <v>110</v>
      </c>
      <c r="K7234" t="b">
        <v>1</v>
      </c>
    </row>
    <row r="7235" spans="8:11" x14ac:dyDescent="0.25">
      <c r="H7235">
        <v>76</v>
      </c>
      <c r="I7235">
        <v>120</v>
      </c>
      <c r="J7235">
        <v>110</v>
      </c>
      <c r="K7235" t="b">
        <v>1</v>
      </c>
    </row>
    <row r="7236" spans="8:11" x14ac:dyDescent="0.25">
      <c r="H7236">
        <v>76</v>
      </c>
      <c r="I7236">
        <v>125</v>
      </c>
      <c r="J7236">
        <v>110</v>
      </c>
      <c r="K7236" t="b">
        <v>1</v>
      </c>
    </row>
    <row r="7237" spans="8:11" x14ac:dyDescent="0.25">
      <c r="H7237">
        <v>76</v>
      </c>
      <c r="I7237">
        <v>130</v>
      </c>
      <c r="J7237">
        <v>110</v>
      </c>
      <c r="K7237" t="b">
        <v>1</v>
      </c>
    </row>
    <row r="7238" spans="8:11" x14ac:dyDescent="0.25">
      <c r="H7238">
        <v>76</v>
      </c>
      <c r="I7238">
        <v>135</v>
      </c>
      <c r="J7238">
        <v>110</v>
      </c>
      <c r="K7238" t="b">
        <v>1</v>
      </c>
    </row>
    <row r="7239" spans="8:11" x14ac:dyDescent="0.25">
      <c r="H7239">
        <v>76</v>
      </c>
      <c r="I7239">
        <v>140</v>
      </c>
      <c r="J7239">
        <v>110</v>
      </c>
      <c r="K7239" t="b">
        <v>1</v>
      </c>
    </row>
    <row r="7240" spans="8:11" x14ac:dyDescent="0.25">
      <c r="H7240">
        <v>76</v>
      </c>
      <c r="I7240">
        <v>145</v>
      </c>
      <c r="J7240">
        <v>110</v>
      </c>
      <c r="K7240" t="b">
        <v>1</v>
      </c>
    </row>
    <row r="7241" spans="8:11" x14ac:dyDescent="0.25">
      <c r="H7241">
        <v>76</v>
      </c>
      <c r="I7241">
        <v>150</v>
      </c>
      <c r="J7241">
        <v>110</v>
      </c>
      <c r="K7241" t="b">
        <v>1</v>
      </c>
    </row>
    <row r="7242" spans="8:11" x14ac:dyDescent="0.25">
      <c r="H7242">
        <v>76</v>
      </c>
      <c r="I7242">
        <v>155</v>
      </c>
      <c r="J7242">
        <v>110</v>
      </c>
      <c r="K7242" t="b">
        <v>1</v>
      </c>
    </row>
    <row r="7243" spans="8:11" x14ac:dyDescent="0.25">
      <c r="H7243">
        <v>76</v>
      </c>
      <c r="I7243">
        <v>160</v>
      </c>
      <c r="J7243">
        <v>110</v>
      </c>
      <c r="K7243" t="b">
        <v>1</v>
      </c>
    </row>
    <row r="7244" spans="8:11" x14ac:dyDescent="0.25">
      <c r="H7244">
        <v>76</v>
      </c>
      <c r="I7244">
        <v>165</v>
      </c>
      <c r="J7244">
        <v>110</v>
      </c>
      <c r="K7244" t="b">
        <v>1</v>
      </c>
    </row>
    <row r="7245" spans="8:11" x14ac:dyDescent="0.25">
      <c r="H7245">
        <v>76</v>
      </c>
      <c r="I7245">
        <v>170</v>
      </c>
      <c r="J7245">
        <v>110</v>
      </c>
      <c r="K7245" t="b">
        <v>1</v>
      </c>
    </row>
    <row r="7246" spans="8:11" x14ac:dyDescent="0.25">
      <c r="H7246">
        <v>76</v>
      </c>
      <c r="I7246">
        <v>175</v>
      </c>
      <c r="J7246">
        <v>110</v>
      </c>
      <c r="K7246" t="b">
        <v>1</v>
      </c>
    </row>
    <row r="7247" spans="8:11" x14ac:dyDescent="0.25">
      <c r="H7247">
        <v>76</v>
      </c>
      <c r="I7247">
        <v>180</v>
      </c>
      <c r="J7247">
        <v>110</v>
      </c>
      <c r="K7247" t="b">
        <v>1</v>
      </c>
    </row>
    <row r="7248" spans="8:11" x14ac:dyDescent="0.25">
      <c r="H7248">
        <v>76</v>
      </c>
      <c r="I7248">
        <v>185</v>
      </c>
      <c r="J7248">
        <v>110</v>
      </c>
      <c r="K7248" t="b">
        <v>1</v>
      </c>
    </row>
    <row r="7249" spans="8:11" x14ac:dyDescent="0.25">
      <c r="H7249">
        <v>76</v>
      </c>
      <c r="I7249">
        <v>190</v>
      </c>
      <c r="J7249">
        <v>110</v>
      </c>
      <c r="K7249" t="b">
        <v>1</v>
      </c>
    </row>
    <row r="7250" spans="8:11" x14ac:dyDescent="0.25">
      <c r="H7250">
        <v>76</v>
      </c>
      <c r="I7250">
        <v>195</v>
      </c>
      <c r="J7250">
        <v>110</v>
      </c>
      <c r="K7250" t="b">
        <v>1</v>
      </c>
    </row>
    <row r="7251" spans="8:11" x14ac:dyDescent="0.25">
      <c r="H7251">
        <v>76</v>
      </c>
      <c r="I7251">
        <v>200</v>
      </c>
      <c r="J7251">
        <v>110</v>
      </c>
      <c r="K7251" t="b">
        <v>1</v>
      </c>
    </row>
    <row r="7252" spans="8:11" x14ac:dyDescent="0.25">
      <c r="H7252">
        <v>76</v>
      </c>
      <c r="I7252">
        <v>205</v>
      </c>
      <c r="J7252">
        <v>110</v>
      </c>
      <c r="K7252" t="b">
        <v>1</v>
      </c>
    </row>
    <row r="7253" spans="8:11" x14ac:dyDescent="0.25">
      <c r="H7253">
        <v>76</v>
      </c>
      <c r="I7253">
        <v>210</v>
      </c>
      <c r="J7253">
        <v>110</v>
      </c>
      <c r="K7253" t="b">
        <v>1</v>
      </c>
    </row>
    <row r="7254" spans="8:11" x14ac:dyDescent="0.25">
      <c r="H7254">
        <v>76</v>
      </c>
      <c r="I7254">
        <v>215</v>
      </c>
      <c r="J7254">
        <v>110</v>
      </c>
      <c r="K7254" t="b">
        <v>1</v>
      </c>
    </row>
    <row r="7255" spans="8:11" x14ac:dyDescent="0.25">
      <c r="H7255">
        <v>76</v>
      </c>
      <c r="I7255">
        <v>220</v>
      </c>
      <c r="J7255">
        <v>110</v>
      </c>
      <c r="K7255" t="b">
        <v>1</v>
      </c>
    </row>
    <row r="7256" spans="8:11" x14ac:dyDescent="0.25">
      <c r="H7256">
        <v>76</v>
      </c>
      <c r="I7256">
        <v>225</v>
      </c>
      <c r="J7256">
        <v>110</v>
      </c>
      <c r="K7256" t="b">
        <v>1</v>
      </c>
    </row>
    <row r="7257" spans="8:11" x14ac:dyDescent="0.25">
      <c r="H7257">
        <v>76</v>
      </c>
      <c r="I7257">
        <v>230</v>
      </c>
      <c r="J7257">
        <v>110</v>
      </c>
      <c r="K7257" t="b">
        <v>1</v>
      </c>
    </row>
    <row r="7258" spans="8:11" x14ac:dyDescent="0.25">
      <c r="H7258">
        <v>76</v>
      </c>
      <c r="I7258">
        <v>235</v>
      </c>
      <c r="J7258">
        <v>110</v>
      </c>
      <c r="K7258" t="b">
        <v>1</v>
      </c>
    </row>
    <row r="7259" spans="8:11" x14ac:dyDescent="0.25">
      <c r="H7259">
        <v>76</v>
      </c>
      <c r="I7259">
        <v>240</v>
      </c>
      <c r="J7259">
        <v>110</v>
      </c>
      <c r="K7259" t="b">
        <v>1</v>
      </c>
    </row>
    <row r="7260" spans="8:11" x14ac:dyDescent="0.25">
      <c r="H7260">
        <v>76</v>
      </c>
      <c r="I7260">
        <v>245</v>
      </c>
      <c r="J7260">
        <v>110</v>
      </c>
      <c r="K7260" t="b">
        <v>1</v>
      </c>
    </row>
    <row r="7261" spans="8:11" x14ac:dyDescent="0.25">
      <c r="H7261">
        <v>76</v>
      </c>
      <c r="I7261">
        <v>250</v>
      </c>
      <c r="J7261">
        <v>110</v>
      </c>
      <c r="K7261" t="b">
        <v>1</v>
      </c>
    </row>
    <row r="7262" spans="8:11" x14ac:dyDescent="0.25">
      <c r="H7262">
        <v>76</v>
      </c>
      <c r="I7262">
        <v>255</v>
      </c>
      <c r="J7262">
        <v>110</v>
      </c>
      <c r="K7262" t="b">
        <v>1</v>
      </c>
    </row>
    <row r="7263" spans="8:11" x14ac:dyDescent="0.25">
      <c r="H7263">
        <v>76</v>
      </c>
      <c r="I7263">
        <v>260</v>
      </c>
      <c r="J7263">
        <v>110</v>
      </c>
      <c r="K7263" t="b">
        <v>1</v>
      </c>
    </row>
    <row r="7264" spans="8:11" x14ac:dyDescent="0.25">
      <c r="H7264">
        <v>76</v>
      </c>
      <c r="I7264">
        <v>265</v>
      </c>
      <c r="J7264">
        <v>110</v>
      </c>
      <c r="K7264" t="b">
        <v>1</v>
      </c>
    </row>
    <row r="7265" spans="8:11" x14ac:dyDescent="0.25">
      <c r="H7265">
        <v>76</v>
      </c>
      <c r="I7265">
        <v>270</v>
      </c>
      <c r="J7265">
        <v>110</v>
      </c>
      <c r="K7265" t="b">
        <v>1</v>
      </c>
    </row>
    <row r="7266" spans="8:11" x14ac:dyDescent="0.25">
      <c r="H7266">
        <v>76</v>
      </c>
      <c r="I7266">
        <v>275</v>
      </c>
      <c r="J7266">
        <v>110</v>
      </c>
      <c r="K7266" t="b">
        <v>1</v>
      </c>
    </row>
    <row r="7267" spans="8:11" x14ac:dyDescent="0.25">
      <c r="H7267">
        <v>76</v>
      </c>
      <c r="I7267">
        <v>280</v>
      </c>
      <c r="J7267">
        <v>110</v>
      </c>
      <c r="K7267" t="b">
        <v>1</v>
      </c>
    </row>
    <row r="7268" spans="8:11" x14ac:dyDescent="0.25">
      <c r="H7268">
        <v>76</v>
      </c>
      <c r="I7268">
        <v>285</v>
      </c>
      <c r="J7268">
        <v>110</v>
      </c>
      <c r="K7268" t="b">
        <v>1</v>
      </c>
    </row>
    <row r="7269" spans="8:11" x14ac:dyDescent="0.25">
      <c r="H7269">
        <v>76</v>
      </c>
      <c r="I7269">
        <v>290</v>
      </c>
      <c r="J7269">
        <v>110</v>
      </c>
      <c r="K7269" t="b">
        <v>1</v>
      </c>
    </row>
    <row r="7270" spans="8:11" x14ac:dyDescent="0.25">
      <c r="H7270">
        <v>76</v>
      </c>
      <c r="I7270">
        <v>295</v>
      </c>
      <c r="J7270">
        <v>110</v>
      </c>
      <c r="K7270" t="b">
        <v>1</v>
      </c>
    </row>
    <row r="7271" spans="8:11" x14ac:dyDescent="0.25">
      <c r="H7271">
        <v>76</v>
      </c>
      <c r="I7271">
        <v>300</v>
      </c>
      <c r="J7271">
        <v>110</v>
      </c>
      <c r="K7271" t="b">
        <v>1</v>
      </c>
    </row>
    <row r="7272" spans="8:11" x14ac:dyDescent="0.25">
      <c r="H7272">
        <v>76</v>
      </c>
      <c r="I7272">
        <v>305</v>
      </c>
      <c r="J7272">
        <v>110</v>
      </c>
      <c r="K7272" t="b">
        <v>1</v>
      </c>
    </row>
    <row r="7273" spans="8:11" x14ac:dyDescent="0.25">
      <c r="H7273">
        <v>76</v>
      </c>
      <c r="I7273">
        <v>310</v>
      </c>
      <c r="J7273">
        <v>110</v>
      </c>
      <c r="K7273" t="b">
        <v>1</v>
      </c>
    </row>
    <row r="7274" spans="8:11" x14ac:dyDescent="0.25">
      <c r="H7274">
        <v>76</v>
      </c>
      <c r="I7274">
        <v>315</v>
      </c>
      <c r="J7274">
        <v>110</v>
      </c>
      <c r="K7274" t="b">
        <v>1</v>
      </c>
    </row>
    <row r="7275" spans="8:11" x14ac:dyDescent="0.25">
      <c r="H7275">
        <v>76</v>
      </c>
      <c r="I7275">
        <v>320</v>
      </c>
      <c r="J7275">
        <v>110</v>
      </c>
      <c r="K7275" t="b">
        <v>1</v>
      </c>
    </row>
    <row r="7276" spans="8:11" x14ac:dyDescent="0.25">
      <c r="H7276">
        <v>76</v>
      </c>
      <c r="I7276">
        <v>325</v>
      </c>
      <c r="J7276">
        <v>110</v>
      </c>
      <c r="K7276" t="b">
        <v>1</v>
      </c>
    </row>
    <row r="7277" spans="8:11" x14ac:dyDescent="0.25">
      <c r="H7277">
        <v>76</v>
      </c>
      <c r="I7277">
        <v>330</v>
      </c>
      <c r="J7277">
        <v>110</v>
      </c>
      <c r="K7277" t="b">
        <v>1</v>
      </c>
    </row>
    <row r="7278" spans="8:11" x14ac:dyDescent="0.25">
      <c r="H7278">
        <v>76</v>
      </c>
      <c r="I7278">
        <v>335</v>
      </c>
      <c r="J7278">
        <v>110</v>
      </c>
      <c r="K7278" t="b">
        <v>1</v>
      </c>
    </row>
    <row r="7279" spans="8:11" x14ac:dyDescent="0.25">
      <c r="H7279">
        <v>76</v>
      </c>
      <c r="I7279">
        <v>340</v>
      </c>
      <c r="J7279">
        <v>110</v>
      </c>
      <c r="K7279" t="b">
        <v>1</v>
      </c>
    </row>
    <row r="7280" spans="8:11" x14ac:dyDescent="0.25">
      <c r="H7280">
        <v>76</v>
      </c>
      <c r="I7280">
        <v>345</v>
      </c>
      <c r="J7280">
        <v>110</v>
      </c>
      <c r="K7280" t="b">
        <v>1</v>
      </c>
    </row>
    <row r="7281" spans="8:11" x14ac:dyDescent="0.25">
      <c r="H7281">
        <v>76</v>
      </c>
      <c r="I7281">
        <v>350</v>
      </c>
      <c r="J7281">
        <v>110</v>
      </c>
      <c r="K7281" t="b">
        <v>1</v>
      </c>
    </row>
    <row r="7282" spans="8:11" x14ac:dyDescent="0.25">
      <c r="H7282">
        <v>76</v>
      </c>
      <c r="I7282">
        <v>355</v>
      </c>
      <c r="J7282">
        <v>110</v>
      </c>
      <c r="K7282" t="b">
        <v>1</v>
      </c>
    </row>
    <row r="7283" spans="8:11" x14ac:dyDescent="0.25">
      <c r="H7283">
        <v>76</v>
      </c>
      <c r="I7283">
        <v>360</v>
      </c>
      <c r="J7283">
        <v>110</v>
      </c>
      <c r="K7283" t="b">
        <v>1</v>
      </c>
    </row>
    <row r="7284" spans="8:11" x14ac:dyDescent="0.25">
      <c r="H7284">
        <v>76</v>
      </c>
      <c r="I7284">
        <v>365</v>
      </c>
      <c r="J7284">
        <v>110</v>
      </c>
      <c r="K7284" t="b">
        <v>1</v>
      </c>
    </row>
    <row r="7285" spans="8:11" x14ac:dyDescent="0.25">
      <c r="H7285">
        <v>76</v>
      </c>
      <c r="I7285">
        <v>370</v>
      </c>
      <c r="J7285">
        <v>110</v>
      </c>
      <c r="K7285" t="b">
        <v>1</v>
      </c>
    </row>
    <row r="7286" spans="8:11" x14ac:dyDescent="0.25">
      <c r="H7286">
        <v>76</v>
      </c>
      <c r="I7286">
        <v>375</v>
      </c>
      <c r="J7286">
        <v>110</v>
      </c>
      <c r="K7286" t="b">
        <v>1</v>
      </c>
    </row>
    <row r="7287" spans="8:11" x14ac:dyDescent="0.25">
      <c r="H7287">
        <v>76</v>
      </c>
      <c r="I7287">
        <v>380</v>
      </c>
      <c r="J7287">
        <v>110</v>
      </c>
      <c r="K7287" t="b">
        <v>1</v>
      </c>
    </row>
    <row r="7288" spans="8:11" x14ac:dyDescent="0.25">
      <c r="H7288">
        <v>76</v>
      </c>
      <c r="I7288">
        <v>385</v>
      </c>
      <c r="J7288">
        <v>110</v>
      </c>
      <c r="K7288" t="b">
        <v>1</v>
      </c>
    </row>
    <row r="7289" spans="8:11" x14ac:dyDescent="0.25">
      <c r="H7289">
        <v>76</v>
      </c>
      <c r="I7289">
        <v>390</v>
      </c>
      <c r="J7289">
        <v>110</v>
      </c>
      <c r="K7289" t="b">
        <v>1</v>
      </c>
    </row>
    <row r="7290" spans="8:11" x14ac:dyDescent="0.25">
      <c r="H7290">
        <v>76</v>
      </c>
      <c r="I7290">
        <v>395</v>
      </c>
      <c r="J7290">
        <v>110</v>
      </c>
      <c r="K7290" t="b">
        <v>1</v>
      </c>
    </row>
    <row r="7291" spans="8:11" x14ac:dyDescent="0.25">
      <c r="H7291">
        <v>76</v>
      </c>
      <c r="I7291">
        <v>400</v>
      </c>
      <c r="J7291">
        <v>110</v>
      </c>
      <c r="K7291" t="b">
        <v>1</v>
      </c>
    </row>
    <row r="7292" spans="8:11" x14ac:dyDescent="0.25">
      <c r="H7292">
        <v>76</v>
      </c>
      <c r="I7292">
        <v>405</v>
      </c>
      <c r="J7292">
        <v>110</v>
      </c>
      <c r="K7292" t="b">
        <v>1</v>
      </c>
    </row>
    <row r="7293" spans="8:11" x14ac:dyDescent="0.25">
      <c r="H7293">
        <v>76</v>
      </c>
      <c r="I7293">
        <v>410</v>
      </c>
      <c r="J7293">
        <v>110</v>
      </c>
      <c r="K7293" t="b">
        <v>1</v>
      </c>
    </row>
    <row r="7294" spans="8:11" x14ac:dyDescent="0.25">
      <c r="H7294">
        <v>76</v>
      </c>
      <c r="I7294">
        <v>415</v>
      </c>
      <c r="J7294">
        <v>110</v>
      </c>
      <c r="K7294" t="b">
        <v>1</v>
      </c>
    </row>
    <row r="7295" spans="8:11" x14ac:dyDescent="0.25">
      <c r="H7295">
        <v>76</v>
      </c>
      <c r="I7295">
        <v>420</v>
      </c>
      <c r="J7295">
        <v>110</v>
      </c>
      <c r="K7295" t="b">
        <v>1</v>
      </c>
    </row>
    <row r="7296" spans="8:11" x14ac:dyDescent="0.25">
      <c r="H7296">
        <v>76</v>
      </c>
      <c r="I7296">
        <v>425</v>
      </c>
      <c r="J7296">
        <v>110</v>
      </c>
      <c r="K7296" t="b">
        <v>1</v>
      </c>
    </row>
    <row r="7297" spans="8:11" x14ac:dyDescent="0.25">
      <c r="H7297">
        <v>76</v>
      </c>
      <c r="I7297">
        <v>430</v>
      </c>
      <c r="J7297">
        <v>110</v>
      </c>
      <c r="K7297" t="b">
        <v>1</v>
      </c>
    </row>
    <row r="7298" spans="8:11" x14ac:dyDescent="0.25">
      <c r="H7298">
        <v>76</v>
      </c>
      <c r="I7298">
        <v>435</v>
      </c>
      <c r="J7298">
        <v>110</v>
      </c>
      <c r="K7298" t="b">
        <v>1</v>
      </c>
    </row>
    <row r="7299" spans="8:11" x14ac:dyDescent="0.25">
      <c r="H7299">
        <v>76</v>
      </c>
      <c r="I7299">
        <v>440</v>
      </c>
      <c r="J7299">
        <v>110</v>
      </c>
      <c r="K7299" t="b">
        <v>1</v>
      </c>
    </row>
    <row r="7300" spans="8:11" x14ac:dyDescent="0.25">
      <c r="H7300">
        <v>76</v>
      </c>
      <c r="I7300">
        <v>445</v>
      </c>
      <c r="J7300">
        <v>110</v>
      </c>
      <c r="K7300" t="b">
        <v>1</v>
      </c>
    </row>
    <row r="7301" spans="8:11" x14ac:dyDescent="0.25">
      <c r="H7301">
        <v>76</v>
      </c>
      <c r="I7301">
        <v>450</v>
      </c>
      <c r="J7301">
        <v>110</v>
      </c>
      <c r="K7301" t="b">
        <v>1</v>
      </c>
    </row>
    <row r="7302" spans="8:11" x14ac:dyDescent="0.25">
      <c r="H7302">
        <v>76</v>
      </c>
      <c r="I7302">
        <v>455</v>
      </c>
      <c r="J7302">
        <v>110</v>
      </c>
      <c r="K7302" t="b">
        <v>1</v>
      </c>
    </row>
    <row r="7303" spans="8:11" x14ac:dyDescent="0.25">
      <c r="H7303">
        <v>76</v>
      </c>
      <c r="I7303">
        <v>460</v>
      </c>
      <c r="J7303">
        <v>110</v>
      </c>
      <c r="K7303" t="b">
        <v>1</v>
      </c>
    </row>
    <row r="7304" spans="8:11" x14ac:dyDescent="0.25">
      <c r="H7304">
        <v>76</v>
      </c>
      <c r="I7304">
        <v>465</v>
      </c>
      <c r="J7304">
        <v>110</v>
      </c>
      <c r="K7304" t="b">
        <v>1</v>
      </c>
    </row>
    <row r="7305" spans="8:11" x14ac:dyDescent="0.25">
      <c r="H7305">
        <v>76</v>
      </c>
      <c r="I7305">
        <v>470</v>
      </c>
      <c r="J7305">
        <v>110</v>
      </c>
      <c r="K7305" t="b">
        <v>1</v>
      </c>
    </row>
    <row r="7306" spans="8:11" x14ac:dyDescent="0.25">
      <c r="H7306">
        <v>76</v>
      </c>
      <c r="I7306">
        <v>475</v>
      </c>
      <c r="J7306">
        <v>110</v>
      </c>
      <c r="K7306" t="b">
        <v>1</v>
      </c>
    </row>
    <row r="7307" spans="8:11" x14ac:dyDescent="0.25">
      <c r="H7307">
        <v>76</v>
      </c>
      <c r="I7307">
        <v>480</v>
      </c>
      <c r="J7307">
        <v>110</v>
      </c>
      <c r="K7307" t="b">
        <v>1</v>
      </c>
    </row>
    <row r="7308" spans="8:11" x14ac:dyDescent="0.25">
      <c r="H7308">
        <v>76</v>
      </c>
      <c r="I7308">
        <v>485</v>
      </c>
      <c r="J7308">
        <v>110</v>
      </c>
      <c r="K7308" t="b">
        <v>1</v>
      </c>
    </row>
    <row r="7309" spans="8:11" x14ac:dyDescent="0.25">
      <c r="H7309">
        <v>76</v>
      </c>
      <c r="I7309">
        <v>490</v>
      </c>
      <c r="J7309">
        <v>110</v>
      </c>
      <c r="K7309" t="b">
        <v>1</v>
      </c>
    </row>
    <row r="7310" spans="8:11" x14ac:dyDescent="0.25">
      <c r="H7310">
        <v>76</v>
      </c>
      <c r="I7310">
        <v>495</v>
      </c>
      <c r="J7310">
        <v>110</v>
      </c>
      <c r="K7310" t="b">
        <v>1</v>
      </c>
    </row>
    <row r="7311" spans="8:11" x14ac:dyDescent="0.25">
      <c r="H7311">
        <v>76</v>
      </c>
      <c r="I7311">
        <v>500</v>
      </c>
      <c r="J7311">
        <v>110</v>
      </c>
      <c r="K7311" t="b">
        <v>1</v>
      </c>
    </row>
    <row r="7312" spans="8:11" x14ac:dyDescent="0.25">
      <c r="H7312">
        <v>76</v>
      </c>
      <c r="I7312">
        <v>505</v>
      </c>
      <c r="J7312">
        <v>110</v>
      </c>
      <c r="K7312" t="b">
        <v>1</v>
      </c>
    </row>
    <row r="7313" spans="8:11" x14ac:dyDescent="0.25">
      <c r="H7313">
        <v>76</v>
      </c>
      <c r="I7313">
        <v>510</v>
      </c>
      <c r="J7313">
        <v>110</v>
      </c>
      <c r="K7313" t="b">
        <v>1</v>
      </c>
    </row>
    <row r="7314" spans="8:11" x14ac:dyDescent="0.25">
      <c r="H7314">
        <v>76</v>
      </c>
      <c r="I7314">
        <v>515</v>
      </c>
      <c r="J7314">
        <v>110</v>
      </c>
      <c r="K7314" t="b">
        <v>1</v>
      </c>
    </row>
    <row r="7315" spans="8:11" x14ac:dyDescent="0.25">
      <c r="H7315">
        <v>76</v>
      </c>
      <c r="I7315">
        <v>520</v>
      </c>
      <c r="J7315">
        <v>110</v>
      </c>
      <c r="K7315" t="b">
        <v>1</v>
      </c>
    </row>
    <row r="7316" spans="8:11" x14ac:dyDescent="0.25">
      <c r="H7316">
        <v>76</v>
      </c>
      <c r="I7316">
        <v>525</v>
      </c>
      <c r="J7316">
        <v>110</v>
      </c>
      <c r="K7316" t="b">
        <v>1</v>
      </c>
    </row>
    <row r="7317" spans="8:11" x14ac:dyDescent="0.25">
      <c r="H7317">
        <v>76</v>
      </c>
      <c r="I7317">
        <v>530</v>
      </c>
      <c r="J7317">
        <v>110</v>
      </c>
      <c r="K7317" t="b">
        <v>1</v>
      </c>
    </row>
    <row r="7318" spans="8:11" x14ac:dyDescent="0.25">
      <c r="H7318">
        <v>76</v>
      </c>
      <c r="I7318">
        <v>535</v>
      </c>
      <c r="J7318">
        <v>110</v>
      </c>
      <c r="K7318" t="b">
        <v>1</v>
      </c>
    </row>
    <row r="7319" spans="8:11" x14ac:dyDescent="0.25">
      <c r="H7319">
        <v>76</v>
      </c>
      <c r="I7319">
        <v>540</v>
      </c>
      <c r="J7319">
        <v>110</v>
      </c>
      <c r="K7319" t="b">
        <v>1</v>
      </c>
    </row>
    <row r="7320" spans="8:11" x14ac:dyDescent="0.25">
      <c r="H7320">
        <v>76</v>
      </c>
      <c r="I7320">
        <v>545</v>
      </c>
      <c r="J7320">
        <v>110</v>
      </c>
      <c r="K7320" t="b">
        <v>1</v>
      </c>
    </row>
    <row r="7321" spans="8:11" x14ac:dyDescent="0.25">
      <c r="H7321">
        <v>76</v>
      </c>
      <c r="I7321">
        <v>550</v>
      </c>
      <c r="J7321">
        <v>110</v>
      </c>
      <c r="K7321" t="b">
        <v>1</v>
      </c>
    </row>
    <row r="7322" spans="8:11" x14ac:dyDescent="0.25">
      <c r="H7322">
        <v>76</v>
      </c>
      <c r="I7322">
        <v>555</v>
      </c>
      <c r="J7322">
        <v>110</v>
      </c>
      <c r="K7322" t="b">
        <v>1</v>
      </c>
    </row>
    <row r="7323" spans="8:11" x14ac:dyDescent="0.25">
      <c r="H7323">
        <v>76</v>
      </c>
      <c r="I7323">
        <v>560</v>
      </c>
      <c r="J7323">
        <v>110</v>
      </c>
      <c r="K7323" t="b">
        <v>1</v>
      </c>
    </row>
    <row r="7324" spans="8:11" x14ac:dyDescent="0.25">
      <c r="H7324">
        <v>76</v>
      </c>
      <c r="I7324">
        <v>565</v>
      </c>
      <c r="J7324">
        <v>110</v>
      </c>
      <c r="K7324" t="b">
        <v>1</v>
      </c>
    </row>
    <row r="7325" spans="8:11" x14ac:dyDescent="0.25">
      <c r="H7325">
        <v>76</v>
      </c>
      <c r="I7325">
        <v>570</v>
      </c>
      <c r="J7325">
        <v>110</v>
      </c>
      <c r="K7325" t="b">
        <v>1</v>
      </c>
    </row>
    <row r="7326" spans="8:11" x14ac:dyDescent="0.25">
      <c r="H7326">
        <v>76</v>
      </c>
      <c r="I7326">
        <v>575</v>
      </c>
      <c r="J7326">
        <v>110</v>
      </c>
      <c r="K7326" t="b">
        <v>1</v>
      </c>
    </row>
    <row r="7327" spans="8:11" x14ac:dyDescent="0.25">
      <c r="H7327">
        <v>76</v>
      </c>
      <c r="I7327">
        <v>580</v>
      </c>
      <c r="J7327">
        <v>110</v>
      </c>
      <c r="K7327" t="b">
        <v>1</v>
      </c>
    </row>
    <row r="7328" spans="8:11" x14ac:dyDescent="0.25">
      <c r="H7328">
        <v>76</v>
      </c>
      <c r="I7328">
        <v>585</v>
      </c>
      <c r="J7328">
        <v>110</v>
      </c>
      <c r="K7328" t="b">
        <v>1</v>
      </c>
    </row>
    <row r="7329" spans="8:11" x14ac:dyDescent="0.25">
      <c r="H7329">
        <v>76</v>
      </c>
      <c r="I7329">
        <v>590</v>
      </c>
      <c r="J7329">
        <v>110</v>
      </c>
      <c r="K7329" t="b">
        <v>1</v>
      </c>
    </row>
    <row r="7330" spans="8:11" x14ac:dyDescent="0.25">
      <c r="H7330">
        <v>76</v>
      </c>
      <c r="I7330">
        <v>595</v>
      </c>
      <c r="J7330">
        <v>110</v>
      </c>
      <c r="K7330" t="b">
        <v>1</v>
      </c>
    </row>
    <row r="7331" spans="8:11" x14ac:dyDescent="0.25">
      <c r="H7331">
        <v>76</v>
      </c>
      <c r="I7331">
        <v>600</v>
      </c>
      <c r="J7331">
        <v>110</v>
      </c>
      <c r="K7331" t="b">
        <v>1</v>
      </c>
    </row>
    <row r="7332" spans="8:11" x14ac:dyDescent="0.25">
      <c r="H7332">
        <v>76</v>
      </c>
      <c r="I7332">
        <v>605</v>
      </c>
      <c r="J7332">
        <v>110</v>
      </c>
      <c r="K7332" t="b">
        <v>1</v>
      </c>
    </row>
    <row r="7333" spans="8:11" x14ac:dyDescent="0.25">
      <c r="H7333">
        <v>76</v>
      </c>
      <c r="I7333">
        <v>610</v>
      </c>
      <c r="J7333">
        <v>110</v>
      </c>
      <c r="K7333" t="b">
        <v>1</v>
      </c>
    </row>
    <row r="7334" spans="8:11" x14ac:dyDescent="0.25">
      <c r="H7334">
        <v>76</v>
      </c>
      <c r="I7334">
        <v>615</v>
      </c>
      <c r="J7334">
        <v>110</v>
      </c>
      <c r="K7334" t="b">
        <v>1</v>
      </c>
    </row>
    <row r="7335" spans="8:11" x14ac:dyDescent="0.25">
      <c r="H7335">
        <v>76</v>
      </c>
      <c r="I7335">
        <v>620</v>
      </c>
      <c r="J7335">
        <v>110</v>
      </c>
      <c r="K7335" t="b">
        <v>1</v>
      </c>
    </row>
    <row r="7336" spans="8:11" x14ac:dyDescent="0.25">
      <c r="H7336">
        <v>76</v>
      </c>
      <c r="I7336">
        <v>625</v>
      </c>
      <c r="J7336">
        <v>110</v>
      </c>
      <c r="K7336" t="b">
        <v>1</v>
      </c>
    </row>
    <row r="7337" spans="8:11" x14ac:dyDescent="0.25">
      <c r="H7337">
        <v>76</v>
      </c>
      <c r="I7337">
        <v>630</v>
      </c>
      <c r="J7337">
        <v>110</v>
      </c>
      <c r="K7337" t="b">
        <v>1</v>
      </c>
    </row>
    <row r="7338" spans="8:11" x14ac:dyDescent="0.25">
      <c r="H7338">
        <v>76</v>
      </c>
      <c r="I7338">
        <v>635</v>
      </c>
      <c r="J7338">
        <v>110</v>
      </c>
      <c r="K7338" t="b">
        <v>1</v>
      </c>
    </row>
    <row r="7339" spans="8:11" x14ac:dyDescent="0.25">
      <c r="H7339">
        <v>76</v>
      </c>
      <c r="I7339">
        <v>640</v>
      </c>
      <c r="J7339">
        <v>110</v>
      </c>
      <c r="K7339" t="b">
        <v>1</v>
      </c>
    </row>
    <row r="7340" spans="8:11" x14ac:dyDescent="0.25">
      <c r="H7340">
        <v>76</v>
      </c>
      <c r="I7340">
        <v>645</v>
      </c>
      <c r="J7340">
        <v>110</v>
      </c>
      <c r="K7340" t="b">
        <v>1</v>
      </c>
    </row>
    <row r="7341" spans="8:11" x14ac:dyDescent="0.25">
      <c r="H7341">
        <v>76</v>
      </c>
      <c r="I7341">
        <v>650</v>
      </c>
      <c r="J7341">
        <v>110</v>
      </c>
      <c r="K7341" t="b">
        <v>1</v>
      </c>
    </row>
    <row r="7342" spans="8:11" x14ac:dyDescent="0.25">
      <c r="H7342">
        <v>76</v>
      </c>
      <c r="I7342">
        <v>655</v>
      </c>
      <c r="J7342">
        <v>110</v>
      </c>
      <c r="K7342" t="b">
        <v>1</v>
      </c>
    </row>
    <row r="7343" spans="8:11" x14ac:dyDescent="0.25">
      <c r="H7343">
        <v>76</v>
      </c>
      <c r="I7343">
        <v>660</v>
      </c>
      <c r="J7343">
        <v>110</v>
      </c>
      <c r="K7343" t="b">
        <v>1</v>
      </c>
    </row>
    <row r="7344" spans="8:11" x14ac:dyDescent="0.25">
      <c r="H7344">
        <v>76</v>
      </c>
      <c r="I7344">
        <v>665</v>
      </c>
      <c r="J7344">
        <v>110</v>
      </c>
      <c r="K7344" t="b">
        <v>1</v>
      </c>
    </row>
    <row r="7345" spans="8:11" x14ac:dyDescent="0.25">
      <c r="H7345">
        <v>76</v>
      </c>
      <c r="I7345">
        <v>670</v>
      </c>
      <c r="J7345">
        <v>110</v>
      </c>
      <c r="K7345" t="b">
        <v>1</v>
      </c>
    </row>
    <row r="7346" spans="8:11" x14ac:dyDescent="0.25">
      <c r="H7346">
        <v>76</v>
      </c>
      <c r="I7346">
        <v>675</v>
      </c>
      <c r="J7346">
        <v>110</v>
      </c>
      <c r="K7346" t="b">
        <v>1</v>
      </c>
    </row>
    <row r="7347" spans="8:11" x14ac:dyDescent="0.25">
      <c r="H7347">
        <v>76</v>
      </c>
      <c r="I7347">
        <v>680</v>
      </c>
      <c r="J7347">
        <v>110</v>
      </c>
      <c r="K7347" t="b">
        <v>1</v>
      </c>
    </row>
    <row r="7348" spans="8:11" x14ac:dyDescent="0.25">
      <c r="H7348">
        <v>76</v>
      </c>
      <c r="I7348">
        <v>685</v>
      </c>
      <c r="J7348">
        <v>110</v>
      </c>
      <c r="K7348" t="b">
        <v>1</v>
      </c>
    </row>
    <row r="7349" spans="8:11" x14ac:dyDescent="0.25">
      <c r="H7349">
        <v>76</v>
      </c>
      <c r="I7349">
        <v>690</v>
      </c>
      <c r="J7349">
        <v>110</v>
      </c>
      <c r="K7349" t="b">
        <v>1</v>
      </c>
    </row>
    <row r="7350" spans="8:11" x14ac:dyDescent="0.25">
      <c r="H7350">
        <v>76</v>
      </c>
      <c r="I7350">
        <v>695</v>
      </c>
      <c r="J7350">
        <v>110</v>
      </c>
      <c r="K7350" t="b">
        <v>1</v>
      </c>
    </row>
    <row r="7351" spans="8:11" x14ac:dyDescent="0.25">
      <c r="H7351">
        <v>76</v>
      </c>
      <c r="I7351">
        <v>700</v>
      </c>
      <c r="J7351">
        <v>110</v>
      </c>
      <c r="K7351" t="b">
        <v>1</v>
      </c>
    </row>
    <row r="7352" spans="8:11" x14ac:dyDescent="0.25">
      <c r="H7352">
        <v>76</v>
      </c>
      <c r="I7352">
        <v>705</v>
      </c>
      <c r="J7352">
        <v>110</v>
      </c>
      <c r="K7352" t="b">
        <v>1</v>
      </c>
    </row>
    <row r="7353" spans="8:11" x14ac:dyDescent="0.25">
      <c r="H7353">
        <v>76</v>
      </c>
      <c r="I7353">
        <v>710</v>
      </c>
      <c r="J7353">
        <v>110</v>
      </c>
      <c r="K7353" t="b">
        <v>1</v>
      </c>
    </row>
    <row r="7354" spans="8:11" x14ac:dyDescent="0.25">
      <c r="H7354">
        <v>76</v>
      </c>
      <c r="I7354">
        <v>715</v>
      </c>
      <c r="J7354">
        <v>110</v>
      </c>
      <c r="K7354" t="b">
        <v>1</v>
      </c>
    </row>
    <row r="7355" spans="8:11" x14ac:dyDescent="0.25">
      <c r="H7355">
        <v>76</v>
      </c>
      <c r="I7355">
        <v>720</v>
      </c>
      <c r="J7355">
        <v>110</v>
      </c>
      <c r="K7355" t="b">
        <v>1</v>
      </c>
    </row>
    <row r="7356" spans="8:11" x14ac:dyDescent="0.25">
      <c r="H7356">
        <v>76</v>
      </c>
      <c r="I7356">
        <v>725</v>
      </c>
      <c r="J7356">
        <v>110</v>
      </c>
      <c r="K7356" t="b">
        <v>1</v>
      </c>
    </row>
    <row r="7357" spans="8:11" x14ac:dyDescent="0.25">
      <c r="H7357">
        <v>76</v>
      </c>
      <c r="I7357">
        <v>730</v>
      </c>
      <c r="J7357">
        <v>110</v>
      </c>
      <c r="K7357" t="b">
        <v>1</v>
      </c>
    </row>
    <row r="7358" spans="8:11" x14ac:dyDescent="0.25">
      <c r="H7358">
        <v>76</v>
      </c>
      <c r="I7358">
        <v>735</v>
      </c>
      <c r="J7358">
        <v>110</v>
      </c>
      <c r="K7358" t="b">
        <v>1</v>
      </c>
    </row>
    <row r="7359" spans="8:11" x14ac:dyDescent="0.25">
      <c r="H7359">
        <v>76</v>
      </c>
      <c r="I7359">
        <v>740</v>
      </c>
      <c r="J7359">
        <v>110</v>
      </c>
      <c r="K7359" t="b">
        <v>1</v>
      </c>
    </row>
    <row r="7360" spans="8:11" x14ac:dyDescent="0.25">
      <c r="H7360">
        <v>76</v>
      </c>
      <c r="I7360">
        <v>745</v>
      </c>
      <c r="J7360">
        <v>110</v>
      </c>
      <c r="K7360" t="b">
        <v>1</v>
      </c>
    </row>
    <row r="7361" spans="8:11" x14ac:dyDescent="0.25">
      <c r="H7361">
        <v>76</v>
      </c>
      <c r="I7361">
        <v>750</v>
      </c>
      <c r="J7361">
        <v>110</v>
      </c>
      <c r="K7361" t="b">
        <v>1</v>
      </c>
    </row>
    <row r="7362" spans="8:11" x14ac:dyDescent="0.25">
      <c r="H7362">
        <v>76</v>
      </c>
      <c r="I7362">
        <v>755</v>
      </c>
      <c r="J7362">
        <v>110</v>
      </c>
      <c r="K7362" t="b">
        <v>1</v>
      </c>
    </row>
    <row r="7363" spans="8:11" x14ac:dyDescent="0.25">
      <c r="H7363">
        <v>76</v>
      </c>
      <c r="I7363">
        <v>760</v>
      </c>
      <c r="J7363">
        <v>110</v>
      </c>
      <c r="K7363" t="b">
        <v>1</v>
      </c>
    </row>
    <row r="7364" spans="8:11" x14ac:dyDescent="0.25">
      <c r="H7364">
        <v>76</v>
      </c>
      <c r="I7364">
        <v>765</v>
      </c>
      <c r="J7364">
        <v>110</v>
      </c>
      <c r="K7364" t="b">
        <v>1</v>
      </c>
    </row>
    <row r="7365" spans="8:11" x14ac:dyDescent="0.25">
      <c r="H7365">
        <v>76</v>
      </c>
      <c r="I7365">
        <v>770</v>
      </c>
      <c r="J7365">
        <v>110</v>
      </c>
      <c r="K7365" t="b">
        <v>1</v>
      </c>
    </row>
    <row r="7366" spans="8:11" x14ac:dyDescent="0.25">
      <c r="H7366">
        <v>76</v>
      </c>
      <c r="I7366">
        <v>775</v>
      </c>
      <c r="J7366">
        <v>110</v>
      </c>
      <c r="K7366" t="b">
        <v>1</v>
      </c>
    </row>
    <row r="7367" spans="8:11" x14ac:dyDescent="0.25">
      <c r="H7367">
        <v>76</v>
      </c>
      <c r="I7367">
        <v>780</v>
      </c>
      <c r="J7367">
        <v>110</v>
      </c>
      <c r="K7367" t="b">
        <v>1</v>
      </c>
    </row>
    <row r="7368" spans="8:11" x14ac:dyDescent="0.25">
      <c r="H7368">
        <v>76</v>
      </c>
      <c r="I7368">
        <v>785</v>
      </c>
      <c r="J7368">
        <v>110</v>
      </c>
      <c r="K7368" t="b">
        <v>1</v>
      </c>
    </row>
    <row r="7369" spans="8:11" x14ac:dyDescent="0.25">
      <c r="H7369">
        <v>76</v>
      </c>
      <c r="I7369">
        <v>790</v>
      </c>
      <c r="J7369">
        <v>110</v>
      </c>
      <c r="K7369" t="b">
        <v>1</v>
      </c>
    </row>
    <row r="7370" spans="8:11" x14ac:dyDescent="0.25">
      <c r="H7370">
        <v>76</v>
      </c>
      <c r="I7370">
        <v>795</v>
      </c>
      <c r="J7370">
        <v>110</v>
      </c>
      <c r="K7370" t="b">
        <v>1</v>
      </c>
    </row>
    <row r="7371" spans="8:11" x14ac:dyDescent="0.25">
      <c r="H7371">
        <v>76</v>
      </c>
      <c r="I7371">
        <v>800</v>
      </c>
      <c r="J7371">
        <v>110</v>
      </c>
      <c r="K7371" t="b">
        <v>1</v>
      </c>
    </row>
    <row r="7372" spans="8:11" x14ac:dyDescent="0.25">
      <c r="H7372">
        <v>76</v>
      </c>
      <c r="I7372">
        <v>805</v>
      </c>
      <c r="J7372">
        <v>110</v>
      </c>
      <c r="K7372" t="b">
        <v>1</v>
      </c>
    </row>
    <row r="7373" spans="8:11" x14ac:dyDescent="0.25">
      <c r="H7373">
        <v>76</v>
      </c>
      <c r="I7373">
        <v>810</v>
      </c>
      <c r="J7373">
        <v>110</v>
      </c>
      <c r="K7373" t="b">
        <v>1</v>
      </c>
    </row>
    <row r="7374" spans="8:11" x14ac:dyDescent="0.25">
      <c r="H7374">
        <v>76</v>
      </c>
      <c r="I7374">
        <v>815</v>
      </c>
      <c r="J7374">
        <v>110</v>
      </c>
      <c r="K7374" t="b">
        <v>1</v>
      </c>
    </row>
    <row r="7375" spans="8:11" x14ac:dyDescent="0.25">
      <c r="H7375">
        <v>76</v>
      </c>
      <c r="I7375">
        <v>820</v>
      </c>
      <c r="J7375">
        <v>110</v>
      </c>
      <c r="K7375" t="b">
        <v>1</v>
      </c>
    </row>
    <row r="7376" spans="8:11" x14ac:dyDescent="0.25">
      <c r="H7376">
        <v>76</v>
      </c>
      <c r="I7376">
        <v>825</v>
      </c>
      <c r="J7376">
        <v>110</v>
      </c>
      <c r="K7376" t="b">
        <v>1</v>
      </c>
    </row>
    <row r="7377" spans="8:11" x14ac:dyDescent="0.25">
      <c r="H7377">
        <v>76</v>
      </c>
      <c r="I7377">
        <v>830</v>
      </c>
      <c r="J7377">
        <v>110</v>
      </c>
      <c r="K7377" t="b">
        <v>1</v>
      </c>
    </row>
    <row r="7378" spans="8:11" x14ac:dyDescent="0.25">
      <c r="H7378">
        <v>76</v>
      </c>
      <c r="I7378">
        <v>835</v>
      </c>
      <c r="J7378">
        <v>110</v>
      </c>
      <c r="K7378" t="b">
        <v>1</v>
      </c>
    </row>
    <row r="7379" spans="8:11" x14ac:dyDescent="0.25">
      <c r="H7379">
        <v>76</v>
      </c>
      <c r="I7379">
        <v>840</v>
      </c>
      <c r="J7379">
        <v>110</v>
      </c>
      <c r="K7379" t="b">
        <v>1</v>
      </c>
    </row>
    <row r="7380" spans="8:11" x14ac:dyDescent="0.25">
      <c r="H7380">
        <v>76</v>
      </c>
      <c r="I7380">
        <v>845</v>
      </c>
      <c r="J7380">
        <v>110</v>
      </c>
      <c r="K7380" t="b">
        <v>1</v>
      </c>
    </row>
    <row r="7381" spans="8:11" x14ac:dyDescent="0.25">
      <c r="H7381">
        <v>76</v>
      </c>
      <c r="I7381">
        <v>850</v>
      </c>
      <c r="J7381">
        <v>110</v>
      </c>
      <c r="K7381" t="b">
        <v>1</v>
      </c>
    </row>
    <row r="7382" spans="8:11" x14ac:dyDescent="0.25">
      <c r="H7382">
        <v>76</v>
      </c>
      <c r="I7382">
        <v>855</v>
      </c>
      <c r="J7382">
        <v>110</v>
      </c>
      <c r="K7382" t="b">
        <v>1</v>
      </c>
    </row>
    <row r="7383" spans="8:11" x14ac:dyDescent="0.25">
      <c r="H7383">
        <v>76</v>
      </c>
      <c r="I7383">
        <v>860</v>
      </c>
      <c r="J7383">
        <v>110</v>
      </c>
      <c r="K7383" t="b">
        <v>1</v>
      </c>
    </row>
    <row r="7384" spans="8:11" x14ac:dyDescent="0.25">
      <c r="H7384">
        <v>76</v>
      </c>
      <c r="I7384">
        <v>865</v>
      </c>
      <c r="J7384">
        <v>110</v>
      </c>
      <c r="K7384" t="b">
        <v>1</v>
      </c>
    </row>
    <row r="7385" spans="8:11" x14ac:dyDescent="0.25">
      <c r="H7385">
        <v>76</v>
      </c>
      <c r="I7385">
        <v>870</v>
      </c>
      <c r="J7385">
        <v>110</v>
      </c>
      <c r="K7385" t="b">
        <v>1</v>
      </c>
    </row>
    <row r="7386" spans="8:11" x14ac:dyDescent="0.25">
      <c r="H7386">
        <v>76</v>
      </c>
      <c r="I7386">
        <v>875</v>
      </c>
      <c r="J7386">
        <v>110</v>
      </c>
      <c r="K7386" t="b">
        <v>1</v>
      </c>
    </row>
    <row r="7387" spans="8:11" x14ac:dyDescent="0.25">
      <c r="H7387">
        <v>76</v>
      </c>
      <c r="I7387">
        <v>880</v>
      </c>
      <c r="J7387">
        <v>110</v>
      </c>
      <c r="K7387" t="b">
        <v>1</v>
      </c>
    </row>
    <row r="7388" spans="8:11" x14ac:dyDescent="0.25">
      <c r="H7388">
        <v>76</v>
      </c>
      <c r="I7388">
        <v>885</v>
      </c>
      <c r="J7388">
        <v>110</v>
      </c>
      <c r="K7388" t="b">
        <v>1</v>
      </c>
    </row>
    <row r="7389" spans="8:11" x14ac:dyDescent="0.25">
      <c r="H7389">
        <v>76</v>
      </c>
      <c r="I7389">
        <v>890</v>
      </c>
      <c r="J7389">
        <v>110</v>
      </c>
      <c r="K7389" t="b">
        <v>1</v>
      </c>
    </row>
    <row r="7390" spans="8:11" x14ac:dyDescent="0.25">
      <c r="H7390">
        <v>76</v>
      </c>
      <c r="I7390">
        <v>895</v>
      </c>
      <c r="J7390">
        <v>110</v>
      </c>
      <c r="K7390" t="b">
        <v>1</v>
      </c>
    </row>
    <row r="7391" spans="8:11" x14ac:dyDescent="0.25">
      <c r="H7391">
        <v>76</v>
      </c>
      <c r="I7391">
        <v>900</v>
      </c>
      <c r="J7391">
        <v>110</v>
      </c>
      <c r="K7391" t="b">
        <v>1</v>
      </c>
    </row>
    <row r="7392" spans="8:11" x14ac:dyDescent="0.25">
      <c r="H7392">
        <v>76</v>
      </c>
      <c r="I7392">
        <v>905</v>
      </c>
      <c r="J7392">
        <v>110</v>
      </c>
      <c r="K7392" t="b">
        <v>1</v>
      </c>
    </row>
    <row r="7393" spans="8:11" x14ac:dyDescent="0.25">
      <c r="H7393">
        <v>76</v>
      </c>
      <c r="I7393">
        <v>910</v>
      </c>
      <c r="J7393">
        <v>110</v>
      </c>
      <c r="K7393" t="b">
        <v>1</v>
      </c>
    </row>
    <row r="7394" spans="8:11" x14ac:dyDescent="0.25">
      <c r="H7394">
        <v>76</v>
      </c>
      <c r="I7394">
        <v>915</v>
      </c>
      <c r="J7394">
        <v>110</v>
      </c>
      <c r="K7394" t="b">
        <v>1</v>
      </c>
    </row>
    <row r="7395" spans="8:11" x14ac:dyDescent="0.25">
      <c r="H7395">
        <v>76</v>
      </c>
      <c r="I7395">
        <v>920</v>
      </c>
      <c r="J7395">
        <v>110</v>
      </c>
      <c r="K7395" t="b">
        <v>1</v>
      </c>
    </row>
    <row r="7396" spans="8:11" x14ac:dyDescent="0.25">
      <c r="H7396">
        <v>76</v>
      </c>
      <c r="I7396">
        <v>925</v>
      </c>
      <c r="J7396">
        <v>110</v>
      </c>
      <c r="K7396" t="b">
        <v>1</v>
      </c>
    </row>
    <row r="7397" spans="8:11" x14ac:dyDescent="0.25">
      <c r="H7397">
        <v>76</v>
      </c>
      <c r="I7397">
        <v>930</v>
      </c>
      <c r="J7397">
        <v>110</v>
      </c>
      <c r="K7397" t="b">
        <v>1</v>
      </c>
    </row>
    <row r="7398" spans="8:11" x14ac:dyDescent="0.25">
      <c r="H7398">
        <v>76</v>
      </c>
      <c r="I7398">
        <v>935</v>
      </c>
      <c r="J7398">
        <v>110</v>
      </c>
      <c r="K7398" t="b">
        <v>1</v>
      </c>
    </row>
    <row r="7399" spans="8:11" x14ac:dyDescent="0.25">
      <c r="H7399">
        <v>76</v>
      </c>
      <c r="I7399">
        <v>940</v>
      </c>
      <c r="J7399">
        <v>110</v>
      </c>
      <c r="K7399" t="b">
        <v>1</v>
      </c>
    </row>
    <row r="7400" spans="8:11" x14ac:dyDescent="0.25">
      <c r="H7400">
        <v>76</v>
      </c>
      <c r="I7400">
        <v>945</v>
      </c>
      <c r="J7400">
        <v>110</v>
      </c>
      <c r="K7400" t="b">
        <v>1</v>
      </c>
    </row>
    <row r="7401" spans="8:11" x14ac:dyDescent="0.25">
      <c r="H7401">
        <v>76</v>
      </c>
      <c r="I7401">
        <v>950</v>
      </c>
      <c r="J7401">
        <v>110</v>
      </c>
      <c r="K7401" t="b">
        <v>1</v>
      </c>
    </row>
    <row r="7402" spans="8:11" x14ac:dyDescent="0.25">
      <c r="H7402">
        <v>76</v>
      </c>
      <c r="I7402">
        <v>955</v>
      </c>
      <c r="J7402">
        <v>110</v>
      </c>
      <c r="K7402" t="b">
        <v>1</v>
      </c>
    </row>
    <row r="7403" spans="8:11" x14ac:dyDescent="0.25">
      <c r="H7403">
        <v>77</v>
      </c>
      <c r="I7403">
        <v>0</v>
      </c>
      <c r="J7403">
        <v>110</v>
      </c>
      <c r="K7403" t="b">
        <v>1</v>
      </c>
    </row>
    <row r="7404" spans="8:11" x14ac:dyDescent="0.25">
      <c r="H7404">
        <v>77</v>
      </c>
      <c r="I7404">
        <v>5</v>
      </c>
      <c r="J7404">
        <v>110</v>
      </c>
      <c r="K7404" t="b">
        <v>1</v>
      </c>
    </row>
    <row r="7405" spans="8:11" x14ac:dyDescent="0.25">
      <c r="H7405">
        <v>77</v>
      </c>
      <c r="I7405">
        <v>10</v>
      </c>
      <c r="J7405">
        <v>110</v>
      </c>
      <c r="K7405" t="b">
        <v>1</v>
      </c>
    </row>
    <row r="7406" spans="8:11" x14ac:dyDescent="0.25">
      <c r="H7406">
        <v>77</v>
      </c>
      <c r="I7406">
        <v>15</v>
      </c>
      <c r="J7406">
        <v>110</v>
      </c>
      <c r="K7406" t="b">
        <v>1</v>
      </c>
    </row>
    <row r="7407" spans="8:11" x14ac:dyDescent="0.25">
      <c r="H7407">
        <v>77</v>
      </c>
      <c r="I7407">
        <v>20</v>
      </c>
      <c r="J7407">
        <v>110</v>
      </c>
      <c r="K7407" t="b">
        <v>1</v>
      </c>
    </row>
    <row r="7408" spans="8:11" x14ac:dyDescent="0.25">
      <c r="H7408">
        <v>77</v>
      </c>
      <c r="I7408">
        <v>25</v>
      </c>
      <c r="J7408">
        <v>110</v>
      </c>
      <c r="K7408" t="b">
        <v>1</v>
      </c>
    </row>
    <row r="7409" spans="8:11" x14ac:dyDescent="0.25">
      <c r="H7409">
        <v>77</v>
      </c>
      <c r="I7409">
        <v>30</v>
      </c>
      <c r="J7409">
        <v>110</v>
      </c>
      <c r="K7409" t="b">
        <v>1</v>
      </c>
    </row>
    <row r="7410" spans="8:11" x14ac:dyDescent="0.25">
      <c r="H7410">
        <v>77</v>
      </c>
      <c r="I7410">
        <v>35</v>
      </c>
      <c r="J7410">
        <v>110</v>
      </c>
      <c r="K7410" t="b">
        <v>1</v>
      </c>
    </row>
    <row r="7411" spans="8:11" x14ac:dyDescent="0.25">
      <c r="H7411">
        <v>77</v>
      </c>
      <c r="I7411">
        <v>40</v>
      </c>
      <c r="J7411">
        <v>110</v>
      </c>
      <c r="K7411" t="b">
        <v>1</v>
      </c>
    </row>
    <row r="7412" spans="8:11" x14ac:dyDescent="0.25">
      <c r="H7412">
        <v>77</v>
      </c>
      <c r="I7412">
        <v>45</v>
      </c>
      <c r="J7412">
        <v>110</v>
      </c>
      <c r="K7412" t="b">
        <v>1</v>
      </c>
    </row>
    <row r="7413" spans="8:11" x14ac:dyDescent="0.25">
      <c r="H7413">
        <v>77</v>
      </c>
      <c r="I7413">
        <v>50</v>
      </c>
      <c r="J7413">
        <v>110</v>
      </c>
      <c r="K7413" t="b">
        <v>1</v>
      </c>
    </row>
    <row r="7414" spans="8:11" x14ac:dyDescent="0.25">
      <c r="H7414">
        <v>77</v>
      </c>
      <c r="I7414">
        <v>55</v>
      </c>
      <c r="J7414">
        <v>110</v>
      </c>
      <c r="K7414" t="b">
        <v>1</v>
      </c>
    </row>
    <row r="7415" spans="8:11" x14ac:dyDescent="0.25">
      <c r="H7415">
        <v>77</v>
      </c>
      <c r="I7415">
        <v>60</v>
      </c>
      <c r="J7415">
        <v>110</v>
      </c>
      <c r="K7415" t="b">
        <v>1</v>
      </c>
    </row>
    <row r="7416" spans="8:11" x14ac:dyDescent="0.25">
      <c r="H7416">
        <v>77</v>
      </c>
      <c r="I7416">
        <v>65</v>
      </c>
      <c r="J7416">
        <v>110</v>
      </c>
      <c r="K7416" t="b">
        <v>1</v>
      </c>
    </row>
    <row r="7417" spans="8:11" x14ac:dyDescent="0.25">
      <c r="H7417">
        <v>77</v>
      </c>
      <c r="I7417">
        <v>70</v>
      </c>
      <c r="J7417">
        <v>110</v>
      </c>
      <c r="K7417" t="b">
        <v>1</v>
      </c>
    </row>
    <row r="7418" spans="8:11" x14ac:dyDescent="0.25">
      <c r="H7418">
        <v>77</v>
      </c>
      <c r="I7418">
        <v>75</v>
      </c>
      <c r="J7418">
        <v>110</v>
      </c>
      <c r="K7418" t="b">
        <v>1</v>
      </c>
    </row>
    <row r="7419" spans="8:11" x14ac:dyDescent="0.25">
      <c r="H7419">
        <v>77</v>
      </c>
      <c r="I7419">
        <v>80</v>
      </c>
      <c r="J7419">
        <v>110</v>
      </c>
      <c r="K7419" t="b">
        <v>1</v>
      </c>
    </row>
    <row r="7420" spans="8:11" x14ac:dyDescent="0.25">
      <c r="H7420">
        <v>77</v>
      </c>
      <c r="I7420">
        <v>85</v>
      </c>
      <c r="J7420">
        <v>110</v>
      </c>
      <c r="K7420" t="b">
        <v>1</v>
      </c>
    </row>
    <row r="7421" spans="8:11" x14ac:dyDescent="0.25">
      <c r="H7421">
        <v>77</v>
      </c>
      <c r="I7421">
        <v>90</v>
      </c>
      <c r="J7421">
        <v>110</v>
      </c>
      <c r="K7421" t="b">
        <v>1</v>
      </c>
    </row>
    <row r="7422" spans="8:11" x14ac:dyDescent="0.25">
      <c r="H7422">
        <v>77</v>
      </c>
      <c r="I7422">
        <v>95</v>
      </c>
      <c r="J7422">
        <v>110</v>
      </c>
      <c r="K7422" t="b">
        <v>1</v>
      </c>
    </row>
    <row r="7423" spans="8:11" x14ac:dyDescent="0.25">
      <c r="H7423">
        <v>77</v>
      </c>
      <c r="I7423">
        <v>100</v>
      </c>
      <c r="J7423">
        <v>110</v>
      </c>
      <c r="K7423" t="b">
        <v>1</v>
      </c>
    </row>
    <row r="7424" spans="8:11" x14ac:dyDescent="0.25">
      <c r="H7424">
        <v>77</v>
      </c>
      <c r="I7424">
        <v>105</v>
      </c>
      <c r="J7424">
        <v>110</v>
      </c>
      <c r="K7424" t="b">
        <v>1</v>
      </c>
    </row>
    <row r="7425" spans="8:11" x14ac:dyDescent="0.25">
      <c r="H7425">
        <v>77</v>
      </c>
      <c r="I7425">
        <v>110</v>
      </c>
      <c r="J7425">
        <v>110</v>
      </c>
      <c r="K7425" t="b">
        <v>1</v>
      </c>
    </row>
    <row r="7426" spans="8:11" x14ac:dyDescent="0.25">
      <c r="H7426">
        <v>77</v>
      </c>
      <c r="I7426">
        <v>115</v>
      </c>
      <c r="J7426">
        <v>110</v>
      </c>
      <c r="K7426" t="b">
        <v>1</v>
      </c>
    </row>
    <row r="7427" spans="8:11" x14ac:dyDescent="0.25">
      <c r="H7427">
        <v>77</v>
      </c>
      <c r="I7427">
        <v>120</v>
      </c>
      <c r="J7427">
        <v>110</v>
      </c>
      <c r="K7427" t="b">
        <v>1</v>
      </c>
    </row>
    <row r="7428" spans="8:11" x14ac:dyDescent="0.25">
      <c r="H7428">
        <v>77</v>
      </c>
      <c r="I7428">
        <v>125</v>
      </c>
      <c r="J7428">
        <v>110</v>
      </c>
      <c r="K7428" t="b">
        <v>1</v>
      </c>
    </row>
    <row r="7429" spans="8:11" x14ac:dyDescent="0.25">
      <c r="H7429">
        <v>77</v>
      </c>
      <c r="I7429">
        <v>130</v>
      </c>
      <c r="J7429">
        <v>110</v>
      </c>
      <c r="K7429" t="b">
        <v>1</v>
      </c>
    </row>
    <row r="7430" spans="8:11" x14ac:dyDescent="0.25">
      <c r="H7430">
        <v>77</v>
      </c>
      <c r="I7430">
        <v>135</v>
      </c>
      <c r="J7430">
        <v>110</v>
      </c>
      <c r="K7430" t="b">
        <v>1</v>
      </c>
    </row>
    <row r="7431" spans="8:11" x14ac:dyDescent="0.25">
      <c r="H7431">
        <v>77</v>
      </c>
      <c r="I7431">
        <v>140</v>
      </c>
      <c r="J7431">
        <v>110</v>
      </c>
      <c r="K7431" t="b">
        <v>1</v>
      </c>
    </row>
    <row r="7432" spans="8:11" x14ac:dyDescent="0.25">
      <c r="H7432">
        <v>77</v>
      </c>
      <c r="I7432">
        <v>145</v>
      </c>
      <c r="J7432">
        <v>110</v>
      </c>
      <c r="K7432" t="b">
        <v>1</v>
      </c>
    </row>
    <row r="7433" spans="8:11" x14ac:dyDescent="0.25">
      <c r="H7433">
        <v>77</v>
      </c>
      <c r="I7433">
        <v>150</v>
      </c>
      <c r="J7433">
        <v>110</v>
      </c>
      <c r="K7433" t="b">
        <v>1</v>
      </c>
    </row>
    <row r="7434" spans="8:11" x14ac:dyDescent="0.25">
      <c r="H7434">
        <v>77</v>
      </c>
      <c r="I7434">
        <v>155</v>
      </c>
      <c r="J7434">
        <v>110</v>
      </c>
      <c r="K7434" t="b">
        <v>1</v>
      </c>
    </row>
    <row r="7435" spans="8:11" x14ac:dyDescent="0.25">
      <c r="H7435">
        <v>77</v>
      </c>
      <c r="I7435">
        <v>160</v>
      </c>
      <c r="J7435">
        <v>110</v>
      </c>
      <c r="K7435" t="b">
        <v>1</v>
      </c>
    </row>
    <row r="7436" spans="8:11" x14ac:dyDescent="0.25">
      <c r="H7436">
        <v>77</v>
      </c>
      <c r="I7436">
        <v>165</v>
      </c>
      <c r="J7436">
        <v>110</v>
      </c>
      <c r="K7436" t="b">
        <v>1</v>
      </c>
    </row>
    <row r="7437" spans="8:11" x14ac:dyDescent="0.25">
      <c r="H7437">
        <v>77</v>
      </c>
      <c r="I7437">
        <v>170</v>
      </c>
      <c r="J7437">
        <v>110</v>
      </c>
      <c r="K7437" t="b">
        <v>1</v>
      </c>
    </row>
    <row r="7438" spans="8:11" x14ac:dyDescent="0.25">
      <c r="H7438">
        <v>77</v>
      </c>
      <c r="I7438">
        <v>175</v>
      </c>
      <c r="J7438">
        <v>110</v>
      </c>
      <c r="K7438" t="b">
        <v>1</v>
      </c>
    </row>
    <row r="7439" spans="8:11" x14ac:dyDescent="0.25">
      <c r="H7439">
        <v>77</v>
      </c>
      <c r="I7439">
        <v>180</v>
      </c>
      <c r="J7439">
        <v>110</v>
      </c>
      <c r="K7439" t="b">
        <v>1</v>
      </c>
    </row>
    <row r="7440" spans="8:11" x14ac:dyDescent="0.25">
      <c r="H7440">
        <v>77</v>
      </c>
      <c r="I7440">
        <v>185</v>
      </c>
      <c r="J7440">
        <v>110</v>
      </c>
      <c r="K7440" t="b">
        <v>1</v>
      </c>
    </row>
    <row r="7441" spans="8:11" x14ac:dyDescent="0.25">
      <c r="H7441">
        <v>77</v>
      </c>
      <c r="I7441">
        <v>190</v>
      </c>
      <c r="J7441">
        <v>110</v>
      </c>
      <c r="K7441" t="b">
        <v>1</v>
      </c>
    </row>
    <row r="7442" spans="8:11" x14ac:dyDescent="0.25">
      <c r="H7442">
        <v>77</v>
      </c>
      <c r="I7442">
        <v>195</v>
      </c>
      <c r="J7442">
        <v>110</v>
      </c>
      <c r="K7442" t="b">
        <v>1</v>
      </c>
    </row>
    <row r="7443" spans="8:11" x14ac:dyDescent="0.25">
      <c r="H7443">
        <v>77</v>
      </c>
      <c r="I7443">
        <v>200</v>
      </c>
      <c r="J7443">
        <v>110</v>
      </c>
      <c r="K7443" t="b">
        <v>1</v>
      </c>
    </row>
    <row r="7444" spans="8:11" x14ac:dyDescent="0.25">
      <c r="H7444">
        <v>77</v>
      </c>
      <c r="I7444">
        <v>205</v>
      </c>
      <c r="J7444">
        <v>110</v>
      </c>
      <c r="K7444" t="b">
        <v>1</v>
      </c>
    </row>
    <row r="7445" spans="8:11" x14ac:dyDescent="0.25">
      <c r="H7445">
        <v>77</v>
      </c>
      <c r="I7445">
        <v>210</v>
      </c>
      <c r="J7445">
        <v>110</v>
      </c>
      <c r="K7445" t="b">
        <v>1</v>
      </c>
    </row>
    <row r="7446" spans="8:11" x14ac:dyDescent="0.25">
      <c r="H7446">
        <v>77</v>
      </c>
      <c r="I7446">
        <v>215</v>
      </c>
      <c r="J7446">
        <v>110</v>
      </c>
      <c r="K7446" t="b">
        <v>1</v>
      </c>
    </row>
    <row r="7447" spans="8:11" x14ac:dyDescent="0.25">
      <c r="H7447">
        <v>77</v>
      </c>
      <c r="I7447">
        <v>220</v>
      </c>
      <c r="J7447">
        <v>110</v>
      </c>
      <c r="K7447" t="b">
        <v>1</v>
      </c>
    </row>
    <row r="7448" spans="8:11" x14ac:dyDescent="0.25">
      <c r="H7448">
        <v>77</v>
      </c>
      <c r="I7448">
        <v>225</v>
      </c>
      <c r="J7448">
        <v>110</v>
      </c>
      <c r="K7448" t="b">
        <v>1</v>
      </c>
    </row>
    <row r="7449" spans="8:11" x14ac:dyDescent="0.25">
      <c r="H7449">
        <v>77</v>
      </c>
      <c r="I7449">
        <v>230</v>
      </c>
      <c r="J7449">
        <v>110</v>
      </c>
      <c r="K7449" t="b">
        <v>1</v>
      </c>
    </row>
    <row r="7450" spans="8:11" x14ac:dyDescent="0.25">
      <c r="H7450">
        <v>77</v>
      </c>
      <c r="I7450">
        <v>235</v>
      </c>
      <c r="J7450">
        <v>110</v>
      </c>
      <c r="K7450" t="b">
        <v>1</v>
      </c>
    </row>
    <row r="7451" spans="8:11" x14ac:dyDescent="0.25">
      <c r="H7451">
        <v>77</v>
      </c>
      <c r="I7451">
        <v>240</v>
      </c>
      <c r="J7451">
        <v>110</v>
      </c>
      <c r="K7451" t="b">
        <v>1</v>
      </c>
    </row>
    <row r="7452" spans="8:11" x14ac:dyDescent="0.25">
      <c r="H7452">
        <v>77</v>
      </c>
      <c r="I7452">
        <v>245</v>
      </c>
      <c r="J7452">
        <v>110</v>
      </c>
      <c r="K7452" t="b">
        <v>1</v>
      </c>
    </row>
    <row r="7453" spans="8:11" x14ac:dyDescent="0.25">
      <c r="H7453">
        <v>77</v>
      </c>
      <c r="I7453">
        <v>250</v>
      </c>
      <c r="J7453">
        <v>110</v>
      </c>
      <c r="K7453" t="b">
        <v>1</v>
      </c>
    </row>
    <row r="7454" spans="8:11" x14ac:dyDescent="0.25">
      <c r="H7454">
        <v>77</v>
      </c>
      <c r="I7454">
        <v>255</v>
      </c>
      <c r="J7454">
        <v>110</v>
      </c>
      <c r="K7454" t="b">
        <v>1</v>
      </c>
    </row>
    <row r="7455" spans="8:11" x14ac:dyDescent="0.25">
      <c r="H7455">
        <v>77</v>
      </c>
      <c r="I7455">
        <v>260</v>
      </c>
      <c r="J7455">
        <v>110</v>
      </c>
      <c r="K7455" t="b">
        <v>1</v>
      </c>
    </row>
    <row r="7456" spans="8:11" x14ac:dyDescent="0.25">
      <c r="H7456">
        <v>77</v>
      </c>
      <c r="I7456">
        <v>265</v>
      </c>
      <c r="J7456">
        <v>110</v>
      </c>
      <c r="K7456" t="b">
        <v>1</v>
      </c>
    </row>
    <row r="7457" spans="8:11" x14ac:dyDescent="0.25">
      <c r="H7457">
        <v>77</v>
      </c>
      <c r="I7457">
        <v>270</v>
      </c>
      <c r="J7457">
        <v>110</v>
      </c>
      <c r="K7457" t="b">
        <v>1</v>
      </c>
    </row>
    <row r="7458" spans="8:11" x14ac:dyDescent="0.25">
      <c r="H7458">
        <v>77</v>
      </c>
      <c r="I7458">
        <v>275</v>
      </c>
      <c r="J7458">
        <v>110</v>
      </c>
      <c r="K7458" t="b">
        <v>1</v>
      </c>
    </row>
    <row r="7459" spans="8:11" x14ac:dyDescent="0.25">
      <c r="H7459">
        <v>77</v>
      </c>
      <c r="I7459">
        <v>280</v>
      </c>
      <c r="J7459">
        <v>110</v>
      </c>
      <c r="K7459" t="b">
        <v>1</v>
      </c>
    </row>
    <row r="7460" spans="8:11" x14ac:dyDescent="0.25">
      <c r="H7460">
        <v>77</v>
      </c>
      <c r="I7460">
        <v>285</v>
      </c>
      <c r="J7460">
        <v>110</v>
      </c>
      <c r="K7460" t="b">
        <v>1</v>
      </c>
    </row>
    <row r="7461" spans="8:11" x14ac:dyDescent="0.25">
      <c r="H7461">
        <v>77</v>
      </c>
      <c r="I7461">
        <v>290</v>
      </c>
      <c r="J7461">
        <v>110</v>
      </c>
      <c r="K7461" t="b">
        <v>1</v>
      </c>
    </row>
    <row r="7462" spans="8:11" x14ac:dyDescent="0.25">
      <c r="H7462">
        <v>77</v>
      </c>
      <c r="I7462">
        <v>295</v>
      </c>
      <c r="J7462">
        <v>110</v>
      </c>
      <c r="K7462" t="b">
        <v>1</v>
      </c>
    </row>
    <row r="7463" spans="8:11" x14ac:dyDescent="0.25">
      <c r="H7463">
        <v>77</v>
      </c>
      <c r="I7463">
        <v>300</v>
      </c>
      <c r="J7463">
        <v>110</v>
      </c>
      <c r="K7463" t="b">
        <v>1</v>
      </c>
    </row>
    <row r="7464" spans="8:11" x14ac:dyDescent="0.25">
      <c r="H7464">
        <v>77</v>
      </c>
      <c r="I7464">
        <v>305</v>
      </c>
      <c r="J7464">
        <v>110</v>
      </c>
      <c r="K7464" t="b">
        <v>1</v>
      </c>
    </row>
    <row r="7465" spans="8:11" x14ac:dyDescent="0.25">
      <c r="H7465">
        <v>77</v>
      </c>
      <c r="I7465">
        <v>310</v>
      </c>
      <c r="J7465">
        <v>110</v>
      </c>
      <c r="K7465" t="b">
        <v>1</v>
      </c>
    </row>
    <row r="7466" spans="8:11" x14ac:dyDescent="0.25">
      <c r="H7466">
        <v>77</v>
      </c>
      <c r="I7466">
        <v>315</v>
      </c>
      <c r="J7466">
        <v>110</v>
      </c>
      <c r="K7466" t="b">
        <v>1</v>
      </c>
    </row>
    <row r="7467" spans="8:11" x14ac:dyDescent="0.25">
      <c r="H7467">
        <v>77</v>
      </c>
      <c r="I7467">
        <v>320</v>
      </c>
      <c r="J7467">
        <v>110</v>
      </c>
      <c r="K7467" t="b">
        <v>1</v>
      </c>
    </row>
    <row r="7468" spans="8:11" x14ac:dyDescent="0.25">
      <c r="H7468">
        <v>77</v>
      </c>
      <c r="I7468">
        <v>325</v>
      </c>
      <c r="J7468">
        <v>110</v>
      </c>
      <c r="K7468" t="b">
        <v>1</v>
      </c>
    </row>
    <row r="7469" spans="8:11" x14ac:dyDescent="0.25">
      <c r="H7469">
        <v>77</v>
      </c>
      <c r="I7469">
        <v>330</v>
      </c>
      <c r="J7469">
        <v>110</v>
      </c>
      <c r="K7469" t="b">
        <v>1</v>
      </c>
    </row>
    <row r="7470" spans="8:11" x14ac:dyDescent="0.25">
      <c r="H7470">
        <v>77</v>
      </c>
      <c r="I7470">
        <v>335</v>
      </c>
      <c r="J7470">
        <v>110</v>
      </c>
      <c r="K7470" t="b">
        <v>1</v>
      </c>
    </row>
    <row r="7471" spans="8:11" x14ac:dyDescent="0.25">
      <c r="H7471">
        <v>77</v>
      </c>
      <c r="I7471">
        <v>340</v>
      </c>
      <c r="J7471">
        <v>110</v>
      </c>
      <c r="K7471" t="b">
        <v>1</v>
      </c>
    </row>
    <row r="7472" spans="8:11" x14ac:dyDescent="0.25">
      <c r="H7472">
        <v>77</v>
      </c>
      <c r="I7472">
        <v>345</v>
      </c>
      <c r="J7472">
        <v>110</v>
      </c>
      <c r="K7472" t="b">
        <v>1</v>
      </c>
    </row>
    <row r="7473" spans="8:11" x14ac:dyDescent="0.25">
      <c r="H7473">
        <v>77</v>
      </c>
      <c r="I7473">
        <v>350</v>
      </c>
      <c r="J7473">
        <v>110</v>
      </c>
      <c r="K7473" t="b">
        <v>1</v>
      </c>
    </row>
    <row r="7474" spans="8:11" x14ac:dyDescent="0.25">
      <c r="H7474">
        <v>77</v>
      </c>
      <c r="I7474">
        <v>355</v>
      </c>
      <c r="J7474">
        <v>110</v>
      </c>
      <c r="K7474" t="b">
        <v>1</v>
      </c>
    </row>
    <row r="7475" spans="8:11" x14ac:dyDescent="0.25">
      <c r="H7475">
        <v>77</v>
      </c>
      <c r="I7475">
        <v>360</v>
      </c>
      <c r="J7475">
        <v>110</v>
      </c>
      <c r="K7475" t="b">
        <v>1</v>
      </c>
    </row>
    <row r="7476" spans="8:11" x14ac:dyDescent="0.25">
      <c r="H7476">
        <v>77</v>
      </c>
      <c r="I7476">
        <v>365</v>
      </c>
      <c r="J7476">
        <v>110</v>
      </c>
      <c r="K7476" t="b">
        <v>1</v>
      </c>
    </row>
    <row r="7477" spans="8:11" x14ac:dyDescent="0.25">
      <c r="H7477">
        <v>77</v>
      </c>
      <c r="I7477">
        <v>370</v>
      </c>
      <c r="J7477">
        <v>110</v>
      </c>
      <c r="K7477" t="b">
        <v>1</v>
      </c>
    </row>
    <row r="7478" spans="8:11" x14ac:dyDescent="0.25">
      <c r="H7478">
        <v>77</v>
      </c>
      <c r="I7478">
        <v>375</v>
      </c>
      <c r="J7478">
        <v>110</v>
      </c>
      <c r="K7478" t="b">
        <v>1</v>
      </c>
    </row>
    <row r="7479" spans="8:11" x14ac:dyDescent="0.25">
      <c r="H7479">
        <v>77</v>
      </c>
      <c r="I7479">
        <v>380</v>
      </c>
      <c r="J7479">
        <v>110</v>
      </c>
      <c r="K7479" t="b">
        <v>1</v>
      </c>
    </row>
    <row r="7480" spans="8:11" x14ac:dyDescent="0.25">
      <c r="H7480">
        <v>77</v>
      </c>
      <c r="I7480">
        <v>385</v>
      </c>
      <c r="J7480">
        <v>110</v>
      </c>
      <c r="K7480" t="b">
        <v>1</v>
      </c>
    </row>
    <row r="7481" spans="8:11" x14ac:dyDescent="0.25">
      <c r="H7481">
        <v>77</v>
      </c>
      <c r="I7481">
        <v>390</v>
      </c>
      <c r="J7481">
        <v>110</v>
      </c>
      <c r="K7481" t="b">
        <v>1</v>
      </c>
    </row>
    <row r="7482" spans="8:11" x14ac:dyDescent="0.25">
      <c r="H7482">
        <v>77</v>
      </c>
      <c r="I7482">
        <v>395</v>
      </c>
      <c r="J7482">
        <v>110</v>
      </c>
      <c r="K7482" t="b">
        <v>1</v>
      </c>
    </row>
    <row r="7483" spans="8:11" x14ac:dyDescent="0.25">
      <c r="H7483">
        <v>77</v>
      </c>
      <c r="I7483">
        <v>400</v>
      </c>
      <c r="J7483">
        <v>110</v>
      </c>
      <c r="K7483" t="b">
        <v>1</v>
      </c>
    </row>
    <row r="7484" spans="8:11" x14ac:dyDescent="0.25">
      <c r="H7484">
        <v>77</v>
      </c>
      <c r="I7484">
        <v>405</v>
      </c>
      <c r="J7484">
        <v>110</v>
      </c>
      <c r="K7484" t="b">
        <v>1</v>
      </c>
    </row>
    <row r="7485" spans="8:11" x14ac:dyDescent="0.25">
      <c r="H7485">
        <v>77</v>
      </c>
      <c r="I7485">
        <v>410</v>
      </c>
      <c r="J7485">
        <v>110</v>
      </c>
      <c r="K7485" t="b">
        <v>1</v>
      </c>
    </row>
    <row r="7486" spans="8:11" x14ac:dyDescent="0.25">
      <c r="H7486">
        <v>77</v>
      </c>
      <c r="I7486">
        <v>415</v>
      </c>
      <c r="J7486">
        <v>110</v>
      </c>
      <c r="K7486" t="b">
        <v>1</v>
      </c>
    </row>
    <row r="7487" spans="8:11" x14ac:dyDescent="0.25">
      <c r="H7487">
        <v>77</v>
      </c>
      <c r="I7487">
        <v>420</v>
      </c>
      <c r="J7487">
        <v>110</v>
      </c>
      <c r="K7487" t="b">
        <v>1</v>
      </c>
    </row>
    <row r="7488" spans="8:11" x14ac:dyDescent="0.25">
      <c r="H7488">
        <v>77</v>
      </c>
      <c r="I7488">
        <v>425</v>
      </c>
      <c r="J7488">
        <v>110</v>
      </c>
      <c r="K7488" t="b">
        <v>1</v>
      </c>
    </row>
    <row r="7489" spans="8:11" x14ac:dyDescent="0.25">
      <c r="H7489">
        <v>77</v>
      </c>
      <c r="I7489">
        <v>430</v>
      </c>
      <c r="J7489">
        <v>110</v>
      </c>
      <c r="K7489" t="b">
        <v>1</v>
      </c>
    </row>
    <row r="7490" spans="8:11" x14ac:dyDescent="0.25">
      <c r="H7490">
        <v>77</v>
      </c>
      <c r="I7490">
        <v>435</v>
      </c>
      <c r="J7490">
        <v>110</v>
      </c>
      <c r="K7490" t="b">
        <v>1</v>
      </c>
    </row>
    <row r="7491" spans="8:11" x14ac:dyDescent="0.25">
      <c r="H7491">
        <v>77</v>
      </c>
      <c r="I7491">
        <v>440</v>
      </c>
      <c r="J7491">
        <v>110</v>
      </c>
      <c r="K7491" t="b">
        <v>1</v>
      </c>
    </row>
    <row r="7492" spans="8:11" x14ac:dyDescent="0.25">
      <c r="H7492">
        <v>77</v>
      </c>
      <c r="I7492">
        <v>445</v>
      </c>
      <c r="J7492">
        <v>110</v>
      </c>
      <c r="K7492" t="b">
        <v>1</v>
      </c>
    </row>
    <row r="7493" spans="8:11" x14ac:dyDescent="0.25">
      <c r="H7493">
        <v>77</v>
      </c>
      <c r="I7493">
        <v>450</v>
      </c>
      <c r="J7493">
        <v>110</v>
      </c>
      <c r="K7493" t="b">
        <v>1</v>
      </c>
    </row>
    <row r="7494" spans="8:11" x14ac:dyDescent="0.25">
      <c r="H7494">
        <v>77</v>
      </c>
      <c r="I7494">
        <v>455</v>
      </c>
      <c r="J7494">
        <v>110</v>
      </c>
      <c r="K7494" t="b">
        <v>1</v>
      </c>
    </row>
    <row r="7495" spans="8:11" x14ac:dyDescent="0.25">
      <c r="H7495">
        <v>77</v>
      </c>
      <c r="I7495">
        <v>460</v>
      </c>
      <c r="J7495">
        <v>110</v>
      </c>
      <c r="K7495" t="b">
        <v>1</v>
      </c>
    </row>
    <row r="7496" spans="8:11" x14ac:dyDescent="0.25">
      <c r="H7496">
        <v>77</v>
      </c>
      <c r="I7496">
        <v>465</v>
      </c>
      <c r="J7496">
        <v>110</v>
      </c>
      <c r="K7496" t="b">
        <v>1</v>
      </c>
    </row>
    <row r="7497" spans="8:11" x14ac:dyDescent="0.25">
      <c r="H7497">
        <v>77</v>
      </c>
      <c r="I7497">
        <v>470</v>
      </c>
      <c r="J7497">
        <v>110</v>
      </c>
      <c r="K7497" t="b">
        <v>1</v>
      </c>
    </row>
    <row r="7498" spans="8:11" x14ac:dyDescent="0.25">
      <c r="H7498">
        <v>77</v>
      </c>
      <c r="I7498">
        <v>475</v>
      </c>
      <c r="J7498">
        <v>110</v>
      </c>
      <c r="K7498" t="b">
        <v>1</v>
      </c>
    </row>
    <row r="7499" spans="8:11" x14ac:dyDescent="0.25">
      <c r="H7499">
        <v>77</v>
      </c>
      <c r="I7499">
        <v>480</v>
      </c>
      <c r="J7499">
        <v>110</v>
      </c>
      <c r="K7499" t="b">
        <v>1</v>
      </c>
    </row>
    <row r="7500" spans="8:11" x14ac:dyDescent="0.25">
      <c r="H7500">
        <v>77</v>
      </c>
      <c r="I7500">
        <v>485</v>
      </c>
      <c r="J7500">
        <v>110</v>
      </c>
      <c r="K7500" t="b">
        <v>1</v>
      </c>
    </row>
    <row r="7501" spans="8:11" x14ac:dyDescent="0.25">
      <c r="H7501">
        <v>77</v>
      </c>
      <c r="I7501">
        <v>490</v>
      </c>
      <c r="J7501">
        <v>110</v>
      </c>
      <c r="K7501" t="b">
        <v>1</v>
      </c>
    </row>
    <row r="7502" spans="8:11" x14ac:dyDescent="0.25">
      <c r="H7502">
        <v>77</v>
      </c>
      <c r="I7502">
        <v>495</v>
      </c>
      <c r="J7502">
        <v>110</v>
      </c>
      <c r="K7502" t="b">
        <v>1</v>
      </c>
    </row>
    <row r="7503" spans="8:11" x14ac:dyDescent="0.25">
      <c r="H7503">
        <v>77</v>
      </c>
      <c r="I7503">
        <v>500</v>
      </c>
      <c r="J7503">
        <v>110</v>
      </c>
      <c r="K7503" t="b">
        <v>1</v>
      </c>
    </row>
    <row r="7504" spans="8:11" x14ac:dyDescent="0.25">
      <c r="H7504">
        <v>77</v>
      </c>
      <c r="I7504">
        <v>505</v>
      </c>
      <c r="J7504">
        <v>110</v>
      </c>
      <c r="K7504" t="b">
        <v>1</v>
      </c>
    </row>
    <row r="7505" spans="8:11" x14ac:dyDescent="0.25">
      <c r="H7505">
        <v>77</v>
      </c>
      <c r="I7505">
        <v>510</v>
      </c>
      <c r="J7505">
        <v>110</v>
      </c>
      <c r="K7505" t="b">
        <v>1</v>
      </c>
    </row>
    <row r="7506" spans="8:11" x14ac:dyDescent="0.25">
      <c r="H7506">
        <v>77</v>
      </c>
      <c r="I7506">
        <v>515</v>
      </c>
      <c r="J7506">
        <v>110</v>
      </c>
      <c r="K7506" t="b">
        <v>1</v>
      </c>
    </row>
    <row r="7507" spans="8:11" x14ac:dyDescent="0.25">
      <c r="H7507">
        <v>77</v>
      </c>
      <c r="I7507">
        <v>520</v>
      </c>
      <c r="J7507">
        <v>110</v>
      </c>
      <c r="K7507" t="b">
        <v>1</v>
      </c>
    </row>
    <row r="7508" spans="8:11" x14ac:dyDescent="0.25">
      <c r="H7508">
        <v>77</v>
      </c>
      <c r="I7508">
        <v>525</v>
      </c>
      <c r="J7508">
        <v>110</v>
      </c>
      <c r="K7508" t="b">
        <v>1</v>
      </c>
    </row>
    <row r="7509" spans="8:11" x14ac:dyDescent="0.25">
      <c r="H7509">
        <v>77</v>
      </c>
      <c r="I7509">
        <v>530</v>
      </c>
      <c r="J7509">
        <v>110</v>
      </c>
      <c r="K7509" t="b">
        <v>1</v>
      </c>
    </row>
    <row r="7510" spans="8:11" x14ac:dyDescent="0.25">
      <c r="H7510">
        <v>77</v>
      </c>
      <c r="I7510">
        <v>535</v>
      </c>
      <c r="J7510">
        <v>110</v>
      </c>
      <c r="K7510" t="b">
        <v>1</v>
      </c>
    </row>
    <row r="7511" spans="8:11" x14ac:dyDescent="0.25">
      <c r="H7511">
        <v>77</v>
      </c>
      <c r="I7511">
        <v>540</v>
      </c>
      <c r="J7511">
        <v>110</v>
      </c>
      <c r="K7511" t="b">
        <v>1</v>
      </c>
    </row>
    <row r="7512" spans="8:11" x14ac:dyDescent="0.25">
      <c r="H7512">
        <v>77</v>
      </c>
      <c r="I7512">
        <v>545</v>
      </c>
      <c r="J7512">
        <v>110</v>
      </c>
      <c r="K7512" t="b">
        <v>1</v>
      </c>
    </row>
    <row r="7513" spans="8:11" x14ac:dyDescent="0.25">
      <c r="H7513">
        <v>77</v>
      </c>
      <c r="I7513">
        <v>550</v>
      </c>
      <c r="J7513">
        <v>110</v>
      </c>
      <c r="K7513" t="b">
        <v>1</v>
      </c>
    </row>
    <row r="7514" spans="8:11" x14ac:dyDescent="0.25">
      <c r="H7514">
        <v>77</v>
      </c>
      <c r="I7514">
        <v>555</v>
      </c>
      <c r="J7514">
        <v>110</v>
      </c>
      <c r="K7514" t="b">
        <v>1</v>
      </c>
    </row>
    <row r="7515" spans="8:11" x14ac:dyDescent="0.25">
      <c r="H7515">
        <v>77</v>
      </c>
      <c r="I7515">
        <v>560</v>
      </c>
      <c r="J7515">
        <v>110</v>
      </c>
      <c r="K7515" t="b">
        <v>1</v>
      </c>
    </row>
    <row r="7516" spans="8:11" x14ac:dyDescent="0.25">
      <c r="H7516">
        <v>77</v>
      </c>
      <c r="I7516">
        <v>565</v>
      </c>
      <c r="J7516">
        <v>110</v>
      </c>
      <c r="K7516" t="b">
        <v>1</v>
      </c>
    </row>
    <row r="7517" spans="8:11" x14ac:dyDescent="0.25">
      <c r="H7517">
        <v>77</v>
      </c>
      <c r="I7517">
        <v>570</v>
      </c>
      <c r="J7517">
        <v>110</v>
      </c>
      <c r="K7517" t="b">
        <v>1</v>
      </c>
    </row>
    <row r="7518" spans="8:11" x14ac:dyDescent="0.25">
      <c r="H7518">
        <v>77</v>
      </c>
      <c r="I7518">
        <v>575</v>
      </c>
      <c r="J7518">
        <v>110</v>
      </c>
      <c r="K7518" t="b">
        <v>1</v>
      </c>
    </row>
    <row r="7519" spans="8:11" x14ac:dyDescent="0.25">
      <c r="H7519">
        <v>77</v>
      </c>
      <c r="I7519">
        <v>580</v>
      </c>
      <c r="J7519">
        <v>110</v>
      </c>
      <c r="K7519" t="b">
        <v>1</v>
      </c>
    </row>
    <row r="7520" spans="8:11" x14ac:dyDescent="0.25">
      <c r="H7520">
        <v>77</v>
      </c>
      <c r="I7520">
        <v>585</v>
      </c>
      <c r="J7520">
        <v>110</v>
      </c>
      <c r="K7520" t="b">
        <v>1</v>
      </c>
    </row>
    <row r="7521" spans="8:11" x14ac:dyDescent="0.25">
      <c r="H7521">
        <v>77</v>
      </c>
      <c r="I7521">
        <v>590</v>
      </c>
      <c r="J7521">
        <v>110</v>
      </c>
      <c r="K7521" t="b">
        <v>1</v>
      </c>
    </row>
    <row r="7522" spans="8:11" x14ac:dyDescent="0.25">
      <c r="H7522">
        <v>77</v>
      </c>
      <c r="I7522">
        <v>595</v>
      </c>
      <c r="J7522">
        <v>110</v>
      </c>
      <c r="K7522" t="b">
        <v>1</v>
      </c>
    </row>
    <row r="7523" spans="8:11" x14ac:dyDescent="0.25">
      <c r="H7523">
        <v>77</v>
      </c>
      <c r="I7523">
        <v>600</v>
      </c>
      <c r="J7523">
        <v>110</v>
      </c>
      <c r="K7523" t="b">
        <v>1</v>
      </c>
    </row>
    <row r="7524" spans="8:11" x14ac:dyDescent="0.25">
      <c r="H7524">
        <v>77</v>
      </c>
      <c r="I7524">
        <v>605</v>
      </c>
      <c r="J7524">
        <v>110</v>
      </c>
      <c r="K7524" t="b">
        <v>1</v>
      </c>
    </row>
    <row r="7525" spans="8:11" x14ac:dyDescent="0.25">
      <c r="H7525">
        <v>77</v>
      </c>
      <c r="I7525">
        <v>610</v>
      </c>
      <c r="J7525">
        <v>110</v>
      </c>
      <c r="K7525" t="b">
        <v>1</v>
      </c>
    </row>
    <row r="7526" spans="8:11" x14ac:dyDescent="0.25">
      <c r="H7526">
        <v>77</v>
      </c>
      <c r="I7526">
        <v>615</v>
      </c>
      <c r="J7526">
        <v>110</v>
      </c>
      <c r="K7526" t="b">
        <v>1</v>
      </c>
    </row>
    <row r="7527" spans="8:11" x14ac:dyDescent="0.25">
      <c r="H7527">
        <v>77</v>
      </c>
      <c r="I7527">
        <v>620</v>
      </c>
      <c r="J7527">
        <v>110</v>
      </c>
      <c r="K7527" t="b">
        <v>1</v>
      </c>
    </row>
    <row r="7528" spans="8:11" x14ac:dyDescent="0.25">
      <c r="H7528">
        <v>77</v>
      </c>
      <c r="I7528">
        <v>625</v>
      </c>
      <c r="J7528">
        <v>110</v>
      </c>
      <c r="K7528" t="b">
        <v>1</v>
      </c>
    </row>
    <row r="7529" spans="8:11" x14ac:dyDescent="0.25">
      <c r="H7529">
        <v>77</v>
      </c>
      <c r="I7529">
        <v>630</v>
      </c>
      <c r="J7529">
        <v>110</v>
      </c>
      <c r="K7529" t="b">
        <v>1</v>
      </c>
    </row>
    <row r="7530" spans="8:11" x14ac:dyDescent="0.25">
      <c r="H7530">
        <v>77</v>
      </c>
      <c r="I7530">
        <v>635</v>
      </c>
      <c r="J7530">
        <v>110</v>
      </c>
      <c r="K7530" t="b">
        <v>1</v>
      </c>
    </row>
    <row r="7531" spans="8:11" x14ac:dyDescent="0.25">
      <c r="H7531">
        <v>77</v>
      </c>
      <c r="I7531">
        <v>640</v>
      </c>
      <c r="J7531">
        <v>110</v>
      </c>
      <c r="K7531" t="b">
        <v>1</v>
      </c>
    </row>
    <row r="7532" spans="8:11" x14ac:dyDescent="0.25">
      <c r="H7532">
        <v>77</v>
      </c>
      <c r="I7532">
        <v>645</v>
      </c>
      <c r="J7532">
        <v>110</v>
      </c>
      <c r="K7532" t="b">
        <v>1</v>
      </c>
    </row>
    <row r="7533" spans="8:11" x14ac:dyDescent="0.25">
      <c r="H7533">
        <v>77</v>
      </c>
      <c r="I7533">
        <v>650</v>
      </c>
      <c r="J7533">
        <v>110</v>
      </c>
      <c r="K7533" t="b">
        <v>1</v>
      </c>
    </row>
    <row r="7534" spans="8:11" x14ac:dyDescent="0.25">
      <c r="H7534">
        <v>77</v>
      </c>
      <c r="I7534">
        <v>655</v>
      </c>
      <c r="J7534">
        <v>110</v>
      </c>
      <c r="K7534" t="b">
        <v>1</v>
      </c>
    </row>
    <row r="7535" spans="8:11" x14ac:dyDescent="0.25">
      <c r="H7535">
        <v>77</v>
      </c>
      <c r="I7535">
        <v>660</v>
      </c>
      <c r="J7535">
        <v>110</v>
      </c>
      <c r="K7535" t="b">
        <v>1</v>
      </c>
    </row>
    <row r="7536" spans="8:11" x14ac:dyDescent="0.25">
      <c r="H7536">
        <v>77</v>
      </c>
      <c r="I7536">
        <v>665</v>
      </c>
      <c r="J7536">
        <v>110</v>
      </c>
      <c r="K7536" t="b">
        <v>1</v>
      </c>
    </row>
    <row r="7537" spans="8:11" x14ac:dyDescent="0.25">
      <c r="H7537">
        <v>77</v>
      </c>
      <c r="I7537">
        <v>670</v>
      </c>
      <c r="J7537">
        <v>110</v>
      </c>
      <c r="K7537" t="b">
        <v>1</v>
      </c>
    </row>
    <row r="7538" spans="8:11" x14ac:dyDescent="0.25">
      <c r="H7538">
        <v>77</v>
      </c>
      <c r="I7538">
        <v>675</v>
      </c>
      <c r="J7538">
        <v>110</v>
      </c>
      <c r="K7538" t="b">
        <v>1</v>
      </c>
    </row>
    <row r="7539" spans="8:11" x14ac:dyDescent="0.25">
      <c r="H7539">
        <v>77</v>
      </c>
      <c r="I7539">
        <v>680</v>
      </c>
      <c r="J7539">
        <v>110</v>
      </c>
      <c r="K7539" t="b">
        <v>1</v>
      </c>
    </row>
    <row r="7540" spans="8:11" x14ac:dyDescent="0.25">
      <c r="H7540">
        <v>77</v>
      </c>
      <c r="I7540">
        <v>685</v>
      </c>
      <c r="J7540">
        <v>110</v>
      </c>
      <c r="K7540" t="b">
        <v>1</v>
      </c>
    </row>
    <row r="7541" spans="8:11" x14ac:dyDescent="0.25">
      <c r="H7541">
        <v>77</v>
      </c>
      <c r="I7541">
        <v>690</v>
      </c>
      <c r="J7541">
        <v>110</v>
      </c>
      <c r="K7541" t="b">
        <v>1</v>
      </c>
    </row>
    <row r="7542" spans="8:11" x14ac:dyDescent="0.25">
      <c r="H7542">
        <v>77</v>
      </c>
      <c r="I7542">
        <v>695</v>
      </c>
      <c r="J7542">
        <v>110</v>
      </c>
      <c r="K7542" t="b">
        <v>1</v>
      </c>
    </row>
    <row r="7543" spans="8:11" x14ac:dyDescent="0.25">
      <c r="H7543">
        <v>77</v>
      </c>
      <c r="I7543">
        <v>700</v>
      </c>
      <c r="J7543">
        <v>110</v>
      </c>
      <c r="K7543" t="b">
        <v>1</v>
      </c>
    </row>
    <row r="7544" spans="8:11" x14ac:dyDescent="0.25">
      <c r="H7544">
        <v>77</v>
      </c>
      <c r="I7544">
        <v>705</v>
      </c>
      <c r="J7544">
        <v>110</v>
      </c>
      <c r="K7544" t="b">
        <v>1</v>
      </c>
    </row>
    <row r="7545" spans="8:11" x14ac:dyDescent="0.25">
      <c r="H7545">
        <v>77</v>
      </c>
      <c r="I7545">
        <v>710</v>
      </c>
      <c r="J7545">
        <v>110</v>
      </c>
      <c r="K7545" t="b">
        <v>1</v>
      </c>
    </row>
    <row r="7546" spans="8:11" x14ac:dyDescent="0.25">
      <c r="H7546">
        <v>77</v>
      </c>
      <c r="I7546">
        <v>715</v>
      </c>
      <c r="J7546">
        <v>110</v>
      </c>
      <c r="K7546" t="b">
        <v>1</v>
      </c>
    </row>
    <row r="7547" spans="8:11" x14ac:dyDescent="0.25">
      <c r="H7547">
        <v>77</v>
      </c>
      <c r="I7547">
        <v>720</v>
      </c>
      <c r="J7547">
        <v>110</v>
      </c>
      <c r="K7547" t="b">
        <v>1</v>
      </c>
    </row>
    <row r="7548" spans="8:11" x14ac:dyDescent="0.25">
      <c r="H7548">
        <v>77</v>
      </c>
      <c r="I7548">
        <v>725</v>
      </c>
      <c r="J7548">
        <v>110</v>
      </c>
      <c r="K7548" t="b">
        <v>1</v>
      </c>
    </row>
    <row r="7549" spans="8:11" x14ac:dyDescent="0.25">
      <c r="H7549">
        <v>77</v>
      </c>
      <c r="I7549">
        <v>730</v>
      </c>
      <c r="J7549">
        <v>110</v>
      </c>
      <c r="K7549" t="b">
        <v>1</v>
      </c>
    </row>
    <row r="7550" spans="8:11" x14ac:dyDescent="0.25">
      <c r="H7550">
        <v>77</v>
      </c>
      <c r="I7550">
        <v>735</v>
      </c>
      <c r="J7550">
        <v>110</v>
      </c>
      <c r="K7550" t="b">
        <v>1</v>
      </c>
    </row>
    <row r="7551" spans="8:11" x14ac:dyDescent="0.25">
      <c r="H7551">
        <v>77</v>
      </c>
      <c r="I7551">
        <v>740</v>
      </c>
      <c r="J7551">
        <v>110</v>
      </c>
      <c r="K7551" t="b">
        <v>1</v>
      </c>
    </row>
    <row r="7552" spans="8:11" x14ac:dyDescent="0.25">
      <c r="H7552">
        <v>77</v>
      </c>
      <c r="I7552">
        <v>745</v>
      </c>
      <c r="J7552">
        <v>110</v>
      </c>
      <c r="K7552" t="b">
        <v>1</v>
      </c>
    </row>
    <row r="7553" spans="8:11" x14ac:dyDescent="0.25">
      <c r="H7553">
        <v>77</v>
      </c>
      <c r="I7553">
        <v>750</v>
      </c>
      <c r="J7553">
        <v>110</v>
      </c>
      <c r="K7553" t="b">
        <v>1</v>
      </c>
    </row>
    <row r="7554" spans="8:11" x14ac:dyDescent="0.25">
      <c r="H7554">
        <v>77</v>
      </c>
      <c r="I7554">
        <v>755</v>
      </c>
      <c r="J7554">
        <v>110</v>
      </c>
      <c r="K7554" t="b">
        <v>1</v>
      </c>
    </row>
    <row r="7555" spans="8:11" x14ac:dyDescent="0.25">
      <c r="H7555">
        <v>77</v>
      </c>
      <c r="I7555">
        <v>760</v>
      </c>
      <c r="J7555">
        <v>110</v>
      </c>
      <c r="K7555" t="b">
        <v>1</v>
      </c>
    </row>
    <row r="7556" spans="8:11" x14ac:dyDescent="0.25">
      <c r="H7556">
        <v>77</v>
      </c>
      <c r="I7556">
        <v>765</v>
      </c>
      <c r="J7556">
        <v>110</v>
      </c>
      <c r="K7556" t="b">
        <v>1</v>
      </c>
    </row>
    <row r="7557" spans="8:11" x14ac:dyDescent="0.25">
      <c r="H7557">
        <v>77</v>
      </c>
      <c r="I7557">
        <v>770</v>
      </c>
      <c r="J7557">
        <v>110</v>
      </c>
      <c r="K7557" t="b">
        <v>1</v>
      </c>
    </row>
    <row r="7558" spans="8:11" x14ac:dyDescent="0.25">
      <c r="H7558">
        <v>77</v>
      </c>
      <c r="I7558">
        <v>775</v>
      </c>
      <c r="J7558">
        <v>110</v>
      </c>
      <c r="K7558" t="b">
        <v>1</v>
      </c>
    </row>
    <row r="7559" spans="8:11" x14ac:dyDescent="0.25">
      <c r="H7559">
        <v>77</v>
      </c>
      <c r="I7559">
        <v>780</v>
      </c>
      <c r="J7559">
        <v>110</v>
      </c>
      <c r="K7559" t="b">
        <v>1</v>
      </c>
    </row>
    <row r="7560" spans="8:11" x14ac:dyDescent="0.25">
      <c r="H7560">
        <v>77</v>
      </c>
      <c r="I7560">
        <v>785</v>
      </c>
      <c r="J7560">
        <v>110</v>
      </c>
      <c r="K7560" t="b">
        <v>1</v>
      </c>
    </row>
    <row r="7561" spans="8:11" x14ac:dyDescent="0.25">
      <c r="H7561">
        <v>77</v>
      </c>
      <c r="I7561">
        <v>790</v>
      </c>
      <c r="J7561">
        <v>110</v>
      </c>
      <c r="K7561" t="b">
        <v>1</v>
      </c>
    </row>
    <row r="7562" spans="8:11" x14ac:dyDescent="0.25">
      <c r="H7562">
        <v>77</v>
      </c>
      <c r="I7562">
        <v>795</v>
      </c>
      <c r="J7562">
        <v>110</v>
      </c>
      <c r="K7562" t="b">
        <v>1</v>
      </c>
    </row>
    <row r="7563" spans="8:11" x14ac:dyDescent="0.25">
      <c r="H7563">
        <v>77</v>
      </c>
      <c r="I7563">
        <v>800</v>
      </c>
      <c r="J7563">
        <v>110</v>
      </c>
      <c r="K7563" t="b">
        <v>1</v>
      </c>
    </row>
    <row r="7564" spans="8:11" x14ac:dyDescent="0.25">
      <c r="H7564">
        <v>77</v>
      </c>
      <c r="I7564">
        <v>805</v>
      </c>
      <c r="J7564">
        <v>110</v>
      </c>
      <c r="K7564" t="b">
        <v>1</v>
      </c>
    </row>
    <row r="7565" spans="8:11" x14ac:dyDescent="0.25">
      <c r="H7565">
        <v>77</v>
      </c>
      <c r="I7565">
        <v>810</v>
      </c>
      <c r="J7565">
        <v>110</v>
      </c>
      <c r="K7565" t="b">
        <v>1</v>
      </c>
    </row>
    <row r="7566" spans="8:11" x14ac:dyDescent="0.25">
      <c r="H7566">
        <v>77</v>
      </c>
      <c r="I7566">
        <v>815</v>
      </c>
      <c r="J7566">
        <v>110</v>
      </c>
      <c r="K7566" t="b">
        <v>1</v>
      </c>
    </row>
    <row r="7567" spans="8:11" x14ac:dyDescent="0.25">
      <c r="H7567">
        <v>77</v>
      </c>
      <c r="I7567">
        <v>820</v>
      </c>
      <c r="J7567">
        <v>110</v>
      </c>
      <c r="K7567" t="b">
        <v>1</v>
      </c>
    </row>
    <row r="7568" spans="8:11" x14ac:dyDescent="0.25">
      <c r="H7568">
        <v>77</v>
      </c>
      <c r="I7568">
        <v>825</v>
      </c>
      <c r="J7568">
        <v>110</v>
      </c>
      <c r="K7568" t="b">
        <v>1</v>
      </c>
    </row>
    <row r="7569" spans="8:11" x14ac:dyDescent="0.25">
      <c r="H7569">
        <v>77</v>
      </c>
      <c r="I7569">
        <v>830</v>
      </c>
      <c r="J7569">
        <v>110</v>
      </c>
      <c r="K7569" t="b">
        <v>1</v>
      </c>
    </row>
    <row r="7570" spans="8:11" x14ac:dyDescent="0.25">
      <c r="H7570">
        <v>77</v>
      </c>
      <c r="I7570">
        <v>835</v>
      </c>
      <c r="J7570">
        <v>110</v>
      </c>
      <c r="K7570" t="b">
        <v>1</v>
      </c>
    </row>
    <row r="7571" spans="8:11" x14ac:dyDescent="0.25">
      <c r="H7571">
        <v>77</v>
      </c>
      <c r="I7571">
        <v>840</v>
      </c>
      <c r="J7571">
        <v>110</v>
      </c>
      <c r="K7571" t="b">
        <v>1</v>
      </c>
    </row>
    <row r="7572" spans="8:11" x14ac:dyDescent="0.25">
      <c r="H7572">
        <v>77</v>
      </c>
      <c r="I7572">
        <v>845</v>
      </c>
      <c r="J7572">
        <v>110</v>
      </c>
      <c r="K7572" t="b">
        <v>1</v>
      </c>
    </row>
    <row r="7573" spans="8:11" x14ac:dyDescent="0.25">
      <c r="H7573">
        <v>77</v>
      </c>
      <c r="I7573">
        <v>850</v>
      </c>
      <c r="J7573">
        <v>110</v>
      </c>
      <c r="K7573" t="b">
        <v>1</v>
      </c>
    </row>
    <row r="7574" spans="8:11" x14ac:dyDescent="0.25">
      <c r="H7574">
        <v>77</v>
      </c>
      <c r="I7574">
        <v>855</v>
      </c>
      <c r="J7574">
        <v>110</v>
      </c>
      <c r="K7574" t="b">
        <v>1</v>
      </c>
    </row>
    <row r="7575" spans="8:11" x14ac:dyDescent="0.25">
      <c r="H7575">
        <v>77</v>
      </c>
      <c r="I7575">
        <v>860</v>
      </c>
      <c r="J7575">
        <v>110</v>
      </c>
      <c r="K7575" t="b">
        <v>1</v>
      </c>
    </row>
    <row r="7576" spans="8:11" x14ac:dyDescent="0.25">
      <c r="H7576">
        <v>77</v>
      </c>
      <c r="I7576">
        <v>865</v>
      </c>
      <c r="J7576">
        <v>110</v>
      </c>
      <c r="K7576" t="b">
        <v>1</v>
      </c>
    </row>
    <row r="7577" spans="8:11" x14ac:dyDescent="0.25">
      <c r="H7577">
        <v>77</v>
      </c>
      <c r="I7577">
        <v>870</v>
      </c>
      <c r="J7577">
        <v>110</v>
      </c>
      <c r="K7577" t="b">
        <v>1</v>
      </c>
    </row>
    <row r="7578" spans="8:11" x14ac:dyDescent="0.25">
      <c r="H7578">
        <v>77</v>
      </c>
      <c r="I7578">
        <v>875</v>
      </c>
      <c r="J7578">
        <v>110</v>
      </c>
      <c r="K7578" t="b">
        <v>1</v>
      </c>
    </row>
    <row r="7579" spans="8:11" x14ac:dyDescent="0.25">
      <c r="H7579">
        <v>77</v>
      </c>
      <c r="I7579">
        <v>880</v>
      </c>
      <c r="J7579">
        <v>110</v>
      </c>
      <c r="K7579" t="b">
        <v>1</v>
      </c>
    </row>
    <row r="7580" spans="8:11" x14ac:dyDescent="0.25">
      <c r="H7580">
        <v>77</v>
      </c>
      <c r="I7580">
        <v>885</v>
      </c>
      <c r="J7580">
        <v>110</v>
      </c>
      <c r="K7580" t="b">
        <v>1</v>
      </c>
    </row>
    <row r="7581" spans="8:11" x14ac:dyDescent="0.25">
      <c r="H7581">
        <v>77</v>
      </c>
      <c r="I7581">
        <v>890</v>
      </c>
      <c r="J7581">
        <v>110</v>
      </c>
      <c r="K7581" t="b">
        <v>1</v>
      </c>
    </row>
    <row r="7582" spans="8:11" x14ac:dyDescent="0.25">
      <c r="H7582">
        <v>77</v>
      </c>
      <c r="I7582">
        <v>895</v>
      </c>
      <c r="J7582">
        <v>110</v>
      </c>
      <c r="K7582" t="b">
        <v>1</v>
      </c>
    </row>
    <row r="7583" spans="8:11" x14ac:dyDescent="0.25">
      <c r="H7583">
        <v>77</v>
      </c>
      <c r="I7583">
        <v>900</v>
      </c>
      <c r="J7583">
        <v>110</v>
      </c>
      <c r="K7583" t="b">
        <v>1</v>
      </c>
    </row>
    <row r="7584" spans="8:11" x14ac:dyDescent="0.25">
      <c r="H7584">
        <v>77</v>
      </c>
      <c r="I7584">
        <v>905</v>
      </c>
      <c r="J7584">
        <v>110</v>
      </c>
      <c r="K7584" t="b">
        <v>1</v>
      </c>
    </row>
    <row r="7585" spans="8:11" x14ac:dyDescent="0.25">
      <c r="H7585">
        <v>77</v>
      </c>
      <c r="I7585">
        <v>910</v>
      </c>
      <c r="J7585">
        <v>110</v>
      </c>
      <c r="K7585" t="b">
        <v>1</v>
      </c>
    </row>
    <row r="7586" spans="8:11" x14ac:dyDescent="0.25">
      <c r="H7586">
        <v>77</v>
      </c>
      <c r="I7586">
        <v>915</v>
      </c>
      <c r="J7586">
        <v>110</v>
      </c>
      <c r="K7586" t="b">
        <v>1</v>
      </c>
    </row>
    <row r="7587" spans="8:11" x14ac:dyDescent="0.25">
      <c r="H7587">
        <v>77</v>
      </c>
      <c r="I7587">
        <v>920</v>
      </c>
      <c r="J7587">
        <v>110</v>
      </c>
      <c r="K7587" t="b">
        <v>1</v>
      </c>
    </row>
    <row r="7588" spans="8:11" x14ac:dyDescent="0.25">
      <c r="H7588">
        <v>77</v>
      </c>
      <c r="I7588">
        <v>925</v>
      </c>
      <c r="J7588">
        <v>110</v>
      </c>
      <c r="K7588" t="b">
        <v>1</v>
      </c>
    </row>
    <row r="7589" spans="8:11" x14ac:dyDescent="0.25">
      <c r="H7589">
        <v>77</v>
      </c>
      <c r="I7589">
        <v>930</v>
      </c>
      <c r="J7589">
        <v>110</v>
      </c>
      <c r="K7589" t="b">
        <v>1</v>
      </c>
    </row>
    <row r="7590" spans="8:11" x14ac:dyDescent="0.25">
      <c r="H7590">
        <v>77</v>
      </c>
      <c r="I7590">
        <v>935</v>
      </c>
      <c r="J7590">
        <v>110</v>
      </c>
      <c r="K7590" t="b">
        <v>1</v>
      </c>
    </row>
    <row r="7591" spans="8:11" x14ac:dyDescent="0.25">
      <c r="H7591">
        <v>77</v>
      </c>
      <c r="I7591">
        <v>940</v>
      </c>
      <c r="J7591">
        <v>110</v>
      </c>
      <c r="K7591" t="b">
        <v>1</v>
      </c>
    </row>
    <row r="7592" spans="8:11" x14ac:dyDescent="0.25">
      <c r="H7592">
        <v>77</v>
      </c>
      <c r="I7592">
        <v>945</v>
      </c>
      <c r="J7592">
        <v>110</v>
      </c>
      <c r="K7592" t="b">
        <v>1</v>
      </c>
    </row>
    <row r="7593" spans="8:11" x14ac:dyDescent="0.25">
      <c r="H7593">
        <v>77</v>
      </c>
      <c r="I7593">
        <v>950</v>
      </c>
      <c r="J7593">
        <v>110</v>
      </c>
      <c r="K7593" t="b">
        <v>1</v>
      </c>
    </row>
    <row r="7594" spans="8:11" x14ac:dyDescent="0.25">
      <c r="H7594">
        <v>77</v>
      </c>
      <c r="I7594">
        <v>955</v>
      </c>
      <c r="J7594">
        <v>110</v>
      </c>
      <c r="K7594" t="b">
        <v>1</v>
      </c>
    </row>
    <row r="7595" spans="8:11" x14ac:dyDescent="0.25">
      <c r="H7595">
        <v>78</v>
      </c>
      <c r="I7595">
        <v>0</v>
      </c>
      <c r="J7595">
        <v>110</v>
      </c>
      <c r="K7595" t="b">
        <v>1</v>
      </c>
    </row>
    <row r="7596" spans="8:11" x14ac:dyDescent="0.25">
      <c r="H7596">
        <v>78</v>
      </c>
      <c r="I7596">
        <v>70</v>
      </c>
      <c r="J7596">
        <v>110</v>
      </c>
      <c r="K7596" t="b">
        <v>1</v>
      </c>
    </row>
    <row r="7597" spans="8:11" x14ac:dyDescent="0.25">
      <c r="H7597">
        <v>78</v>
      </c>
      <c r="I7597">
        <v>140</v>
      </c>
      <c r="J7597">
        <v>110</v>
      </c>
      <c r="K7597" t="b">
        <v>1</v>
      </c>
    </row>
    <row r="7598" spans="8:11" x14ac:dyDescent="0.25">
      <c r="H7598">
        <v>78</v>
      </c>
      <c r="I7598">
        <v>210</v>
      </c>
      <c r="J7598">
        <v>110</v>
      </c>
      <c r="K7598" t="b">
        <v>1</v>
      </c>
    </row>
    <row r="7599" spans="8:11" x14ac:dyDescent="0.25">
      <c r="H7599">
        <v>78</v>
      </c>
      <c r="I7599">
        <v>280</v>
      </c>
      <c r="J7599">
        <v>110</v>
      </c>
      <c r="K7599" t="b">
        <v>1</v>
      </c>
    </row>
    <row r="7600" spans="8:11" x14ac:dyDescent="0.25">
      <c r="H7600">
        <v>78</v>
      </c>
      <c r="I7600">
        <v>350</v>
      </c>
      <c r="J7600">
        <v>110</v>
      </c>
      <c r="K7600" t="b">
        <v>1</v>
      </c>
    </row>
    <row r="7601" spans="8:11" x14ac:dyDescent="0.25">
      <c r="H7601">
        <v>78</v>
      </c>
      <c r="I7601">
        <v>420</v>
      </c>
      <c r="J7601">
        <v>110</v>
      </c>
      <c r="K7601" t="b">
        <v>1</v>
      </c>
    </row>
    <row r="7602" spans="8:11" x14ac:dyDescent="0.25">
      <c r="H7602">
        <v>78</v>
      </c>
      <c r="I7602">
        <v>490</v>
      </c>
      <c r="J7602">
        <v>110</v>
      </c>
      <c r="K7602" t="b">
        <v>1</v>
      </c>
    </row>
    <row r="7603" spans="8:11" x14ac:dyDescent="0.25">
      <c r="H7603">
        <v>78</v>
      </c>
      <c r="I7603">
        <v>560</v>
      </c>
      <c r="J7603">
        <v>110</v>
      </c>
      <c r="K7603" t="b">
        <v>1</v>
      </c>
    </row>
    <row r="7604" spans="8:11" x14ac:dyDescent="0.25">
      <c r="H7604">
        <v>78</v>
      </c>
      <c r="I7604">
        <v>630</v>
      </c>
      <c r="J7604">
        <v>110</v>
      </c>
      <c r="K7604" t="b">
        <v>1</v>
      </c>
    </row>
    <row r="7605" spans="8:11" x14ac:dyDescent="0.25">
      <c r="H7605">
        <v>78</v>
      </c>
      <c r="I7605">
        <v>700</v>
      </c>
      <c r="J7605">
        <v>110</v>
      </c>
      <c r="K7605" t="b">
        <v>1</v>
      </c>
    </row>
    <row r="7606" spans="8:11" x14ac:dyDescent="0.25">
      <c r="H7606">
        <v>78</v>
      </c>
      <c r="I7606">
        <v>770</v>
      </c>
      <c r="J7606">
        <v>110</v>
      </c>
      <c r="K7606" t="b">
        <v>1</v>
      </c>
    </row>
    <row r="7607" spans="8:11" x14ac:dyDescent="0.25">
      <c r="H7607">
        <v>78</v>
      </c>
      <c r="I7607">
        <v>840</v>
      </c>
      <c r="J7607">
        <v>110</v>
      </c>
      <c r="K7607" t="b">
        <v>1</v>
      </c>
    </row>
    <row r="7608" spans="8:11" x14ac:dyDescent="0.25">
      <c r="H7608">
        <v>79</v>
      </c>
      <c r="I7608">
        <v>0</v>
      </c>
      <c r="J7608">
        <v>110</v>
      </c>
      <c r="K7608" t="b">
        <v>1</v>
      </c>
    </row>
    <row r="7609" spans="8:11" x14ac:dyDescent="0.25">
      <c r="H7609">
        <v>79</v>
      </c>
      <c r="I7609">
        <v>30</v>
      </c>
      <c r="J7609">
        <v>110</v>
      </c>
      <c r="K7609" t="b">
        <v>1</v>
      </c>
    </row>
    <row r="7610" spans="8:11" x14ac:dyDescent="0.25">
      <c r="H7610">
        <v>79</v>
      </c>
      <c r="I7610">
        <v>60</v>
      </c>
      <c r="J7610">
        <v>110</v>
      </c>
      <c r="K7610" t="b">
        <v>1</v>
      </c>
    </row>
    <row r="7611" spans="8:11" x14ac:dyDescent="0.25">
      <c r="H7611">
        <v>79</v>
      </c>
      <c r="I7611">
        <v>90</v>
      </c>
      <c r="J7611">
        <v>110</v>
      </c>
      <c r="K7611" t="b">
        <v>1</v>
      </c>
    </row>
    <row r="7612" spans="8:11" x14ac:dyDescent="0.25">
      <c r="H7612">
        <v>79</v>
      </c>
      <c r="I7612">
        <v>120</v>
      </c>
      <c r="J7612">
        <v>110</v>
      </c>
      <c r="K7612" t="b">
        <v>1</v>
      </c>
    </row>
    <row r="7613" spans="8:11" x14ac:dyDescent="0.25">
      <c r="H7613">
        <v>79</v>
      </c>
      <c r="I7613">
        <v>150</v>
      </c>
      <c r="J7613">
        <v>110</v>
      </c>
      <c r="K7613" t="b">
        <v>1</v>
      </c>
    </row>
    <row r="7614" spans="8:11" x14ac:dyDescent="0.25">
      <c r="H7614">
        <v>79</v>
      </c>
      <c r="I7614">
        <v>180</v>
      </c>
      <c r="J7614">
        <v>110</v>
      </c>
      <c r="K7614" t="b">
        <v>1</v>
      </c>
    </row>
    <row r="7615" spans="8:11" x14ac:dyDescent="0.25">
      <c r="H7615">
        <v>79</v>
      </c>
      <c r="I7615">
        <v>210</v>
      </c>
      <c r="J7615">
        <v>110</v>
      </c>
      <c r="K7615" t="b">
        <v>1</v>
      </c>
    </row>
    <row r="7616" spans="8:11" x14ac:dyDescent="0.25">
      <c r="H7616">
        <v>79</v>
      </c>
      <c r="I7616">
        <v>240</v>
      </c>
      <c r="J7616">
        <v>110</v>
      </c>
      <c r="K7616" t="b">
        <v>1</v>
      </c>
    </row>
    <row r="7617" spans="8:11" x14ac:dyDescent="0.25">
      <c r="H7617">
        <v>79</v>
      </c>
      <c r="I7617">
        <v>270</v>
      </c>
      <c r="J7617">
        <v>110</v>
      </c>
      <c r="K7617" t="b">
        <v>1</v>
      </c>
    </row>
    <row r="7618" spans="8:11" x14ac:dyDescent="0.25">
      <c r="H7618">
        <v>79</v>
      </c>
      <c r="I7618">
        <v>300</v>
      </c>
      <c r="J7618">
        <v>110</v>
      </c>
      <c r="K7618" t="b">
        <v>1</v>
      </c>
    </row>
    <row r="7619" spans="8:11" x14ac:dyDescent="0.25">
      <c r="H7619">
        <v>79</v>
      </c>
      <c r="I7619">
        <v>330</v>
      </c>
      <c r="J7619">
        <v>110</v>
      </c>
      <c r="K7619" t="b">
        <v>1</v>
      </c>
    </row>
    <row r="7620" spans="8:11" x14ac:dyDescent="0.25">
      <c r="H7620">
        <v>79</v>
      </c>
      <c r="I7620">
        <v>360</v>
      </c>
      <c r="J7620">
        <v>110</v>
      </c>
      <c r="K7620" t="b">
        <v>1</v>
      </c>
    </row>
    <row r="7621" spans="8:11" x14ac:dyDescent="0.25">
      <c r="H7621">
        <v>79</v>
      </c>
      <c r="I7621">
        <v>390</v>
      </c>
      <c r="J7621">
        <v>110</v>
      </c>
      <c r="K7621" t="b">
        <v>1</v>
      </c>
    </row>
    <row r="7622" spans="8:11" x14ac:dyDescent="0.25">
      <c r="H7622">
        <v>79</v>
      </c>
      <c r="I7622">
        <v>420</v>
      </c>
      <c r="J7622">
        <v>110</v>
      </c>
      <c r="K7622" t="b">
        <v>1</v>
      </c>
    </row>
    <row r="7623" spans="8:11" x14ac:dyDescent="0.25">
      <c r="H7623">
        <v>79</v>
      </c>
      <c r="I7623">
        <v>450</v>
      </c>
      <c r="J7623">
        <v>110</v>
      </c>
      <c r="K7623" t="b">
        <v>1</v>
      </c>
    </row>
    <row r="7624" spans="8:11" x14ac:dyDescent="0.25">
      <c r="H7624">
        <v>79</v>
      </c>
      <c r="I7624">
        <v>480</v>
      </c>
      <c r="J7624">
        <v>110</v>
      </c>
      <c r="K7624" t="b">
        <v>1</v>
      </c>
    </row>
    <row r="7625" spans="8:11" x14ac:dyDescent="0.25">
      <c r="H7625">
        <v>79</v>
      </c>
      <c r="I7625">
        <v>510</v>
      </c>
      <c r="J7625">
        <v>110</v>
      </c>
      <c r="K7625" t="b">
        <v>1</v>
      </c>
    </row>
    <row r="7626" spans="8:11" x14ac:dyDescent="0.25">
      <c r="H7626">
        <v>79</v>
      </c>
      <c r="I7626">
        <v>540</v>
      </c>
      <c r="J7626">
        <v>110</v>
      </c>
      <c r="K7626" t="b">
        <v>1</v>
      </c>
    </row>
    <row r="7627" spans="8:11" x14ac:dyDescent="0.25">
      <c r="H7627">
        <v>79</v>
      </c>
      <c r="I7627">
        <v>570</v>
      </c>
      <c r="J7627">
        <v>110</v>
      </c>
      <c r="K7627" t="b">
        <v>1</v>
      </c>
    </row>
    <row r="7628" spans="8:11" x14ac:dyDescent="0.25">
      <c r="H7628">
        <v>79</v>
      </c>
      <c r="I7628">
        <v>600</v>
      </c>
      <c r="J7628">
        <v>110</v>
      </c>
      <c r="K7628" t="b">
        <v>1</v>
      </c>
    </row>
    <row r="7629" spans="8:11" x14ac:dyDescent="0.25">
      <c r="H7629">
        <v>79</v>
      </c>
      <c r="I7629">
        <v>630</v>
      </c>
      <c r="J7629">
        <v>110</v>
      </c>
      <c r="K7629" t="b">
        <v>1</v>
      </c>
    </row>
    <row r="7630" spans="8:11" x14ac:dyDescent="0.25">
      <c r="H7630">
        <v>79</v>
      </c>
      <c r="I7630">
        <v>660</v>
      </c>
      <c r="J7630">
        <v>110</v>
      </c>
      <c r="K7630" t="b">
        <v>1</v>
      </c>
    </row>
    <row r="7631" spans="8:11" x14ac:dyDescent="0.25">
      <c r="H7631">
        <v>79</v>
      </c>
      <c r="I7631">
        <v>690</v>
      </c>
      <c r="J7631">
        <v>110</v>
      </c>
      <c r="K7631" t="b">
        <v>1</v>
      </c>
    </row>
    <row r="7632" spans="8:11" x14ac:dyDescent="0.25">
      <c r="H7632">
        <v>79</v>
      </c>
      <c r="I7632">
        <v>720</v>
      </c>
      <c r="J7632">
        <v>110</v>
      </c>
      <c r="K7632" t="b">
        <v>1</v>
      </c>
    </row>
    <row r="7633" spans="8:11" x14ac:dyDescent="0.25">
      <c r="H7633">
        <v>79</v>
      </c>
      <c r="I7633">
        <v>750</v>
      </c>
      <c r="J7633">
        <v>110</v>
      </c>
      <c r="K7633" t="b">
        <v>1</v>
      </c>
    </row>
    <row r="7634" spans="8:11" x14ac:dyDescent="0.25">
      <c r="H7634">
        <v>79</v>
      </c>
      <c r="I7634">
        <v>780</v>
      </c>
      <c r="J7634">
        <v>110</v>
      </c>
      <c r="K7634" t="b">
        <v>1</v>
      </c>
    </row>
    <row r="7635" spans="8:11" x14ac:dyDescent="0.25">
      <c r="H7635">
        <v>79</v>
      </c>
      <c r="I7635">
        <v>810</v>
      </c>
      <c r="J7635">
        <v>110</v>
      </c>
      <c r="K7635" t="b">
        <v>1</v>
      </c>
    </row>
    <row r="7636" spans="8:11" x14ac:dyDescent="0.25">
      <c r="H7636">
        <v>79</v>
      </c>
      <c r="I7636">
        <v>840</v>
      </c>
      <c r="J7636">
        <v>110</v>
      </c>
      <c r="K7636" t="b">
        <v>1</v>
      </c>
    </row>
    <row r="7637" spans="8:11" x14ac:dyDescent="0.25">
      <c r="H7637">
        <v>79</v>
      </c>
      <c r="I7637">
        <v>870</v>
      </c>
      <c r="J7637">
        <v>110</v>
      </c>
      <c r="K7637" t="b">
        <v>1</v>
      </c>
    </row>
    <row r="7638" spans="8:11" x14ac:dyDescent="0.25">
      <c r="H7638">
        <v>79</v>
      </c>
      <c r="I7638">
        <v>900</v>
      </c>
      <c r="J7638">
        <v>110</v>
      </c>
      <c r="K7638" t="b">
        <v>1</v>
      </c>
    </row>
    <row r="7639" spans="8:11" x14ac:dyDescent="0.25">
      <c r="H7639">
        <v>79</v>
      </c>
      <c r="I7639">
        <v>930</v>
      </c>
      <c r="J7639">
        <v>110</v>
      </c>
      <c r="K7639" t="b">
        <v>1</v>
      </c>
    </row>
    <row r="7640" spans="8:11" x14ac:dyDescent="0.25">
      <c r="H7640">
        <v>80</v>
      </c>
      <c r="I7640">
        <v>0</v>
      </c>
      <c r="J7640">
        <v>95</v>
      </c>
      <c r="K7640" t="b">
        <v>1</v>
      </c>
    </row>
    <row r="7641" spans="8:11" x14ac:dyDescent="0.25">
      <c r="H7641">
        <v>80</v>
      </c>
      <c r="I7641">
        <v>30</v>
      </c>
      <c r="J7641">
        <v>95</v>
      </c>
      <c r="K7641" t="b">
        <v>1</v>
      </c>
    </row>
    <row r="7642" spans="8:11" x14ac:dyDescent="0.25">
      <c r="H7642">
        <v>80</v>
      </c>
      <c r="I7642">
        <v>60</v>
      </c>
      <c r="J7642">
        <v>95</v>
      </c>
      <c r="K7642" t="b">
        <v>1</v>
      </c>
    </row>
    <row r="7643" spans="8:11" x14ac:dyDescent="0.25">
      <c r="H7643">
        <v>80</v>
      </c>
      <c r="I7643">
        <v>90</v>
      </c>
      <c r="J7643">
        <v>95</v>
      </c>
      <c r="K7643" t="b">
        <v>1</v>
      </c>
    </row>
    <row r="7644" spans="8:11" x14ac:dyDescent="0.25">
      <c r="H7644">
        <v>80</v>
      </c>
      <c r="I7644">
        <v>120</v>
      </c>
      <c r="J7644">
        <v>95</v>
      </c>
      <c r="K7644" t="b">
        <v>1</v>
      </c>
    </row>
    <row r="7645" spans="8:11" x14ac:dyDescent="0.25">
      <c r="H7645">
        <v>80</v>
      </c>
      <c r="I7645">
        <v>150</v>
      </c>
      <c r="J7645">
        <v>95</v>
      </c>
      <c r="K7645" t="b">
        <v>1</v>
      </c>
    </row>
    <row r="7646" spans="8:11" x14ac:dyDescent="0.25">
      <c r="H7646">
        <v>80</v>
      </c>
      <c r="I7646">
        <v>180</v>
      </c>
      <c r="J7646">
        <v>95</v>
      </c>
      <c r="K7646" t="b">
        <v>1</v>
      </c>
    </row>
    <row r="7647" spans="8:11" x14ac:dyDescent="0.25">
      <c r="H7647">
        <v>80</v>
      </c>
      <c r="I7647">
        <v>210</v>
      </c>
      <c r="J7647">
        <v>95</v>
      </c>
      <c r="K7647" t="b">
        <v>1</v>
      </c>
    </row>
    <row r="7648" spans="8:11" x14ac:dyDescent="0.25">
      <c r="H7648">
        <v>80</v>
      </c>
      <c r="I7648">
        <v>240</v>
      </c>
      <c r="J7648">
        <v>95</v>
      </c>
      <c r="K7648" t="b">
        <v>1</v>
      </c>
    </row>
    <row r="7649" spans="8:11" x14ac:dyDescent="0.25">
      <c r="H7649">
        <v>80</v>
      </c>
      <c r="I7649">
        <v>270</v>
      </c>
      <c r="J7649">
        <v>95</v>
      </c>
      <c r="K7649" t="b">
        <v>1</v>
      </c>
    </row>
    <row r="7650" spans="8:11" x14ac:dyDescent="0.25">
      <c r="H7650">
        <v>80</v>
      </c>
      <c r="I7650">
        <v>300</v>
      </c>
      <c r="J7650">
        <v>95</v>
      </c>
      <c r="K7650" t="b">
        <v>1</v>
      </c>
    </row>
    <row r="7651" spans="8:11" x14ac:dyDescent="0.25">
      <c r="H7651">
        <v>80</v>
      </c>
      <c r="I7651">
        <v>330</v>
      </c>
      <c r="J7651">
        <v>95</v>
      </c>
      <c r="K7651" t="b">
        <v>1</v>
      </c>
    </row>
    <row r="7652" spans="8:11" x14ac:dyDescent="0.25">
      <c r="H7652">
        <v>80</v>
      </c>
      <c r="I7652">
        <v>360</v>
      </c>
      <c r="J7652">
        <v>95</v>
      </c>
      <c r="K7652" t="b">
        <v>1</v>
      </c>
    </row>
    <row r="7653" spans="8:11" x14ac:dyDescent="0.25">
      <c r="H7653">
        <v>80</v>
      </c>
      <c r="I7653">
        <v>390</v>
      </c>
      <c r="J7653">
        <v>95</v>
      </c>
      <c r="K7653" t="b">
        <v>1</v>
      </c>
    </row>
    <row r="7654" spans="8:11" x14ac:dyDescent="0.25">
      <c r="H7654">
        <v>80</v>
      </c>
      <c r="I7654">
        <v>420</v>
      </c>
      <c r="J7654">
        <v>95</v>
      </c>
      <c r="K7654" t="b">
        <v>1</v>
      </c>
    </row>
    <row r="7655" spans="8:11" x14ac:dyDescent="0.25">
      <c r="H7655">
        <v>80</v>
      </c>
      <c r="I7655">
        <v>450</v>
      </c>
      <c r="J7655">
        <v>95</v>
      </c>
      <c r="K7655" t="b">
        <v>1</v>
      </c>
    </row>
    <row r="7656" spans="8:11" x14ac:dyDescent="0.25">
      <c r="H7656">
        <v>80</v>
      </c>
      <c r="I7656">
        <v>480</v>
      </c>
      <c r="J7656">
        <v>95</v>
      </c>
      <c r="K7656" t="b">
        <v>1</v>
      </c>
    </row>
    <row r="7657" spans="8:11" x14ac:dyDescent="0.25">
      <c r="H7657">
        <v>80</v>
      </c>
      <c r="I7657">
        <v>510</v>
      </c>
      <c r="J7657">
        <v>95</v>
      </c>
      <c r="K7657" t="b">
        <v>1</v>
      </c>
    </row>
    <row r="7658" spans="8:11" x14ac:dyDescent="0.25">
      <c r="H7658">
        <v>80</v>
      </c>
      <c r="I7658">
        <v>540</v>
      </c>
      <c r="J7658">
        <v>95</v>
      </c>
      <c r="K7658" t="b">
        <v>1</v>
      </c>
    </row>
    <row r="7659" spans="8:11" x14ac:dyDescent="0.25">
      <c r="H7659">
        <v>80</v>
      </c>
      <c r="I7659">
        <v>570</v>
      </c>
      <c r="J7659">
        <v>95</v>
      </c>
      <c r="K7659" t="b">
        <v>1</v>
      </c>
    </row>
    <row r="7660" spans="8:11" x14ac:dyDescent="0.25">
      <c r="H7660">
        <v>80</v>
      </c>
      <c r="I7660">
        <v>600</v>
      </c>
      <c r="J7660">
        <v>95</v>
      </c>
      <c r="K7660" t="b">
        <v>1</v>
      </c>
    </row>
    <row r="7661" spans="8:11" x14ac:dyDescent="0.25">
      <c r="H7661">
        <v>80</v>
      </c>
      <c r="I7661">
        <v>630</v>
      </c>
      <c r="J7661">
        <v>95</v>
      </c>
      <c r="K7661" t="b">
        <v>1</v>
      </c>
    </row>
    <row r="7662" spans="8:11" x14ac:dyDescent="0.25">
      <c r="H7662">
        <v>80</v>
      </c>
      <c r="I7662">
        <v>660</v>
      </c>
      <c r="J7662">
        <v>95</v>
      </c>
      <c r="K7662" t="b">
        <v>1</v>
      </c>
    </row>
    <row r="7663" spans="8:11" x14ac:dyDescent="0.25">
      <c r="H7663">
        <v>80</v>
      </c>
      <c r="I7663">
        <v>690</v>
      </c>
      <c r="J7663">
        <v>95</v>
      </c>
      <c r="K7663" t="b">
        <v>1</v>
      </c>
    </row>
    <row r="7664" spans="8:11" x14ac:dyDescent="0.25">
      <c r="H7664">
        <v>80</v>
      </c>
      <c r="I7664">
        <v>720</v>
      </c>
      <c r="J7664">
        <v>95</v>
      </c>
      <c r="K7664" t="b">
        <v>1</v>
      </c>
    </row>
    <row r="7665" spans="8:11" x14ac:dyDescent="0.25">
      <c r="H7665">
        <v>80</v>
      </c>
      <c r="I7665">
        <v>750</v>
      </c>
      <c r="J7665">
        <v>95</v>
      </c>
      <c r="K7665" t="b">
        <v>1</v>
      </c>
    </row>
    <row r="7666" spans="8:11" x14ac:dyDescent="0.25">
      <c r="H7666">
        <v>80</v>
      </c>
      <c r="I7666">
        <v>780</v>
      </c>
      <c r="J7666">
        <v>95</v>
      </c>
      <c r="K7666" t="b">
        <v>1</v>
      </c>
    </row>
    <row r="7667" spans="8:11" x14ac:dyDescent="0.25">
      <c r="H7667">
        <v>80</v>
      </c>
      <c r="I7667">
        <v>810</v>
      </c>
      <c r="J7667">
        <v>95</v>
      </c>
      <c r="K7667" t="b">
        <v>1</v>
      </c>
    </row>
    <row r="7668" spans="8:11" x14ac:dyDescent="0.25">
      <c r="H7668">
        <v>80</v>
      </c>
      <c r="I7668">
        <v>840</v>
      </c>
      <c r="J7668">
        <v>95</v>
      </c>
      <c r="K7668" t="b">
        <v>1</v>
      </c>
    </row>
    <row r="7669" spans="8:11" x14ac:dyDescent="0.25">
      <c r="H7669">
        <v>80</v>
      </c>
      <c r="I7669">
        <v>870</v>
      </c>
      <c r="J7669">
        <v>95</v>
      </c>
      <c r="K7669" t="b">
        <v>1</v>
      </c>
    </row>
    <row r="7670" spans="8:11" x14ac:dyDescent="0.25">
      <c r="H7670">
        <v>80</v>
      </c>
      <c r="I7670">
        <v>900</v>
      </c>
      <c r="J7670">
        <v>95</v>
      </c>
      <c r="K7670" t="b">
        <v>1</v>
      </c>
    </row>
    <row r="7671" spans="8:11" x14ac:dyDescent="0.25">
      <c r="H7671">
        <v>80</v>
      </c>
      <c r="I7671">
        <v>930</v>
      </c>
      <c r="J7671">
        <v>95</v>
      </c>
      <c r="K7671" t="b">
        <v>1</v>
      </c>
    </row>
    <row r="7672" spans="8:11" x14ac:dyDescent="0.25">
      <c r="H7672">
        <v>81</v>
      </c>
      <c r="I7672">
        <v>0</v>
      </c>
      <c r="J7672">
        <v>95</v>
      </c>
      <c r="K7672" t="b">
        <v>1</v>
      </c>
    </row>
    <row r="7673" spans="8:11" x14ac:dyDescent="0.25">
      <c r="H7673">
        <v>81</v>
      </c>
      <c r="I7673">
        <v>130</v>
      </c>
      <c r="J7673">
        <v>95</v>
      </c>
      <c r="K7673" t="b">
        <v>1</v>
      </c>
    </row>
    <row r="7674" spans="8:11" x14ac:dyDescent="0.25">
      <c r="H7674">
        <v>81</v>
      </c>
      <c r="I7674">
        <v>260</v>
      </c>
      <c r="J7674">
        <v>95</v>
      </c>
      <c r="K7674" t="b">
        <v>1</v>
      </c>
    </row>
    <row r="7675" spans="8:11" x14ac:dyDescent="0.25">
      <c r="H7675">
        <v>81</v>
      </c>
      <c r="I7675">
        <v>390</v>
      </c>
      <c r="J7675">
        <v>95</v>
      </c>
      <c r="K7675" t="b">
        <v>1</v>
      </c>
    </row>
    <row r="7676" spans="8:11" x14ac:dyDescent="0.25">
      <c r="H7676">
        <v>81</v>
      </c>
      <c r="I7676">
        <v>520</v>
      </c>
      <c r="J7676">
        <v>95</v>
      </c>
      <c r="K7676" t="b">
        <v>1</v>
      </c>
    </row>
    <row r="7677" spans="8:11" x14ac:dyDescent="0.25">
      <c r="H7677">
        <v>81</v>
      </c>
      <c r="I7677">
        <v>650</v>
      </c>
      <c r="J7677">
        <v>95</v>
      </c>
      <c r="K7677" t="b">
        <v>1</v>
      </c>
    </row>
    <row r="7678" spans="8:11" x14ac:dyDescent="0.25">
      <c r="H7678">
        <v>81</v>
      </c>
      <c r="I7678">
        <v>780</v>
      </c>
      <c r="J7678">
        <v>95</v>
      </c>
      <c r="K7678" t="b">
        <v>1</v>
      </c>
    </row>
    <row r="7679" spans="8:11" x14ac:dyDescent="0.25">
      <c r="H7679">
        <v>82</v>
      </c>
      <c r="I7679">
        <v>0</v>
      </c>
      <c r="J7679">
        <v>95</v>
      </c>
      <c r="K7679" t="b">
        <v>1</v>
      </c>
    </row>
    <row r="7680" spans="8:11" x14ac:dyDescent="0.25">
      <c r="H7680">
        <v>82</v>
      </c>
      <c r="I7680">
        <v>130</v>
      </c>
      <c r="J7680">
        <v>95</v>
      </c>
      <c r="K7680" t="b">
        <v>1</v>
      </c>
    </row>
    <row r="7681" spans="8:11" x14ac:dyDescent="0.25">
      <c r="H7681">
        <v>82</v>
      </c>
      <c r="I7681">
        <v>260</v>
      </c>
      <c r="J7681">
        <v>95</v>
      </c>
      <c r="K7681" t="b">
        <v>1</v>
      </c>
    </row>
    <row r="7682" spans="8:11" x14ac:dyDescent="0.25">
      <c r="H7682">
        <v>82</v>
      </c>
      <c r="I7682">
        <v>390</v>
      </c>
      <c r="J7682">
        <v>95</v>
      </c>
      <c r="K7682" t="b">
        <v>1</v>
      </c>
    </row>
    <row r="7683" spans="8:11" x14ac:dyDescent="0.25">
      <c r="H7683">
        <v>82</v>
      </c>
      <c r="I7683">
        <v>520</v>
      </c>
      <c r="J7683">
        <v>95</v>
      </c>
      <c r="K7683" t="b">
        <v>1</v>
      </c>
    </row>
    <row r="7684" spans="8:11" x14ac:dyDescent="0.25">
      <c r="H7684">
        <v>82</v>
      </c>
      <c r="I7684">
        <v>650</v>
      </c>
      <c r="J7684">
        <v>95</v>
      </c>
      <c r="K7684" t="b">
        <v>1</v>
      </c>
    </row>
    <row r="7685" spans="8:11" x14ac:dyDescent="0.25">
      <c r="H7685">
        <v>82</v>
      </c>
      <c r="I7685">
        <v>780</v>
      </c>
      <c r="J7685">
        <v>95</v>
      </c>
      <c r="K7685" t="b">
        <v>1</v>
      </c>
    </row>
    <row r="7686" spans="8:11" x14ac:dyDescent="0.25">
      <c r="H7686">
        <v>83</v>
      </c>
      <c r="I7686">
        <v>0</v>
      </c>
      <c r="J7686">
        <v>95</v>
      </c>
      <c r="K7686" t="b">
        <v>1</v>
      </c>
    </row>
    <row r="7687" spans="8:11" x14ac:dyDescent="0.25">
      <c r="H7687">
        <v>83</v>
      </c>
      <c r="I7687">
        <v>170</v>
      </c>
      <c r="J7687">
        <v>95</v>
      </c>
      <c r="K7687" t="b">
        <v>1</v>
      </c>
    </row>
    <row r="7688" spans="8:11" x14ac:dyDescent="0.25">
      <c r="H7688">
        <v>83</v>
      </c>
      <c r="I7688">
        <v>340</v>
      </c>
      <c r="J7688">
        <v>95</v>
      </c>
      <c r="K7688" t="b">
        <v>1</v>
      </c>
    </row>
    <row r="7689" spans="8:11" x14ac:dyDescent="0.25">
      <c r="H7689">
        <v>83</v>
      </c>
      <c r="I7689">
        <v>510</v>
      </c>
      <c r="J7689">
        <v>95</v>
      </c>
      <c r="K7689" t="b">
        <v>1</v>
      </c>
    </row>
    <row r="7690" spans="8:11" x14ac:dyDescent="0.25">
      <c r="H7690">
        <v>83</v>
      </c>
      <c r="I7690">
        <v>680</v>
      </c>
      <c r="J7690">
        <v>95</v>
      </c>
      <c r="K7690" t="b">
        <v>1</v>
      </c>
    </row>
    <row r="7691" spans="8:11" x14ac:dyDescent="0.25">
      <c r="H7691">
        <v>84</v>
      </c>
      <c r="I7691">
        <v>0</v>
      </c>
      <c r="J7691">
        <v>50</v>
      </c>
      <c r="K7691" t="b">
        <v>1</v>
      </c>
    </row>
    <row r="7692" spans="8:11" x14ac:dyDescent="0.25">
      <c r="H7692">
        <v>84</v>
      </c>
      <c r="I7692">
        <v>60</v>
      </c>
      <c r="J7692">
        <v>50</v>
      </c>
      <c r="K7692" t="b">
        <v>1</v>
      </c>
    </row>
    <row r="7693" spans="8:11" x14ac:dyDescent="0.25">
      <c r="H7693">
        <v>84</v>
      </c>
      <c r="I7693">
        <v>120</v>
      </c>
      <c r="J7693">
        <v>50</v>
      </c>
      <c r="K7693" t="b">
        <v>1</v>
      </c>
    </row>
    <row r="7694" spans="8:11" x14ac:dyDescent="0.25">
      <c r="H7694">
        <v>84</v>
      </c>
      <c r="I7694">
        <v>180</v>
      </c>
      <c r="J7694">
        <v>50</v>
      </c>
      <c r="K7694" t="b">
        <v>1</v>
      </c>
    </row>
    <row r="7695" spans="8:11" x14ac:dyDescent="0.25">
      <c r="H7695">
        <v>84</v>
      </c>
      <c r="I7695">
        <v>240</v>
      </c>
      <c r="J7695">
        <v>50</v>
      </c>
      <c r="K7695" t="b">
        <v>1</v>
      </c>
    </row>
    <row r="7696" spans="8:11" x14ac:dyDescent="0.25">
      <c r="H7696">
        <v>84</v>
      </c>
      <c r="I7696">
        <v>300</v>
      </c>
      <c r="J7696">
        <v>50</v>
      </c>
      <c r="K7696" t="b">
        <v>1</v>
      </c>
    </row>
    <row r="7697" spans="8:11" x14ac:dyDescent="0.25">
      <c r="H7697">
        <v>84</v>
      </c>
      <c r="I7697">
        <v>360</v>
      </c>
      <c r="J7697">
        <v>50</v>
      </c>
      <c r="K7697" t="b">
        <v>1</v>
      </c>
    </row>
    <row r="7698" spans="8:11" x14ac:dyDescent="0.25">
      <c r="H7698">
        <v>84</v>
      </c>
      <c r="I7698">
        <v>420</v>
      </c>
      <c r="J7698">
        <v>50</v>
      </c>
      <c r="K7698" t="b">
        <v>1</v>
      </c>
    </row>
    <row r="7699" spans="8:11" x14ac:dyDescent="0.25">
      <c r="H7699">
        <v>84</v>
      </c>
      <c r="I7699">
        <v>480</v>
      </c>
      <c r="J7699">
        <v>50</v>
      </c>
      <c r="K7699" t="b">
        <v>1</v>
      </c>
    </row>
    <row r="7700" spans="8:11" x14ac:dyDescent="0.25">
      <c r="H7700">
        <v>84</v>
      </c>
      <c r="I7700">
        <v>540</v>
      </c>
      <c r="J7700">
        <v>50</v>
      </c>
      <c r="K7700" t="b">
        <v>1</v>
      </c>
    </row>
    <row r="7701" spans="8:11" x14ac:dyDescent="0.25">
      <c r="H7701">
        <v>84</v>
      </c>
      <c r="I7701">
        <v>600</v>
      </c>
      <c r="J7701">
        <v>50</v>
      </c>
      <c r="K7701" t="b">
        <v>1</v>
      </c>
    </row>
    <row r="7702" spans="8:11" x14ac:dyDescent="0.25">
      <c r="H7702">
        <v>84</v>
      </c>
      <c r="I7702">
        <v>660</v>
      </c>
      <c r="J7702">
        <v>50</v>
      </c>
      <c r="K7702" t="b">
        <v>1</v>
      </c>
    </row>
    <row r="7703" spans="8:11" x14ac:dyDescent="0.25">
      <c r="H7703">
        <v>84</v>
      </c>
      <c r="I7703">
        <v>720</v>
      </c>
      <c r="J7703">
        <v>50</v>
      </c>
      <c r="K7703" t="b">
        <v>1</v>
      </c>
    </row>
    <row r="7704" spans="8:11" x14ac:dyDescent="0.25">
      <c r="H7704">
        <v>84</v>
      </c>
      <c r="I7704">
        <v>780</v>
      </c>
      <c r="J7704">
        <v>50</v>
      </c>
      <c r="K7704" t="b">
        <v>1</v>
      </c>
    </row>
    <row r="7705" spans="8:11" x14ac:dyDescent="0.25">
      <c r="H7705">
        <v>84</v>
      </c>
      <c r="I7705">
        <v>840</v>
      </c>
      <c r="J7705">
        <v>50</v>
      </c>
      <c r="K7705" t="b">
        <v>1</v>
      </c>
    </row>
    <row r="7706" spans="8:11" x14ac:dyDescent="0.25">
      <c r="H7706">
        <v>84</v>
      </c>
      <c r="I7706">
        <v>900</v>
      </c>
      <c r="J7706">
        <v>50</v>
      </c>
      <c r="K7706" t="b">
        <v>1</v>
      </c>
    </row>
    <row r="7707" spans="8:11" x14ac:dyDescent="0.25">
      <c r="H7707">
        <v>85</v>
      </c>
      <c r="I7707">
        <v>0</v>
      </c>
      <c r="J7707">
        <v>100</v>
      </c>
      <c r="K7707" t="b">
        <v>1</v>
      </c>
    </row>
    <row r="7708" spans="8:11" x14ac:dyDescent="0.25">
      <c r="H7708">
        <v>85</v>
      </c>
      <c r="I7708">
        <v>6</v>
      </c>
      <c r="J7708">
        <v>100</v>
      </c>
      <c r="K7708" t="b">
        <v>1</v>
      </c>
    </row>
    <row r="7709" spans="8:11" x14ac:dyDescent="0.25">
      <c r="H7709">
        <v>85</v>
      </c>
      <c r="I7709">
        <v>12</v>
      </c>
      <c r="J7709">
        <v>100</v>
      </c>
      <c r="K7709" t="b">
        <v>1</v>
      </c>
    </row>
    <row r="7710" spans="8:11" x14ac:dyDescent="0.25">
      <c r="H7710">
        <v>85</v>
      </c>
      <c r="I7710">
        <v>18</v>
      </c>
      <c r="J7710">
        <v>100</v>
      </c>
      <c r="K7710" t="b">
        <v>1</v>
      </c>
    </row>
    <row r="7711" spans="8:11" x14ac:dyDescent="0.25">
      <c r="H7711">
        <v>85</v>
      </c>
      <c r="I7711">
        <v>24</v>
      </c>
      <c r="J7711">
        <v>100</v>
      </c>
      <c r="K7711" t="b">
        <v>1</v>
      </c>
    </row>
    <row r="7712" spans="8:11" x14ac:dyDescent="0.25">
      <c r="H7712">
        <v>85</v>
      </c>
      <c r="I7712">
        <v>30</v>
      </c>
      <c r="J7712">
        <v>100</v>
      </c>
      <c r="K7712" t="b">
        <v>1</v>
      </c>
    </row>
    <row r="7713" spans="8:11" x14ac:dyDescent="0.25">
      <c r="H7713">
        <v>85</v>
      </c>
      <c r="I7713">
        <v>36</v>
      </c>
      <c r="J7713">
        <v>100</v>
      </c>
      <c r="K7713" t="b">
        <v>1</v>
      </c>
    </row>
    <row r="7714" spans="8:11" x14ac:dyDescent="0.25">
      <c r="H7714">
        <v>85</v>
      </c>
      <c r="I7714">
        <v>42</v>
      </c>
      <c r="J7714">
        <v>100</v>
      </c>
      <c r="K7714" t="b">
        <v>1</v>
      </c>
    </row>
    <row r="7715" spans="8:11" x14ac:dyDescent="0.25">
      <c r="H7715">
        <v>85</v>
      </c>
      <c r="I7715">
        <v>48</v>
      </c>
      <c r="J7715">
        <v>100</v>
      </c>
      <c r="K7715" t="b">
        <v>1</v>
      </c>
    </row>
    <row r="7716" spans="8:11" x14ac:dyDescent="0.25">
      <c r="H7716">
        <v>85</v>
      </c>
      <c r="I7716">
        <v>54</v>
      </c>
      <c r="J7716">
        <v>100</v>
      </c>
      <c r="K7716" t="b">
        <v>1</v>
      </c>
    </row>
    <row r="7717" spans="8:11" x14ac:dyDescent="0.25">
      <c r="H7717">
        <v>85</v>
      </c>
      <c r="I7717">
        <v>60</v>
      </c>
      <c r="J7717">
        <v>100</v>
      </c>
      <c r="K7717" t="b">
        <v>1</v>
      </c>
    </row>
    <row r="7718" spans="8:11" x14ac:dyDescent="0.25">
      <c r="H7718">
        <v>85</v>
      </c>
      <c r="I7718">
        <v>66</v>
      </c>
      <c r="J7718">
        <v>100</v>
      </c>
      <c r="K7718" t="b">
        <v>1</v>
      </c>
    </row>
    <row r="7719" spans="8:11" x14ac:dyDescent="0.25">
      <c r="H7719">
        <v>85</v>
      </c>
      <c r="I7719">
        <v>72</v>
      </c>
      <c r="J7719">
        <v>100</v>
      </c>
      <c r="K7719" t="b">
        <v>1</v>
      </c>
    </row>
    <row r="7720" spans="8:11" x14ac:dyDescent="0.25">
      <c r="H7720">
        <v>85</v>
      </c>
      <c r="I7720">
        <v>78</v>
      </c>
      <c r="J7720">
        <v>100</v>
      </c>
      <c r="K7720" t="b">
        <v>1</v>
      </c>
    </row>
    <row r="7721" spans="8:11" x14ac:dyDescent="0.25">
      <c r="H7721">
        <v>85</v>
      </c>
      <c r="I7721">
        <v>84</v>
      </c>
      <c r="J7721">
        <v>100</v>
      </c>
      <c r="K7721" t="b">
        <v>1</v>
      </c>
    </row>
    <row r="7722" spans="8:11" x14ac:dyDescent="0.25">
      <c r="H7722">
        <v>85</v>
      </c>
      <c r="I7722">
        <v>90</v>
      </c>
      <c r="J7722">
        <v>100</v>
      </c>
      <c r="K7722" t="b">
        <v>1</v>
      </c>
    </row>
    <row r="7723" spans="8:11" x14ac:dyDescent="0.25">
      <c r="H7723">
        <v>85</v>
      </c>
      <c r="I7723">
        <v>96</v>
      </c>
      <c r="J7723">
        <v>100</v>
      </c>
      <c r="K7723" t="b">
        <v>1</v>
      </c>
    </row>
    <row r="7724" spans="8:11" x14ac:dyDescent="0.25">
      <c r="H7724">
        <v>85</v>
      </c>
      <c r="I7724">
        <v>102</v>
      </c>
      <c r="J7724">
        <v>100</v>
      </c>
      <c r="K7724" t="b">
        <v>1</v>
      </c>
    </row>
    <row r="7725" spans="8:11" x14ac:dyDescent="0.25">
      <c r="H7725">
        <v>85</v>
      </c>
      <c r="I7725">
        <v>108</v>
      </c>
      <c r="J7725">
        <v>100</v>
      </c>
      <c r="K7725" t="b">
        <v>1</v>
      </c>
    </row>
    <row r="7726" spans="8:11" x14ac:dyDescent="0.25">
      <c r="H7726">
        <v>85</v>
      </c>
      <c r="I7726">
        <v>114</v>
      </c>
      <c r="J7726">
        <v>100</v>
      </c>
      <c r="K7726" t="b">
        <v>1</v>
      </c>
    </row>
    <row r="7727" spans="8:11" x14ac:dyDescent="0.25">
      <c r="H7727">
        <v>85</v>
      </c>
      <c r="I7727">
        <v>120</v>
      </c>
      <c r="J7727">
        <v>100</v>
      </c>
      <c r="K7727" t="b">
        <v>1</v>
      </c>
    </row>
    <row r="7728" spans="8:11" x14ac:dyDescent="0.25">
      <c r="H7728">
        <v>85</v>
      </c>
      <c r="I7728">
        <v>126</v>
      </c>
      <c r="J7728">
        <v>100</v>
      </c>
      <c r="K7728" t="b">
        <v>1</v>
      </c>
    </row>
    <row r="7729" spans="8:11" x14ac:dyDescent="0.25">
      <c r="H7729">
        <v>85</v>
      </c>
      <c r="I7729">
        <v>132</v>
      </c>
      <c r="J7729">
        <v>100</v>
      </c>
      <c r="K7729" t="b">
        <v>1</v>
      </c>
    </row>
    <row r="7730" spans="8:11" x14ac:dyDescent="0.25">
      <c r="H7730">
        <v>85</v>
      </c>
      <c r="I7730">
        <v>138</v>
      </c>
      <c r="J7730">
        <v>100</v>
      </c>
      <c r="K7730" t="b">
        <v>1</v>
      </c>
    </row>
    <row r="7731" spans="8:11" x14ac:dyDescent="0.25">
      <c r="H7731">
        <v>85</v>
      </c>
      <c r="I7731">
        <v>144</v>
      </c>
      <c r="J7731">
        <v>100</v>
      </c>
      <c r="K7731" t="b">
        <v>1</v>
      </c>
    </row>
    <row r="7732" spans="8:11" x14ac:dyDescent="0.25">
      <c r="H7732">
        <v>85</v>
      </c>
      <c r="I7732">
        <v>150</v>
      </c>
      <c r="J7732">
        <v>100</v>
      </c>
      <c r="K7732" t="b">
        <v>1</v>
      </c>
    </row>
    <row r="7733" spans="8:11" x14ac:dyDescent="0.25">
      <c r="H7733">
        <v>85</v>
      </c>
      <c r="I7733">
        <v>156</v>
      </c>
      <c r="J7733">
        <v>100</v>
      </c>
      <c r="K7733" t="b">
        <v>1</v>
      </c>
    </row>
    <row r="7734" spans="8:11" x14ac:dyDescent="0.25">
      <c r="H7734">
        <v>85</v>
      </c>
      <c r="I7734">
        <v>162</v>
      </c>
      <c r="J7734">
        <v>100</v>
      </c>
      <c r="K7734" t="b">
        <v>1</v>
      </c>
    </row>
    <row r="7735" spans="8:11" x14ac:dyDescent="0.25">
      <c r="H7735">
        <v>85</v>
      </c>
      <c r="I7735">
        <v>168</v>
      </c>
      <c r="J7735">
        <v>100</v>
      </c>
      <c r="K7735" t="b">
        <v>1</v>
      </c>
    </row>
    <row r="7736" spans="8:11" x14ac:dyDescent="0.25">
      <c r="H7736">
        <v>85</v>
      </c>
      <c r="I7736">
        <v>174</v>
      </c>
      <c r="J7736">
        <v>100</v>
      </c>
      <c r="K7736" t="b">
        <v>1</v>
      </c>
    </row>
    <row r="7737" spans="8:11" x14ac:dyDescent="0.25">
      <c r="H7737">
        <v>85</v>
      </c>
      <c r="I7737">
        <v>180</v>
      </c>
      <c r="J7737">
        <v>100</v>
      </c>
      <c r="K7737" t="b">
        <v>1</v>
      </c>
    </row>
    <row r="7738" spans="8:11" x14ac:dyDescent="0.25">
      <c r="H7738">
        <v>85</v>
      </c>
      <c r="I7738">
        <v>186</v>
      </c>
      <c r="J7738">
        <v>100</v>
      </c>
      <c r="K7738" t="b">
        <v>1</v>
      </c>
    </row>
    <row r="7739" spans="8:11" x14ac:dyDescent="0.25">
      <c r="H7739">
        <v>85</v>
      </c>
      <c r="I7739">
        <v>192</v>
      </c>
      <c r="J7739">
        <v>100</v>
      </c>
      <c r="K7739" t="b">
        <v>1</v>
      </c>
    </row>
    <row r="7740" spans="8:11" x14ac:dyDescent="0.25">
      <c r="H7740">
        <v>85</v>
      </c>
      <c r="I7740">
        <v>198</v>
      </c>
      <c r="J7740">
        <v>100</v>
      </c>
      <c r="K7740" t="b">
        <v>1</v>
      </c>
    </row>
    <row r="7741" spans="8:11" x14ac:dyDescent="0.25">
      <c r="H7741">
        <v>85</v>
      </c>
      <c r="I7741">
        <v>204</v>
      </c>
      <c r="J7741">
        <v>100</v>
      </c>
      <c r="K7741" t="b">
        <v>1</v>
      </c>
    </row>
    <row r="7742" spans="8:11" x14ac:dyDescent="0.25">
      <c r="H7742">
        <v>85</v>
      </c>
      <c r="I7742">
        <v>210</v>
      </c>
      <c r="J7742">
        <v>100</v>
      </c>
      <c r="K7742" t="b">
        <v>1</v>
      </c>
    </row>
    <row r="7743" spans="8:11" x14ac:dyDescent="0.25">
      <c r="H7743">
        <v>85</v>
      </c>
      <c r="I7743">
        <v>216</v>
      </c>
      <c r="J7743">
        <v>100</v>
      </c>
      <c r="K7743" t="b">
        <v>1</v>
      </c>
    </row>
    <row r="7744" spans="8:11" x14ac:dyDescent="0.25">
      <c r="H7744">
        <v>85</v>
      </c>
      <c r="I7744">
        <v>222</v>
      </c>
      <c r="J7744">
        <v>100</v>
      </c>
      <c r="K7744" t="b">
        <v>1</v>
      </c>
    </row>
    <row r="7745" spans="8:11" x14ac:dyDescent="0.25">
      <c r="H7745">
        <v>85</v>
      </c>
      <c r="I7745">
        <v>228</v>
      </c>
      <c r="J7745">
        <v>100</v>
      </c>
      <c r="K7745" t="b">
        <v>1</v>
      </c>
    </row>
    <row r="7746" spans="8:11" x14ac:dyDescent="0.25">
      <c r="H7746">
        <v>85</v>
      </c>
      <c r="I7746">
        <v>234</v>
      </c>
      <c r="J7746">
        <v>100</v>
      </c>
      <c r="K7746" t="b">
        <v>1</v>
      </c>
    </row>
    <row r="7747" spans="8:11" x14ac:dyDescent="0.25">
      <c r="H7747">
        <v>85</v>
      </c>
      <c r="I7747">
        <v>240</v>
      </c>
      <c r="J7747">
        <v>100</v>
      </c>
      <c r="K7747" t="b">
        <v>1</v>
      </c>
    </row>
    <row r="7748" spans="8:11" x14ac:dyDescent="0.25">
      <c r="H7748">
        <v>85</v>
      </c>
      <c r="I7748">
        <v>246</v>
      </c>
      <c r="J7748">
        <v>100</v>
      </c>
      <c r="K7748" t="b">
        <v>1</v>
      </c>
    </row>
    <row r="7749" spans="8:11" x14ac:dyDescent="0.25">
      <c r="H7749">
        <v>85</v>
      </c>
      <c r="I7749">
        <v>252</v>
      </c>
      <c r="J7749">
        <v>100</v>
      </c>
      <c r="K7749" t="b">
        <v>1</v>
      </c>
    </row>
    <row r="7750" spans="8:11" x14ac:dyDescent="0.25">
      <c r="H7750">
        <v>85</v>
      </c>
      <c r="I7750">
        <v>258</v>
      </c>
      <c r="J7750">
        <v>100</v>
      </c>
      <c r="K7750" t="b">
        <v>1</v>
      </c>
    </row>
    <row r="7751" spans="8:11" x14ac:dyDescent="0.25">
      <c r="H7751">
        <v>85</v>
      </c>
      <c r="I7751">
        <v>264</v>
      </c>
      <c r="J7751">
        <v>100</v>
      </c>
      <c r="K7751" t="b">
        <v>1</v>
      </c>
    </row>
    <row r="7752" spans="8:11" x14ac:dyDescent="0.25">
      <c r="H7752">
        <v>85</v>
      </c>
      <c r="I7752">
        <v>270</v>
      </c>
      <c r="J7752">
        <v>100</v>
      </c>
      <c r="K7752" t="b">
        <v>1</v>
      </c>
    </row>
    <row r="7753" spans="8:11" x14ac:dyDescent="0.25">
      <c r="H7753">
        <v>85</v>
      </c>
      <c r="I7753">
        <v>276</v>
      </c>
      <c r="J7753">
        <v>100</v>
      </c>
      <c r="K7753" t="b">
        <v>1</v>
      </c>
    </row>
    <row r="7754" spans="8:11" x14ac:dyDescent="0.25">
      <c r="H7754">
        <v>85</v>
      </c>
      <c r="I7754">
        <v>282</v>
      </c>
      <c r="J7754">
        <v>100</v>
      </c>
      <c r="K7754" t="b">
        <v>1</v>
      </c>
    </row>
    <row r="7755" spans="8:11" x14ac:dyDescent="0.25">
      <c r="H7755">
        <v>85</v>
      </c>
      <c r="I7755">
        <v>288</v>
      </c>
      <c r="J7755">
        <v>100</v>
      </c>
      <c r="K7755" t="b">
        <v>1</v>
      </c>
    </row>
    <row r="7756" spans="8:11" x14ac:dyDescent="0.25">
      <c r="H7756">
        <v>85</v>
      </c>
      <c r="I7756">
        <v>294</v>
      </c>
      <c r="J7756">
        <v>100</v>
      </c>
      <c r="K7756" t="b">
        <v>1</v>
      </c>
    </row>
    <row r="7757" spans="8:11" x14ac:dyDescent="0.25">
      <c r="H7757">
        <v>85</v>
      </c>
      <c r="I7757">
        <v>300</v>
      </c>
      <c r="J7757">
        <v>100</v>
      </c>
      <c r="K7757" t="b">
        <v>1</v>
      </c>
    </row>
    <row r="7758" spans="8:11" x14ac:dyDescent="0.25">
      <c r="H7758">
        <v>85</v>
      </c>
      <c r="I7758">
        <v>306</v>
      </c>
      <c r="J7758">
        <v>100</v>
      </c>
      <c r="K7758" t="b">
        <v>1</v>
      </c>
    </row>
    <row r="7759" spans="8:11" x14ac:dyDescent="0.25">
      <c r="H7759">
        <v>85</v>
      </c>
      <c r="I7759">
        <v>312</v>
      </c>
      <c r="J7759">
        <v>100</v>
      </c>
      <c r="K7759" t="b">
        <v>1</v>
      </c>
    </row>
    <row r="7760" spans="8:11" x14ac:dyDescent="0.25">
      <c r="H7760">
        <v>85</v>
      </c>
      <c r="I7760">
        <v>318</v>
      </c>
      <c r="J7760">
        <v>100</v>
      </c>
      <c r="K7760" t="b">
        <v>1</v>
      </c>
    </row>
    <row r="7761" spans="8:11" x14ac:dyDescent="0.25">
      <c r="H7761">
        <v>85</v>
      </c>
      <c r="I7761">
        <v>324</v>
      </c>
      <c r="J7761">
        <v>100</v>
      </c>
      <c r="K7761" t="b">
        <v>1</v>
      </c>
    </row>
    <row r="7762" spans="8:11" x14ac:dyDescent="0.25">
      <c r="H7762">
        <v>85</v>
      </c>
      <c r="I7762">
        <v>330</v>
      </c>
      <c r="J7762">
        <v>100</v>
      </c>
      <c r="K7762" t="b">
        <v>1</v>
      </c>
    </row>
    <row r="7763" spans="8:11" x14ac:dyDescent="0.25">
      <c r="H7763">
        <v>85</v>
      </c>
      <c r="I7763">
        <v>336</v>
      </c>
      <c r="J7763">
        <v>100</v>
      </c>
      <c r="K7763" t="b">
        <v>1</v>
      </c>
    </row>
    <row r="7764" spans="8:11" x14ac:dyDescent="0.25">
      <c r="H7764">
        <v>85</v>
      </c>
      <c r="I7764">
        <v>342</v>
      </c>
      <c r="J7764">
        <v>100</v>
      </c>
      <c r="K7764" t="b">
        <v>1</v>
      </c>
    </row>
    <row r="7765" spans="8:11" x14ac:dyDescent="0.25">
      <c r="H7765">
        <v>85</v>
      </c>
      <c r="I7765">
        <v>348</v>
      </c>
      <c r="J7765">
        <v>100</v>
      </c>
      <c r="K7765" t="b">
        <v>1</v>
      </c>
    </row>
    <row r="7766" spans="8:11" x14ac:dyDescent="0.25">
      <c r="H7766">
        <v>85</v>
      </c>
      <c r="I7766">
        <v>354</v>
      </c>
      <c r="J7766">
        <v>100</v>
      </c>
      <c r="K7766" t="b">
        <v>1</v>
      </c>
    </row>
    <row r="7767" spans="8:11" x14ac:dyDescent="0.25">
      <c r="H7767">
        <v>85</v>
      </c>
      <c r="I7767">
        <v>360</v>
      </c>
      <c r="J7767">
        <v>100</v>
      </c>
      <c r="K7767" t="b">
        <v>1</v>
      </c>
    </row>
    <row r="7768" spans="8:11" x14ac:dyDescent="0.25">
      <c r="H7768">
        <v>85</v>
      </c>
      <c r="I7768">
        <v>366</v>
      </c>
      <c r="J7768">
        <v>100</v>
      </c>
      <c r="K7768" t="b">
        <v>1</v>
      </c>
    </row>
    <row r="7769" spans="8:11" x14ac:dyDescent="0.25">
      <c r="H7769">
        <v>85</v>
      </c>
      <c r="I7769">
        <v>372</v>
      </c>
      <c r="J7769">
        <v>100</v>
      </c>
      <c r="K7769" t="b">
        <v>1</v>
      </c>
    </row>
    <row r="7770" spans="8:11" x14ac:dyDescent="0.25">
      <c r="H7770">
        <v>85</v>
      </c>
      <c r="I7770">
        <v>378</v>
      </c>
      <c r="J7770">
        <v>100</v>
      </c>
      <c r="K7770" t="b">
        <v>1</v>
      </c>
    </row>
    <row r="7771" spans="8:11" x14ac:dyDescent="0.25">
      <c r="H7771">
        <v>85</v>
      </c>
      <c r="I7771">
        <v>384</v>
      </c>
      <c r="J7771">
        <v>100</v>
      </c>
      <c r="K7771" t="b">
        <v>1</v>
      </c>
    </row>
    <row r="7772" spans="8:11" x14ac:dyDescent="0.25">
      <c r="H7772">
        <v>85</v>
      </c>
      <c r="I7772">
        <v>390</v>
      </c>
      <c r="J7772">
        <v>100</v>
      </c>
      <c r="K7772" t="b">
        <v>1</v>
      </c>
    </row>
    <row r="7773" spans="8:11" x14ac:dyDescent="0.25">
      <c r="H7773">
        <v>85</v>
      </c>
      <c r="I7773">
        <v>396</v>
      </c>
      <c r="J7773">
        <v>100</v>
      </c>
      <c r="K7773" t="b">
        <v>1</v>
      </c>
    </row>
    <row r="7774" spans="8:11" x14ac:dyDescent="0.25">
      <c r="H7774">
        <v>85</v>
      </c>
      <c r="I7774">
        <v>402</v>
      </c>
      <c r="J7774">
        <v>100</v>
      </c>
      <c r="K7774" t="b">
        <v>1</v>
      </c>
    </row>
    <row r="7775" spans="8:11" x14ac:dyDescent="0.25">
      <c r="H7775">
        <v>85</v>
      </c>
      <c r="I7775">
        <v>408</v>
      </c>
      <c r="J7775">
        <v>100</v>
      </c>
      <c r="K7775" t="b">
        <v>1</v>
      </c>
    </row>
    <row r="7776" spans="8:11" x14ac:dyDescent="0.25">
      <c r="H7776">
        <v>85</v>
      </c>
      <c r="I7776">
        <v>414</v>
      </c>
      <c r="J7776">
        <v>100</v>
      </c>
      <c r="K7776" t="b">
        <v>1</v>
      </c>
    </row>
    <row r="7777" spans="8:11" x14ac:dyDescent="0.25">
      <c r="H7777">
        <v>85</v>
      </c>
      <c r="I7777">
        <v>420</v>
      </c>
      <c r="J7777">
        <v>100</v>
      </c>
      <c r="K7777" t="b">
        <v>1</v>
      </c>
    </row>
    <row r="7778" spans="8:11" x14ac:dyDescent="0.25">
      <c r="H7778">
        <v>85</v>
      </c>
      <c r="I7778">
        <v>426</v>
      </c>
      <c r="J7778">
        <v>100</v>
      </c>
      <c r="K7778" t="b">
        <v>1</v>
      </c>
    </row>
    <row r="7779" spans="8:11" x14ac:dyDescent="0.25">
      <c r="H7779">
        <v>85</v>
      </c>
      <c r="I7779">
        <v>432</v>
      </c>
      <c r="J7779">
        <v>100</v>
      </c>
      <c r="K7779" t="b">
        <v>1</v>
      </c>
    </row>
    <row r="7780" spans="8:11" x14ac:dyDescent="0.25">
      <c r="H7780">
        <v>85</v>
      </c>
      <c r="I7780">
        <v>438</v>
      </c>
      <c r="J7780">
        <v>100</v>
      </c>
      <c r="K7780" t="b">
        <v>1</v>
      </c>
    </row>
    <row r="7781" spans="8:11" x14ac:dyDescent="0.25">
      <c r="H7781">
        <v>85</v>
      </c>
      <c r="I7781">
        <v>444</v>
      </c>
      <c r="J7781">
        <v>100</v>
      </c>
      <c r="K7781" t="b">
        <v>1</v>
      </c>
    </row>
    <row r="7782" spans="8:11" x14ac:dyDescent="0.25">
      <c r="H7782">
        <v>85</v>
      </c>
      <c r="I7782">
        <v>450</v>
      </c>
      <c r="J7782">
        <v>100</v>
      </c>
      <c r="K7782" t="b">
        <v>1</v>
      </c>
    </row>
    <row r="7783" spans="8:11" x14ac:dyDescent="0.25">
      <c r="H7783">
        <v>85</v>
      </c>
      <c r="I7783">
        <v>456</v>
      </c>
      <c r="J7783">
        <v>100</v>
      </c>
      <c r="K7783" t="b">
        <v>1</v>
      </c>
    </row>
    <row r="7784" spans="8:11" x14ac:dyDescent="0.25">
      <c r="H7784">
        <v>85</v>
      </c>
      <c r="I7784">
        <v>462</v>
      </c>
      <c r="J7784">
        <v>100</v>
      </c>
      <c r="K7784" t="b">
        <v>1</v>
      </c>
    </row>
    <row r="7785" spans="8:11" x14ac:dyDescent="0.25">
      <c r="H7785">
        <v>85</v>
      </c>
      <c r="I7785">
        <v>468</v>
      </c>
      <c r="J7785">
        <v>100</v>
      </c>
      <c r="K7785" t="b">
        <v>1</v>
      </c>
    </row>
    <row r="7786" spans="8:11" x14ac:dyDescent="0.25">
      <c r="H7786">
        <v>85</v>
      </c>
      <c r="I7786">
        <v>474</v>
      </c>
      <c r="J7786">
        <v>100</v>
      </c>
      <c r="K7786" t="b">
        <v>1</v>
      </c>
    </row>
    <row r="7787" spans="8:11" x14ac:dyDescent="0.25">
      <c r="H7787">
        <v>85</v>
      </c>
      <c r="I7787">
        <v>480</v>
      </c>
      <c r="J7787">
        <v>100</v>
      </c>
      <c r="K7787" t="b">
        <v>1</v>
      </c>
    </row>
    <row r="7788" spans="8:11" x14ac:dyDescent="0.25">
      <c r="H7788">
        <v>85</v>
      </c>
      <c r="I7788">
        <v>486</v>
      </c>
      <c r="J7788">
        <v>100</v>
      </c>
      <c r="K7788" t="b">
        <v>1</v>
      </c>
    </row>
    <row r="7789" spans="8:11" x14ac:dyDescent="0.25">
      <c r="H7789">
        <v>85</v>
      </c>
      <c r="I7789">
        <v>492</v>
      </c>
      <c r="J7789">
        <v>100</v>
      </c>
      <c r="K7789" t="b">
        <v>1</v>
      </c>
    </row>
    <row r="7790" spans="8:11" x14ac:dyDescent="0.25">
      <c r="H7790">
        <v>85</v>
      </c>
      <c r="I7790">
        <v>498</v>
      </c>
      <c r="J7790">
        <v>100</v>
      </c>
      <c r="K7790" t="b">
        <v>1</v>
      </c>
    </row>
    <row r="7791" spans="8:11" x14ac:dyDescent="0.25">
      <c r="H7791">
        <v>85</v>
      </c>
      <c r="I7791">
        <v>504</v>
      </c>
      <c r="J7791">
        <v>100</v>
      </c>
      <c r="K7791" t="b">
        <v>1</v>
      </c>
    </row>
    <row r="7792" spans="8:11" x14ac:dyDescent="0.25">
      <c r="H7792">
        <v>85</v>
      </c>
      <c r="I7792">
        <v>510</v>
      </c>
      <c r="J7792">
        <v>100</v>
      </c>
      <c r="K7792" t="b">
        <v>1</v>
      </c>
    </row>
    <row r="7793" spans="8:11" x14ac:dyDescent="0.25">
      <c r="H7793">
        <v>85</v>
      </c>
      <c r="I7793">
        <v>516</v>
      </c>
      <c r="J7793">
        <v>100</v>
      </c>
      <c r="K7793" t="b">
        <v>1</v>
      </c>
    </row>
    <row r="7794" spans="8:11" x14ac:dyDescent="0.25">
      <c r="H7794">
        <v>85</v>
      </c>
      <c r="I7794">
        <v>522</v>
      </c>
      <c r="J7794">
        <v>100</v>
      </c>
      <c r="K7794" t="b">
        <v>1</v>
      </c>
    </row>
    <row r="7795" spans="8:11" x14ac:dyDescent="0.25">
      <c r="H7795">
        <v>85</v>
      </c>
      <c r="I7795">
        <v>528</v>
      </c>
      <c r="J7795">
        <v>100</v>
      </c>
      <c r="K7795" t="b">
        <v>1</v>
      </c>
    </row>
    <row r="7796" spans="8:11" x14ac:dyDescent="0.25">
      <c r="H7796">
        <v>85</v>
      </c>
      <c r="I7796">
        <v>534</v>
      </c>
      <c r="J7796">
        <v>100</v>
      </c>
      <c r="K7796" t="b">
        <v>1</v>
      </c>
    </row>
    <row r="7797" spans="8:11" x14ac:dyDescent="0.25">
      <c r="H7797">
        <v>85</v>
      </c>
      <c r="I7797">
        <v>540</v>
      </c>
      <c r="J7797">
        <v>100</v>
      </c>
      <c r="K7797" t="b">
        <v>1</v>
      </c>
    </row>
    <row r="7798" spans="8:11" x14ac:dyDescent="0.25">
      <c r="H7798">
        <v>85</v>
      </c>
      <c r="I7798">
        <v>546</v>
      </c>
      <c r="J7798">
        <v>100</v>
      </c>
      <c r="K7798" t="b">
        <v>1</v>
      </c>
    </row>
    <row r="7799" spans="8:11" x14ac:dyDescent="0.25">
      <c r="H7799">
        <v>85</v>
      </c>
      <c r="I7799">
        <v>552</v>
      </c>
      <c r="J7799">
        <v>100</v>
      </c>
      <c r="K7799" t="b">
        <v>1</v>
      </c>
    </row>
    <row r="7800" spans="8:11" x14ac:dyDescent="0.25">
      <c r="H7800">
        <v>85</v>
      </c>
      <c r="I7800">
        <v>558</v>
      </c>
      <c r="J7800">
        <v>100</v>
      </c>
      <c r="K7800" t="b">
        <v>1</v>
      </c>
    </row>
    <row r="7801" spans="8:11" x14ac:dyDescent="0.25">
      <c r="H7801">
        <v>85</v>
      </c>
      <c r="I7801">
        <v>564</v>
      </c>
      <c r="J7801">
        <v>100</v>
      </c>
      <c r="K7801" t="b">
        <v>1</v>
      </c>
    </row>
    <row r="7802" spans="8:11" x14ac:dyDescent="0.25">
      <c r="H7802">
        <v>85</v>
      </c>
      <c r="I7802">
        <v>570</v>
      </c>
      <c r="J7802">
        <v>100</v>
      </c>
      <c r="K7802" t="b">
        <v>1</v>
      </c>
    </row>
    <row r="7803" spans="8:11" x14ac:dyDescent="0.25">
      <c r="H7803">
        <v>85</v>
      </c>
      <c r="I7803">
        <v>576</v>
      </c>
      <c r="J7803">
        <v>100</v>
      </c>
      <c r="K7803" t="b">
        <v>1</v>
      </c>
    </row>
    <row r="7804" spans="8:11" x14ac:dyDescent="0.25">
      <c r="H7804">
        <v>85</v>
      </c>
      <c r="I7804">
        <v>582</v>
      </c>
      <c r="J7804">
        <v>100</v>
      </c>
      <c r="K7804" t="b">
        <v>1</v>
      </c>
    </row>
    <row r="7805" spans="8:11" x14ac:dyDescent="0.25">
      <c r="H7805">
        <v>85</v>
      </c>
      <c r="I7805">
        <v>588</v>
      </c>
      <c r="J7805">
        <v>100</v>
      </c>
      <c r="K7805" t="b">
        <v>1</v>
      </c>
    </row>
    <row r="7806" spans="8:11" x14ac:dyDescent="0.25">
      <c r="H7806">
        <v>85</v>
      </c>
      <c r="I7806">
        <v>594</v>
      </c>
      <c r="J7806">
        <v>100</v>
      </c>
      <c r="K7806" t="b">
        <v>1</v>
      </c>
    </row>
    <row r="7807" spans="8:11" x14ac:dyDescent="0.25">
      <c r="H7807">
        <v>85</v>
      </c>
      <c r="I7807">
        <v>600</v>
      </c>
      <c r="J7807">
        <v>100</v>
      </c>
      <c r="K7807" t="b">
        <v>1</v>
      </c>
    </row>
    <row r="7808" spans="8:11" x14ac:dyDescent="0.25">
      <c r="H7808">
        <v>85</v>
      </c>
      <c r="I7808">
        <v>606</v>
      </c>
      <c r="J7808">
        <v>100</v>
      </c>
      <c r="K7808" t="b">
        <v>1</v>
      </c>
    </row>
    <row r="7809" spans="8:11" x14ac:dyDescent="0.25">
      <c r="H7809">
        <v>85</v>
      </c>
      <c r="I7809">
        <v>612</v>
      </c>
      <c r="J7809">
        <v>100</v>
      </c>
      <c r="K7809" t="b">
        <v>1</v>
      </c>
    </row>
    <row r="7810" spans="8:11" x14ac:dyDescent="0.25">
      <c r="H7810">
        <v>85</v>
      </c>
      <c r="I7810">
        <v>618</v>
      </c>
      <c r="J7810">
        <v>100</v>
      </c>
      <c r="K7810" t="b">
        <v>1</v>
      </c>
    </row>
    <row r="7811" spans="8:11" x14ac:dyDescent="0.25">
      <c r="H7811">
        <v>85</v>
      </c>
      <c r="I7811">
        <v>624</v>
      </c>
      <c r="J7811">
        <v>100</v>
      </c>
      <c r="K7811" t="b">
        <v>1</v>
      </c>
    </row>
    <row r="7812" spans="8:11" x14ac:dyDescent="0.25">
      <c r="H7812">
        <v>85</v>
      </c>
      <c r="I7812">
        <v>630</v>
      </c>
      <c r="J7812">
        <v>100</v>
      </c>
      <c r="K7812" t="b">
        <v>1</v>
      </c>
    </row>
    <row r="7813" spans="8:11" x14ac:dyDescent="0.25">
      <c r="H7813">
        <v>85</v>
      </c>
      <c r="I7813">
        <v>636</v>
      </c>
      <c r="J7813">
        <v>100</v>
      </c>
      <c r="K7813" t="b">
        <v>1</v>
      </c>
    </row>
    <row r="7814" spans="8:11" x14ac:dyDescent="0.25">
      <c r="H7814">
        <v>85</v>
      </c>
      <c r="I7814">
        <v>642</v>
      </c>
      <c r="J7814">
        <v>100</v>
      </c>
      <c r="K7814" t="b">
        <v>1</v>
      </c>
    </row>
    <row r="7815" spans="8:11" x14ac:dyDescent="0.25">
      <c r="H7815">
        <v>85</v>
      </c>
      <c r="I7815">
        <v>648</v>
      </c>
      <c r="J7815">
        <v>100</v>
      </c>
      <c r="K7815" t="b">
        <v>1</v>
      </c>
    </row>
    <row r="7816" spans="8:11" x14ac:dyDescent="0.25">
      <c r="H7816">
        <v>85</v>
      </c>
      <c r="I7816">
        <v>654</v>
      </c>
      <c r="J7816">
        <v>100</v>
      </c>
      <c r="K7816" t="b">
        <v>1</v>
      </c>
    </row>
    <row r="7817" spans="8:11" x14ac:dyDescent="0.25">
      <c r="H7817">
        <v>85</v>
      </c>
      <c r="I7817">
        <v>660</v>
      </c>
      <c r="J7817">
        <v>100</v>
      </c>
      <c r="K7817" t="b">
        <v>1</v>
      </c>
    </row>
    <row r="7818" spans="8:11" x14ac:dyDescent="0.25">
      <c r="H7818">
        <v>85</v>
      </c>
      <c r="I7818">
        <v>666</v>
      </c>
      <c r="J7818">
        <v>100</v>
      </c>
      <c r="K7818" t="b">
        <v>1</v>
      </c>
    </row>
    <row r="7819" spans="8:11" x14ac:dyDescent="0.25">
      <c r="H7819">
        <v>85</v>
      </c>
      <c r="I7819">
        <v>672</v>
      </c>
      <c r="J7819">
        <v>100</v>
      </c>
      <c r="K7819" t="b">
        <v>1</v>
      </c>
    </row>
    <row r="7820" spans="8:11" x14ac:dyDescent="0.25">
      <c r="H7820">
        <v>85</v>
      </c>
      <c r="I7820">
        <v>678</v>
      </c>
      <c r="J7820">
        <v>100</v>
      </c>
      <c r="K7820" t="b">
        <v>1</v>
      </c>
    </row>
    <row r="7821" spans="8:11" x14ac:dyDescent="0.25">
      <c r="H7821">
        <v>85</v>
      </c>
      <c r="I7821">
        <v>684</v>
      </c>
      <c r="J7821">
        <v>100</v>
      </c>
      <c r="K7821" t="b">
        <v>1</v>
      </c>
    </row>
    <row r="7822" spans="8:11" x14ac:dyDescent="0.25">
      <c r="H7822">
        <v>85</v>
      </c>
      <c r="I7822">
        <v>690</v>
      </c>
      <c r="J7822">
        <v>100</v>
      </c>
      <c r="K7822" t="b">
        <v>1</v>
      </c>
    </row>
    <row r="7823" spans="8:11" x14ac:dyDescent="0.25">
      <c r="H7823">
        <v>85</v>
      </c>
      <c r="I7823">
        <v>696</v>
      </c>
      <c r="J7823">
        <v>100</v>
      </c>
      <c r="K7823" t="b">
        <v>1</v>
      </c>
    </row>
    <row r="7824" spans="8:11" x14ac:dyDescent="0.25">
      <c r="H7824">
        <v>85</v>
      </c>
      <c r="I7824">
        <v>702</v>
      </c>
      <c r="J7824">
        <v>100</v>
      </c>
      <c r="K7824" t="b">
        <v>1</v>
      </c>
    </row>
    <row r="7825" spans="8:11" x14ac:dyDescent="0.25">
      <c r="H7825">
        <v>85</v>
      </c>
      <c r="I7825">
        <v>708</v>
      </c>
      <c r="J7825">
        <v>100</v>
      </c>
      <c r="K7825" t="b">
        <v>1</v>
      </c>
    </row>
    <row r="7826" spans="8:11" x14ac:dyDescent="0.25">
      <c r="H7826">
        <v>85</v>
      </c>
      <c r="I7826">
        <v>714</v>
      </c>
      <c r="J7826">
        <v>100</v>
      </c>
      <c r="K7826" t="b">
        <v>1</v>
      </c>
    </row>
    <row r="7827" spans="8:11" x14ac:dyDescent="0.25">
      <c r="H7827">
        <v>85</v>
      </c>
      <c r="I7827">
        <v>720</v>
      </c>
      <c r="J7827">
        <v>100</v>
      </c>
      <c r="K7827" t="b">
        <v>1</v>
      </c>
    </row>
    <row r="7828" spans="8:11" x14ac:dyDescent="0.25">
      <c r="H7828">
        <v>85</v>
      </c>
      <c r="I7828">
        <v>726</v>
      </c>
      <c r="J7828">
        <v>100</v>
      </c>
      <c r="K7828" t="b">
        <v>1</v>
      </c>
    </row>
    <row r="7829" spans="8:11" x14ac:dyDescent="0.25">
      <c r="H7829">
        <v>85</v>
      </c>
      <c r="I7829">
        <v>732</v>
      </c>
      <c r="J7829">
        <v>100</v>
      </c>
      <c r="K7829" t="b">
        <v>1</v>
      </c>
    </row>
    <row r="7830" spans="8:11" x14ac:dyDescent="0.25">
      <c r="H7830">
        <v>85</v>
      </c>
      <c r="I7830">
        <v>738</v>
      </c>
      <c r="J7830">
        <v>100</v>
      </c>
      <c r="K7830" t="b">
        <v>1</v>
      </c>
    </row>
    <row r="7831" spans="8:11" x14ac:dyDescent="0.25">
      <c r="H7831">
        <v>85</v>
      </c>
      <c r="I7831">
        <v>744</v>
      </c>
      <c r="J7831">
        <v>100</v>
      </c>
      <c r="K7831" t="b">
        <v>1</v>
      </c>
    </row>
    <row r="7832" spans="8:11" x14ac:dyDescent="0.25">
      <c r="H7832">
        <v>85</v>
      </c>
      <c r="I7832">
        <v>750</v>
      </c>
      <c r="J7832">
        <v>100</v>
      </c>
      <c r="K7832" t="b">
        <v>1</v>
      </c>
    </row>
    <row r="7833" spans="8:11" x14ac:dyDescent="0.25">
      <c r="H7833">
        <v>85</v>
      </c>
      <c r="I7833">
        <v>756</v>
      </c>
      <c r="J7833">
        <v>100</v>
      </c>
      <c r="K7833" t="b">
        <v>1</v>
      </c>
    </row>
    <row r="7834" spans="8:11" x14ac:dyDescent="0.25">
      <c r="H7834">
        <v>85</v>
      </c>
      <c r="I7834">
        <v>762</v>
      </c>
      <c r="J7834">
        <v>100</v>
      </c>
      <c r="K7834" t="b">
        <v>1</v>
      </c>
    </row>
    <row r="7835" spans="8:11" x14ac:dyDescent="0.25">
      <c r="H7835">
        <v>85</v>
      </c>
      <c r="I7835">
        <v>768</v>
      </c>
      <c r="J7835">
        <v>100</v>
      </c>
      <c r="K7835" t="b">
        <v>1</v>
      </c>
    </row>
    <row r="7836" spans="8:11" x14ac:dyDescent="0.25">
      <c r="H7836">
        <v>85</v>
      </c>
      <c r="I7836">
        <v>774</v>
      </c>
      <c r="J7836">
        <v>100</v>
      </c>
      <c r="K7836" t="b">
        <v>1</v>
      </c>
    </row>
    <row r="7837" spans="8:11" x14ac:dyDescent="0.25">
      <c r="H7837">
        <v>85</v>
      </c>
      <c r="I7837">
        <v>780</v>
      </c>
      <c r="J7837">
        <v>100</v>
      </c>
      <c r="K7837" t="b">
        <v>1</v>
      </c>
    </row>
    <row r="7838" spans="8:11" x14ac:dyDescent="0.25">
      <c r="H7838">
        <v>85</v>
      </c>
      <c r="I7838">
        <v>786</v>
      </c>
      <c r="J7838">
        <v>100</v>
      </c>
      <c r="K7838" t="b">
        <v>1</v>
      </c>
    </row>
    <row r="7839" spans="8:11" x14ac:dyDescent="0.25">
      <c r="H7839">
        <v>85</v>
      </c>
      <c r="I7839">
        <v>792</v>
      </c>
      <c r="J7839">
        <v>100</v>
      </c>
      <c r="K7839" t="b">
        <v>1</v>
      </c>
    </row>
    <row r="7840" spans="8:11" x14ac:dyDescent="0.25">
      <c r="H7840">
        <v>85</v>
      </c>
      <c r="I7840">
        <v>798</v>
      </c>
      <c r="J7840">
        <v>100</v>
      </c>
      <c r="K7840" t="b">
        <v>1</v>
      </c>
    </row>
    <row r="7841" spans="8:11" x14ac:dyDescent="0.25">
      <c r="H7841">
        <v>85</v>
      </c>
      <c r="I7841">
        <v>804</v>
      </c>
      <c r="J7841">
        <v>100</v>
      </c>
      <c r="K7841" t="b">
        <v>1</v>
      </c>
    </row>
    <row r="7842" spans="8:11" x14ac:dyDescent="0.25">
      <c r="H7842">
        <v>85</v>
      </c>
      <c r="I7842">
        <v>810</v>
      </c>
      <c r="J7842">
        <v>100</v>
      </c>
      <c r="K7842" t="b">
        <v>1</v>
      </c>
    </row>
    <row r="7843" spans="8:11" x14ac:dyDescent="0.25">
      <c r="H7843">
        <v>85</v>
      </c>
      <c r="I7843">
        <v>816</v>
      </c>
      <c r="J7843">
        <v>100</v>
      </c>
      <c r="K7843" t="b">
        <v>1</v>
      </c>
    </row>
    <row r="7844" spans="8:11" x14ac:dyDescent="0.25">
      <c r="H7844">
        <v>85</v>
      </c>
      <c r="I7844">
        <v>822</v>
      </c>
      <c r="J7844">
        <v>100</v>
      </c>
      <c r="K7844" t="b">
        <v>1</v>
      </c>
    </row>
    <row r="7845" spans="8:11" x14ac:dyDescent="0.25">
      <c r="H7845">
        <v>85</v>
      </c>
      <c r="I7845">
        <v>828</v>
      </c>
      <c r="J7845">
        <v>100</v>
      </c>
      <c r="K7845" t="b">
        <v>1</v>
      </c>
    </row>
    <row r="7846" spans="8:11" x14ac:dyDescent="0.25">
      <c r="H7846">
        <v>85</v>
      </c>
      <c r="I7846">
        <v>834</v>
      </c>
      <c r="J7846">
        <v>100</v>
      </c>
      <c r="K7846" t="b">
        <v>1</v>
      </c>
    </row>
    <row r="7847" spans="8:11" x14ac:dyDescent="0.25">
      <c r="H7847">
        <v>85</v>
      </c>
      <c r="I7847">
        <v>840</v>
      </c>
      <c r="J7847">
        <v>100</v>
      </c>
      <c r="K7847" t="b">
        <v>1</v>
      </c>
    </row>
    <row r="7848" spans="8:11" x14ac:dyDescent="0.25">
      <c r="H7848">
        <v>85</v>
      </c>
      <c r="I7848">
        <v>846</v>
      </c>
      <c r="J7848">
        <v>100</v>
      </c>
      <c r="K7848" t="b">
        <v>1</v>
      </c>
    </row>
    <row r="7849" spans="8:11" x14ac:dyDescent="0.25">
      <c r="H7849">
        <v>85</v>
      </c>
      <c r="I7849">
        <v>852</v>
      </c>
      <c r="J7849">
        <v>100</v>
      </c>
      <c r="K7849" t="b">
        <v>1</v>
      </c>
    </row>
    <row r="7850" spans="8:11" x14ac:dyDescent="0.25">
      <c r="H7850">
        <v>85</v>
      </c>
      <c r="I7850">
        <v>858</v>
      </c>
      <c r="J7850">
        <v>100</v>
      </c>
      <c r="K7850" t="b">
        <v>1</v>
      </c>
    </row>
    <row r="7851" spans="8:11" x14ac:dyDescent="0.25">
      <c r="H7851">
        <v>85</v>
      </c>
      <c r="I7851">
        <v>864</v>
      </c>
      <c r="J7851">
        <v>100</v>
      </c>
      <c r="K7851" t="b">
        <v>1</v>
      </c>
    </row>
    <row r="7852" spans="8:11" x14ac:dyDescent="0.25">
      <c r="H7852">
        <v>85</v>
      </c>
      <c r="I7852">
        <v>870</v>
      </c>
      <c r="J7852">
        <v>100</v>
      </c>
      <c r="K7852" t="b">
        <v>1</v>
      </c>
    </row>
    <row r="7853" spans="8:11" x14ac:dyDescent="0.25">
      <c r="H7853">
        <v>85</v>
      </c>
      <c r="I7853">
        <v>876</v>
      </c>
      <c r="J7853">
        <v>100</v>
      </c>
      <c r="K7853" t="b">
        <v>1</v>
      </c>
    </row>
    <row r="7854" spans="8:11" x14ac:dyDescent="0.25">
      <c r="H7854">
        <v>85</v>
      </c>
      <c r="I7854">
        <v>882</v>
      </c>
      <c r="J7854">
        <v>100</v>
      </c>
      <c r="K7854" t="b">
        <v>1</v>
      </c>
    </row>
    <row r="7855" spans="8:11" x14ac:dyDescent="0.25">
      <c r="H7855">
        <v>85</v>
      </c>
      <c r="I7855">
        <v>888</v>
      </c>
      <c r="J7855">
        <v>100</v>
      </c>
      <c r="K7855" t="b">
        <v>1</v>
      </c>
    </row>
    <row r="7856" spans="8:11" x14ac:dyDescent="0.25">
      <c r="H7856">
        <v>85</v>
      </c>
      <c r="I7856">
        <v>894</v>
      </c>
      <c r="J7856">
        <v>100</v>
      </c>
      <c r="K7856" t="b">
        <v>1</v>
      </c>
    </row>
    <row r="7857" spans="8:11" x14ac:dyDescent="0.25">
      <c r="H7857">
        <v>85</v>
      </c>
      <c r="I7857">
        <v>900</v>
      </c>
      <c r="J7857">
        <v>100</v>
      </c>
      <c r="K7857" t="b">
        <v>1</v>
      </c>
    </row>
    <row r="7858" spans="8:11" x14ac:dyDescent="0.25">
      <c r="H7858">
        <v>85</v>
      </c>
      <c r="I7858">
        <v>906</v>
      </c>
      <c r="J7858">
        <v>100</v>
      </c>
      <c r="K7858" t="b">
        <v>1</v>
      </c>
    </row>
    <row r="7859" spans="8:11" x14ac:dyDescent="0.25">
      <c r="H7859">
        <v>85</v>
      </c>
      <c r="I7859">
        <v>912</v>
      </c>
      <c r="J7859">
        <v>100</v>
      </c>
      <c r="K7859" t="b">
        <v>1</v>
      </c>
    </row>
    <row r="7860" spans="8:11" x14ac:dyDescent="0.25">
      <c r="H7860">
        <v>85</v>
      </c>
      <c r="I7860">
        <v>918</v>
      </c>
      <c r="J7860">
        <v>100</v>
      </c>
      <c r="K7860" t="b">
        <v>1</v>
      </c>
    </row>
    <row r="7861" spans="8:11" x14ac:dyDescent="0.25">
      <c r="H7861">
        <v>85</v>
      </c>
      <c r="I7861">
        <v>924</v>
      </c>
      <c r="J7861">
        <v>100</v>
      </c>
      <c r="K7861" t="b">
        <v>1</v>
      </c>
    </row>
    <row r="7862" spans="8:11" x14ac:dyDescent="0.25">
      <c r="H7862">
        <v>85</v>
      </c>
      <c r="I7862">
        <v>930</v>
      </c>
      <c r="J7862">
        <v>100</v>
      </c>
      <c r="K7862" t="b">
        <v>1</v>
      </c>
    </row>
    <row r="7863" spans="8:11" x14ac:dyDescent="0.25">
      <c r="H7863">
        <v>85</v>
      </c>
      <c r="I7863">
        <v>936</v>
      </c>
      <c r="J7863">
        <v>100</v>
      </c>
      <c r="K7863" t="b">
        <v>1</v>
      </c>
    </row>
    <row r="7864" spans="8:11" x14ac:dyDescent="0.25">
      <c r="H7864">
        <v>85</v>
      </c>
      <c r="I7864">
        <v>942</v>
      </c>
      <c r="J7864">
        <v>100</v>
      </c>
      <c r="K7864" t="b">
        <v>1</v>
      </c>
    </row>
    <row r="7865" spans="8:11" x14ac:dyDescent="0.25">
      <c r="H7865">
        <v>85</v>
      </c>
      <c r="I7865">
        <v>948</v>
      </c>
      <c r="J7865">
        <v>100</v>
      </c>
      <c r="K7865" t="b">
        <v>1</v>
      </c>
    </row>
    <row r="7866" spans="8:11" x14ac:dyDescent="0.25">
      <c r="H7866">
        <v>85</v>
      </c>
      <c r="I7866">
        <v>954</v>
      </c>
      <c r="J7866">
        <v>100</v>
      </c>
      <c r="K7866" t="b">
        <v>1</v>
      </c>
    </row>
    <row r="7867" spans="8:11" x14ac:dyDescent="0.25">
      <c r="H7867">
        <v>86</v>
      </c>
      <c r="I7867">
        <v>0</v>
      </c>
      <c r="J7867">
        <v>100</v>
      </c>
      <c r="K7867" t="b">
        <v>1</v>
      </c>
    </row>
    <row r="7868" spans="8:11" x14ac:dyDescent="0.25">
      <c r="H7868">
        <v>86</v>
      </c>
      <c r="I7868">
        <v>6</v>
      </c>
      <c r="J7868">
        <v>100</v>
      </c>
      <c r="K7868" t="b">
        <v>1</v>
      </c>
    </row>
    <row r="7869" spans="8:11" x14ac:dyDescent="0.25">
      <c r="H7869">
        <v>86</v>
      </c>
      <c r="I7869">
        <v>12</v>
      </c>
      <c r="J7869">
        <v>100</v>
      </c>
      <c r="K7869" t="b">
        <v>1</v>
      </c>
    </row>
    <row r="7870" spans="8:11" x14ac:dyDescent="0.25">
      <c r="H7870">
        <v>86</v>
      </c>
      <c r="I7870">
        <v>18</v>
      </c>
      <c r="J7870">
        <v>100</v>
      </c>
      <c r="K7870" t="b">
        <v>1</v>
      </c>
    </row>
    <row r="7871" spans="8:11" x14ac:dyDescent="0.25">
      <c r="H7871">
        <v>86</v>
      </c>
      <c r="I7871">
        <v>24</v>
      </c>
      <c r="J7871">
        <v>100</v>
      </c>
      <c r="K7871" t="b">
        <v>1</v>
      </c>
    </row>
    <row r="7872" spans="8:11" x14ac:dyDescent="0.25">
      <c r="H7872">
        <v>86</v>
      </c>
      <c r="I7872">
        <v>30</v>
      </c>
      <c r="J7872">
        <v>100</v>
      </c>
      <c r="K7872" t="b">
        <v>1</v>
      </c>
    </row>
    <row r="7873" spans="8:11" x14ac:dyDescent="0.25">
      <c r="H7873">
        <v>86</v>
      </c>
      <c r="I7873">
        <v>36</v>
      </c>
      <c r="J7873">
        <v>100</v>
      </c>
      <c r="K7873" t="b">
        <v>1</v>
      </c>
    </row>
    <row r="7874" spans="8:11" x14ac:dyDescent="0.25">
      <c r="H7874">
        <v>86</v>
      </c>
      <c r="I7874">
        <v>42</v>
      </c>
      <c r="J7874">
        <v>100</v>
      </c>
      <c r="K7874" t="b">
        <v>1</v>
      </c>
    </row>
    <row r="7875" spans="8:11" x14ac:dyDescent="0.25">
      <c r="H7875">
        <v>86</v>
      </c>
      <c r="I7875">
        <v>48</v>
      </c>
      <c r="J7875">
        <v>100</v>
      </c>
      <c r="K7875" t="b">
        <v>1</v>
      </c>
    </row>
    <row r="7876" spans="8:11" x14ac:dyDescent="0.25">
      <c r="H7876">
        <v>86</v>
      </c>
      <c r="I7876">
        <v>54</v>
      </c>
      <c r="J7876">
        <v>100</v>
      </c>
      <c r="K7876" t="b">
        <v>1</v>
      </c>
    </row>
    <row r="7877" spans="8:11" x14ac:dyDescent="0.25">
      <c r="H7877">
        <v>86</v>
      </c>
      <c r="I7877">
        <v>60</v>
      </c>
      <c r="J7877">
        <v>100</v>
      </c>
      <c r="K7877" t="b">
        <v>1</v>
      </c>
    </row>
    <row r="7878" spans="8:11" x14ac:dyDescent="0.25">
      <c r="H7878">
        <v>86</v>
      </c>
      <c r="I7878">
        <v>66</v>
      </c>
      <c r="J7878">
        <v>100</v>
      </c>
      <c r="K7878" t="b">
        <v>1</v>
      </c>
    </row>
    <row r="7879" spans="8:11" x14ac:dyDescent="0.25">
      <c r="H7879">
        <v>86</v>
      </c>
      <c r="I7879">
        <v>72</v>
      </c>
      <c r="J7879">
        <v>100</v>
      </c>
      <c r="K7879" t="b">
        <v>1</v>
      </c>
    </row>
    <row r="7880" spans="8:11" x14ac:dyDescent="0.25">
      <c r="H7880">
        <v>86</v>
      </c>
      <c r="I7880">
        <v>78</v>
      </c>
      <c r="J7880">
        <v>100</v>
      </c>
      <c r="K7880" t="b">
        <v>1</v>
      </c>
    </row>
    <row r="7881" spans="8:11" x14ac:dyDescent="0.25">
      <c r="H7881">
        <v>86</v>
      </c>
      <c r="I7881">
        <v>84</v>
      </c>
      <c r="J7881">
        <v>100</v>
      </c>
      <c r="K7881" t="b">
        <v>1</v>
      </c>
    </row>
    <row r="7882" spans="8:11" x14ac:dyDescent="0.25">
      <c r="H7882">
        <v>86</v>
      </c>
      <c r="I7882">
        <v>90</v>
      </c>
      <c r="J7882">
        <v>100</v>
      </c>
      <c r="K7882" t="b">
        <v>1</v>
      </c>
    </row>
    <row r="7883" spans="8:11" x14ac:dyDescent="0.25">
      <c r="H7883">
        <v>86</v>
      </c>
      <c r="I7883">
        <v>96</v>
      </c>
      <c r="J7883">
        <v>100</v>
      </c>
      <c r="K7883" t="b">
        <v>1</v>
      </c>
    </row>
    <row r="7884" spans="8:11" x14ac:dyDescent="0.25">
      <c r="H7884">
        <v>86</v>
      </c>
      <c r="I7884">
        <v>102</v>
      </c>
      <c r="J7884">
        <v>100</v>
      </c>
      <c r="K7884" t="b">
        <v>1</v>
      </c>
    </row>
    <row r="7885" spans="8:11" x14ac:dyDescent="0.25">
      <c r="H7885">
        <v>86</v>
      </c>
      <c r="I7885">
        <v>108</v>
      </c>
      <c r="J7885">
        <v>100</v>
      </c>
      <c r="K7885" t="b">
        <v>1</v>
      </c>
    </row>
    <row r="7886" spans="8:11" x14ac:dyDescent="0.25">
      <c r="H7886">
        <v>86</v>
      </c>
      <c r="I7886">
        <v>114</v>
      </c>
      <c r="J7886">
        <v>100</v>
      </c>
      <c r="K7886" t="b">
        <v>1</v>
      </c>
    </row>
    <row r="7887" spans="8:11" x14ac:dyDescent="0.25">
      <c r="H7887">
        <v>86</v>
      </c>
      <c r="I7887">
        <v>120</v>
      </c>
      <c r="J7887">
        <v>100</v>
      </c>
      <c r="K7887" t="b">
        <v>1</v>
      </c>
    </row>
    <row r="7888" spans="8:11" x14ac:dyDescent="0.25">
      <c r="H7888">
        <v>86</v>
      </c>
      <c r="I7888">
        <v>126</v>
      </c>
      <c r="J7888">
        <v>100</v>
      </c>
      <c r="K7888" t="b">
        <v>1</v>
      </c>
    </row>
    <row r="7889" spans="8:11" x14ac:dyDescent="0.25">
      <c r="H7889">
        <v>86</v>
      </c>
      <c r="I7889">
        <v>132</v>
      </c>
      <c r="J7889">
        <v>100</v>
      </c>
      <c r="K7889" t="b">
        <v>1</v>
      </c>
    </row>
    <row r="7890" spans="8:11" x14ac:dyDescent="0.25">
      <c r="H7890">
        <v>86</v>
      </c>
      <c r="I7890">
        <v>138</v>
      </c>
      <c r="J7890">
        <v>100</v>
      </c>
      <c r="K7890" t="b">
        <v>1</v>
      </c>
    </row>
    <row r="7891" spans="8:11" x14ac:dyDescent="0.25">
      <c r="H7891">
        <v>86</v>
      </c>
      <c r="I7891">
        <v>144</v>
      </c>
      <c r="J7891">
        <v>100</v>
      </c>
      <c r="K7891" t="b">
        <v>1</v>
      </c>
    </row>
    <row r="7892" spans="8:11" x14ac:dyDescent="0.25">
      <c r="H7892">
        <v>86</v>
      </c>
      <c r="I7892">
        <v>150</v>
      </c>
      <c r="J7892">
        <v>100</v>
      </c>
      <c r="K7892" t="b">
        <v>1</v>
      </c>
    </row>
    <row r="7893" spans="8:11" x14ac:dyDescent="0.25">
      <c r="H7893">
        <v>86</v>
      </c>
      <c r="I7893">
        <v>156</v>
      </c>
      <c r="J7893">
        <v>100</v>
      </c>
      <c r="K7893" t="b">
        <v>1</v>
      </c>
    </row>
    <row r="7894" spans="8:11" x14ac:dyDescent="0.25">
      <c r="H7894">
        <v>86</v>
      </c>
      <c r="I7894">
        <v>162</v>
      </c>
      <c r="J7894">
        <v>100</v>
      </c>
      <c r="K7894" t="b">
        <v>1</v>
      </c>
    </row>
    <row r="7895" spans="8:11" x14ac:dyDescent="0.25">
      <c r="H7895">
        <v>86</v>
      </c>
      <c r="I7895">
        <v>168</v>
      </c>
      <c r="J7895">
        <v>100</v>
      </c>
      <c r="K7895" t="b">
        <v>1</v>
      </c>
    </row>
    <row r="7896" spans="8:11" x14ac:dyDescent="0.25">
      <c r="H7896">
        <v>86</v>
      </c>
      <c r="I7896">
        <v>174</v>
      </c>
      <c r="J7896">
        <v>100</v>
      </c>
      <c r="K7896" t="b">
        <v>1</v>
      </c>
    </row>
    <row r="7897" spans="8:11" x14ac:dyDescent="0.25">
      <c r="H7897">
        <v>86</v>
      </c>
      <c r="I7897">
        <v>180</v>
      </c>
      <c r="J7897">
        <v>100</v>
      </c>
      <c r="K7897" t="b">
        <v>1</v>
      </c>
    </row>
    <row r="7898" spans="8:11" x14ac:dyDescent="0.25">
      <c r="H7898">
        <v>86</v>
      </c>
      <c r="I7898">
        <v>186</v>
      </c>
      <c r="J7898">
        <v>100</v>
      </c>
      <c r="K7898" t="b">
        <v>1</v>
      </c>
    </row>
    <row r="7899" spans="8:11" x14ac:dyDescent="0.25">
      <c r="H7899">
        <v>86</v>
      </c>
      <c r="I7899">
        <v>192</v>
      </c>
      <c r="J7899">
        <v>100</v>
      </c>
      <c r="K7899" t="b">
        <v>1</v>
      </c>
    </row>
    <row r="7900" spans="8:11" x14ac:dyDescent="0.25">
      <c r="H7900">
        <v>86</v>
      </c>
      <c r="I7900">
        <v>198</v>
      </c>
      <c r="J7900">
        <v>100</v>
      </c>
      <c r="K7900" t="b">
        <v>1</v>
      </c>
    </row>
    <row r="7901" spans="8:11" x14ac:dyDescent="0.25">
      <c r="H7901">
        <v>86</v>
      </c>
      <c r="I7901">
        <v>204</v>
      </c>
      <c r="J7901">
        <v>100</v>
      </c>
      <c r="K7901" t="b">
        <v>1</v>
      </c>
    </row>
    <row r="7902" spans="8:11" x14ac:dyDescent="0.25">
      <c r="H7902">
        <v>86</v>
      </c>
      <c r="I7902">
        <v>210</v>
      </c>
      <c r="J7902">
        <v>100</v>
      </c>
      <c r="K7902" t="b">
        <v>1</v>
      </c>
    </row>
    <row r="7903" spans="8:11" x14ac:dyDescent="0.25">
      <c r="H7903">
        <v>86</v>
      </c>
      <c r="I7903">
        <v>216</v>
      </c>
      <c r="J7903">
        <v>100</v>
      </c>
      <c r="K7903" t="b">
        <v>1</v>
      </c>
    </row>
    <row r="7904" spans="8:11" x14ac:dyDescent="0.25">
      <c r="H7904">
        <v>86</v>
      </c>
      <c r="I7904">
        <v>222</v>
      </c>
      <c r="J7904">
        <v>100</v>
      </c>
      <c r="K7904" t="b">
        <v>1</v>
      </c>
    </row>
    <row r="7905" spans="8:11" x14ac:dyDescent="0.25">
      <c r="H7905">
        <v>86</v>
      </c>
      <c r="I7905">
        <v>228</v>
      </c>
      <c r="J7905">
        <v>100</v>
      </c>
      <c r="K7905" t="b">
        <v>1</v>
      </c>
    </row>
    <row r="7906" spans="8:11" x14ac:dyDescent="0.25">
      <c r="H7906">
        <v>86</v>
      </c>
      <c r="I7906">
        <v>234</v>
      </c>
      <c r="J7906">
        <v>100</v>
      </c>
      <c r="K7906" t="b">
        <v>1</v>
      </c>
    </row>
    <row r="7907" spans="8:11" x14ac:dyDescent="0.25">
      <c r="H7907">
        <v>86</v>
      </c>
      <c r="I7907">
        <v>240</v>
      </c>
      <c r="J7907">
        <v>100</v>
      </c>
      <c r="K7907" t="b">
        <v>1</v>
      </c>
    </row>
    <row r="7908" spans="8:11" x14ac:dyDescent="0.25">
      <c r="H7908">
        <v>86</v>
      </c>
      <c r="I7908">
        <v>246</v>
      </c>
      <c r="J7908">
        <v>100</v>
      </c>
      <c r="K7908" t="b">
        <v>1</v>
      </c>
    </row>
    <row r="7909" spans="8:11" x14ac:dyDescent="0.25">
      <c r="H7909">
        <v>86</v>
      </c>
      <c r="I7909">
        <v>252</v>
      </c>
      <c r="J7909">
        <v>100</v>
      </c>
      <c r="K7909" t="b">
        <v>1</v>
      </c>
    </row>
    <row r="7910" spans="8:11" x14ac:dyDescent="0.25">
      <c r="H7910">
        <v>86</v>
      </c>
      <c r="I7910">
        <v>258</v>
      </c>
      <c r="J7910">
        <v>100</v>
      </c>
      <c r="K7910" t="b">
        <v>1</v>
      </c>
    </row>
    <row r="7911" spans="8:11" x14ac:dyDescent="0.25">
      <c r="H7911">
        <v>86</v>
      </c>
      <c r="I7911">
        <v>264</v>
      </c>
      <c r="J7911">
        <v>100</v>
      </c>
      <c r="K7911" t="b">
        <v>1</v>
      </c>
    </row>
    <row r="7912" spans="8:11" x14ac:dyDescent="0.25">
      <c r="H7912">
        <v>86</v>
      </c>
      <c r="I7912">
        <v>270</v>
      </c>
      <c r="J7912">
        <v>100</v>
      </c>
      <c r="K7912" t="b">
        <v>1</v>
      </c>
    </row>
    <row r="7913" spans="8:11" x14ac:dyDescent="0.25">
      <c r="H7913">
        <v>86</v>
      </c>
      <c r="I7913">
        <v>276</v>
      </c>
      <c r="J7913">
        <v>100</v>
      </c>
      <c r="K7913" t="b">
        <v>1</v>
      </c>
    </row>
    <row r="7914" spans="8:11" x14ac:dyDescent="0.25">
      <c r="H7914">
        <v>86</v>
      </c>
      <c r="I7914">
        <v>282</v>
      </c>
      <c r="J7914">
        <v>100</v>
      </c>
      <c r="K7914" t="b">
        <v>1</v>
      </c>
    </row>
    <row r="7915" spans="8:11" x14ac:dyDescent="0.25">
      <c r="H7915">
        <v>86</v>
      </c>
      <c r="I7915">
        <v>288</v>
      </c>
      <c r="J7915">
        <v>100</v>
      </c>
      <c r="K7915" t="b">
        <v>1</v>
      </c>
    </row>
    <row r="7916" spans="8:11" x14ac:dyDescent="0.25">
      <c r="H7916">
        <v>86</v>
      </c>
      <c r="I7916">
        <v>294</v>
      </c>
      <c r="J7916">
        <v>100</v>
      </c>
      <c r="K7916" t="b">
        <v>1</v>
      </c>
    </row>
    <row r="7917" spans="8:11" x14ac:dyDescent="0.25">
      <c r="H7917">
        <v>86</v>
      </c>
      <c r="I7917">
        <v>300</v>
      </c>
      <c r="J7917">
        <v>100</v>
      </c>
      <c r="K7917" t="b">
        <v>1</v>
      </c>
    </row>
    <row r="7918" spans="8:11" x14ac:dyDescent="0.25">
      <c r="H7918">
        <v>86</v>
      </c>
      <c r="I7918">
        <v>306</v>
      </c>
      <c r="J7918">
        <v>100</v>
      </c>
      <c r="K7918" t="b">
        <v>1</v>
      </c>
    </row>
    <row r="7919" spans="8:11" x14ac:dyDescent="0.25">
      <c r="H7919">
        <v>86</v>
      </c>
      <c r="I7919">
        <v>312</v>
      </c>
      <c r="J7919">
        <v>100</v>
      </c>
      <c r="K7919" t="b">
        <v>1</v>
      </c>
    </row>
    <row r="7920" spans="8:11" x14ac:dyDescent="0.25">
      <c r="H7920">
        <v>86</v>
      </c>
      <c r="I7920">
        <v>318</v>
      </c>
      <c r="J7920">
        <v>100</v>
      </c>
      <c r="K7920" t="b">
        <v>1</v>
      </c>
    </row>
    <row r="7921" spans="8:11" x14ac:dyDescent="0.25">
      <c r="H7921">
        <v>86</v>
      </c>
      <c r="I7921">
        <v>324</v>
      </c>
      <c r="J7921">
        <v>100</v>
      </c>
      <c r="K7921" t="b">
        <v>1</v>
      </c>
    </row>
    <row r="7922" spans="8:11" x14ac:dyDescent="0.25">
      <c r="H7922">
        <v>86</v>
      </c>
      <c r="I7922">
        <v>330</v>
      </c>
      <c r="J7922">
        <v>100</v>
      </c>
      <c r="K7922" t="b">
        <v>1</v>
      </c>
    </row>
    <row r="7923" spans="8:11" x14ac:dyDescent="0.25">
      <c r="H7923">
        <v>86</v>
      </c>
      <c r="I7923">
        <v>336</v>
      </c>
      <c r="J7923">
        <v>100</v>
      </c>
      <c r="K7923" t="b">
        <v>1</v>
      </c>
    </row>
    <row r="7924" spans="8:11" x14ac:dyDescent="0.25">
      <c r="H7924">
        <v>86</v>
      </c>
      <c r="I7924">
        <v>342</v>
      </c>
      <c r="J7924">
        <v>100</v>
      </c>
      <c r="K7924" t="b">
        <v>1</v>
      </c>
    </row>
    <row r="7925" spans="8:11" x14ac:dyDescent="0.25">
      <c r="H7925">
        <v>86</v>
      </c>
      <c r="I7925">
        <v>348</v>
      </c>
      <c r="J7925">
        <v>100</v>
      </c>
      <c r="K7925" t="b">
        <v>1</v>
      </c>
    </row>
    <row r="7926" spans="8:11" x14ac:dyDescent="0.25">
      <c r="H7926">
        <v>86</v>
      </c>
      <c r="I7926">
        <v>354</v>
      </c>
      <c r="J7926">
        <v>100</v>
      </c>
      <c r="K7926" t="b">
        <v>1</v>
      </c>
    </row>
    <row r="7927" spans="8:11" x14ac:dyDescent="0.25">
      <c r="H7927">
        <v>86</v>
      </c>
      <c r="I7927">
        <v>360</v>
      </c>
      <c r="J7927">
        <v>100</v>
      </c>
      <c r="K7927" t="b">
        <v>1</v>
      </c>
    </row>
    <row r="7928" spans="8:11" x14ac:dyDescent="0.25">
      <c r="H7928">
        <v>86</v>
      </c>
      <c r="I7928">
        <v>366</v>
      </c>
      <c r="J7928">
        <v>100</v>
      </c>
      <c r="K7928" t="b">
        <v>1</v>
      </c>
    </row>
    <row r="7929" spans="8:11" x14ac:dyDescent="0.25">
      <c r="H7929">
        <v>86</v>
      </c>
      <c r="I7929">
        <v>372</v>
      </c>
      <c r="J7929">
        <v>100</v>
      </c>
      <c r="K7929" t="b">
        <v>1</v>
      </c>
    </row>
    <row r="7930" spans="8:11" x14ac:dyDescent="0.25">
      <c r="H7930">
        <v>86</v>
      </c>
      <c r="I7930">
        <v>378</v>
      </c>
      <c r="J7930">
        <v>100</v>
      </c>
      <c r="K7930" t="b">
        <v>1</v>
      </c>
    </row>
    <row r="7931" spans="8:11" x14ac:dyDescent="0.25">
      <c r="H7931">
        <v>86</v>
      </c>
      <c r="I7931">
        <v>384</v>
      </c>
      <c r="J7931">
        <v>100</v>
      </c>
      <c r="K7931" t="b">
        <v>1</v>
      </c>
    </row>
    <row r="7932" spans="8:11" x14ac:dyDescent="0.25">
      <c r="H7932">
        <v>86</v>
      </c>
      <c r="I7932">
        <v>390</v>
      </c>
      <c r="J7932">
        <v>100</v>
      </c>
      <c r="K7932" t="b">
        <v>1</v>
      </c>
    </row>
    <row r="7933" spans="8:11" x14ac:dyDescent="0.25">
      <c r="H7933">
        <v>86</v>
      </c>
      <c r="I7933">
        <v>396</v>
      </c>
      <c r="J7933">
        <v>100</v>
      </c>
      <c r="K7933" t="b">
        <v>1</v>
      </c>
    </row>
    <row r="7934" spans="8:11" x14ac:dyDescent="0.25">
      <c r="H7934">
        <v>86</v>
      </c>
      <c r="I7934">
        <v>402</v>
      </c>
      <c r="J7934">
        <v>100</v>
      </c>
      <c r="K7934" t="b">
        <v>1</v>
      </c>
    </row>
    <row r="7935" spans="8:11" x14ac:dyDescent="0.25">
      <c r="H7935">
        <v>86</v>
      </c>
      <c r="I7935">
        <v>408</v>
      </c>
      <c r="J7935">
        <v>100</v>
      </c>
      <c r="K7935" t="b">
        <v>1</v>
      </c>
    </row>
    <row r="7936" spans="8:11" x14ac:dyDescent="0.25">
      <c r="H7936">
        <v>86</v>
      </c>
      <c r="I7936">
        <v>414</v>
      </c>
      <c r="J7936">
        <v>100</v>
      </c>
      <c r="K7936" t="b">
        <v>1</v>
      </c>
    </row>
    <row r="7937" spans="8:11" x14ac:dyDescent="0.25">
      <c r="H7937">
        <v>86</v>
      </c>
      <c r="I7937">
        <v>420</v>
      </c>
      <c r="J7937">
        <v>100</v>
      </c>
      <c r="K7937" t="b">
        <v>1</v>
      </c>
    </row>
    <row r="7938" spans="8:11" x14ac:dyDescent="0.25">
      <c r="H7938">
        <v>86</v>
      </c>
      <c r="I7938">
        <v>426</v>
      </c>
      <c r="J7938">
        <v>100</v>
      </c>
      <c r="K7938" t="b">
        <v>1</v>
      </c>
    </row>
    <row r="7939" spans="8:11" x14ac:dyDescent="0.25">
      <c r="H7939">
        <v>86</v>
      </c>
      <c r="I7939">
        <v>432</v>
      </c>
      <c r="J7939">
        <v>100</v>
      </c>
      <c r="K7939" t="b">
        <v>1</v>
      </c>
    </row>
    <row r="7940" spans="8:11" x14ac:dyDescent="0.25">
      <c r="H7940">
        <v>86</v>
      </c>
      <c r="I7940">
        <v>438</v>
      </c>
      <c r="J7940">
        <v>100</v>
      </c>
      <c r="K7940" t="b">
        <v>1</v>
      </c>
    </row>
    <row r="7941" spans="8:11" x14ac:dyDescent="0.25">
      <c r="H7941">
        <v>86</v>
      </c>
      <c r="I7941">
        <v>444</v>
      </c>
      <c r="J7941">
        <v>100</v>
      </c>
      <c r="K7941" t="b">
        <v>1</v>
      </c>
    </row>
    <row r="7942" spans="8:11" x14ac:dyDescent="0.25">
      <c r="H7942">
        <v>86</v>
      </c>
      <c r="I7942">
        <v>450</v>
      </c>
      <c r="J7942">
        <v>100</v>
      </c>
      <c r="K7942" t="b">
        <v>1</v>
      </c>
    </row>
    <row r="7943" spans="8:11" x14ac:dyDescent="0.25">
      <c r="H7943">
        <v>86</v>
      </c>
      <c r="I7943">
        <v>456</v>
      </c>
      <c r="J7943">
        <v>100</v>
      </c>
      <c r="K7943" t="b">
        <v>1</v>
      </c>
    </row>
    <row r="7944" spans="8:11" x14ac:dyDescent="0.25">
      <c r="H7944">
        <v>86</v>
      </c>
      <c r="I7944">
        <v>462</v>
      </c>
      <c r="J7944">
        <v>100</v>
      </c>
      <c r="K7944" t="b">
        <v>1</v>
      </c>
    </row>
    <row r="7945" spans="8:11" x14ac:dyDescent="0.25">
      <c r="H7945">
        <v>86</v>
      </c>
      <c r="I7945">
        <v>468</v>
      </c>
      <c r="J7945">
        <v>100</v>
      </c>
      <c r="K7945" t="b">
        <v>1</v>
      </c>
    </row>
    <row r="7946" spans="8:11" x14ac:dyDescent="0.25">
      <c r="H7946">
        <v>86</v>
      </c>
      <c r="I7946">
        <v>474</v>
      </c>
      <c r="J7946">
        <v>100</v>
      </c>
      <c r="K7946" t="b">
        <v>1</v>
      </c>
    </row>
    <row r="7947" spans="8:11" x14ac:dyDescent="0.25">
      <c r="H7947">
        <v>86</v>
      </c>
      <c r="I7947">
        <v>480</v>
      </c>
      <c r="J7947">
        <v>100</v>
      </c>
      <c r="K7947" t="b">
        <v>1</v>
      </c>
    </row>
    <row r="7948" spans="8:11" x14ac:dyDescent="0.25">
      <c r="H7948">
        <v>86</v>
      </c>
      <c r="I7948">
        <v>486</v>
      </c>
      <c r="J7948">
        <v>100</v>
      </c>
      <c r="K7948" t="b">
        <v>1</v>
      </c>
    </row>
    <row r="7949" spans="8:11" x14ac:dyDescent="0.25">
      <c r="H7949">
        <v>86</v>
      </c>
      <c r="I7949">
        <v>492</v>
      </c>
      <c r="J7949">
        <v>100</v>
      </c>
      <c r="K7949" t="b">
        <v>1</v>
      </c>
    </row>
    <row r="7950" spans="8:11" x14ac:dyDescent="0.25">
      <c r="H7950">
        <v>86</v>
      </c>
      <c r="I7950">
        <v>498</v>
      </c>
      <c r="J7950">
        <v>100</v>
      </c>
      <c r="K7950" t="b">
        <v>1</v>
      </c>
    </row>
    <row r="7951" spans="8:11" x14ac:dyDescent="0.25">
      <c r="H7951">
        <v>86</v>
      </c>
      <c r="I7951">
        <v>504</v>
      </c>
      <c r="J7951">
        <v>100</v>
      </c>
      <c r="K7951" t="b">
        <v>1</v>
      </c>
    </row>
    <row r="7952" spans="8:11" x14ac:dyDescent="0.25">
      <c r="H7952">
        <v>86</v>
      </c>
      <c r="I7952">
        <v>510</v>
      </c>
      <c r="J7952">
        <v>100</v>
      </c>
      <c r="K7952" t="b">
        <v>1</v>
      </c>
    </row>
    <row r="7953" spans="8:11" x14ac:dyDescent="0.25">
      <c r="H7953">
        <v>86</v>
      </c>
      <c r="I7953">
        <v>516</v>
      </c>
      <c r="J7953">
        <v>100</v>
      </c>
      <c r="K7953" t="b">
        <v>1</v>
      </c>
    </row>
    <row r="7954" spans="8:11" x14ac:dyDescent="0.25">
      <c r="H7954">
        <v>86</v>
      </c>
      <c r="I7954">
        <v>522</v>
      </c>
      <c r="J7954">
        <v>100</v>
      </c>
      <c r="K7954" t="b">
        <v>1</v>
      </c>
    </row>
    <row r="7955" spans="8:11" x14ac:dyDescent="0.25">
      <c r="H7955">
        <v>86</v>
      </c>
      <c r="I7955">
        <v>528</v>
      </c>
      <c r="J7955">
        <v>100</v>
      </c>
      <c r="K7955" t="b">
        <v>1</v>
      </c>
    </row>
    <row r="7956" spans="8:11" x14ac:dyDescent="0.25">
      <c r="H7956">
        <v>86</v>
      </c>
      <c r="I7956">
        <v>534</v>
      </c>
      <c r="J7956">
        <v>100</v>
      </c>
      <c r="K7956" t="b">
        <v>1</v>
      </c>
    </row>
    <row r="7957" spans="8:11" x14ac:dyDescent="0.25">
      <c r="H7957">
        <v>86</v>
      </c>
      <c r="I7957">
        <v>540</v>
      </c>
      <c r="J7957">
        <v>100</v>
      </c>
      <c r="K7957" t="b">
        <v>1</v>
      </c>
    </row>
    <row r="7958" spans="8:11" x14ac:dyDescent="0.25">
      <c r="H7958">
        <v>86</v>
      </c>
      <c r="I7958">
        <v>546</v>
      </c>
      <c r="J7958">
        <v>100</v>
      </c>
      <c r="K7958" t="b">
        <v>1</v>
      </c>
    </row>
    <row r="7959" spans="8:11" x14ac:dyDescent="0.25">
      <c r="H7959">
        <v>86</v>
      </c>
      <c r="I7959">
        <v>552</v>
      </c>
      <c r="J7959">
        <v>100</v>
      </c>
      <c r="K7959" t="b">
        <v>1</v>
      </c>
    </row>
    <row r="7960" spans="8:11" x14ac:dyDescent="0.25">
      <c r="H7960">
        <v>86</v>
      </c>
      <c r="I7960">
        <v>558</v>
      </c>
      <c r="J7960">
        <v>100</v>
      </c>
      <c r="K7960" t="b">
        <v>1</v>
      </c>
    </row>
    <row r="7961" spans="8:11" x14ac:dyDescent="0.25">
      <c r="H7961">
        <v>86</v>
      </c>
      <c r="I7961">
        <v>564</v>
      </c>
      <c r="J7961">
        <v>100</v>
      </c>
      <c r="K7961" t="b">
        <v>1</v>
      </c>
    </row>
    <row r="7962" spans="8:11" x14ac:dyDescent="0.25">
      <c r="H7962">
        <v>86</v>
      </c>
      <c r="I7962">
        <v>570</v>
      </c>
      <c r="J7962">
        <v>100</v>
      </c>
      <c r="K7962" t="b">
        <v>1</v>
      </c>
    </row>
    <row r="7963" spans="8:11" x14ac:dyDescent="0.25">
      <c r="H7963">
        <v>86</v>
      </c>
      <c r="I7963">
        <v>576</v>
      </c>
      <c r="J7963">
        <v>100</v>
      </c>
      <c r="K7963" t="b">
        <v>1</v>
      </c>
    </row>
    <row r="7964" spans="8:11" x14ac:dyDescent="0.25">
      <c r="H7964">
        <v>86</v>
      </c>
      <c r="I7964">
        <v>582</v>
      </c>
      <c r="J7964">
        <v>100</v>
      </c>
      <c r="K7964" t="b">
        <v>1</v>
      </c>
    </row>
    <row r="7965" spans="8:11" x14ac:dyDescent="0.25">
      <c r="H7965">
        <v>86</v>
      </c>
      <c r="I7965">
        <v>588</v>
      </c>
      <c r="J7965">
        <v>100</v>
      </c>
      <c r="K7965" t="b">
        <v>1</v>
      </c>
    </row>
    <row r="7966" spans="8:11" x14ac:dyDescent="0.25">
      <c r="H7966">
        <v>86</v>
      </c>
      <c r="I7966">
        <v>594</v>
      </c>
      <c r="J7966">
        <v>100</v>
      </c>
      <c r="K7966" t="b">
        <v>1</v>
      </c>
    </row>
    <row r="7967" spans="8:11" x14ac:dyDescent="0.25">
      <c r="H7967">
        <v>86</v>
      </c>
      <c r="I7967">
        <v>600</v>
      </c>
      <c r="J7967">
        <v>100</v>
      </c>
      <c r="K7967" t="b">
        <v>1</v>
      </c>
    </row>
    <row r="7968" spans="8:11" x14ac:dyDescent="0.25">
      <c r="H7968">
        <v>86</v>
      </c>
      <c r="I7968">
        <v>606</v>
      </c>
      <c r="J7968">
        <v>100</v>
      </c>
      <c r="K7968" t="b">
        <v>1</v>
      </c>
    </row>
    <row r="7969" spans="8:11" x14ac:dyDescent="0.25">
      <c r="H7969">
        <v>86</v>
      </c>
      <c r="I7969">
        <v>612</v>
      </c>
      <c r="J7969">
        <v>100</v>
      </c>
      <c r="K7969" t="b">
        <v>1</v>
      </c>
    </row>
    <row r="7970" spans="8:11" x14ac:dyDescent="0.25">
      <c r="H7970">
        <v>86</v>
      </c>
      <c r="I7970">
        <v>618</v>
      </c>
      <c r="J7970">
        <v>100</v>
      </c>
      <c r="K7970" t="b">
        <v>1</v>
      </c>
    </row>
    <row r="7971" spans="8:11" x14ac:dyDescent="0.25">
      <c r="H7971">
        <v>86</v>
      </c>
      <c r="I7971">
        <v>624</v>
      </c>
      <c r="J7971">
        <v>100</v>
      </c>
      <c r="K7971" t="b">
        <v>1</v>
      </c>
    </row>
    <row r="7972" spans="8:11" x14ac:dyDescent="0.25">
      <c r="H7972">
        <v>86</v>
      </c>
      <c r="I7972">
        <v>630</v>
      </c>
      <c r="J7972">
        <v>100</v>
      </c>
      <c r="K7972" t="b">
        <v>1</v>
      </c>
    </row>
    <row r="7973" spans="8:11" x14ac:dyDescent="0.25">
      <c r="H7973">
        <v>86</v>
      </c>
      <c r="I7973">
        <v>636</v>
      </c>
      <c r="J7973">
        <v>100</v>
      </c>
      <c r="K7973" t="b">
        <v>1</v>
      </c>
    </row>
    <row r="7974" spans="8:11" x14ac:dyDescent="0.25">
      <c r="H7974">
        <v>86</v>
      </c>
      <c r="I7974">
        <v>642</v>
      </c>
      <c r="J7974">
        <v>100</v>
      </c>
      <c r="K7974" t="b">
        <v>1</v>
      </c>
    </row>
    <row r="7975" spans="8:11" x14ac:dyDescent="0.25">
      <c r="H7975">
        <v>86</v>
      </c>
      <c r="I7975">
        <v>648</v>
      </c>
      <c r="J7975">
        <v>100</v>
      </c>
      <c r="K7975" t="b">
        <v>1</v>
      </c>
    </row>
    <row r="7976" spans="8:11" x14ac:dyDescent="0.25">
      <c r="H7976">
        <v>86</v>
      </c>
      <c r="I7976">
        <v>654</v>
      </c>
      <c r="J7976">
        <v>100</v>
      </c>
      <c r="K7976" t="b">
        <v>1</v>
      </c>
    </row>
    <row r="7977" spans="8:11" x14ac:dyDescent="0.25">
      <c r="H7977">
        <v>86</v>
      </c>
      <c r="I7977">
        <v>660</v>
      </c>
      <c r="J7977">
        <v>100</v>
      </c>
      <c r="K7977" t="b">
        <v>1</v>
      </c>
    </row>
    <row r="7978" spans="8:11" x14ac:dyDescent="0.25">
      <c r="H7978">
        <v>86</v>
      </c>
      <c r="I7978">
        <v>666</v>
      </c>
      <c r="J7978">
        <v>100</v>
      </c>
      <c r="K7978" t="b">
        <v>1</v>
      </c>
    </row>
    <row r="7979" spans="8:11" x14ac:dyDescent="0.25">
      <c r="H7979">
        <v>86</v>
      </c>
      <c r="I7979">
        <v>672</v>
      </c>
      <c r="J7979">
        <v>100</v>
      </c>
      <c r="K7979" t="b">
        <v>1</v>
      </c>
    </row>
    <row r="7980" spans="8:11" x14ac:dyDescent="0.25">
      <c r="H7980">
        <v>86</v>
      </c>
      <c r="I7980">
        <v>678</v>
      </c>
      <c r="J7980">
        <v>100</v>
      </c>
      <c r="K7980" t="b">
        <v>1</v>
      </c>
    </row>
    <row r="7981" spans="8:11" x14ac:dyDescent="0.25">
      <c r="H7981">
        <v>86</v>
      </c>
      <c r="I7981">
        <v>684</v>
      </c>
      <c r="J7981">
        <v>100</v>
      </c>
      <c r="K7981" t="b">
        <v>1</v>
      </c>
    </row>
    <row r="7982" spans="8:11" x14ac:dyDescent="0.25">
      <c r="H7982">
        <v>86</v>
      </c>
      <c r="I7982">
        <v>690</v>
      </c>
      <c r="J7982">
        <v>100</v>
      </c>
      <c r="K7982" t="b">
        <v>1</v>
      </c>
    </row>
    <row r="7983" spans="8:11" x14ac:dyDescent="0.25">
      <c r="H7983">
        <v>86</v>
      </c>
      <c r="I7983">
        <v>696</v>
      </c>
      <c r="J7983">
        <v>100</v>
      </c>
      <c r="K7983" t="b">
        <v>1</v>
      </c>
    </row>
    <row r="7984" spans="8:11" x14ac:dyDescent="0.25">
      <c r="H7984">
        <v>86</v>
      </c>
      <c r="I7984">
        <v>702</v>
      </c>
      <c r="J7984">
        <v>100</v>
      </c>
      <c r="K7984" t="b">
        <v>1</v>
      </c>
    </row>
    <row r="7985" spans="8:11" x14ac:dyDescent="0.25">
      <c r="H7985">
        <v>86</v>
      </c>
      <c r="I7985">
        <v>708</v>
      </c>
      <c r="J7985">
        <v>100</v>
      </c>
      <c r="K7985" t="b">
        <v>1</v>
      </c>
    </row>
    <row r="7986" spans="8:11" x14ac:dyDescent="0.25">
      <c r="H7986">
        <v>86</v>
      </c>
      <c r="I7986">
        <v>714</v>
      </c>
      <c r="J7986">
        <v>100</v>
      </c>
      <c r="K7986" t="b">
        <v>1</v>
      </c>
    </row>
    <row r="7987" spans="8:11" x14ac:dyDescent="0.25">
      <c r="H7987">
        <v>86</v>
      </c>
      <c r="I7987">
        <v>720</v>
      </c>
      <c r="J7987">
        <v>100</v>
      </c>
      <c r="K7987" t="b">
        <v>1</v>
      </c>
    </row>
    <row r="7988" spans="8:11" x14ac:dyDescent="0.25">
      <c r="H7988">
        <v>86</v>
      </c>
      <c r="I7988">
        <v>726</v>
      </c>
      <c r="J7988">
        <v>100</v>
      </c>
      <c r="K7988" t="b">
        <v>1</v>
      </c>
    </row>
    <row r="7989" spans="8:11" x14ac:dyDescent="0.25">
      <c r="H7989">
        <v>86</v>
      </c>
      <c r="I7989">
        <v>732</v>
      </c>
      <c r="J7989">
        <v>100</v>
      </c>
      <c r="K7989" t="b">
        <v>1</v>
      </c>
    </row>
    <row r="7990" spans="8:11" x14ac:dyDescent="0.25">
      <c r="H7990">
        <v>86</v>
      </c>
      <c r="I7990">
        <v>738</v>
      </c>
      <c r="J7990">
        <v>100</v>
      </c>
      <c r="K7990" t="b">
        <v>1</v>
      </c>
    </row>
    <row r="7991" spans="8:11" x14ac:dyDescent="0.25">
      <c r="H7991">
        <v>86</v>
      </c>
      <c r="I7991">
        <v>744</v>
      </c>
      <c r="J7991">
        <v>100</v>
      </c>
      <c r="K7991" t="b">
        <v>1</v>
      </c>
    </row>
    <row r="7992" spans="8:11" x14ac:dyDescent="0.25">
      <c r="H7992">
        <v>86</v>
      </c>
      <c r="I7992">
        <v>750</v>
      </c>
      <c r="J7992">
        <v>100</v>
      </c>
      <c r="K7992" t="b">
        <v>1</v>
      </c>
    </row>
    <row r="7993" spans="8:11" x14ac:dyDescent="0.25">
      <c r="H7993">
        <v>86</v>
      </c>
      <c r="I7993">
        <v>756</v>
      </c>
      <c r="J7993">
        <v>100</v>
      </c>
      <c r="K7993" t="b">
        <v>1</v>
      </c>
    </row>
    <row r="7994" spans="8:11" x14ac:dyDescent="0.25">
      <c r="H7994">
        <v>86</v>
      </c>
      <c r="I7994">
        <v>762</v>
      </c>
      <c r="J7994">
        <v>100</v>
      </c>
      <c r="K7994" t="b">
        <v>1</v>
      </c>
    </row>
    <row r="7995" spans="8:11" x14ac:dyDescent="0.25">
      <c r="H7995">
        <v>86</v>
      </c>
      <c r="I7995">
        <v>768</v>
      </c>
      <c r="J7995">
        <v>100</v>
      </c>
      <c r="K7995" t="b">
        <v>1</v>
      </c>
    </row>
    <row r="7996" spans="8:11" x14ac:dyDescent="0.25">
      <c r="H7996">
        <v>86</v>
      </c>
      <c r="I7996">
        <v>774</v>
      </c>
      <c r="J7996">
        <v>100</v>
      </c>
      <c r="K7996" t="b">
        <v>1</v>
      </c>
    </row>
    <row r="7997" spans="8:11" x14ac:dyDescent="0.25">
      <c r="H7997">
        <v>86</v>
      </c>
      <c r="I7997">
        <v>780</v>
      </c>
      <c r="J7997">
        <v>100</v>
      </c>
      <c r="K7997" t="b">
        <v>1</v>
      </c>
    </row>
    <row r="7998" spans="8:11" x14ac:dyDescent="0.25">
      <c r="H7998">
        <v>86</v>
      </c>
      <c r="I7998">
        <v>786</v>
      </c>
      <c r="J7998">
        <v>100</v>
      </c>
      <c r="K7998" t="b">
        <v>1</v>
      </c>
    </row>
    <row r="7999" spans="8:11" x14ac:dyDescent="0.25">
      <c r="H7999">
        <v>86</v>
      </c>
      <c r="I7999">
        <v>792</v>
      </c>
      <c r="J7999">
        <v>100</v>
      </c>
      <c r="K7999" t="b">
        <v>1</v>
      </c>
    </row>
    <row r="8000" spans="8:11" x14ac:dyDescent="0.25">
      <c r="H8000">
        <v>86</v>
      </c>
      <c r="I8000">
        <v>798</v>
      </c>
      <c r="J8000">
        <v>100</v>
      </c>
      <c r="K8000" t="b">
        <v>1</v>
      </c>
    </row>
    <row r="8001" spans="8:11" x14ac:dyDescent="0.25">
      <c r="H8001">
        <v>86</v>
      </c>
      <c r="I8001">
        <v>804</v>
      </c>
      <c r="J8001">
        <v>100</v>
      </c>
      <c r="K8001" t="b">
        <v>1</v>
      </c>
    </row>
    <row r="8002" spans="8:11" x14ac:dyDescent="0.25">
      <c r="H8002">
        <v>86</v>
      </c>
      <c r="I8002">
        <v>810</v>
      </c>
      <c r="J8002">
        <v>100</v>
      </c>
      <c r="K8002" t="b">
        <v>1</v>
      </c>
    </row>
    <row r="8003" spans="8:11" x14ac:dyDescent="0.25">
      <c r="H8003">
        <v>86</v>
      </c>
      <c r="I8003">
        <v>816</v>
      </c>
      <c r="J8003">
        <v>100</v>
      </c>
      <c r="K8003" t="b">
        <v>1</v>
      </c>
    </row>
    <row r="8004" spans="8:11" x14ac:dyDescent="0.25">
      <c r="H8004">
        <v>86</v>
      </c>
      <c r="I8004">
        <v>822</v>
      </c>
      <c r="J8004">
        <v>100</v>
      </c>
      <c r="K8004" t="b">
        <v>1</v>
      </c>
    </row>
    <row r="8005" spans="8:11" x14ac:dyDescent="0.25">
      <c r="H8005">
        <v>86</v>
      </c>
      <c r="I8005">
        <v>828</v>
      </c>
      <c r="J8005">
        <v>100</v>
      </c>
      <c r="K8005" t="b">
        <v>1</v>
      </c>
    </row>
    <row r="8006" spans="8:11" x14ac:dyDescent="0.25">
      <c r="H8006">
        <v>86</v>
      </c>
      <c r="I8006">
        <v>834</v>
      </c>
      <c r="J8006">
        <v>100</v>
      </c>
      <c r="K8006" t="b">
        <v>1</v>
      </c>
    </row>
    <row r="8007" spans="8:11" x14ac:dyDescent="0.25">
      <c r="H8007">
        <v>86</v>
      </c>
      <c r="I8007">
        <v>840</v>
      </c>
      <c r="J8007">
        <v>100</v>
      </c>
      <c r="K8007" t="b">
        <v>1</v>
      </c>
    </row>
    <row r="8008" spans="8:11" x14ac:dyDescent="0.25">
      <c r="H8008">
        <v>86</v>
      </c>
      <c r="I8008">
        <v>846</v>
      </c>
      <c r="J8008">
        <v>100</v>
      </c>
      <c r="K8008" t="b">
        <v>1</v>
      </c>
    </row>
    <row r="8009" spans="8:11" x14ac:dyDescent="0.25">
      <c r="H8009">
        <v>86</v>
      </c>
      <c r="I8009">
        <v>852</v>
      </c>
      <c r="J8009">
        <v>100</v>
      </c>
      <c r="K8009" t="b">
        <v>1</v>
      </c>
    </row>
    <row r="8010" spans="8:11" x14ac:dyDescent="0.25">
      <c r="H8010">
        <v>86</v>
      </c>
      <c r="I8010">
        <v>858</v>
      </c>
      <c r="J8010">
        <v>100</v>
      </c>
      <c r="K8010" t="b">
        <v>1</v>
      </c>
    </row>
    <row r="8011" spans="8:11" x14ac:dyDescent="0.25">
      <c r="H8011">
        <v>86</v>
      </c>
      <c r="I8011">
        <v>864</v>
      </c>
      <c r="J8011">
        <v>100</v>
      </c>
      <c r="K8011" t="b">
        <v>1</v>
      </c>
    </row>
    <row r="8012" spans="8:11" x14ac:dyDescent="0.25">
      <c r="H8012">
        <v>86</v>
      </c>
      <c r="I8012">
        <v>870</v>
      </c>
      <c r="J8012">
        <v>100</v>
      </c>
      <c r="K8012" t="b">
        <v>1</v>
      </c>
    </row>
    <row r="8013" spans="8:11" x14ac:dyDescent="0.25">
      <c r="H8013">
        <v>86</v>
      </c>
      <c r="I8013">
        <v>876</v>
      </c>
      <c r="J8013">
        <v>100</v>
      </c>
      <c r="K8013" t="b">
        <v>1</v>
      </c>
    </row>
    <row r="8014" spans="8:11" x14ac:dyDescent="0.25">
      <c r="H8014">
        <v>86</v>
      </c>
      <c r="I8014">
        <v>882</v>
      </c>
      <c r="J8014">
        <v>100</v>
      </c>
      <c r="K8014" t="b">
        <v>1</v>
      </c>
    </row>
    <row r="8015" spans="8:11" x14ac:dyDescent="0.25">
      <c r="H8015">
        <v>86</v>
      </c>
      <c r="I8015">
        <v>888</v>
      </c>
      <c r="J8015">
        <v>100</v>
      </c>
      <c r="K8015" t="b">
        <v>1</v>
      </c>
    </row>
    <row r="8016" spans="8:11" x14ac:dyDescent="0.25">
      <c r="H8016">
        <v>86</v>
      </c>
      <c r="I8016">
        <v>894</v>
      </c>
      <c r="J8016">
        <v>100</v>
      </c>
      <c r="K8016" t="b">
        <v>1</v>
      </c>
    </row>
    <row r="8017" spans="8:11" x14ac:dyDescent="0.25">
      <c r="H8017">
        <v>86</v>
      </c>
      <c r="I8017">
        <v>900</v>
      </c>
      <c r="J8017">
        <v>100</v>
      </c>
      <c r="K8017" t="b">
        <v>1</v>
      </c>
    </row>
    <row r="8018" spans="8:11" x14ac:dyDescent="0.25">
      <c r="H8018">
        <v>86</v>
      </c>
      <c r="I8018">
        <v>906</v>
      </c>
      <c r="J8018">
        <v>100</v>
      </c>
      <c r="K8018" t="b">
        <v>1</v>
      </c>
    </row>
    <row r="8019" spans="8:11" x14ac:dyDescent="0.25">
      <c r="H8019">
        <v>86</v>
      </c>
      <c r="I8019">
        <v>912</v>
      </c>
      <c r="J8019">
        <v>100</v>
      </c>
      <c r="K8019" t="b">
        <v>1</v>
      </c>
    </row>
    <row r="8020" spans="8:11" x14ac:dyDescent="0.25">
      <c r="H8020">
        <v>86</v>
      </c>
      <c r="I8020">
        <v>918</v>
      </c>
      <c r="J8020">
        <v>100</v>
      </c>
      <c r="K8020" t="b">
        <v>1</v>
      </c>
    </row>
    <row r="8021" spans="8:11" x14ac:dyDescent="0.25">
      <c r="H8021">
        <v>86</v>
      </c>
      <c r="I8021">
        <v>924</v>
      </c>
      <c r="J8021">
        <v>100</v>
      </c>
      <c r="K8021" t="b">
        <v>1</v>
      </c>
    </row>
    <row r="8022" spans="8:11" x14ac:dyDescent="0.25">
      <c r="H8022">
        <v>86</v>
      </c>
      <c r="I8022">
        <v>930</v>
      </c>
      <c r="J8022">
        <v>100</v>
      </c>
      <c r="K8022" t="b">
        <v>1</v>
      </c>
    </row>
    <row r="8023" spans="8:11" x14ac:dyDescent="0.25">
      <c r="H8023">
        <v>86</v>
      </c>
      <c r="I8023">
        <v>936</v>
      </c>
      <c r="J8023">
        <v>100</v>
      </c>
      <c r="K8023" t="b">
        <v>1</v>
      </c>
    </row>
    <row r="8024" spans="8:11" x14ac:dyDescent="0.25">
      <c r="H8024">
        <v>86</v>
      </c>
      <c r="I8024">
        <v>942</v>
      </c>
      <c r="J8024">
        <v>100</v>
      </c>
      <c r="K8024" t="b">
        <v>1</v>
      </c>
    </row>
    <row r="8025" spans="8:11" x14ac:dyDescent="0.25">
      <c r="H8025">
        <v>86</v>
      </c>
      <c r="I8025">
        <v>948</v>
      </c>
      <c r="J8025">
        <v>100</v>
      </c>
      <c r="K8025" t="b">
        <v>1</v>
      </c>
    </row>
    <row r="8026" spans="8:11" x14ac:dyDescent="0.25">
      <c r="H8026">
        <v>86</v>
      </c>
      <c r="I8026">
        <v>954</v>
      </c>
      <c r="J8026">
        <v>100</v>
      </c>
      <c r="K8026" t="b">
        <v>1</v>
      </c>
    </row>
    <row r="8027" spans="8:11" x14ac:dyDescent="0.25">
      <c r="H8027">
        <v>87</v>
      </c>
      <c r="I8027">
        <v>0</v>
      </c>
      <c r="J8027">
        <v>55</v>
      </c>
      <c r="K8027" t="b">
        <v>1</v>
      </c>
    </row>
    <row r="8028" spans="8:11" x14ac:dyDescent="0.25">
      <c r="H8028">
        <v>87</v>
      </c>
      <c r="I8028">
        <v>62</v>
      </c>
      <c r="J8028">
        <v>55</v>
      </c>
      <c r="K8028" t="b">
        <v>1</v>
      </c>
    </row>
    <row r="8029" spans="8:11" x14ac:dyDescent="0.25">
      <c r="H8029">
        <v>87</v>
      </c>
      <c r="I8029">
        <v>124</v>
      </c>
      <c r="J8029">
        <v>55</v>
      </c>
      <c r="K8029" t="b">
        <v>1</v>
      </c>
    </row>
    <row r="8030" spans="8:11" x14ac:dyDescent="0.25">
      <c r="H8030">
        <v>87</v>
      </c>
      <c r="I8030">
        <v>186</v>
      </c>
      <c r="J8030">
        <v>55</v>
      </c>
      <c r="K8030" t="b">
        <v>1</v>
      </c>
    </row>
    <row r="8031" spans="8:11" x14ac:dyDescent="0.25">
      <c r="H8031">
        <v>87</v>
      </c>
      <c r="I8031">
        <v>248</v>
      </c>
      <c r="J8031">
        <v>55</v>
      </c>
      <c r="K8031" t="b">
        <v>1</v>
      </c>
    </row>
    <row r="8032" spans="8:11" x14ac:dyDescent="0.25">
      <c r="H8032">
        <v>87</v>
      </c>
      <c r="I8032">
        <v>310</v>
      </c>
      <c r="J8032">
        <v>55</v>
      </c>
      <c r="K8032" t="b">
        <v>1</v>
      </c>
    </row>
    <row r="8033" spans="8:11" x14ac:dyDescent="0.25">
      <c r="H8033">
        <v>87</v>
      </c>
      <c r="I8033">
        <v>372</v>
      </c>
      <c r="J8033">
        <v>55</v>
      </c>
      <c r="K8033" t="b">
        <v>1</v>
      </c>
    </row>
    <row r="8034" spans="8:11" x14ac:dyDescent="0.25">
      <c r="H8034">
        <v>87</v>
      </c>
      <c r="I8034">
        <v>434</v>
      </c>
      <c r="J8034">
        <v>55</v>
      </c>
      <c r="K8034" t="b">
        <v>1</v>
      </c>
    </row>
    <row r="8035" spans="8:11" x14ac:dyDescent="0.25">
      <c r="H8035">
        <v>87</v>
      </c>
      <c r="I8035">
        <v>496</v>
      </c>
      <c r="J8035">
        <v>55</v>
      </c>
      <c r="K8035" t="b">
        <v>1</v>
      </c>
    </row>
    <row r="8036" spans="8:11" x14ac:dyDescent="0.25">
      <c r="H8036">
        <v>87</v>
      </c>
      <c r="I8036">
        <v>558</v>
      </c>
      <c r="J8036">
        <v>55</v>
      </c>
      <c r="K8036" t="b">
        <v>1</v>
      </c>
    </row>
    <row r="8037" spans="8:11" x14ac:dyDescent="0.25">
      <c r="H8037">
        <v>87</v>
      </c>
      <c r="I8037">
        <v>620</v>
      </c>
      <c r="J8037">
        <v>55</v>
      </c>
      <c r="K8037" t="b">
        <v>1</v>
      </c>
    </row>
    <row r="8038" spans="8:11" x14ac:dyDescent="0.25">
      <c r="H8038">
        <v>87</v>
      </c>
      <c r="I8038">
        <v>682</v>
      </c>
      <c r="J8038">
        <v>55</v>
      </c>
      <c r="K8038" t="b">
        <v>1</v>
      </c>
    </row>
    <row r="8039" spans="8:11" x14ac:dyDescent="0.25">
      <c r="H8039">
        <v>87</v>
      </c>
      <c r="I8039">
        <v>744</v>
      </c>
      <c r="J8039">
        <v>55</v>
      </c>
      <c r="K8039" t="b">
        <v>1</v>
      </c>
    </row>
    <row r="8040" spans="8:11" x14ac:dyDescent="0.25">
      <c r="H8040">
        <v>87</v>
      </c>
      <c r="I8040">
        <v>806</v>
      </c>
      <c r="J8040">
        <v>55</v>
      </c>
      <c r="K8040" t="b">
        <v>1</v>
      </c>
    </row>
    <row r="8041" spans="8:11" x14ac:dyDescent="0.25">
      <c r="H8041">
        <v>87</v>
      </c>
      <c r="I8041">
        <v>868</v>
      </c>
      <c r="J8041">
        <v>55</v>
      </c>
      <c r="K8041" t="b">
        <v>1</v>
      </c>
    </row>
    <row r="8042" spans="8:11" x14ac:dyDescent="0.25">
      <c r="H8042">
        <v>88</v>
      </c>
      <c r="I8042">
        <v>0</v>
      </c>
      <c r="J8042">
        <v>55</v>
      </c>
      <c r="K8042" t="b">
        <v>1</v>
      </c>
    </row>
    <row r="8043" spans="8:11" x14ac:dyDescent="0.25">
      <c r="H8043">
        <v>88</v>
      </c>
      <c r="I8043">
        <v>62</v>
      </c>
      <c r="J8043">
        <v>55</v>
      </c>
      <c r="K8043" t="b">
        <v>1</v>
      </c>
    </row>
    <row r="8044" spans="8:11" x14ac:dyDescent="0.25">
      <c r="H8044">
        <v>88</v>
      </c>
      <c r="I8044">
        <v>124</v>
      </c>
      <c r="J8044">
        <v>55</v>
      </c>
      <c r="K8044" t="b">
        <v>1</v>
      </c>
    </row>
    <row r="8045" spans="8:11" x14ac:dyDescent="0.25">
      <c r="H8045">
        <v>88</v>
      </c>
      <c r="I8045">
        <v>186</v>
      </c>
      <c r="J8045">
        <v>55</v>
      </c>
      <c r="K8045" t="b">
        <v>1</v>
      </c>
    </row>
    <row r="8046" spans="8:11" x14ac:dyDescent="0.25">
      <c r="H8046">
        <v>88</v>
      </c>
      <c r="I8046">
        <v>248</v>
      </c>
      <c r="J8046">
        <v>55</v>
      </c>
      <c r="K8046" t="b">
        <v>1</v>
      </c>
    </row>
    <row r="8047" spans="8:11" x14ac:dyDescent="0.25">
      <c r="H8047">
        <v>88</v>
      </c>
      <c r="I8047">
        <v>310</v>
      </c>
      <c r="J8047">
        <v>55</v>
      </c>
      <c r="K8047" t="b">
        <v>1</v>
      </c>
    </row>
    <row r="8048" spans="8:11" x14ac:dyDescent="0.25">
      <c r="H8048">
        <v>88</v>
      </c>
      <c r="I8048">
        <v>372</v>
      </c>
      <c r="J8048">
        <v>55</v>
      </c>
      <c r="K8048" t="b">
        <v>1</v>
      </c>
    </row>
    <row r="8049" spans="8:11" x14ac:dyDescent="0.25">
      <c r="H8049">
        <v>88</v>
      </c>
      <c r="I8049">
        <v>434</v>
      </c>
      <c r="J8049">
        <v>55</v>
      </c>
      <c r="K8049" t="b">
        <v>1</v>
      </c>
    </row>
    <row r="8050" spans="8:11" x14ac:dyDescent="0.25">
      <c r="H8050">
        <v>88</v>
      </c>
      <c r="I8050">
        <v>496</v>
      </c>
      <c r="J8050">
        <v>55</v>
      </c>
      <c r="K8050" t="b">
        <v>1</v>
      </c>
    </row>
    <row r="8051" spans="8:11" x14ac:dyDescent="0.25">
      <c r="H8051">
        <v>88</v>
      </c>
      <c r="I8051">
        <v>558</v>
      </c>
      <c r="J8051">
        <v>55</v>
      </c>
      <c r="K8051" t="b">
        <v>1</v>
      </c>
    </row>
    <row r="8052" spans="8:11" x14ac:dyDescent="0.25">
      <c r="H8052">
        <v>88</v>
      </c>
      <c r="I8052">
        <v>620</v>
      </c>
      <c r="J8052">
        <v>55</v>
      </c>
      <c r="K8052" t="b">
        <v>1</v>
      </c>
    </row>
    <row r="8053" spans="8:11" x14ac:dyDescent="0.25">
      <c r="H8053">
        <v>88</v>
      </c>
      <c r="I8053">
        <v>682</v>
      </c>
      <c r="J8053">
        <v>55</v>
      </c>
      <c r="K8053" t="b">
        <v>1</v>
      </c>
    </row>
    <row r="8054" spans="8:11" x14ac:dyDescent="0.25">
      <c r="H8054">
        <v>88</v>
      </c>
      <c r="I8054">
        <v>744</v>
      </c>
      <c r="J8054">
        <v>55</v>
      </c>
      <c r="K8054" t="b">
        <v>1</v>
      </c>
    </row>
    <row r="8055" spans="8:11" x14ac:dyDescent="0.25">
      <c r="H8055">
        <v>88</v>
      </c>
      <c r="I8055">
        <v>806</v>
      </c>
      <c r="J8055">
        <v>55</v>
      </c>
      <c r="K8055" t="b">
        <v>1</v>
      </c>
    </row>
    <row r="8056" spans="8:11" x14ac:dyDescent="0.25">
      <c r="H8056">
        <v>88</v>
      </c>
      <c r="I8056">
        <v>868</v>
      </c>
      <c r="J8056">
        <v>55</v>
      </c>
      <c r="K8056" t="b">
        <v>1</v>
      </c>
    </row>
    <row r="8057" spans="8:11" x14ac:dyDescent="0.25">
      <c r="H8057">
        <v>89</v>
      </c>
      <c r="I8057">
        <v>0</v>
      </c>
      <c r="J8057">
        <v>80</v>
      </c>
      <c r="K8057" t="b">
        <v>1</v>
      </c>
    </row>
    <row r="8058" spans="8:11" x14ac:dyDescent="0.25">
      <c r="H8058">
        <v>89</v>
      </c>
      <c r="I8058">
        <v>158</v>
      </c>
      <c r="J8058">
        <v>80</v>
      </c>
      <c r="K8058" t="b">
        <v>1</v>
      </c>
    </row>
    <row r="8059" spans="8:11" x14ac:dyDescent="0.25">
      <c r="H8059">
        <v>89</v>
      </c>
      <c r="I8059">
        <v>316</v>
      </c>
      <c r="J8059">
        <v>80</v>
      </c>
      <c r="K8059" t="b">
        <v>1</v>
      </c>
    </row>
    <row r="8060" spans="8:11" x14ac:dyDescent="0.25">
      <c r="H8060">
        <v>89</v>
      </c>
      <c r="I8060">
        <v>474</v>
      </c>
      <c r="J8060">
        <v>80</v>
      </c>
      <c r="K8060" t="b">
        <v>1</v>
      </c>
    </row>
    <row r="8061" spans="8:11" x14ac:dyDescent="0.25">
      <c r="H8061">
        <v>89</v>
      </c>
      <c r="I8061">
        <v>632</v>
      </c>
      <c r="J8061">
        <v>80</v>
      </c>
      <c r="K8061" t="b">
        <v>1</v>
      </c>
    </row>
    <row r="8062" spans="8:11" x14ac:dyDescent="0.25">
      <c r="H8062">
        <v>89</v>
      </c>
      <c r="I8062">
        <v>790</v>
      </c>
      <c r="J8062">
        <v>80</v>
      </c>
      <c r="K8062" t="b">
        <v>1</v>
      </c>
    </row>
    <row r="8063" spans="8:11" x14ac:dyDescent="0.25">
      <c r="H8063">
        <v>90</v>
      </c>
      <c r="I8063">
        <v>0</v>
      </c>
      <c r="J8063">
        <v>80</v>
      </c>
      <c r="K8063" t="b">
        <v>1</v>
      </c>
    </row>
    <row r="8064" spans="8:11" x14ac:dyDescent="0.25">
      <c r="H8064">
        <v>90</v>
      </c>
      <c r="I8064">
        <v>158</v>
      </c>
      <c r="J8064">
        <v>80</v>
      </c>
      <c r="K8064" t="b">
        <v>1</v>
      </c>
    </row>
    <row r="8065" spans="8:11" x14ac:dyDescent="0.25">
      <c r="H8065">
        <v>90</v>
      </c>
      <c r="I8065">
        <v>316</v>
      </c>
      <c r="J8065">
        <v>80</v>
      </c>
      <c r="K8065" t="b">
        <v>1</v>
      </c>
    </row>
    <row r="8066" spans="8:11" x14ac:dyDescent="0.25">
      <c r="H8066">
        <v>90</v>
      </c>
      <c r="I8066">
        <v>474</v>
      </c>
      <c r="J8066">
        <v>80</v>
      </c>
      <c r="K8066" t="b">
        <v>1</v>
      </c>
    </row>
    <row r="8067" spans="8:11" x14ac:dyDescent="0.25">
      <c r="H8067">
        <v>90</v>
      </c>
      <c r="I8067">
        <v>632</v>
      </c>
      <c r="J8067">
        <v>80</v>
      </c>
      <c r="K8067" t="b">
        <v>1</v>
      </c>
    </row>
    <row r="8068" spans="8:11" x14ac:dyDescent="0.25">
      <c r="H8068">
        <v>90</v>
      </c>
      <c r="I8068">
        <v>790</v>
      </c>
      <c r="J8068">
        <v>80</v>
      </c>
      <c r="K8068" t="b">
        <v>1</v>
      </c>
    </row>
    <row r="8069" spans="8:11" x14ac:dyDescent="0.25">
      <c r="H8069">
        <v>91</v>
      </c>
      <c r="I8069">
        <v>0</v>
      </c>
      <c r="J8069">
        <v>80</v>
      </c>
      <c r="K8069" t="b">
        <v>1</v>
      </c>
    </row>
    <row r="8070" spans="8:11" x14ac:dyDescent="0.25">
      <c r="H8070">
        <v>91</v>
      </c>
      <c r="I8070">
        <v>50</v>
      </c>
      <c r="J8070">
        <v>80</v>
      </c>
      <c r="K8070" t="b">
        <v>1</v>
      </c>
    </row>
    <row r="8071" spans="8:11" x14ac:dyDescent="0.25">
      <c r="H8071">
        <v>91</v>
      </c>
      <c r="I8071">
        <v>100</v>
      </c>
      <c r="J8071">
        <v>80</v>
      </c>
      <c r="K8071" t="b">
        <v>1</v>
      </c>
    </row>
    <row r="8072" spans="8:11" x14ac:dyDescent="0.25">
      <c r="H8072">
        <v>91</v>
      </c>
      <c r="I8072">
        <v>150</v>
      </c>
      <c r="J8072">
        <v>80</v>
      </c>
      <c r="K8072" t="b">
        <v>1</v>
      </c>
    </row>
    <row r="8073" spans="8:11" x14ac:dyDescent="0.25">
      <c r="H8073">
        <v>91</v>
      </c>
      <c r="I8073">
        <v>200</v>
      </c>
      <c r="J8073">
        <v>80</v>
      </c>
      <c r="K8073" t="b">
        <v>1</v>
      </c>
    </row>
    <row r="8074" spans="8:11" x14ac:dyDescent="0.25">
      <c r="H8074">
        <v>91</v>
      </c>
      <c r="I8074">
        <v>250</v>
      </c>
      <c r="J8074">
        <v>80</v>
      </c>
      <c r="K8074" t="b">
        <v>1</v>
      </c>
    </row>
    <row r="8075" spans="8:11" x14ac:dyDescent="0.25">
      <c r="H8075">
        <v>91</v>
      </c>
      <c r="I8075">
        <v>300</v>
      </c>
      <c r="J8075">
        <v>80</v>
      </c>
      <c r="K8075" t="b">
        <v>1</v>
      </c>
    </row>
    <row r="8076" spans="8:11" x14ac:dyDescent="0.25">
      <c r="H8076">
        <v>91</v>
      </c>
      <c r="I8076">
        <v>350</v>
      </c>
      <c r="J8076">
        <v>80</v>
      </c>
      <c r="K8076" t="b">
        <v>1</v>
      </c>
    </row>
    <row r="8077" spans="8:11" x14ac:dyDescent="0.25">
      <c r="H8077">
        <v>91</v>
      </c>
      <c r="I8077">
        <v>400</v>
      </c>
      <c r="J8077">
        <v>80</v>
      </c>
      <c r="K8077" t="b">
        <v>1</v>
      </c>
    </row>
    <row r="8078" spans="8:11" x14ac:dyDescent="0.25">
      <c r="H8078">
        <v>91</v>
      </c>
      <c r="I8078">
        <v>450</v>
      </c>
      <c r="J8078">
        <v>80</v>
      </c>
      <c r="K8078" t="b">
        <v>1</v>
      </c>
    </row>
    <row r="8079" spans="8:11" x14ac:dyDescent="0.25">
      <c r="H8079">
        <v>91</v>
      </c>
      <c r="I8079">
        <v>500</v>
      </c>
      <c r="J8079">
        <v>80</v>
      </c>
      <c r="K8079" t="b">
        <v>1</v>
      </c>
    </row>
    <row r="8080" spans="8:11" x14ac:dyDescent="0.25">
      <c r="H8080">
        <v>91</v>
      </c>
      <c r="I8080">
        <v>550</v>
      </c>
      <c r="J8080">
        <v>80</v>
      </c>
      <c r="K8080" t="b">
        <v>1</v>
      </c>
    </row>
    <row r="8081" spans="8:11" x14ac:dyDescent="0.25">
      <c r="H8081">
        <v>91</v>
      </c>
      <c r="I8081">
        <v>600</v>
      </c>
      <c r="J8081">
        <v>80</v>
      </c>
      <c r="K8081" t="b">
        <v>1</v>
      </c>
    </row>
    <row r="8082" spans="8:11" x14ac:dyDescent="0.25">
      <c r="H8082">
        <v>91</v>
      </c>
      <c r="I8082">
        <v>650</v>
      </c>
      <c r="J8082">
        <v>80</v>
      </c>
      <c r="K8082" t="b">
        <v>1</v>
      </c>
    </row>
    <row r="8083" spans="8:11" x14ac:dyDescent="0.25">
      <c r="H8083">
        <v>91</v>
      </c>
      <c r="I8083">
        <v>700</v>
      </c>
      <c r="J8083">
        <v>80</v>
      </c>
      <c r="K8083" t="b">
        <v>1</v>
      </c>
    </row>
    <row r="8084" spans="8:11" x14ac:dyDescent="0.25">
      <c r="H8084">
        <v>91</v>
      </c>
      <c r="I8084">
        <v>750</v>
      </c>
      <c r="J8084">
        <v>80</v>
      </c>
      <c r="K8084" t="b">
        <v>1</v>
      </c>
    </row>
    <row r="8085" spans="8:11" x14ac:dyDescent="0.25">
      <c r="H8085">
        <v>91</v>
      </c>
      <c r="I8085">
        <v>800</v>
      </c>
      <c r="J8085">
        <v>80</v>
      </c>
      <c r="K8085" t="b">
        <v>1</v>
      </c>
    </row>
    <row r="8086" spans="8:11" x14ac:dyDescent="0.25">
      <c r="H8086">
        <v>91</v>
      </c>
      <c r="I8086">
        <v>850</v>
      </c>
      <c r="J8086">
        <v>80</v>
      </c>
      <c r="K8086" t="b">
        <v>1</v>
      </c>
    </row>
    <row r="8087" spans="8:11" x14ac:dyDescent="0.25">
      <c r="H8087">
        <v>91</v>
      </c>
      <c r="I8087">
        <v>900</v>
      </c>
      <c r="J8087">
        <v>80</v>
      </c>
      <c r="K8087" t="b">
        <v>1</v>
      </c>
    </row>
    <row r="8088" spans="8:11" x14ac:dyDescent="0.25">
      <c r="H8088">
        <v>92</v>
      </c>
      <c r="I8088">
        <v>0</v>
      </c>
      <c r="J8088">
        <v>80</v>
      </c>
      <c r="K8088" t="b">
        <v>1</v>
      </c>
    </row>
    <row r="8089" spans="8:11" x14ac:dyDescent="0.25">
      <c r="H8089">
        <v>92</v>
      </c>
      <c r="I8089">
        <v>50</v>
      </c>
      <c r="J8089">
        <v>80</v>
      </c>
      <c r="K8089" t="b">
        <v>1</v>
      </c>
    </row>
    <row r="8090" spans="8:11" x14ac:dyDescent="0.25">
      <c r="H8090">
        <v>92</v>
      </c>
      <c r="I8090">
        <v>100</v>
      </c>
      <c r="J8090">
        <v>80</v>
      </c>
      <c r="K8090" t="b">
        <v>1</v>
      </c>
    </row>
    <row r="8091" spans="8:11" x14ac:dyDescent="0.25">
      <c r="H8091">
        <v>92</v>
      </c>
      <c r="I8091">
        <v>150</v>
      </c>
      <c r="J8091">
        <v>80</v>
      </c>
      <c r="K8091" t="b">
        <v>1</v>
      </c>
    </row>
    <row r="8092" spans="8:11" x14ac:dyDescent="0.25">
      <c r="H8092">
        <v>92</v>
      </c>
      <c r="I8092">
        <v>200</v>
      </c>
      <c r="J8092">
        <v>80</v>
      </c>
      <c r="K8092" t="b">
        <v>1</v>
      </c>
    </row>
    <row r="8093" spans="8:11" x14ac:dyDescent="0.25">
      <c r="H8093">
        <v>92</v>
      </c>
      <c r="I8093">
        <v>250</v>
      </c>
      <c r="J8093">
        <v>80</v>
      </c>
      <c r="K8093" t="b">
        <v>1</v>
      </c>
    </row>
    <row r="8094" spans="8:11" x14ac:dyDescent="0.25">
      <c r="H8094">
        <v>92</v>
      </c>
      <c r="I8094">
        <v>300</v>
      </c>
      <c r="J8094">
        <v>80</v>
      </c>
      <c r="K8094" t="b">
        <v>1</v>
      </c>
    </row>
    <row r="8095" spans="8:11" x14ac:dyDescent="0.25">
      <c r="H8095">
        <v>92</v>
      </c>
      <c r="I8095">
        <v>350</v>
      </c>
      <c r="J8095">
        <v>80</v>
      </c>
      <c r="K8095" t="b">
        <v>1</v>
      </c>
    </row>
    <row r="8096" spans="8:11" x14ac:dyDescent="0.25">
      <c r="H8096">
        <v>92</v>
      </c>
      <c r="I8096">
        <v>400</v>
      </c>
      <c r="J8096">
        <v>80</v>
      </c>
      <c r="K8096" t="b">
        <v>1</v>
      </c>
    </row>
    <row r="8097" spans="8:11" x14ac:dyDescent="0.25">
      <c r="H8097">
        <v>92</v>
      </c>
      <c r="I8097">
        <v>450</v>
      </c>
      <c r="J8097">
        <v>80</v>
      </c>
      <c r="K8097" t="b">
        <v>1</v>
      </c>
    </row>
    <row r="8098" spans="8:11" x14ac:dyDescent="0.25">
      <c r="H8098">
        <v>92</v>
      </c>
      <c r="I8098">
        <v>500</v>
      </c>
      <c r="J8098">
        <v>80</v>
      </c>
      <c r="K8098" t="b">
        <v>1</v>
      </c>
    </row>
    <row r="8099" spans="8:11" x14ac:dyDescent="0.25">
      <c r="H8099">
        <v>92</v>
      </c>
      <c r="I8099">
        <v>550</v>
      </c>
      <c r="J8099">
        <v>80</v>
      </c>
      <c r="K8099" t="b">
        <v>1</v>
      </c>
    </row>
    <row r="8100" spans="8:11" x14ac:dyDescent="0.25">
      <c r="H8100">
        <v>92</v>
      </c>
      <c r="I8100">
        <v>600</v>
      </c>
      <c r="J8100">
        <v>80</v>
      </c>
      <c r="K8100" t="b">
        <v>1</v>
      </c>
    </row>
    <row r="8101" spans="8:11" x14ac:dyDescent="0.25">
      <c r="H8101">
        <v>92</v>
      </c>
      <c r="I8101">
        <v>650</v>
      </c>
      <c r="J8101">
        <v>80</v>
      </c>
      <c r="K8101" t="b">
        <v>1</v>
      </c>
    </row>
    <row r="8102" spans="8:11" x14ac:dyDescent="0.25">
      <c r="H8102">
        <v>92</v>
      </c>
      <c r="I8102">
        <v>700</v>
      </c>
      <c r="J8102">
        <v>80</v>
      </c>
      <c r="K8102" t="b">
        <v>1</v>
      </c>
    </row>
    <row r="8103" spans="8:11" x14ac:dyDescent="0.25">
      <c r="H8103">
        <v>92</v>
      </c>
      <c r="I8103">
        <v>750</v>
      </c>
      <c r="J8103">
        <v>80</v>
      </c>
      <c r="K8103" t="b">
        <v>1</v>
      </c>
    </row>
    <row r="8104" spans="8:11" x14ac:dyDescent="0.25">
      <c r="H8104">
        <v>92</v>
      </c>
      <c r="I8104">
        <v>800</v>
      </c>
      <c r="J8104">
        <v>80</v>
      </c>
      <c r="K8104" t="b">
        <v>1</v>
      </c>
    </row>
    <row r="8105" spans="8:11" x14ac:dyDescent="0.25">
      <c r="H8105">
        <v>92</v>
      </c>
      <c r="I8105">
        <v>850</v>
      </c>
      <c r="J8105">
        <v>80</v>
      </c>
      <c r="K8105" t="b">
        <v>1</v>
      </c>
    </row>
    <row r="8106" spans="8:11" x14ac:dyDescent="0.25">
      <c r="H8106">
        <v>92</v>
      </c>
      <c r="I8106">
        <v>900</v>
      </c>
      <c r="J8106">
        <v>80</v>
      </c>
      <c r="K8106" t="b">
        <v>1</v>
      </c>
    </row>
    <row r="8107" spans="8:11" x14ac:dyDescent="0.25">
      <c r="H8107">
        <v>93</v>
      </c>
      <c r="I8107">
        <v>0</v>
      </c>
      <c r="J8107">
        <v>80</v>
      </c>
      <c r="K8107" t="b">
        <v>1</v>
      </c>
    </row>
    <row r="8108" spans="8:11" x14ac:dyDescent="0.25">
      <c r="H8108">
        <v>93</v>
      </c>
      <c r="I8108">
        <v>47</v>
      </c>
      <c r="J8108">
        <v>80</v>
      </c>
      <c r="K8108" t="b">
        <v>1</v>
      </c>
    </row>
    <row r="8109" spans="8:11" x14ac:dyDescent="0.25">
      <c r="H8109">
        <v>93</v>
      </c>
      <c r="I8109">
        <v>94</v>
      </c>
      <c r="J8109">
        <v>80</v>
      </c>
      <c r="K8109" t="b">
        <v>1</v>
      </c>
    </row>
    <row r="8110" spans="8:11" x14ac:dyDescent="0.25">
      <c r="H8110">
        <v>93</v>
      </c>
      <c r="I8110">
        <v>141</v>
      </c>
      <c r="J8110">
        <v>80</v>
      </c>
      <c r="K8110" t="b">
        <v>1</v>
      </c>
    </row>
    <row r="8111" spans="8:11" x14ac:dyDescent="0.25">
      <c r="H8111">
        <v>93</v>
      </c>
      <c r="I8111">
        <v>188</v>
      </c>
      <c r="J8111">
        <v>80</v>
      </c>
      <c r="K8111" t="b">
        <v>1</v>
      </c>
    </row>
    <row r="8112" spans="8:11" x14ac:dyDescent="0.25">
      <c r="H8112">
        <v>93</v>
      </c>
      <c r="I8112">
        <v>235</v>
      </c>
      <c r="J8112">
        <v>80</v>
      </c>
      <c r="K8112" t="b">
        <v>1</v>
      </c>
    </row>
    <row r="8113" spans="8:11" x14ac:dyDescent="0.25">
      <c r="H8113">
        <v>93</v>
      </c>
      <c r="I8113">
        <v>282</v>
      </c>
      <c r="J8113">
        <v>80</v>
      </c>
      <c r="K8113" t="b">
        <v>1</v>
      </c>
    </row>
    <row r="8114" spans="8:11" x14ac:dyDescent="0.25">
      <c r="H8114">
        <v>93</v>
      </c>
      <c r="I8114">
        <v>329</v>
      </c>
      <c r="J8114">
        <v>80</v>
      </c>
      <c r="K8114" t="b">
        <v>1</v>
      </c>
    </row>
    <row r="8115" spans="8:11" x14ac:dyDescent="0.25">
      <c r="H8115">
        <v>93</v>
      </c>
      <c r="I8115">
        <v>376</v>
      </c>
      <c r="J8115">
        <v>80</v>
      </c>
      <c r="K8115" t="b">
        <v>1</v>
      </c>
    </row>
    <row r="8116" spans="8:11" x14ac:dyDescent="0.25">
      <c r="H8116">
        <v>93</v>
      </c>
      <c r="I8116">
        <v>423</v>
      </c>
      <c r="J8116">
        <v>80</v>
      </c>
      <c r="K8116" t="b">
        <v>1</v>
      </c>
    </row>
    <row r="8117" spans="8:11" x14ac:dyDescent="0.25">
      <c r="H8117">
        <v>93</v>
      </c>
      <c r="I8117">
        <v>470</v>
      </c>
      <c r="J8117">
        <v>80</v>
      </c>
      <c r="K8117" t="b">
        <v>1</v>
      </c>
    </row>
    <row r="8118" spans="8:11" x14ac:dyDescent="0.25">
      <c r="H8118">
        <v>93</v>
      </c>
      <c r="I8118">
        <v>517</v>
      </c>
      <c r="J8118">
        <v>80</v>
      </c>
      <c r="K8118" t="b">
        <v>1</v>
      </c>
    </row>
    <row r="8119" spans="8:11" x14ac:dyDescent="0.25">
      <c r="H8119">
        <v>93</v>
      </c>
      <c r="I8119">
        <v>564</v>
      </c>
      <c r="J8119">
        <v>80</v>
      </c>
      <c r="K8119" t="b">
        <v>1</v>
      </c>
    </row>
    <row r="8120" spans="8:11" x14ac:dyDescent="0.25">
      <c r="H8120">
        <v>93</v>
      </c>
      <c r="I8120">
        <v>611</v>
      </c>
      <c r="J8120">
        <v>80</v>
      </c>
      <c r="K8120" t="b">
        <v>1</v>
      </c>
    </row>
    <row r="8121" spans="8:11" x14ac:dyDescent="0.25">
      <c r="H8121">
        <v>93</v>
      </c>
      <c r="I8121">
        <v>658</v>
      </c>
      <c r="J8121">
        <v>80</v>
      </c>
      <c r="K8121" t="b">
        <v>1</v>
      </c>
    </row>
    <row r="8122" spans="8:11" x14ac:dyDescent="0.25">
      <c r="H8122">
        <v>93</v>
      </c>
      <c r="I8122">
        <v>705</v>
      </c>
      <c r="J8122">
        <v>80</v>
      </c>
      <c r="K8122" t="b">
        <v>1</v>
      </c>
    </row>
    <row r="8123" spans="8:11" x14ac:dyDescent="0.25">
      <c r="H8123">
        <v>93</v>
      </c>
      <c r="I8123">
        <v>752</v>
      </c>
      <c r="J8123">
        <v>80</v>
      </c>
      <c r="K8123" t="b">
        <v>1</v>
      </c>
    </row>
    <row r="8124" spans="8:11" x14ac:dyDescent="0.25">
      <c r="H8124">
        <v>93</v>
      </c>
      <c r="I8124">
        <v>799</v>
      </c>
      <c r="J8124">
        <v>80</v>
      </c>
      <c r="K8124" t="b">
        <v>1</v>
      </c>
    </row>
    <row r="8125" spans="8:11" x14ac:dyDescent="0.25">
      <c r="H8125">
        <v>93</v>
      </c>
      <c r="I8125">
        <v>846</v>
      </c>
      <c r="J8125">
        <v>80</v>
      </c>
      <c r="K8125" t="b">
        <v>1</v>
      </c>
    </row>
    <row r="8126" spans="8:11" x14ac:dyDescent="0.25">
      <c r="H8126">
        <v>93</v>
      </c>
      <c r="I8126">
        <v>893</v>
      </c>
      <c r="J8126">
        <v>80</v>
      </c>
      <c r="K8126" t="b">
        <v>1</v>
      </c>
    </row>
    <row r="8127" spans="8:11" x14ac:dyDescent="0.25">
      <c r="H8127">
        <v>94</v>
      </c>
      <c r="I8127">
        <v>0</v>
      </c>
      <c r="J8127">
        <v>80</v>
      </c>
      <c r="K8127" t="b">
        <v>1</v>
      </c>
    </row>
    <row r="8128" spans="8:11" x14ac:dyDescent="0.25">
      <c r="H8128">
        <v>94</v>
      </c>
      <c r="I8128">
        <v>47</v>
      </c>
      <c r="J8128">
        <v>80</v>
      </c>
      <c r="K8128" t="b">
        <v>1</v>
      </c>
    </row>
    <row r="8129" spans="8:11" x14ac:dyDescent="0.25">
      <c r="H8129">
        <v>94</v>
      </c>
      <c r="I8129">
        <v>94</v>
      </c>
      <c r="J8129">
        <v>80</v>
      </c>
      <c r="K8129" t="b">
        <v>1</v>
      </c>
    </row>
    <row r="8130" spans="8:11" x14ac:dyDescent="0.25">
      <c r="H8130">
        <v>94</v>
      </c>
      <c r="I8130">
        <v>141</v>
      </c>
      <c r="J8130">
        <v>80</v>
      </c>
      <c r="K8130" t="b">
        <v>1</v>
      </c>
    </row>
    <row r="8131" spans="8:11" x14ac:dyDescent="0.25">
      <c r="H8131">
        <v>94</v>
      </c>
      <c r="I8131">
        <v>188</v>
      </c>
      <c r="J8131">
        <v>80</v>
      </c>
      <c r="K8131" t="b">
        <v>1</v>
      </c>
    </row>
    <row r="8132" spans="8:11" x14ac:dyDescent="0.25">
      <c r="H8132">
        <v>94</v>
      </c>
      <c r="I8132">
        <v>235</v>
      </c>
      <c r="J8132">
        <v>80</v>
      </c>
      <c r="K8132" t="b">
        <v>1</v>
      </c>
    </row>
    <row r="8133" spans="8:11" x14ac:dyDescent="0.25">
      <c r="H8133">
        <v>94</v>
      </c>
      <c r="I8133">
        <v>282</v>
      </c>
      <c r="J8133">
        <v>80</v>
      </c>
      <c r="K8133" t="b">
        <v>1</v>
      </c>
    </row>
    <row r="8134" spans="8:11" x14ac:dyDescent="0.25">
      <c r="H8134">
        <v>94</v>
      </c>
      <c r="I8134">
        <v>329</v>
      </c>
      <c r="J8134">
        <v>80</v>
      </c>
      <c r="K8134" t="b">
        <v>1</v>
      </c>
    </row>
    <row r="8135" spans="8:11" x14ac:dyDescent="0.25">
      <c r="H8135">
        <v>94</v>
      </c>
      <c r="I8135">
        <v>376</v>
      </c>
      <c r="J8135">
        <v>80</v>
      </c>
      <c r="K8135" t="b">
        <v>1</v>
      </c>
    </row>
    <row r="8136" spans="8:11" x14ac:dyDescent="0.25">
      <c r="H8136">
        <v>94</v>
      </c>
      <c r="I8136">
        <v>423</v>
      </c>
      <c r="J8136">
        <v>80</v>
      </c>
      <c r="K8136" t="b">
        <v>1</v>
      </c>
    </row>
    <row r="8137" spans="8:11" x14ac:dyDescent="0.25">
      <c r="H8137">
        <v>94</v>
      </c>
      <c r="I8137">
        <v>470</v>
      </c>
      <c r="J8137">
        <v>80</v>
      </c>
      <c r="K8137" t="b">
        <v>1</v>
      </c>
    </row>
    <row r="8138" spans="8:11" x14ac:dyDescent="0.25">
      <c r="H8138">
        <v>94</v>
      </c>
      <c r="I8138">
        <v>517</v>
      </c>
      <c r="J8138">
        <v>80</v>
      </c>
      <c r="K8138" t="b">
        <v>1</v>
      </c>
    </row>
    <row r="8139" spans="8:11" x14ac:dyDescent="0.25">
      <c r="H8139">
        <v>94</v>
      </c>
      <c r="I8139">
        <v>564</v>
      </c>
      <c r="J8139">
        <v>80</v>
      </c>
      <c r="K8139" t="b">
        <v>1</v>
      </c>
    </row>
    <row r="8140" spans="8:11" x14ac:dyDescent="0.25">
      <c r="H8140">
        <v>94</v>
      </c>
      <c r="I8140">
        <v>611</v>
      </c>
      <c r="J8140">
        <v>80</v>
      </c>
      <c r="K8140" t="b">
        <v>1</v>
      </c>
    </row>
    <row r="8141" spans="8:11" x14ac:dyDescent="0.25">
      <c r="H8141">
        <v>94</v>
      </c>
      <c r="I8141">
        <v>658</v>
      </c>
      <c r="J8141">
        <v>80</v>
      </c>
      <c r="K8141" t="b">
        <v>1</v>
      </c>
    </row>
    <row r="8142" spans="8:11" x14ac:dyDescent="0.25">
      <c r="H8142">
        <v>94</v>
      </c>
      <c r="I8142">
        <v>705</v>
      </c>
      <c r="J8142">
        <v>80</v>
      </c>
      <c r="K8142" t="b">
        <v>1</v>
      </c>
    </row>
    <row r="8143" spans="8:11" x14ac:dyDescent="0.25">
      <c r="H8143">
        <v>94</v>
      </c>
      <c r="I8143">
        <v>752</v>
      </c>
      <c r="J8143">
        <v>80</v>
      </c>
      <c r="K8143" t="b">
        <v>1</v>
      </c>
    </row>
    <row r="8144" spans="8:11" x14ac:dyDescent="0.25">
      <c r="H8144">
        <v>94</v>
      </c>
      <c r="I8144">
        <v>799</v>
      </c>
      <c r="J8144">
        <v>80</v>
      </c>
      <c r="K8144" t="b">
        <v>1</v>
      </c>
    </row>
    <row r="8145" spans="8:11" x14ac:dyDescent="0.25">
      <c r="H8145">
        <v>94</v>
      </c>
      <c r="I8145">
        <v>846</v>
      </c>
      <c r="J8145">
        <v>80</v>
      </c>
      <c r="K8145" t="b">
        <v>1</v>
      </c>
    </row>
    <row r="8146" spans="8:11" x14ac:dyDescent="0.25">
      <c r="H8146">
        <v>94</v>
      </c>
      <c r="I8146">
        <v>893</v>
      </c>
      <c r="J8146">
        <v>80</v>
      </c>
      <c r="K8146" t="b">
        <v>1</v>
      </c>
    </row>
    <row r="8147" spans="8:11" x14ac:dyDescent="0.25">
      <c r="H8147">
        <v>95</v>
      </c>
      <c r="I8147">
        <v>0</v>
      </c>
      <c r="J8147">
        <v>80</v>
      </c>
      <c r="K8147" t="b">
        <v>1</v>
      </c>
    </row>
    <row r="8148" spans="8:11" x14ac:dyDescent="0.25">
      <c r="H8148">
        <v>95</v>
      </c>
      <c r="I8148">
        <v>30</v>
      </c>
      <c r="J8148">
        <v>80</v>
      </c>
      <c r="K8148" t="b">
        <v>1</v>
      </c>
    </row>
    <row r="8149" spans="8:11" x14ac:dyDescent="0.25">
      <c r="H8149">
        <v>95</v>
      </c>
      <c r="I8149">
        <v>60</v>
      </c>
      <c r="J8149">
        <v>80</v>
      </c>
      <c r="K8149" t="b">
        <v>1</v>
      </c>
    </row>
    <row r="8150" spans="8:11" x14ac:dyDescent="0.25">
      <c r="H8150">
        <v>95</v>
      </c>
      <c r="I8150">
        <v>90</v>
      </c>
      <c r="J8150">
        <v>80</v>
      </c>
      <c r="K8150" t="b">
        <v>1</v>
      </c>
    </row>
    <row r="8151" spans="8:11" x14ac:dyDescent="0.25">
      <c r="H8151">
        <v>95</v>
      </c>
      <c r="I8151">
        <v>120</v>
      </c>
      <c r="J8151">
        <v>80</v>
      </c>
      <c r="K8151" t="b">
        <v>1</v>
      </c>
    </row>
    <row r="8152" spans="8:11" x14ac:dyDescent="0.25">
      <c r="H8152">
        <v>95</v>
      </c>
      <c r="I8152">
        <v>150</v>
      </c>
      <c r="J8152">
        <v>80</v>
      </c>
      <c r="K8152" t="b">
        <v>1</v>
      </c>
    </row>
    <row r="8153" spans="8:11" x14ac:dyDescent="0.25">
      <c r="H8153">
        <v>95</v>
      </c>
      <c r="I8153">
        <v>180</v>
      </c>
      <c r="J8153">
        <v>80</v>
      </c>
      <c r="K8153" t="b">
        <v>1</v>
      </c>
    </row>
    <row r="8154" spans="8:11" x14ac:dyDescent="0.25">
      <c r="H8154">
        <v>95</v>
      </c>
      <c r="I8154">
        <v>210</v>
      </c>
      <c r="J8154">
        <v>80</v>
      </c>
      <c r="K8154" t="b">
        <v>1</v>
      </c>
    </row>
    <row r="8155" spans="8:11" x14ac:dyDescent="0.25">
      <c r="H8155">
        <v>95</v>
      </c>
      <c r="I8155">
        <v>240</v>
      </c>
      <c r="J8155">
        <v>80</v>
      </c>
      <c r="K8155" t="b">
        <v>1</v>
      </c>
    </row>
    <row r="8156" spans="8:11" x14ac:dyDescent="0.25">
      <c r="H8156">
        <v>95</v>
      </c>
      <c r="I8156">
        <v>270</v>
      </c>
      <c r="J8156">
        <v>80</v>
      </c>
      <c r="K8156" t="b">
        <v>1</v>
      </c>
    </row>
    <row r="8157" spans="8:11" x14ac:dyDescent="0.25">
      <c r="H8157">
        <v>95</v>
      </c>
      <c r="I8157">
        <v>300</v>
      </c>
      <c r="J8157">
        <v>80</v>
      </c>
      <c r="K8157" t="b">
        <v>1</v>
      </c>
    </row>
    <row r="8158" spans="8:11" x14ac:dyDescent="0.25">
      <c r="H8158">
        <v>95</v>
      </c>
      <c r="I8158">
        <v>330</v>
      </c>
      <c r="J8158">
        <v>80</v>
      </c>
      <c r="K8158" t="b">
        <v>1</v>
      </c>
    </row>
    <row r="8159" spans="8:11" x14ac:dyDescent="0.25">
      <c r="H8159">
        <v>95</v>
      </c>
      <c r="I8159">
        <v>360</v>
      </c>
      <c r="J8159">
        <v>80</v>
      </c>
      <c r="K8159" t="b">
        <v>1</v>
      </c>
    </row>
    <row r="8160" spans="8:11" x14ac:dyDescent="0.25">
      <c r="H8160">
        <v>95</v>
      </c>
      <c r="I8160">
        <v>390</v>
      </c>
      <c r="J8160">
        <v>80</v>
      </c>
      <c r="K8160" t="b">
        <v>1</v>
      </c>
    </row>
    <row r="8161" spans="8:11" x14ac:dyDescent="0.25">
      <c r="H8161">
        <v>95</v>
      </c>
      <c r="I8161">
        <v>420</v>
      </c>
      <c r="J8161">
        <v>80</v>
      </c>
      <c r="K8161" t="b">
        <v>1</v>
      </c>
    </row>
    <row r="8162" spans="8:11" x14ac:dyDescent="0.25">
      <c r="H8162">
        <v>95</v>
      </c>
      <c r="I8162">
        <v>450</v>
      </c>
      <c r="J8162">
        <v>80</v>
      </c>
      <c r="K8162" t="b">
        <v>1</v>
      </c>
    </row>
    <row r="8163" spans="8:11" x14ac:dyDescent="0.25">
      <c r="H8163">
        <v>95</v>
      </c>
      <c r="I8163">
        <v>480</v>
      </c>
      <c r="J8163">
        <v>80</v>
      </c>
      <c r="K8163" t="b">
        <v>1</v>
      </c>
    </row>
    <row r="8164" spans="8:11" x14ac:dyDescent="0.25">
      <c r="H8164">
        <v>95</v>
      </c>
      <c r="I8164">
        <v>510</v>
      </c>
      <c r="J8164">
        <v>80</v>
      </c>
      <c r="K8164" t="b">
        <v>1</v>
      </c>
    </row>
    <row r="8165" spans="8:11" x14ac:dyDescent="0.25">
      <c r="H8165">
        <v>95</v>
      </c>
      <c r="I8165">
        <v>540</v>
      </c>
      <c r="J8165">
        <v>80</v>
      </c>
      <c r="K8165" t="b">
        <v>1</v>
      </c>
    </row>
    <row r="8166" spans="8:11" x14ac:dyDescent="0.25">
      <c r="H8166">
        <v>95</v>
      </c>
      <c r="I8166">
        <v>570</v>
      </c>
      <c r="J8166">
        <v>80</v>
      </c>
      <c r="K8166" t="b">
        <v>1</v>
      </c>
    </row>
    <row r="8167" spans="8:11" x14ac:dyDescent="0.25">
      <c r="H8167">
        <v>95</v>
      </c>
      <c r="I8167">
        <v>600</v>
      </c>
      <c r="J8167">
        <v>80</v>
      </c>
      <c r="K8167" t="b">
        <v>1</v>
      </c>
    </row>
    <row r="8168" spans="8:11" x14ac:dyDescent="0.25">
      <c r="H8168">
        <v>95</v>
      </c>
      <c r="I8168">
        <v>630</v>
      </c>
      <c r="J8168">
        <v>80</v>
      </c>
      <c r="K8168" t="b">
        <v>1</v>
      </c>
    </row>
    <row r="8169" spans="8:11" x14ac:dyDescent="0.25">
      <c r="H8169">
        <v>95</v>
      </c>
      <c r="I8169">
        <v>660</v>
      </c>
      <c r="J8169">
        <v>80</v>
      </c>
      <c r="K8169" t="b">
        <v>1</v>
      </c>
    </row>
    <row r="8170" spans="8:11" x14ac:dyDescent="0.25">
      <c r="H8170">
        <v>95</v>
      </c>
      <c r="I8170">
        <v>690</v>
      </c>
      <c r="J8170">
        <v>80</v>
      </c>
      <c r="K8170" t="b">
        <v>1</v>
      </c>
    </row>
    <row r="8171" spans="8:11" x14ac:dyDescent="0.25">
      <c r="H8171">
        <v>95</v>
      </c>
      <c r="I8171">
        <v>720</v>
      </c>
      <c r="J8171">
        <v>80</v>
      </c>
      <c r="K8171" t="b">
        <v>1</v>
      </c>
    </row>
    <row r="8172" spans="8:11" x14ac:dyDescent="0.25">
      <c r="H8172">
        <v>95</v>
      </c>
      <c r="I8172">
        <v>750</v>
      </c>
      <c r="J8172">
        <v>80</v>
      </c>
      <c r="K8172" t="b">
        <v>1</v>
      </c>
    </row>
    <row r="8173" spans="8:11" x14ac:dyDescent="0.25">
      <c r="H8173">
        <v>95</v>
      </c>
      <c r="I8173">
        <v>780</v>
      </c>
      <c r="J8173">
        <v>80</v>
      </c>
      <c r="K8173" t="b">
        <v>1</v>
      </c>
    </row>
    <row r="8174" spans="8:11" x14ac:dyDescent="0.25">
      <c r="H8174">
        <v>95</v>
      </c>
      <c r="I8174">
        <v>810</v>
      </c>
      <c r="J8174">
        <v>80</v>
      </c>
      <c r="K8174" t="b">
        <v>1</v>
      </c>
    </row>
    <row r="8175" spans="8:11" x14ac:dyDescent="0.25">
      <c r="H8175">
        <v>95</v>
      </c>
      <c r="I8175">
        <v>840</v>
      </c>
      <c r="J8175">
        <v>80</v>
      </c>
      <c r="K8175" t="b">
        <v>1</v>
      </c>
    </row>
    <row r="8176" spans="8:11" x14ac:dyDescent="0.25">
      <c r="H8176">
        <v>95</v>
      </c>
      <c r="I8176">
        <v>870</v>
      </c>
      <c r="J8176">
        <v>80</v>
      </c>
      <c r="K8176" t="b">
        <v>1</v>
      </c>
    </row>
    <row r="8177" spans="8:11" x14ac:dyDescent="0.25">
      <c r="H8177">
        <v>95</v>
      </c>
      <c r="I8177">
        <v>900</v>
      </c>
      <c r="J8177">
        <v>80</v>
      </c>
      <c r="K8177" t="b">
        <v>1</v>
      </c>
    </row>
    <row r="8178" spans="8:11" x14ac:dyDescent="0.25">
      <c r="H8178">
        <v>95</v>
      </c>
      <c r="I8178">
        <v>930</v>
      </c>
      <c r="J8178">
        <v>80</v>
      </c>
      <c r="K8178" t="b">
        <v>1</v>
      </c>
    </row>
    <row r="8179" spans="8:11" x14ac:dyDescent="0.25">
      <c r="H8179">
        <v>96</v>
      </c>
      <c r="I8179">
        <v>0</v>
      </c>
      <c r="J8179">
        <v>80</v>
      </c>
      <c r="K8179" t="b">
        <v>1</v>
      </c>
    </row>
    <row r="8180" spans="8:11" x14ac:dyDescent="0.25">
      <c r="H8180">
        <v>96</v>
      </c>
      <c r="I8180">
        <v>30</v>
      </c>
      <c r="J8180">
        <v>80</v>
      </c>
      <c r="K8180" t="b">
        <v>1</v>
      </c>
    </row>
    <row r="8181" spans="8:11" x14ac:dyDescent="0.25">
      <c r="H8181">
        <v>96</v>
      </c>
      <c r="I8181">
        <v>60</v>
      </c>
      <c r="J8181">
        <v>80</v>
      </c>
      <c r="K8181" t="b">
        <v>1</v>
      </c>
    </row>
    <row r="8182" spans="8:11" x14ac:dyDescent="0.25">
      <c r="H8182">
        <v>96</v>
      </c>
      <c r="I8182">
        <v>90</v>
      </c>
      <c r="J8182">
        <v>80</v>
      </c>
      <c r="K8182" t="b">
        <v>1</v>
      </c>
    </row>
    <row r="8183" spans="8:11" x14ac:dyDescent="0.25">
      <c r="H8183">
        <v>96</v>
      </c>
      <c r="I8183">
        <v>120</v>
      </c>
      <c r="J8183">
        <v>80</v>
      </c>
      <c r="K8183" t="b">
        <v>1</v>
      </c>
    </row>
    <row r="8184" spans="8:11" x14ac:dyDescent="0.25">
      <c r="H8184">
        <v>96</v>
      </c>
      <c r="I8184">
        <v>150</v>
      </c>
      <c r="J8184">
        <v>80</v>
      </c>
      <c r="K8184" t="b">
        <v>1</v>
      </c>
    </row>
    <row r="8185" spans="8:11" x14ac:dyDescent="0.25">
      <c r="H8185">
        <v>96</v>
      </c>
      <c r="I8185">
        <v>180</v>
      </c>
      <c r="J8185">
        <v>80</v>
      </c>
      <c r="K8185" t="b">
        <v>1</v>
      </c>
    </row>
    <row r="8186" spans="8:11" x14ac:dyDescent="0.25">
      <c r="H8186">
        <v>96</v>
      </c>
      <c r="I8186">
        <v>210</v>
      </c>
      <c r="J8186">
        <v>80</v>
      </c>
      <c r="K8186" t="b">
        <v>1</v>
      </c>
    </row>
    <row r="8187" spans="8:11" x14ac:dyDescent="0.25">
      <c r="H8187">
        <v>96</v>
      </c>
      <c r="I8187">
        <v>240</v>
      </c>
      <c r="J8187">
        <v>80</v>
      </c>
      <c r="K8187" t="b">
        <v>1</v>
      </c>
    </row>
    <row r="8188" spans="8:11" x14ac:dyDescent="0.25">
      <c r="H8188">
        <v>96</v>
      </c>
      <c r="I8188">
        <v>270</v>
      </c>
      <c r="J8188">
        <v>80</v>
      </c>
      <c r="K8188" t="b">
        <v>1</v>
      </c>
    </row>
    <row r="8189" spans="8:11" x14ac:dyDescent="0.25">
      <c r="H8189">
        <v>96</v>
      </c>
      <c r="I8189">
        <v>300</v>
      </c>
      <c r="J8189">
        <v>80</v>
      </c>
      <c r="K8189" t="b">
        <v>1</v>
      </c>
    </row>
    <row r="8190" spans="8:11" x14ac:dyDescent="0.25">
      <c r="H8190">
        <v>96</v>
      </c>
      <c r="I8190">
        <v>330</v>
      </c>
      <c r="J8190">
        <v>80</v>
      </c>
      <c r="K8190" t="b">
        <v>1</v>
      </c>
    </row>
    <row r="8191" spans="8:11" x14ac:dyDescent="0.25">
      <c r="H8191">
        <v>96</v>
      </c>
      <c r="I8191">
        <v>360</v>
      </c>
      <c r="J8191">
        <v>80</v>
      </c>
      <c r="K8191" t="b">
        <v>1</v>
      </c>
    </row>
    <row r="8192" spans="8:11" x14ac:dyDescent="0.25">
      <c r="H8192">
        <v>96</v>
      </c>
      <c r="I8192">
        <v>390</v>
      </c>
      <c r="J8192">
        <v>80</v>
      </c>
      <c r="K8192" t="b">
        <v>1</v>
      </c>
    </row>
    <row r="8193" spans="8:11" x14ac:dyDescent="0.25">
      <c r="H8193">
        <v>96</v>
      </c>
      <c r="I8193">
        <v>420</v>
      </c>
      <c r="J8193">
        <v>80</v>
      </c>
      <c r="K8193" t="b">
        <v>1</v>
      </c>
    </row>
    <row r="8194" spans="8:11" x14ac:dyDescent="0.25">
      <c r="H8194">
        <v>96</v>
      </c>
      <c r="I8194">
        <v>450</v>
      </c>
      <c r="J8194">
        <v>80</v>
      </c>
      <c r="K8194" t="b">
        <v>1</v>
      </c>
    </row>
    <row r="8195" spans="8:11" x14ac:dyDescent="0.25">
      <c r="H8195">
        <v>96</v>
      </c>
      <c r="I8195">
        <v>480</v>
      </c>
      <c r="J8195">
        <v>80</v>
      </c>
      <c r="K8195" t="b">
        <v>1</v>
      </c>
    </row>
    <row r="8196" spans="8:11" x14ac:dyDescent="0.25">
      <c r="H8196">
        <v>96</v>
      </c>
      <c r="I8196">
        <v>510</v>
      </c>
      <c r="J8196">
        <v>80</v>
      </c>
      <c r="K8196" t="b">
        <v>1</v>
      </c>
    </row>
    <row r="8197" spans="8:11" x14ac:dyDescent="0.25">
      <c r="H8197">
        <v>96</v>
      </c>
      <c r="I8197">
        <v>540</v>
      </c>
      <c r="J8197">
        <v>80</v>
      </c>
      <c r="K8197" t="b">
        <v>1</v>
      </c>
    </row>
    <row r="8198" spans="8:11" x14ac:dyDescent="0.25">
      <c r="H8198">
        <v>96</v>
      </c>
      <c r="I8198">
        <v>570</v>
      </c>
      <c r="J8198">
        <v>80</v>
      </c>
      <c r="K8198" t="b">
        <v>1</v>
      </c>
    </row>
    <row r="8199" spans="8:11" x14ac:dyDescent="0.25">
      <c r="H8199">
        <v>96</v>
      </c>
      <c r="I8199">
        <v>600</v>
      </c>
      <c r="J8199">
        <v>80</v>
      </c>
      <c r="K8199" t="b">
        <v>1</v>
      </c>
    </row>
    <row r="8200" spans="8:11" x14ac:dyDescent="0.25">
      <c r="H8200">
        <v>96</v>
      </c>
      <c r="I8200">
        <v>630</v>
      </c>
      <c r="J8200">
        <v>80</v>
      </c>
      <c r="K8200" t="b">
        <v>1</v>
      </c>
    </row>
    <row r="8201" spans="8:11" x14ac:dyDescent="0.25">
      <c r="H8201">
        <v>96</v>
      </c>
      <c r="I8201">
        <v>660</v>
      </c>
      <c r="J8201">
        <v>80</v>
      </c>
      <c r="K8201" t="b">
        <v>1</v>
      </c>
    </row>
    <row r="8202" spans="8:11" x14ac:dyDescent="0.25">
      <c r="H8202">
        <v>96</v>
      </c>
      <c r="I8202">
        <v>690</v>
      </c>
      <c r="J8202">
        <v>80</v>
      </c>
      <c r="K8202" t="b">
        <v>1</v>
      </c>
    </row>
    <row r="8203" spans="8:11" x14ac:dyDescent="0.25">
      <c r="H8203">
        <v>96</v>
      </c>
      <c r="I8203">
        <v>720</v>
      </c>
      <c r="J8203">
        <v>80</v>
      </c>
      <c r="K8203" t="b">
        <v>1</v>
      </c>
    </row>
    <row r="8204" spans="8:11" x14ac:dyDescent="0.25">
      <c r="H8204">
        <v>96</v>
      </c>
      <c r="I8204">
        <v>750</v>
      </c>
      <c r="J8204">
        <v>80</v>
      </c>
      <c r="K8204" t="b">
        <v>1</v>
      </c>
    </row>
    <row r="8205" spans="8:11" x14ac:dyDescent="0.25">
      <c r="H8205">
        <v>96</v>
      </c>
      <c r="I8205">
        <v>780</v>
      </c>
      <c r="J8205">
        <v>80</v>
      </c>
      <c r="K8205" t="b">
        <v>1</v>
      </c>
    </row>
    <row r="8206" spans="8:11" x14ac:dyDescent="0.25">
      <c r="H8206">
        <v>96</v>
      </c>
      <c r="I8206">
        <v>810</v>
      </c>
      <c r="J8206">
        <v>80</v>
      </c>
      <c r="K8206" t="b">
        <v>1</v>
      </c>
    </row>
    <row r="8207" spans="8:11" x14ac:dyDescent="0.25">
      <c r="H8207">
        <v>96</v>
      </c>
      <c r="I8207">
        <v>840</v>
      </c>
      <c r="J8207">
        <v>80</v>
      </c>
      <c r="K8207" t="b">
        <v>1</v>
      </c>
    </row>
    <row r="8208" spans="8:11" x14ac:dyDescent="0.25">
      <c r="H8208">
        <v>96</v>
      </c>
      <c r="I8208">
        <v>870</v>
      </c>
      <c r="J8208">
        <v>80</v>
      </c>
      <c r="K8208" t="b">
        <v>1</v>
      </c>
    </row>
    <row r="8209" spans="8:11" x14ac:dyDescent="0.25">
      <c r="H8209">
        <v>96</v>
      </c>
      <c r="I8209">
        <v>900</v>
      </c>
      <c r="J8209">
        <v>80</v>
      </c>
      <c r="K8209" t="b">
        <v>1</v>
      </c>
    </row>
    <row r="8210" spans="8:11" x14ac:dyDescent="0.25">
      <c r="H8210">
        <v>96</v>
      </c>
      <c r="I8210">
        <v>930</v>
      </c>
      <c r="J8210">
        <v>80</v>
      </c>
      <c r="K8210" t="b">
        <v>1</v>
      </c>
    </row>
    <row r="8211" spans="8:11" x14ac:dyDescent="0.25">
      <c r="H8211">
        <v>97</v>
      </c>
      <c r="I8211">
        <v>0</v>
      </c>
      <c r="J8211">
        <v>108</v>
      </c>
      <c r="K8211" t="b">
        <v>1</v>
      </c>
    </row>
    <row r="8212" spans="8:11" x14ac:dyDescent="0.25">
      <c r="H8212">
        <v>97</v>
      </c>
      <c r="I8212">
        <v>7</v>
      </c>
      <c r="J8212">
        <v>108</v>
      </c>
      <c r="K8212" t="b">
        <v>1</v>
      </c>
    </row>
    <row r="8213" spans="8:11" x14ac:dyDescent="0.25">
      <c r="H8213">
        <v>97</v>
      </c>
      <c r="I8213">
        <v>14</v>
      </c>
      <c r="J8213">
        <v>108</v>
      </c>
      <c r="K8213" t="b">
        <v>1</v>
      </c>
    </row>
    <row r="8214" spans="8:11" x14ac:dyDescent="0.25">
      <c r="H8214">
        <v>97</v>
      </c>
      <c r="I8214">
        <v>21</v>
      </c>
      <c r="J8214">
        <v>108</v>
      </c>
      <c r="K8214" t="b">
        <v>1</v>
      </c>
    </row>
    <row r="8215" spans="8:11" x14ac:dyDescent="0.25">
      <c r="H8215">
        <v>97</v>
      </c>
      <c r="I8215">
        <v>28</v>
      </c>
      <c r="J8215">
        <v>108</v>
      </c>
      <c r="K8215" t="b">
        <v>1</v>
      </c>
    </row>
    <row r="8216" spans="8:11" x14ac:dyDescent="0.25">
      <c r="H8216">
        <v>97</v>
      </c>
      <c r="I8216">
        <v>35</v>
      </c>
      <c r="J8216">
        <v>108</v>
      </c>
      <c r="K8216" t="b">
        <v>1</v>
      </c>
    </row>
    <row r="8217" spans="8:11" x14ac:dyDescent="0.25">
      <c r="H8217">
        <v>97</v>
      </c>
      <c r="I8217">
        <v>42</v>
      </c>
      <c r="J8217">
        <v>108</v>
      </c>
      <c r="K8217" t="b">
        <v>1</v>
      </c>
    </row>
    <row r="8218" spans="8:11" x14ac:dyDescent="0.25">
      <c r="H8218">
        <v>97</v>
      </c>
      <c r="I8218">
        <v>49</v>
      </c>
      <c r="J8218">
        <v>108</v>
      </c>
      <c r="K8218" t="b">
        <v>1</v>
      </c>
    </row>
    <row r="8219" spans="8:11" x14ac:dyDescent="0.25">
      <c r="H8219">
        <v>97</v>
      </c>
      <c r="I8219">
        <v>56</v>
      </c>
      <c r="J8219">
        <v>108</v>
      </c>
      <c r="K8219" t="b">
        <v>1</v>
      </c>
    </row>
    <row r="8220" spans="8:11" x14ac:dyDescent="0.25">
      <c r="H8220">
        <v>97</v>
      </c>
      <c r="I8220">
        <v>63</v>
      </c>
      <c r="J8220">
        <v>108</v>
      </c>
      <c r="K8220" t="b">
        <v>1</v>
      </c>
    </row>
    <row r="8221" spans="8:11" x14ac:dyDescent="0.25">
      <c r="H8221">
        <v>97</v>
      </c>
      <c r="I8221">
        <v>70</v>
      </c>
      <c r="J8221">
        <v>108</v>
      </c>
      <c r="K8221" t="b">
        <v>1</v>
      </c>
    </row>
    <row r="8222" spans="8:11" x14ac:dyDescent="0.25">
      <c r="H8222">
        <v>97</v>
      </c>
      <c r="I8222">
        <v>77</v>
      </c>
      <c r="J8222">
        <v>108</v>
      </c>
      <c r="K8222" t="b">
        <v>1</v>
      </c>
    </row>
    <row r="8223" spans="8:11" x14ac:dyDescent="0.25">
      <c r="H8223">
        <v>97</v>
      </c>
      <c r="I8223">
        <v>84</v>
      </c>
      <c r="J8223">
        <v>108</v>
      </c>
      <c r="K8223" t="b">
        <v>1</v>
      </c>
    </row>
    <row r="8224" spans="8:11" x14ac:dyDescent="0.25">
      <c r="H8224">
        <v>97</v>
      </c>
      <c r="I8224">
        <v>91</v>
      </c>
      <c r="J8224">
        <v>108</v>
      </c>
      <c r="K8224" t="b">
        <v>1</v>
      </c>
    </row>
    <row r="8225" spans="8:11" x14ac:dyDescent="0.25">
      <c r="H8225">
        <v>97</v>
      </c>
      <c r="I8225">
        <v>98</v>
      </c>
      <c r="J8225">
        <v>108</v>
      </c>
      <c r="K8225" t="b">
        <v>1</v>
      </c>
    </row>
    <row r="8226" spans="8:11" x14ac:dyDescent="0.25">
      <c r="H8226">
        <v>97</v>
      </c>
      <c r="I8226">
        <v>105</v>
      </c>
      <c r="J8226">
        <v>108</v>
      </c>
      <c r="K8226" t="b">
        <v>1</v>
      </c>
    </row>
    <row r="8227" spans="8:11" x14ac:dyDescent="0.25">
      <c r="H8227">
        <v>97</v>
      </c>
      <c r="I8227">
        <v>112</v>
      </c>
      <c r="J8227">
        <v>108</v>
      </c>
      <c r="K8227" t="b">
        <v>1</v>
      </c>
    </row>
    <row r="8228" spans="8:11" x14ac:dyDescent="0.25">
      <c r="H8228">
        <v>97</v>
      </c>
      <c r="I8228">
        <v>119</v>
      </c>
      <c r="J8228">
        <v>108</v>
      </c>
      <c r="K8228" t="b">
        <v>1</v>
      </c>
    </row>
    <row r="8229" spans="8:11" x14ac:dyDescent="0.25">
      <c r="H8229">
        <v>97</v>
      </c>
      <c r="I8229">
        <v>126</v>
      </c>
      <c r="J8229">
        <v>108</v>
      </c>
      <c r="K8229" t="b">
        <v>1</v>
      </c>
    </row>
    <row r="8230" spans="8:11" x14ac:dyDescent="0.25">
      <c r="H8230">
        <v>97</v>
      </c>
      <c r="I8230">
        <v>133</v>
      </c>
      <c r="J8230">
        <v>108</v>
      </c>
      <c r="K8230" t="b">
        <v>1</v>
      </c>
    </row>
    <row r="8231" spans="8:11" x14ac:dyDescent="0.25">
      <c r="H8231">
        <v>97</v>
      </c>
      <c r="I8231">
        <v>140</v>
      </c>
      <c r="J8231">
        <v>108</v>
      </c>
      <c r="K8231" t="b">
        <v>1</v>
      </c>
    </row>
    <row r="8232" spans="8:11" x14ac:dyDescent="0.25">
      <c r="H8232">
        <v>97</v>
      </c>
      <c r="I8232">
        <v>147</v>
      </c>
      <c r="J8232">
        <v>108</v>
      </c>
      <c r="K8232" t="b">
        <v>1</v>
      </c>
    </row>
    <row r="8233" spans="8:11" x14ac:dyDescent="0.25">
      <c r="H8233">
        <v>97</v>
      </c>
      <c r="I8233">
        <v>154</v>
      </c>
      <c r="J8233">
        <v>108</v>
      </c>
      <c r="K8233" t="b">
        <v>1</v>
      </c>
    </row>
    <row r="8234" spans="8:11" x14ac:dyDescent="0.25">
      <c r="H8234">
        <v>97</v>
      </c>
      <c r="I8234">
        <v>161</v>
      </c>
      <c r="J8234">
        <v>108</v>
      </c>
      <c r="K8234" t="b">
        <v>1</v>
      </c>
    </row>
    <row r="8235" spans="8:11" x14ac:dyDescent="0.25">
      <c r="H8235">
        <v>97</v>
      </c>
      <c r="I8235">
        <v>168</v>
      </c>
      <c r="J8235">
        <v>108</v>
      </c>
      <c r="K8235" t="b">
        <v>1</v>
      </c>
    </row>
    <row r="8236" spans="8:11" x14ac:dyDescent="0.25">
      <c r="H8236">
        <v>97</v>
      </c>
      <c r="I8236">
        <v>175</v>
      </c>
      <c r="J8236">
        <v>108</v>
      </c>
      <c r="K8236" t="b">
        <v>1</v>
      </c>
    </row>
    <row r="8237" spans="8:11" x14ac:dyDescent="0.25">
      <c r="H8237">
        <v>97</v>
      </c>
      <c r="I8237">
        <v>182</v>
      </c>
      <c r="J8237">
        <v>108</v>
      </c>
      <c r="K8237" t="b">
        <v>1</v>
      </c>
    </row>
    <row r="8238" spans="8:11" x14ac:dyDescent="0.25">
      <c r="H8238">
        <v>97</v>
      </c>
      <c r="I8238">
        <v>189</v>
      </c>
      <c r="J8238">
        <v>108</v>
      </c>
      <c r="K8238" t="b">
        <v>1</v>
      </c>
    </row>
    <row r="8239" spans="8:11" x14ac:dyDescent="0.25">
      <c r="H8239">
        <v>97</v>
      </c>
      <c r="I8239">
        <v>196</v>
      </c>
      <c r="J8239">
        <v>108</v>
      </c>
      <c r="K8239" t="b">
        <v>1</v>
      </c>
    </row>
    <row r="8240" spans="8:11" x14ac:dyDescent="0.25">
      <c r="H8240">
        <v>97</v>
      </c>
      <c r="I8240">
        <v>203</v>
      </c>
      <c r="J8240">
        <v>108</v>
      </c>
      <c r="K8240" t="b">
        <v>1</v>
      </c>
    </row>
    <row r="8241" spans="8:11" x14ac:dyDescent="0.25">
      <c r="H8241">
        <v>97</v>
      </c>
      <c r="I8241">
        <v>210</v>
      </c>
      <c r="J8241">
        <v>108</v>
      </c>
      <c r="K8241" t="b">
        <v>1</v>
      </c>
    </row>
    <row r="8242" spans="8:11" x14ac:dyDescent="0.25">
      <c r="H8242">
        <v>97</v>
      </c>
      <c r="I8242">
        <v>217</v>
      </c>
      <c r="J8242">
        <v>108</v>
      </c>
      <c r="K8242" t="b">
        <v>1</v>
      </c>
    </row>
    <row r="8243" spans="8:11" x14ac:dyDescent="0.25">
      <c r="H8243">
        <v>97</v>
      </c>
      <c r="I8243">
        <v>224</v>
      </c>
      <c r="J8243">
        <v>108</v>
      </c>
      <c r="K8243" t="b">
        <v>1</v>
      </c>
    </row>
    <row r="8244" spans="8:11" x14ac:dyDescent="0.25">
      <c r="H8244">
        <v>97</v>
      </c>
      <c r="I8244">
        <v>231</v>
      </c>
      <c r="J8244">
        <v>108</v>
      </c>
      <c r="K8244" t="b">
        <v>1</v>
      </c>
    </row>
    <row r="8245" spans="8:11" x14ac:dyDescent="0.25">
      <c r="H8245">
        <v>97</v>
      </c>
      <c r="I8245">
        <v>238</v>
      </c>
      <c r="J8245">
        <v>108</v>
      </c>
      <c r="K8245" t="b">
        <v>1</v>
      </c>
    </row>
    <row r="8246" spans="8:11" x14ac:dyDescent="0.25">
      <c r="H8246">
        <v>97</v>
      </c>
      <c r="I8246">
        <v>245</v>
      </c>
      <c r="J8246">
        <v>108</v>
      </c>
      <c r="K8246" t="b">
        <v>1</v>
      </c>
    </row>
    <row r="8247" spans="8:11" x14ac:dyDescent="0.25">
      <c r="H8247">
        <v>97</v>
      </c>
      <c r="I8247">
        <v>252</v>
      </c>
      <c r="J8247">
        <v>108</v>
      </c>
      <c r="K8247" t="b">
        <v>1</v>
      </c>
    </row>
    <row r="8248" spans="8:11" x14ac:dyDescent="0.25">
      <c r="H8248">
        <v>97</v>
      </c>
      <c r="I8248">
        <v>259</v>
      </c>
      <c r="J8248">
        <v>108</v>
      </c>
      <c r="K8248" t="b">
        <v>1</v>
      </c>
    </row>
    <row r="8249" spans="8:11" x14ac:dyDescent="0.25">
      <c r="H8249">
        <v>97</v>
      </c>
      <c r="I8249">
        <v>266</v>
      </c>
      <c r="J8249">
        <v>108</v>
      </c>
      <c r="K8249" t="b">
        <v>1</v>
      </c>
    </row>
    <row r="8250" spans="8:11" x14ac:dyDescent="0.25">
      <c r="H8250">
        <v>97</v>
      </c>
      <c r="I8250">
        <v>273</v>
      </c>
      <c r="J8250">
        <v>108</v>
      </c>
      <c r="K8250" t="b">
        <v>1</v>
      </c>
    </row>
    <row r="8251" spans="8:11" x14ac:dyDescent="0.25">
      <c r="H8251">
        <v>97</v>
      </c>
      <c r="I8251">
        <v>280</v>
      </c>
      <c r="J8251">
        <v>108</v>
      </c>
      <c r="K8251" t="b">
        <v>1</v>
      </c>
    </row>
    <row r="8252" spans="8:11" x14ac:dyDescent="0.25">
      <c r="H8252">
        <v>97</v>
      </c>
      <c r="I8252">
        <v>287</v>
      </c>
      <c r="J8252">
        <v>108</v>
      </c>
      <c r="K8252" t="b">
        <v>1</v>
      </c>
    </row>
    <row r="8253" spans="8:11" x14ac:dyDescent="0.25">
      <c r="H8253">
        <v>97</v>
      </c>
      <c r="I8253">
        <v>294</v>
      </c>
      <c r="J8253">
        <v>108</v>
      </c>
      <c r="K8253" t="b">
        <v>1</v>
      </c>
    </row>
    <row r="8254" spans="8:11" x14ac:dyDescent="0.25">
      <c r="H8254">
        <v>97</v>
      </c>
      <c r="I8254">
        <v>301</v>
      </c>
      <c r="J8254">
        <v>108</v>
      </c>
      <c r="K8254" t="b">
        <v>1</v>
      </c>
    </row>
    <row r="8255" spans="8:11" x14ac:dyDescent="0.25">
      <c r="H8255">
        <v>97</v>
      </c>
      <c r="I8255">
        <v>308</v>
      </c>
      <c r="J8255">
        <v>108</v>
      </c>
      <c r="K8255" t="b">
        <v>1</v>
      </c>
    </row>
    <row r="8256" spans="8:11" x14ac:dyDescent="0.25">
      <c r="H8256">
        <v>97</v>
      </c>
      <c r="I8256">
        <v>315</v>
      </c>
      <c r="J8256">
        <v>108</v>
      </c>
      <c r="K8256" t="b">
        <v>1</v>
      </c>
    </row>
    <row r="8257" spans="8:11" x14ac:dyDescent="0.25">
      <c r="H8257">
        <v>97</v>
      </c>
      <c r="I8257">
        <v>322</v>
      </c>
      <c r="J8257">
        <v>108</v>
      </c>
      <c r="K8257" t="b">
        <v>1</v>
      </c>
    </row>
    <row r="8258" spans="8:11" x14ac:dyDescent="0.25">
      <c r="H8258">
        <v>97</v>
      </c>
      <c r="I8258">
        <v>329</v>
      </c>
      <c r="J8258">
        <v>108</v>
      </c>
      <c r="K8258" t="b">
        <v>1</v>
      </c>
    </row>
    <row r="8259" spans="8:11" x14ac:dyDescent="0.25">
      <c r="H8259">
        <v>97</v>
      </c>
      <c r="I8259">
        <v>336</v>
      </c>
      <c r="J8259">
        <v>108</v>
      </c>
      <c r="K8259" t="b">
        <v>1</v>
      </c>
    </row>
    <row r="8260" spans="8:11" x14ac:dyDescent="0.25">
      <c r="H8260">
        <v>97</v>
      </c>
      <c r="I8260">
        <v>343</v>
      </c>
      <c r="J8260">
        <v>108</v>
      </c>
      <c r="K8260" t="b">
        <v>1</v>
      </c>
    </row>
    <row r="8261" spans="8:11" x14ac:dyDescent="0.25">
      <c r="H8261">
        <v>97</v>
      </c>
      <c r="I8261">
        <v>350</v>
      </c>
      <c r="J8261">
        <v>108</v>
      </c>
      <c r="K8261" t="b">
        <v>1</v>
      </c>
    </row>
    <row r="8262" spans="8:11" x14ac:dyDescent="0.25">
      <c r="H8262">
        <v>97</v>
      </c>
      <c r="I8262">
        <v>357</v>
      </c>
      <c r="J8262">
        <v>108</v>
      </c>
      <c r="K8262" t="b">
        <v>1</v>
      </c>
    </row>
    <row r="8263" spans="8:11" x14ac:dyDescent="0.25">
      <c r="H8263">
        <v>97</v>
      </c>
      <c r="I8263">
        <v>364</v>
      </c>
      <c r="J8263">
        <v>108</v>
      </c>
      <c r="K8263" t="b">
        <v>1</v>
      </c>
    </row>
    <row r="8264" spans="8:11" x14ac:dyDescent="0.25">
      <c r="H8264">
        <v>97</v>
      </c>
      <c r="I8264">
        <v>371</v>
      </c>
      <c r="J8264">
        <v>108</v>
      </c>
      <c r="K8264" t="b">
        <v>1</v>
      </c>
    </row>
    <row r="8265" spans="8:11" x14ac:dyDescent="0.25">
      <c r="H8265">
        <v>97</v>
      </c>
      <c r="I8265">
        <v>378</v>
      </c>
      <c r="J8265">
        <v>108</v>
      </c>
      <c r="K8265" t="b">
        <v>1</v>
      </c>
    </row>
    <row r="8266" spans="8:11" x14ac:dyDescent="0.25">
      <c r="H8266">
        <v>97</v>
      </c>
      <c r="I8266">
        <v>385</v>
      </c>
      <c r="J8266">
        <v>108</v>
      </c>
      <c r="K8266" t="b">
        <v>1</v>
      </c>
    </row>
    <row r="8267" spans="8:11" x14ac:dyDescent="0.25">
      <c r="H8267">
        <v>97</v>
      </c>
      <c r="I8267">
        <v>392</v>
      </c>
      <c r="J8267">
        <v>108</v>
      </c>
      <c r="K8267" t="b">
        <v>1</v>
      </c>
    </row>
    <row r="8268" spans="8:11" x14ac:dyDescent="0.25">
      <c r="H8268">
        <v>97</v>
      </c>
      <c r="I8268">
        <v>399</v>
      </c>
      <c r="J8268">
        <v>108</v>
      </c>
      <c r="K8268" t="b">
        <v>1</v>
      </c>
    </row>
    <row r="8269" spans="8:11" x14ac:dyDescent="0.25">
      <c r="H8269">
        <v>97</v>
      </c>
      <c r="I8269">
        <v>406</v>
      </c>
      <c r="J8269">
        <v>108</v>
      </c>
      <c r="K8269" t="b">
        <v>1</v>
      </c>
    </row>
    <row r="8270" spans="8:11" x14ac:dyDescent="0.25">
      <c r="H8270">
        <v>97</v>
      </c>
      <c r="I8270">
        <v>413</v>
      </c>
      <c r="J8270">
        <v>108</v>
      </c>
      <c r="K8270" t="b">
        <v>1</v>
      </c>
    </row>
    <row r="8271" spans="8:11" x14ac:dyDescent="0.25">
      <c r="H8271">
        <v>97</v>
      </c>
      <c r="I8271">
        <v>420</v>
      </c>
      <c r="J8271">
        <v>108</v>
      </c>
      <c r="K8271" t="b">
        <v>1</v>
      </c>
    </row>
    <row r="8272" spans="8:11" x14ac:dyDescent="0.25">
      <c r="H8272">
        <v>97</v>
      </c>
      <c r="I8272">
        <v>427</v>
      </c>
      <c r="J8272">
        <v>108</v>
      </c>
      <c r="K8272" t="b">
        <v>1</v>
      </c>
    </row>
    <row r="8273" spans="8:11" x14ac:dyDescent="0.25">
      <c r="H8273">
        <v>97</v>
      </c>
      <c r="I8273">
        <v>434</v>
      </c>
      <c r="J8273">
        <v>108</v>
      </c>
      <c r="K8273" t="b">
        <v>1</v>
      </c>
    </row>
    <row r="8274" spans="8:11" x14ac:dyDescent="0.25">
      <c r="H8274">
        <v>97</v>
      </c>
      <c r="I8274">
        <v>441</v>
      </c>
      <c r="J8274">
        <v>108</v>
      </c>
      <c r="K8274" t="b">
        <v>1</v>
      </c>
    </row>
    <row r="8275" spans="8:11" x14ac:dyDescent="0.25">
      <c r="H8275">
        <v>97</v>
      </c>
      <c r="I8275">
        <v>448</v>
      </c>
      <c r="J8275">
        <v>108</v>
      </c>
      <c r="K8275" t="b">
        <v>1</v>
      </c>
    </row>
    <row r="8276" spans="8:11" x14ac:dyDescent="0.25">
      <c r="H8276">
        <v>97</v>
      </c>
      <c r="I8276">
        <v>455</v>
      </c>
      <c r="J8276">
        <v>108</v>
      </c>
      <c r="K8276" t="b">
        <v>1</v>
      </c>
    </row>
    <row r="8277" spans="8:11" x14ac:dyDescent="0.25">
      <c r="H8277">
        <v>97</v>
      </c>
      <c r="I8277">
        <v>462</v>
      </c>
      <c r="J8277">
        <v>108</v>
      </c>
      <c r="K8277" t="b">
        <v>1</v>
      </c>
    </row>
    <row r="8278" spans="8:11" x14ac:dyDescent="0.25">
      <c r="H8278">
        <v>97</v>
      </c>
      <c r="I8278">
        <v>469</v>
      </c>
      <c r="J8278">
        <v>108</v>
      </c>
      <c r="K8278" t="b">
        <v>1</v>
      </c>
    </row>
    <row r="8279" spans="8:11" x14ac:dyDescent="0.25">
      <c r="H8279">
        <v>97</v>
      </c>
      <c r="I8279">
        <v>476</v>
      </c>
      <c r="J8279">
        <v>108</v>
      </c>
      <c r="K8279" t="b">
        <v>1</v>
      </c>
    </row>
    <row r="8280" spans="8:11" x14ac:dyDescent="0.25">
      <c r="H8280">
        <v>97</v>
      </c>
      <c r="I8280">
        <v>483</v>
      </c>
      <c r="J8280">
        <v>108</v>
      </c>
      <c r="K8280" t="b">
        <v>1</v>
      </c>
    </row>
    <row r="8281" spans="8:11" x14ac:dyDescent="0.25">
      <c r="H8281">
        <v>97</v>
      </c>
      <c r="I8281">
        <v>490</v>
      </c>
      <c r="J8281">
        <v>108</v>
      </c>
      <c r="K8281" t="b">
        <v>1</v>
      </c>
    </row>
    <row r="8282" spans="8:11" x14ac:dyDescent="0.25">
      <c r="H8282">
        <v>97</v>
      </c>
      <c r="I8282">
        <v>497</v>
      </c>
      <c r="J8282">
        <v>108</v>
      </c>
      <c r="K8282" t="b">
        <v>1</v>
      </c>
    </row>
    <row r="8283" spans="8:11" x14ac:dyDescent="0.25">
      <c r="H8283">
        <v>97</v>
      </c>
      <c r="I8283">
        <v>504</v>
      </c>
      <c r="J8283">
        <v>108</v>
      </c>
      <c r="K8283" t="b">
        <v>1</v>
      </c>
    </row>
    <row r="8284" spans="8:11" x14ac:dyDescent="0.25">
      <c r="H8284">
        <v>97</v>
      </c>
      <c r="I8284">
        <v>511</v>
      </c>
      <c r="J8284">
        <v>108</v>
      </c>
      <c r="K8284" t="b">
        <v>1</v>
      </c>
    </row>
    <row r="8285" spans="8:11" x14ac:dyDescent="0.25">
      <c r="H8285">
        <v>97</v>
      </c>
      <c r="I8285">
        <v>518</v>
      </c>
      <c r="J8285">
        <v>108</v>
      </c>
      <c r="K8285" t="b">
        <v>1</v>
      </c>
    </row>
    <row r="8286" spans="8:11" x14ac:dyDescent="0.25">
      <c r="H8286">
        <v>97</v>
      </c>
      <c r="I8286">
        <v>525</v>
      </c>
      <c r="J8286">
        <v>108</v>
      </c>
      <c r="K8286" t="b">
        <v>1</v>
      </c>
    </row>
    <row r="8287" spans="8:11" x14ac:dyDescent="0.25">
      <c r="H8287">
        <v>97</v>
      </c>
      <c r="I8287">
        <v>532</v>
      </c>
      <c r="J8287">
        <v>108</v>
      </c>
      <c r="K8287" t="b">
        <v>1</v>
      </c>
    </row>
    <row r="8288" spans="8:11" x14ac:dyDescent="0.25">
      <c r="H8288">
        <v>97</v>
      </c>
      <c r="I8288">
        <v>539</v>
      </c>
      <c r="J8288">
        <v>108</v>
      </c>
      <c r="K8288" t="b">
        <v>1</v>
      </c>
    </row>
    <row r="8289" spans="8:11" x14ac:dyDescent="0.25">
      <c r="H8289">
        <v>97</v>
      </c>
      <c r="I8289">
        <v>546</v>
      </c>
      <c r="J8289">
        <v>108</v>
      </c>
      <c r="K8289" t="b">
        <v>1</v>
      </c>
    </row>
    <row r="8290" spans="8:11" x14ac:dyDescent="0.25">
      <c r="H8290">
        <v>97</v>
      </c>
      <c r="I8290">
        <v>553</v>
      </c>
      <c r="J8290">
        <v>108</v>
      </c>
      <c r="K8290" t="b">
        <v>1</v>
      </c>
    </row>
    <row r="8291" spans="8:11" x14ac:dyDescent="0.25">
      <c r="H8291">
        <v>97</v>
      </c>
      <c r="I8291">
        <v>560</v>
      </c>
      <c r="J8291">
        <v>108</v>
      </c>
      <c r="K8291" t="b">
        <v>1</v>
      </c>
    </row>
    <row r="8292" spans="8:11" x14ac:dyDescent="0.25">
      <c r="H8292">
        <v>97</v>
      </c>
      <c r="I8292">
        <v>567</v>
      </c>
      <c r="J8292">
        <v>108</v>
      </c>
      <c r="K8292" t="b">
        <v>1</v>
      </c>
    </row>
    <row r="8293" spans="8:11" x14ac:dyDescent="0.25">
      <c r="H8293">
        <v>97</v>
      </c>
      <c r="I8293">
        <v>574</v>
      </c>
      <c r="J8293">
        <v>108</v>
      </c>
      <c r="K8293" t="b">
        <v>1</v>
      </c>
    </row>
    <row r="8294" spans="8:11" x14ac:dyDescent="0.25">
      <c r="H8294">
        <v>97</v>
      </c>
      <c r="I8294">
        <v>581</v>
      </c>
      <c r="J8294">
        <v>108</v>
      </c>
      <c r="K8294" t="b">
        <v>1</v>
      </c>
    </row>
    <row r="8295" spans="8:11" x14ac:dyDescent="0.25">
      <c r="H8295">
        <v>97</v>
      </c>
      <c r="I8295">
        <v>588</v>
      </c>
      <c r="J8295">
        <v>108</v>
      </c>
      <c r="K8295" t="b">
        <v>1</v>
      </c>
    </row>
    <row r="8296" spans="8:11" x14ac:dyDescent="0.25">
      <c r="H8296">
        <v>97</v>
      </c>
      <c r="I8296">
        <v>595</v>
      </c>
      <c r="J8296">
        <v>108</v>
      </c>
      <c r="K8296" t="b">
        <v>1</v>
      </c>
    </row>
    <row r="8297" spans="8:11" x14ac:dyDescent="0.25">
      <c r="H8297">
        <v>97</v>
      </c>
      <c r="I8297">
        <v>602</v>
      </c>
      <c r="J8297">
        <v>108</v>
      </c>
      <c r="K8297" t="b">
        <v>1</v>
      </c>
    </row>
    <row r="8298" spans="8:11" x14ac:dyDescent="0.25">
      <c r="H8298">
        <v>97</v>
      </c>
      <c r="I8298">
        <v>609</v>
      </c>
      <c r="J8298">
        <v>108</v>
      </c>
      <c r="K8298" t="b">
        <v>1</v>
      </c>
    </row>
    <row r="8299" spans="8:11" x14ac:dyDescent="0.25">
      <c r="H8299">
        <v>97</v>
      </c>
      <c r="I8299">
        <v>616</v>
      </c>
      <c r="J8299">
        <v>108</v>
      </c>
      <c r="K8299" t="b">
        <v>1</v>
      </c>
    </row>
    <row r="8300" spans="8:11" x14ac:dyDescent="0.25">
      <c r="H8300">
        <v>97</v>
      </c>
      <c r="I8300">
        <v>623</v>
      </c>
      <c r="J8300">
        <v>108</v>
      </c>
      <c r="K8300" t="b">
        <v>1</v>
      </c>
    </row>
    <row r="8301" spans="8:11" x14ac:dyDescent="0.25">
      <c r="H8301">
        <v>97</v>
      </c>
      <c r="I8301">
        <v>630</v>
      </c>
      <c r="J8301">
        <v>108</v>
      </c>
      <c r="K8301" t="b">
        <v>1</v>
      </c>
    </row>
    <row r="8302" spans="8:11" x14ac:dyDescent="0.25">
      <c r="H8302">
        <v>97</v>
      </c>
      <c r="I8302">
        <v>637</v>
      </c>
      <c r="J8302">
        <v>108</v>
      </c>
      <c r="K8302" t="b">
        <v>1</v>
      </c>
    </row>
    <row r="8303" spans="8:11" x14ac:dyDescent="0.25">
      <c r="H8303">
        <v>97</v>
      </c>
      <c r="I8303">
        <v>644</v>
      </c>
      <c r="J8303">
        <v>108</v>
      </c>
      <c r="K8303" t="b">
        <v>1</v>
      </c>
    </row>
    <row r="8304" spans="8:11" x14ac:dyDescent="0.25">
      <c r="H8304">
        <v>97</v>
      </c>
      <c r="I8304">
        <v>651</v>
      </c>
      <c r="J8304">
        <v>108</v>
      </c>
      <c r="K8304" t="b">
        <v>1</v>
      </c>
    </row>
    <row r="8305" spans="8:11" x14ac:dyDescent="0.25">
      <c r="H8305">
        <v>97</v>
      </c>
      <c r="I8305">
        <v>658</v>
      </c>
      <c r="J8305">
        <v>108</v>
      </c>
      <c r="K8305" t="b">
        <v>1</v>
      </c>
    </row>
    <row r="8306" spans="8:11" x14ac:dyDescent="0.25">
      <c r="H8306">
        <v>97</v>
      </c>
      <c r="I8306">
        <v>665</v>
      </c>
      <c r="J8306">
        <v>108</v>
      </c>
      <c r="K8306" t="b">
        <v>1</v>
      </c>
    </row>
    <row r="8307" spans="8:11" x14ac:dyDescent="0.25">
      <c r="H8307">
        <v>97</v>
      </c>
      <c r="I8307">
        <v>672</v>
      </c>
      <c r="J8307">
        <v>108</v>
      </c>
      <c r="K8307" t="b">
        <v>1</v>
      </c>
    </row>
    <row r="8308" spans="8:11" x14ac:dyDescent="0.25">
      <c r="H8308">
        <v>97</v>
      </c>
      <c r="I8308">
        <v>679</v>
      </c>
      <c r="J8308">
        <v>108</v>
      </c>
      <c r="K8308" t="b">
        <v>1</v>
      </c>
    </row>
    <row r="8309" spans="8:11" x14ac:dyDescent="0.25">
      <c r="H8309">
        <v>97</v>
      </c>
      <c r="I8309">
        <v>686</v>
      </c>
      <c r="J8309">
        <v>108</v>
      </c>
      <c r="K8309" t="b">
        <v>1</v>
      </c>
    </row>
    <row r="8310" spans="8:11" x14ac:dyDescent="0.25">
      <c r="H8310">
        <v>97</v>
      </c>
      <c r="I8310">
        <v>693</v>
      </c>
      <c r="J8310">
        <v>108</v>
      </c>
      <c r="K8310" t="b">
        <v>1</v>
      </c>
    </row>
    <row r="8311" spans="8:11" x14ac:dyDescent="0.25">
      <c r="H8311">
        <v>97</v>
      </c>
      <c r="I8311">
        <v>700</v>
      </c>
      <c r="J8311">
        <v>108</v>
      </c>
      <c r="K8311" t="b">
        <v>1</v>
      </c>
    </row>
    <row r="8312" spans="8:11" x14ac:dyDescent="0.25">
      <c r="H8312">
        <v>97</v>
      </c>
      <c r="I8312">
        <v>707</v>
      </c>
      <c r="J8312">
        <v>108</v>
      </c>
      <c r="K8312" t="b">
        <v>1</v>
      </c>
    </row>
    <row r="8313" spans="8:11" x14ac:dyDescent="0.25">
      <c r="H8313">
        <v>97</v>
      </c>
      <c r="I8313">
        <v>714</v>
      </c>
      <c r="J8313">
        <v>108</v>
      </c>
      <c r="K8313" t="b">
        <v>1</v>
      </c>
    </row>
    <row r="8314" spans="8:11" x14ac:dyDescent="0.25">
      <c r="H8314">
        <v>97</v>
      </c>
      <c r="I8314">
        <v>721</v>
      </c>
      <c r="J8314">
        <v>108</v>
      </c>
      <c r="K8314" t="b">
        <v>1</v>
      </c>
    </row>
    <row r="8315" spans="8:11" x14ac:dyDescent="0.25">
      <c r="H8315">
        <v>97</v>
      </c>
      <c r="I8315">
        <v>728</v>
      </c>
      <c r="J8315">
        <v>108</v>
      </c>
      <c r="K8315" t="b">
        <v>1</v>
      </c>
    </row>
    <row r="8316" spans="8:11" x14ac:dyDescent="0.25">
      <c r="H8316">
        <v>97</v>
      </c>
      <c r="I8316">
        <v>735</v>
      </c>
      <c r="J8316">
        <v>108</v>
      </c>
      <c r="K8316" t="b">
        <v>1</v>
      </c>
    </row>
    <row r="8317" spans="8:11" x14ac:dyDescent="0.25">
      <c r="H8317">
        <v>97</v>
      </c>
      <c r="I8317">
        <v>742</v>
      </c>
      <c r="J8317">
        <v>108</v>
      </c>
      <c r="K8317" t="b">
        <v>1</v>
      </c>
    </row>
    <row r="8318" spans="8:11" x14ac:dyDescent="0.25">
      <c r="H8318">
        <v>97</v>
      </c>
      <c r="I8318">
        <v>749</v>
      </c>
      <c r="J8318">
        <v>108</v>
      </c>
      <c r="K8318" t="b">
        <v>1</v>
      </c>
    </row>
    <row r="8319" spans="8:11" x14ac:dyDescent="0.25">
      <c r="H8319">
        <v>97</v>
      </c>
      <c r="I8319">
        <v>756</v>
      </c>
      <c r="J8319">
        <v>108</v>
      </c>
      <c r="K8319" t="b">
        <v>1</v>
      </c>
    </row>
    <row r="8320" spans="8:11" x14ac:dyDescent="0.25">
      <c r="H8320">
        <v>97</v>
      </c>
      <c r="I8320">
        <v>763</v>
      </c>
      <c r="J8320">
        <v>108</v>
      </c>
      <c r="K8320" t="b">
        <v>1</v>
      </c>
    </row>
    <row r="8321" spans="8:11" x14ac:dyDescent="0.25">
      <c r="H8321">
        <v>97</v>
      </c>
      <c r="I8321">
        <v>770</v>
      </c>
      <c r="J8321">
        <v>108</v>
      </c>
      <c r="K8321" t="b">
        <v>1</v>
      </c>
    </row>
    <row r="8322" spans="8:11" x14ac:dyDescent="0.25">
      <c r="H8322">
        <v>97</v>
      </c>
      <c r="I8322">
        <v>777</v>
      </c>
      <c r="J8322">
        <v>108</v>
      </c>
      <c r="K8322" t="b">
        <v>1</v>
      </c>
    </row>
    <row r="8323" spans="8:11" x14ac:dyDescent="0.25">
      <c r="H8323">
        <v>97</v>
      </c>
      <c r="I8323">
        <v>784</v>
      </c>
      <c r="J8323">
        <v>108</v>
      </c>
      <c r="K8323" t="b">
        <v>1</v>
      </c>
    </row>
    <row r="8324" spans="8:11" x14ac:dyDescent="0.25">
      <c r="H8324">
        <v>97</v>
      </c>
      <c r="I8324">
        <v>791</v>
      </c>
      <c r="J8324">
        <v>108</v>
      </c>
      <c r="K8324" t="b">
        <v>1</v>
      </c>
    </row>
    <row r="8325" spans="8:11" x14ac:dyDescent="0.25">
      <c r="H8325">
        <v>97</v>
      </c>
      <c r="I8325">
        <v>798</v>
      </c>
      <c r="J8325">
        <v>108</v>
      </c>
      <c r="K8325" t="b">
        <v>1</v>
      </c>
    </row>
    <row r="8326" spans="8:11" x14ac:dyDescent="0.25">
      <c r="H8326">
        <v>97</v>
      </c>
      <c r="I8326">
        <v>805</v>
      </c>
      <c r="J8326">
        <v>108</v>
      </c>
      <c r="K8326" t="b">
        <v>1</v>
      </c>
    </row>
    <row r="8327" spans="8:11" x14ac:dyDescent="0.25">
      <c r="H8327">
        <v>97</v>
      </c>
      <c r="I8327">
        <v>812</v>
      </c>
      <c r="J8327">
        <v>108</v>
      </c>
      <c r="K8327" t="b">
        <v>1</v>
      </c>
    </row>
    <row r="8328" spans="8:11" x14ac:dyDescent="0.25">
      <c r="H8328">
        <v>97</v>
      </c>
      <c r="I8328">
        <v>819</v>
      </c>
      <c r="J8328">
        <v>108</v>
      </c>
      <c r="K8328" t="b">
        <v>1</v>
      </c>
    </row>
    <row r="8329" spans="8:11" x14ac:dyDescent="0.25">
      <c r="H8329">
        <v>97</v>
      </c>
      <c r="I8329">
        <v>826</v>
      </c>
      <c r="J8329">
        <v>108</v>
      </c>
      <c r="K8329" t="b">
        <v>1</v>
      </c>
    </row>
    <row r="8330" spans="8:11" x14ac:dyDescent="0.25">
      <c r="H8330">
        <v>97</v>
      </c>
      <c r="I8330">
        <v>833</v>
      </c>
      <c r="J8330">
        <v>108</v>
      </c>
      <c r="K8330" t="b">
        <v>1</v>
      </c>
    </row>
    <row r="8331" spans="8:11" x14ac:dyDescent="0.25">
      <c r="H8331">
        <v>97</v>
      </c>
      <c r="I8331">
        <v>840</v>
      </c>
      <c r="J8331">
        <v>108</v>
      </c>
      <c r="K8331" t="b">
        <v>1</v>
      </c>
    </row>
    <row r="8332" spans="8:11" x14ac:dyDescent="0.25">
      <c r="H8332">
        <v>97</v>
      </c>
      <c r="I8332">
        <v>847</v>
      </c>
      <c r="J8332">
        <v>108</v>
      </c>
      <c r="K8332" t="b">
        <v>1</v>
      </c>
    </row>
    <row r="8333" spans="8:11" x14ac:dyDescent="0.25">
      <c r="H8333">
        <v>97</v>
      </c>
      <c r="I8333">
        <v>854</v>
      </c>
      <c r="J8333">
        <v>108</v>
      </c>
      <c r="K8333" t="b">
        <v>1</v>
      </c>
    </row>
    <row r="8334" spans="8:11" x14ac:dyDescent="0.25">
      <c r="H8334">
        <v>97</v>
      </c>
      <c r="I8334">
        <v>861</v>
      </c>
      <c r="J8334">
        <v>108</v>
      </c>
      <c r="K8334" t="b">
        <v>1</v>
      </c>
    </row>
    <row r="8335" spans="8:11" x14ac:dyDescent="0.25">
      <c r="H8335">
        <v>97</v>
      </c>
      <c r="I8335">
        <v>868</v>
      </c>
      <c r="J8335">
        <v>108</v>
      </c>
      <c r="K8335" t="b">
        <v>1</v>
      </c>
    </row>
    <row r="8336" spans="8:11" x14ac:dyDescent="0.25">
      <c r="H8336">
        <v>97</v>
      </c>
      <c r="I8336">
        <v>875</v>
      </c>
      <c r="J8336">
        <v>108</v>
      </c>
      <c r="K8336" t="b">
        <v>1</v>
      </c>
    </row>
    <row r="8337" spans="8:11" x14ac:dyDescent="0.25">
      <c r="H8337">
        <v>97</v>
      </c>
      <c r="I8337">
        <v>882</v>
      </c>
      <c r="J8337">
        <v>108</v>
      </c>
      <c r="K8337" t="b">
        <v>1</v>
      </c>
    </row>
    <row r="8338" spans="8:11" x14ac:dyDescent="0.25">
      <c r="H8338">
        <v>97</v>
      </c>
      <c r="I8338">
        <v>889</v>
      </c>
      <c r="J8338">
        <v>108</v>
      </c>
      <c r="K8338" t="b">
        <v>1</v>
      </c>
    </row>
    <row r="8339" spans="8:11" x14ac:dyDescent="0.25">
      <c r="H8339">
        <v>97</v>
      </c>
      <c r="I8339">
        <v>896</v>
      </c>
      <c r="J8339">
        <v>108</v>
      </c>
      <c r="K8339" t="b">
        <v>1</v>
      </c>
    </row>
    <row r="8340" spans="8:11" x14ac:dyDescent="0.25">
      <c r="H8340">
        <v>97</v>
      </c>
      <c r="I8340">
        <v>903</v>
      </c>
      <c r="J8340">
        <v>108</v>
      </c>
      <c r="K8340" t="b">
        <v>1</v>
      </c>
    </row>
    <row r="8341" spans="8:11" x14ac:dyDescent="0.25">
      <c r="H8341">
        <v>97</v>
      </c>
      <c r="I8341">
        <v>910</v>
      </c>
      <c r="J8341">
        <v>108</v>
      </c>
      <c r="K8341" t="b">
        <v>1</v>
      </c>
    </row>
    <row r="8342" spans="8:11" x14ac:dyDescent="0.25">
      <c r="H8342">
        <v>97</v>
      </c>
      <c r="I8342">
        <v>917</v>
      </c>
      <c r="J8342">
        <v>108</v>
      </c>
      <c r="K8342" t="b">
        <v>1</v>
      </c>
    </row>
    <row r="8343" spans="8:11" x14ac:dyDescent="0.25">
      <c r="H8343">
        <v>97</v>
      </c>
      <c r="I8343">
        <v>924</v>
      </c>
      <c r="J8343">
        <v>108</v>
      </c>
      <c r="K8343" t="b">
        <v>1</v>
      </c>
    </row>
    <row r="8344" spans="8:11" x14ac:dyDescent="0.25">
      <c r="H8344">
        <v>97</v>
      </c>
      <c r="I8344">
        <v>931</v>
      </c>
      <c r="J8344">
        <v>108</v>
      </c>
      <c r="K8344" t="b">
        <v>1</v>
      </c>
    </row>
    <row r="8345" spans="8:11" x14ac:dyDescent="0.25">
      <c r="H8345">
        <v>97</v>
      </c>
      <c r="I8345">
        <v>938</v>
      </c>
      <c r="J8345">
        <v>108</v>
      </c>
      <c r="K8345" t="b">
        <v>1</v>
      </c>
    </row>
    <row r="8346" spans="8:11" x14ac:dyDescent="0.25">
      <c r="H8346">
        <v>97</v>
      </c>
      <c r="I8346">
        <v>945</v>
      </c>
      <c r="J8346">
        <v>108</v>
      </c>
      <c r="K8346" t="b">
        <v>1</v>
      </c>
    </row>
    <row r="8347" spans="8:11" x14ac:dyDescent="0.25">
      <c r="H8347">
        <v>97</v>
      </c>
      <c r="I8347">
        <v>952</v>
      </c>
      <c r="J8347">
        <v>108</v>
      </c>
      <c r="K8347" t="b">
        <v>1</v>
      </c>
    </row>
    <row r="8348" spans="8:11" x14ac:dyDescent="0.25">
      <c r="H8348">
        <v>98</v>
      </c>
      <c r="I8348">
        <v>0</v>
      </c>
      <c r="J8348">
        <v>108</v>
      </c>
      <c r="K8348" t="b">
        <v>1</v>
      </c>
    </row>
    <row r="8349" spans="8:11" x14ac:dyDescent="0.25">
      <c r="H8349">
        <v>98</v>
      </c>
      <c r="I8349">
        <v>7</v>
      </c>
      <c r="J8349">
        <v>108</v>
      </c>
      <c r="K8349" t="b">
        <v>1</v>
      </c>
    </row>
    <row r="8350" spans="8:11" x14ac:dyDescent="0.25">
      <c r="H8350">
        <v>98</v>
      </c>
      <c r="I8350">
        <v>14</v>
      </c>
      <c r="J8350">
        <v>108</v>
      </c>
      <c r="K8350" t="b">
        <v>1</v>
      </c>
    </row>
    <row r="8351" spans="8:11" x14ac:dyDescent="0.25">
      <c r="H8351">
        <v>98</v>
      </c>
      <c r="I8351">
        <v>21</v>
      </c>
      <c r="J8351">
        <v>108</v>
      </c>
      <c r="K8351" t="b">
        <v>1</v>
      </c>
    </row>
    <row r="8352" spans="8:11" x14ac:dyDescent="0.25">
      <c r="H8352">
        <v>98</v>
      </c>
      <c r="I8352">
        <v>28</v>
      </c>
      <c r="J8352">
        <v>108</v>
      </c>
      <c r="K8352" t="b">
        <v>1</v>
      </c>
    </row>
    <row r="8353" spans="8:11" x14ac:dyDescent="0.25">
      <c r="H8353">
        <v>98</v>
      </c>
      <c r="I8353">
        <v>35</v>
      </c>
      <c r="J8353">
        <v>108</v>
      </c>
      <c r="K8353" t="b">
        <v>1</v>
      </c>
    </row>
    <row r="8354" spans="8:11" x14ac:dyDescent="0.25">
      <c r="H8354">
        <v>98</v>
      </c>
      <c r="I8354">
        <v>42</v>
      </c>
      <c r="J8354">
        <v>108</v>
      </c>
      <c r="K8354" t="b">
        <v>1</v>
      </c>
    </row>
    <row r="8355" spans="8:11" x14ac:dyDescent="0.25">
      <c r="H8355">
        <v>98</v>
      </c>
      <c r="I8355">
        <v>49</v>
      </c>
      <c r="J8355">
        <v>108</v>
      </c>
      <c r="K8355" t="b">
        <v>1</v>
      </c>
    </row>
    <row r="8356" spans="8:11" x14ac:dyDescent="0.25">
      <c r="H8356">
        <v>98</v>
      </c>
      <c r="I8356">
        <v>56</v>
      </c>
      <c r="J8356">
        <v>108</v>
      </c>
      <c r="K8356" t="b">
        <v>1</v>
      </c>
    </row>
    <row r="8357" spans="8:11" x14ac:dyDescent="0.25">
      <c r="H8357">
        <v>98</v>
      </c>
      <c r="I8357">
        <v>63</v>
      </c>
      <c r="J8357">
        <v>108</v>
      </c>
      <c r="K8357" t="b">
        <v>1</v>
      </c>
    </row>
    <row r="8358" spans="8:11" x14ac:dyDescent="0.25">
      <c r="H8358">
        <v>98</v>
      </c>
      <c r="I8358">
        <v>70</v>
      </c>
      <c r="J8358">
        <v>108</v>
      </c>
      <c r="K8358" t="b">
        <v>1</v>
      </c>
    </row>
    <row r="8359" spans="8:11" x14ac:dyDescent="0.25">
      <c r="H8359">
        <v>98</v>
      </c>
      <c r="I8359">
        <v>77</v>
      </c>
      <c r="J8359">
        <v>108</v>
      </c>
      <c r="K8359" t="b">
        <v>1</v>
      </c>
    </row>
    <row r="8360" spans="8:11" x14ac:dyDescent="0.25">
      <c r="H8360">
        <v>98</v>
      </c>
      <c r="I8360">
        <v>84</v>
      </c>
      <c r="J8360">
        <v>108</v>
      </c>
      <c r="K8360" t="b">
        <v>1</v>
      </c>
    </row>
    <row r="8361" spans="8:11" x14ac:dyDescent="0.25">
      <c r="H8361">
        <v>98</v>
      </c>
      <c r="I8361">
        <v>91</v>
      </c>
      <c r="J8361">
        <v>108</v>
      </c>
      <c r="K8361" t="b">
        <v>1</v>
      </c>
    </row>
    <row r="8362" spans="8:11" x14ac:dyDescent="0.25">
      <c r="H8362">
        <v>98</v>
      </c>
      <c r="I8362">
        <v>98</v>
      </c>
      <c r="J8362">
        <v>108</v>
      </c>
      <c r="K8362" t="b">
        <v>1</v>
      </c>
    </row>
    <row r="8363" spans="8:11" x14ac:dyDescent="0.25">
      <c r="H8363">
        <v>98</v>
      </c>
      <c r="I8363">
        <v>105</v>
      </c>
      <c r="J8363">
        <v>108</v>
      </c>
      <c r="K8363" t="b">
        <v>1</v>
      </c>
    </row>
    <row r="8364" spans="8:11" x14ac:dyDescent="0.25">
      <c r="H8364">
        <v>98</v>
      </c>
      <c r="I8364">
        <v>112</v>
      </c>
      <c r="J8364">
        <v>108</v>
      </c>
      <c r="K8364" t="b">
        <v>1</v>
      </c>
    </row>
    <row r="8365" spans="8:11" x14ac:dyDescent="0.25">
      <c r="H8365">
        <v>98</v>
      </c>
      <c r="I8365">
        <v>119</v>
      </c>
      <c r="J8365">
        <v>108</v>
      </c>
      <c r="K8365" t="b">
        <v>1</v>
      </c>
    </row>
    <row r="8366" spans="8:11" x14ac:dyDescent="0.25">
      <c r="H8366">
        <v>98</v>
      </c>
      <c r="I8366">
        <v>126</v>
      </c>
      <c r="J8366">
        <v>108</v>
      </c>
      <c r="K8366" t="b">
        <v>1</v>
      </c>
    </row>
    <row r="8367" spans="8:11" x14ac:dyDescent="0.25">
      <c r="H8367">
        <v>98</v>
      </c>
      <c r="I8367">
        <v>133</v>
      </c>
      <c r="J8367">
        <v>108</v>
      </c>
      <c r="K8367" t="b">
        <v>1</v>
      </c>
    </row>
    <row r="8368" spans="8:11" x14ac:dyDescent="0.25">
      <c r="H8368">
        <v>98</v>
      </c>
      <c r="I8368">
        <v>140</v>
      </c>
      <c r="J8368">
        <v>108</v>
      </c>
      <c r="K8368" t="b">
        <v>1</v>
      </c>
    </row>
    <row r="8369" spans="8:11" x14ac:dyDescent="0.25">
      <c r="H8369">
        <v>98</v>
      </c>
      <c r="I8369">
        <v>147</v>
      </c>
      <c r="J8369">
        <v>108</v>
      </c>
      <c r="K8369" t="b">
        <v>1</v>
      </c>
    </row>
    <row r="8370" spans="8:11" x14ac:dyDescent="0.25">
      <c r="H8370">
        <v>98</v>
      </c>
      <c r="I8370">
        <v>154</v>
      </c>
      <c r="J8370">
        <v>108</v>
      </c>
      <c r="K8370" t="b">
        <v>1</v>
      </c>
    </row>
    <row r="8371" spans="8:11" x14ac:dyDescent="0.25">
      <c r="H8371">
        <v>98</v>
      </c>
      <c r="I8371">
        <v>161</v>
      </c>
      <c r="J8371">
        <v>108</v>
      </c>
      <c r="K8371" t="b">
        <v>1</v>
      </c>
    </row>
    <row r="8372" spans="8:11" x14ac:dyDescent="0.25">
      <c r="H8372">
        <v>98</v>
      </c>
      <c r="I8372">
        <v>168</v>
      </c>
      <c r="J8372">
        <v>108</v>
      </c>
      <c r="K8372" t="b">
        <v>1</v>
      </c>
    </row>
    <row r="8373" spans="8:11" x14ac:dyDescent="0.25">
      <c r="H8373">
        <v>98</v>
      </c>
      <c r="I8373">
        <v>175</v>
      </c>
      <c r="J8373">
        <v>108</v>
      </c>
      <c r="K8373" t="b">
        <v>1</v>
      </c>
    </row>
    <row r="8374" spans="8:11" x14ac:dyDescent="0.25">
      <c r="H8374">
        <v>98</v>
      </c>
      <c r="I8374">
        <v>182</v>
      </c>
      <c r="J8374">
        <v>108</v>
      </c>
      <c r="K8374" t="b">
        <v>1</v>
      </c>
    </row>
    <row r="8375" spans="8:11" x14ac:dyDescent="0.25">
      <c r="H8375">
        <v>98</v>
      </c>
      <c r="I8375">
        <v>189</v>
      </c>
      <c r="J8375">
        <v>108</v>
      </c>
      <c r="K8375" t="b">
        <v>1</v>
      </c>
    </row>
    <row r="8376" spans="8:11" x14ac:dyDescent="0.25">
      <c r="H8376">
        <v>98</v>
      </c>
      <c r="I8376">
        <v>196</v>
      </c>
      <c r="J8376">
        <v>108</v>
      </c>
      <c r="K8376" t="b">
        <v>1</v>
      </c>
    </row>
    <row r="8377" spans="8:11" x14ac:dyDescent="0.25">
      <c r="H8377">
        <v>98</v>
      </c>
      <c r="I8377">
        <v>203</v>
      </c>
      <c r="J8377">
        <v>108</v>
      </c>
      <c r="K8377" t="b">
        <v>1</v>
      </c>
    </row>
    <row r="8378" spans="8:11" x14ac:dyDescent="0.25">
      <c r="H8378">
        <v>98</v>
      </c>
      <c r="I8378">
        <v>210</v>
      </c>
      <c r="J8378">
        <v>108</v>
      </c>
      <c r="K8378" t="b">
        <v>1</v>
      </c>
    </row>
    <row r="8379" spans="8:11" x14ac:dyDescent="0.25">
      <c r="H8379">
        <v>98</v>
      </c>
      <c r="I8379">
        <v>217</v>
      </c>
      <c r="J8379">
        <v>108</v>
      </c>
      <c r="K8379" t="b">
        <v>1</v>
      </c>
    </row>
    <row r="8380" spans="8:11" x14ac:dyDescent="0.25">
      <c r="H8380">
        <v>98</v>
      </c>
      <c r="I8380">
        <v>224</v>
      </c>
      <c r="J8380">
        <v>108</v>
      </c>
      <c r="K8380" t="b">
        <v>1</v>
      </c>
    </row>
    <row r="8381" spans="8:11" x14ac:dyDescent="0.25">
      <c r="H8381">
        <v>98</v>
      </c>
      <c r="I8381">
        <v>231</v>
      </c>
      <c r="J8381">
        <v>108</v>
      </c>
      <c r="K8381" t="b">
        <v>1</v>
      </c>
    </row>
    <row r="8382" spans="8:11" x14ac:dyDescent="0.25">
      <c r="H8382">
        <v>98</v>
      </c>
      <c r="I8382">
        <v>238</v>
      </c>
      <c r="J8382">
        <v>108</v>
      </c>
      <c r="K8382" t="b">
        <v>1</v>
      </c>
    </row>
    <row r="8383" spans="8:11" x14ac:dyDescent="0.25">
      <c r="H8383">
        <v>98</v>
      </c>
      <c r="I8383">
        <v>245</v>
      </c>
      <c r="J8383">
        <v>108</v>
      </c>
      <c r="K8383" t="b">
        <v>1</v>
      </c>
    </row>
    <row r="8384" spans="8:11" x14ac:dyDescent="0.25">
      <c r="H8384">
        <v>98</v>
      </c>
      <c r="I8384">
        <v>252</v>
      </c>
      <c r="J8384">
        <v>108</v>
      </c>
      <c r="K8384" t="b">
        <v>1</v>
      </c>
    </row>
    <row r="8385" spans="8:11" x14ac:dyDescent="0.25">
      <c r="H8385">
        <v>98</v>
      </c>
      <c r="I8385">
        <v>259</v>
      </c>
      <c r="J8385">
        <v>108</v>
      </c>
      <c r="K8385" t="b">
        <v>1</v>
      </c>
    </row>
    <row r="8386" spans="8:11" x14ac:dyDescent="0.25">
      <c r="H8386">
        <v>98</v>
      </c>
      <c r="I8386">
        <v>266</v>
      </c>
      <c r="J8386">
        <v>108</v>
      </c>
      <c r="K8386" t="b">
        <v>1</v>
      </c>
    </row>
    <row r="8387" spans="8:11" x14ac:dyDescent="0.25">
      <c r="H8387">
        <v>98</v>
      </c>
      <c r="I8387">
        <v>273</v>
      </c>
      <c r="J8387">
        <v>108</v>
      </c>
      <c r="K8387" t="b">
        <v>1</v>
      </c>
    </row>
    <row r="8388" spans="8:11" x14ac:dyDescent="0.25">
      <c r="H8388">
        <v>98</v>
      </c>
      <c r="I8388">
        <v>280</v>
      </c>
      <c r="J8388">
        <v>108</v>
      </c>
      <c r="K8388" t="b">
        <v>1</v>
      </c>
    </row>
    <row r="8389" spans="8:11" x14ac:dyDescent="0.25">
      <c r="H8389">
        <v>98</v>
      </c>
      <c r="I8389">
        <v>287</v>
      </c>
      <c r="J8389">
        <v>108</v>
      </c>
      <c r="K8389" t="b">
        <v>1</v>
      </c>
    </row>
    <row r="8390" spans="8:11" x14ac:dyDescent="0.25">
      <c r="H8390">
        <v>98</v>
      </c>
      <c r="I8390">
        <v>294</v>
      </c>
      <c r="J8390">
        <v>108</v>
      </c>
      <c r="K8390" t="b">
        <v>1</v>
      </c>
    </row>
    <row r="8391" spans="8:11" x14ac:dyDescent="0.25">
      <c r="H8391">
        <v>98</v>
      </c>
      <c r="I8391">
        <v>301</v>
      </c>
      <c r="J8391">
        <v>108</v>
      </c>
      <c r="K8391" t="b">
        <v>1</v>
      </c>
    </row>
    <row r="8392" spans="8:11" x14ac:dyDescent="0.25">
      <c r="H8392">
        <v>98</v>
      </c>
      <c r="I8392">
        <v>308</v>
      </c>
      <c r="J8392">
        <v>108</v>
      </c>
      <c r="K8392" t="b">
        <v>1</v>
      </c>
    </row>
    <row r="8393" spans="8:11" x14ac:dyDescent="0.25">
      <c r="H8393">
        <v>98</v>
      </c>
      <c r="I8393">
        <v>315</v>
      </c>
      <c r="J8393">
        <v>108</v>
      </c>
      <c r="K8393" t="b">
        <v>1</v>
      </c>
    </row>
    <row r="8394" spans="8:11" x14ac:dyDescent="0.25">
      <c r="H8394">
        <v>98</v>
      </c>
      <c r="I8394">
        <v>322</v>
      </c>
      <c r="J8394">
        <v>108</v>
      </c>
      <c r="K8394" t="b">
        <v>1</v>
      </c>
    </row>
    <row r="8395" spans="8:11" x14ac:dyDescent="0.25">
      <c r="H8395">
        <v>98</v>
      </c>
      <c r="I8395">
        <v>329</v>
      </c>
      <c r="J8395">
        <v>108</v>
      </c>
      <c r="K8395" t="b">
        <v>1</v>
      </c>
    </row>
    <row r="8396" spans="8:11" x14ac:dyDescent="0.25">
      <c r="H8396">
        <v>98</v>
      </c>
      <c r="I8396">
        <v>336</v>
      </c>
      <c r="J8396">
        <v>108</v>
      </c>
      <c r="K8396" t="b">
        <v>1</v>
      </c>
    </row>
    <row r="8397" spans="8:11" x14ac:dyDescent="0.25">
      <c r="H8397">
        <v>98</v>
      </c>
      <c r="I8397">
        <v>343</v>
      </c>
      <c r="J8397">
        <v>108</v>
      </c>
      <c r="K8397" t="b">
        <v>1</v>
      </c>
    </row>
    <row r="8398" spans="8:11" x14ac:dyDescent="0.25">
      <c r="H8398">
        <v>98</v>
      </c>
      <c r="I8398">
        <v>350</v>
      </c>
      <c r="J8398">
        <v>108</v>
      </c>
      <c r="K8398" t="b">
        <v>1</v>
      </c>
    </row>
    <row r="8399" spans="8:11" x14ac:dyDescent="0.25">
      <c r="H8399">
        <v>98</v>
      </c>
      <c r="I8399">
        <v>357</v>
      </c>
      <c r="J8399">
        <v>108</v>
      </c>
      <c r="K8399" t="b">
        <v>1</v>
      </c>
    </row>
    <row r="8400" spans="8:11" x14ac:dyDescent="0.25">
      <c r="H8400">
        <v>98</v>
      </c>
      <c r="I8400">
        <v>364</v>
      </c>
      <c r="J8400">
        <v>108</v>
      </c>
      <c r="K8400" t="b">
        <v>1</v>
      </c>
    </row>
    <row r="8401" spans="8:11" x14ac:dyDescent="0.25">
      <c r="H8401">
        <v>98</v>
      </c>
      <c r="I8401">
        <v>371</v>
      </c>
      <c r="J8401">
        <v>108</v>
      </c>
      <c r="K8401" t="b">
        <v>1</v>
      </c>
    </row>
    <row r="8402" spans="8:11" x14ac:dyDescent="0.25">
      <c r="H8402">
        <v>98</v>
      </c>
      <c r="I8402">
        <v>378</v>
      </c>
      <c r="J8402">
        <v>108</v>
      </c>
      <c r="K8402" t="b">
        <v>1</v>
      </c>
    </row>
    <row r="8403" spans="8:11" x14ac:dyDescent="0.25">
      <c r="H8403">
        <v>98</v>
      </c>
      <c r="I8403">
        <v>385</v>
      </c>
      <c r="J8403">
        <v>108</v>
      </c>
      <c r="K8403" t="b">
        <v>1</v>
      </c>
    </row>
    <row r="8404" spans="8:11" x14ac:dyDescent="0.25">
      <c r="H8404">
        <v>98</v>
      </c>
      <c r="I8404">
        <v>392</v>
      </c>
      <c r="J8404">
        <v>108</v>
      </c>
      <c r="K8404" t="b">
        <v>1</v>
      </c>
    </row>
    <row r="8405" spans="8:11" x14ac:dyDescent="0.25">
      <c r="H8405">
        <v>98</v>
      </c>
      <c r="I8405">
        <v>399</v>
      </c>
      <c r="J8405">
        <v>108</v>
      </c>
      <c r="K8405" t="b">
        <v>1</v>
      </c>
    </row>
    <row r="8406" spans="8:11" x14ac:dyDescent="0.25">
      <c r="H8406">
        <v>98</v>
      </c>
      <c r="I8406">
        <v>406</v>
      </c>
      <c r="J8406">
        <v>108</v>
      </c>
      <c r="K8406" t="b">
        <v>1</v>
      </c>
    </row>
    <row r="8407" spans="8:11" x14ac:dyDescent="0.25">
      <c r="H8407">
        <v>98</v>
      </c>
      <c r="I8407">
        <v>413</v>
      </c>
      <c r="J8407">
        <v>108</v>
      </c>
      <c r="K8407" t="b">
        <v>1</v>
      </c>
    </row>
    <row r="8408" spans="8:11" x14ac:dyDescent="0.25">
      <c r="H8408">
        <v>98</v>
      </c>
      <c r="I8408">
        <v>420</v>
      </c>
      <c r="J8408">
        <v>108</v>
      </c>
      <c r="K8408" t="b">
        <v>1</v>
      </c>
    </row>
    <row r="8409" spans="8:11" x14ac:dyDescent="0.25">
      <c r="H8409">
        <v>98</v>
      </c>
      <c r="I8409">
        <v>427</v>
      </c>
      <c r="J8409">
        <v>108</v>
      </c>
      <c r="K8409" t="b">
        <v>1</v>
      </c>
    </row>
    <row r="8410" spans="8:11" x14ac:dyDescent="0.25">
      <c r="H8410">
        <v>98</v>
      </c>
      <c r="I8410">
        <v>434</v>
      </c>
      <c r="J8410">
        <v>108</v>
      </c>
      <c r="K8410" t="b">
        <v>1</v>
      </c>
    </row>
    <row r="8411" spans="8:11" x14ac:dyDescent="0.25">
      <c r="H8411">
        <v>98</v>
      </c>
      <c r="I8411">
        <v>441</v>
      </c>
      <c r="J8411">
        <v>108</v>
      </c>
      <c r="K8411" t="b">
        <v>1</v>
      </c>
    </row>
    <row r="8412" spans="8:11" x14ac:dyDescent="0.25">
      <c r="H8412">
        <v>98</v>
      </c>
      <c r="I8412">
        <v>448</v>
      </c>
      <c r="J8412">
        <v>108</v>
      </c>
      <c r="K8412" t="b">
        <v>1</v>
      </c>
    </row>
    <row r="8413" spans="8:11" x14ac:dyDescent="0.25">
      <c r="H8413">
        <v>98</v>
      </c>
      <c r="I8413">
        <v>455</v>
      </c>
      <c r="J8413">
        <v>108</v>
      </c>
      <c r="K8413" t="b">
        <v>1</v>
      </c>
    </row>
    <row r="8414" spans="8:11" x14ac:dyDescent="0.25">
      <c r="H8414">
        <v>98</v>
      </c>
      <c r="I8414">
        <v>462</v>
      </c>
      <c r="J8414">
        <v>108</v>
      </c>
      <c r="K8414" t="b">
        <v>1</v>
      </c>
    </row>
    <row r="8415" spans="8:11" x14ac:dyDescent="0.25">
      <c r="H8415">
        <v>98</v>
      </c>
      <c r="I8415">
        <v>469</v>
      </c>
      <c r="J8415">
        <v>108</v>
      </c>
      <c r="K8415" t="b">
        <v>1</v>
      </c>
    </row>
    <row r="8416" spans="8:11" x14ac:dyDescent="0.25">
      <c r="H8416">
        <v>98</v>
      </c>
      <c r="I8416">
        <v>476</v>
      </c>
      <c r="J8416">
        <v>108</v>
      </c>
      <c r="K8416" t="b">
        <v>1</v>
      </c>
    </row>
    <row r="8417" spans="8:11" x14ac:dyDescent="0.25">
      <c r="H8417">
        <v>98</v>
      </c>
      <c r="I8417">
        <v>483</v>
      </c>
      <c r="J8417">
        <v>108</v>
      </c>
      <c r="K8417" t="b">
        <v>1</v>
      </c>
    </row>
    <row r="8418" spans="8:11" x14ac:dyDescent="0.25">
      <c r="H8418">
        <v>98</v>
      </c>
      <c r="I8418">
        <v>490</v>
      </c>
      <c r="J8418">
        <v>108</v>
      </c>
      <c r="K8418" t="b">
        <v>1</v>
      </c>
    </row>
    <row r="8419" spans="8:11" x14ac:dyDescent="0.25">
      <c r="H8419">
        <v>98</v>
      </c>
      <c r="I8419">
        <v>497</v>
      </c>
      <c r="J8419">
        <v>108</v>
      </c>
      <c r="K8419" t="b">
        <v>1</v>
      </c>
    </row>
    <row r="8420" spans="8:11" x14ac:dyDescent="0.25">
      <c r="H8420">
        <v>98</v>
      </c>
      <c r="I8420">
        <v>504</v>
      </c>
      <c r="J8420">
        <v>108</v>
      </c>
      <c r="K8420" t="b">
        <v>1</v>
      </c>
    </row>
    <row r="8421" spans="8:11" x14ac:dyDescent="0.25">
      <c r="H8421">
        <v>98</v>
      </c>
      <c r="I8421">
        <v>511</v>
      </c>
      <c r="J8421">
        <v>108</v>
      </c>
      <c r="K8421" t="b">
        <v>1</v>
      </c>
    </row>
    <row r="8422" spans="8:11" x14ac:dyDescent="0.25">
      <c r="H8422">
        <v>98</v>
      </c>
      <c r="I8422">
        <v>518</v>
      </c>
      <c r="J8422">
        <v>108</v>
      </c>
      <c r="K8422" t="b">
        <v>1</v>
      </c>
    </row>
    <row r="8423" spans="8:11" x14ac:dyDescent="0.25">
      <c r="H8423">
        <v>98</v>
      </c>
      <c r="I8423">
        <v>525</v>
      </c>
      <c r="J8423">
        <v>108</v>
      </c>
      <c r="K8423" t="b">
        <v>1</v>
      </c>
    </row>
    <row r="8424" spans="8:11" x14ac:dyDescent="0.25">
      <c r="H8424">
        <v>98</v>
      </c>
      <c r="I8424">
        <v>532</v>
      </c>
      <c r="J8424">
        <v>108</v>
      </c>
      <c r="K8424" t="b">
        <v>1</v>
      </c>
    </row>
    <row r="8425" spans="8:11" x14ac:dyDescent="0.25">
      <c r="H8425">
        <v>98</v>
      </c>
      <c r="I8425">
        <v>539</v>
      </c>
      <c r="J8425">
        <v>108</v>
      </c>
      <c r="K8425" t="b">
        <v>1</v>
      </c>
    </row>
    <row r="8426" spans="8:11" x14ac:dyDescent="0.25">
      <c r="H8426">
        <v>98</v>
      </c>
      <c r="I8426">
        <v>546</v>
      </c>
      <c r="J8426">
        <v>108</v>
      </c>
      <c r="K8426" t="b">
        <v>1</v>
      </c>
    </row>
    <row r="8427" spans="8:11" x14ac:dyDescent="0.25">
      <c r="H8427">
        <v>98</v>
      </c>
      <c r="I8427">
        <v>553</v>
      </c>
      <c r="J8427">
        <v>108</v>
      </c>
      <c r="K8427" t="b">
        <v>1</v>
      </c>
    </row>
    <row r="8428" spans="8:11" x14ac:dyDescent="0.25">
      <c r="H8428">
        <v>98</v>
      </c>
      <c r="I8428">
        <v>560</v>
      </c>
      <c r="J8428">
        <v>108</v>
      </c>
      <c r="K8428" t="b">
        <v>1</v>
      </c>
    </row>
    <row r="8429" spans="8:11" x14ac:dyDescent="0.25">
      <c r="H8429">
        <v>98</v>
      </c>
      <c r="I8429">
        <v>567</v>
      </c>
      <c r="J8429">
        <v>108</v>
      </c>
      <c r="K8429" t="b">
        <v>1</v>
      </c>
    </row>
    <row r="8430" spans="8:11" x14ac:dyDescent="0.25">
      <c r="H8430">
        <v>98</v>
      </c>
      <c r="I8430">
        <v>574</v>
      </c>
      <c r="J8430">
        <v>108</v>
      </c>
      <c r="K8430" t="b">
        <v>1</v>
      </c>
    </row>
    <row r="8431" spans="8:11" x14ac:dyDescent="0.25">
      <c r="H8431">
        <v>98</v>
      </c>
      <c r="I8431">
        <v>581</v>
      </c>
      <c r="J8431">
        <v>108</v>
      </c>
      <c r="K8431" t="b">
        <v>1</v>
      </c>
    </row>
    <row r="8432" spans="8:11" x14ac:dyDescent="0.25">
      <c r="H8432">
        <v>98</v>
      </c>
      <c r="I8432">
        <v>588</v>
      </c>
      <c r="J8432">
        <v>108</v>
      </c>
      <c r="K8432" t="b">
        <v>1</v>
      </c>
    </row>
    <row r="8433" spans="8:11" x14ac:dyDescent="0.25">
      <c r="H8433">
        <v>98</v>
      </c>
      <c r="I8433">
        <v>595</v>
      </c>
      <c r="J8433">
        <v>108</v>
      </c>
      <c r="K8433" t="b">
        <v>1</v>
      </c>
    </row>
    <row r="8434" spans="8:11" x14ac:dyDescent="0.25">
      <c r="H8434">
        <v>98</v>
      </c>
      <c r="I8434">
        <v>602</v>
      </c>
      <c r="J8434">
        <v>108</v>
      </c>
      <c r="K8434" t="b">
        <v>1</v>
      </c>
    </row>
    <row r="8435" spans="8:11" x14ac:dyDescent="0.25">
      <c r="H8435">
        <v>98</v>
      </c>
      <c r="I8435">
        <v>609</v>
      </c>
      <c r="J8435">
        <v>108</v>
      </c>
      <c r="K8435" t="b">
        <v>1</v>
      </c>
    </row>
    <row r="8436" spans="8:11" x14ac:dyDescent="0.25">
      <c r="H8436">
        <v>98</v>
      </c>
      <c r="I8436">
        <v>616</v>
      </c>
      <c r="J8436">
        <v>108</v>
      </c>
      <c r="K8436" t="b">
        <v>1</v>
      </c>
    </row>
    <row r="8437" spans="8:11" x14ac:dyDescent="0.25">
      <c r="H8437">
        <v>98</v>
      </c>
      <c r="I8437">
        <v>623</v>
      </c>
      <c r="J8437">
        <v>108</v>
      </c>
      <c r="K8437" t="b">
        <v>1</v>
      </c>
    </row>
    <row r="8438" spans="8:11" x14ac:dyDescent="0.25">
      <c r="H8438">
        <v>98</v>
      </c>
      <c r="I8438">
        <v>630</v>
      </c>
      <c r="J8438">
        <v>108</v>
      </c>
      <c r="K8438" t="b">
        <v>1</v>
      </c>
    </row>
    <row r="8439" spans="8:11" x14ac:dyDescent="0.25">
      <c r="H8439">
        <v>98</v>
      </c>
      <c r="I8439">
        <v>637</v>
      </c>
      <c r="J8439">
        <v>108</v>
      </c>
      <c r="K8439" t="b">
        <v>1</v>
      </c>
    </row>
    <row r="8440" spans="8:11" x14ac:dyDescent="0.25">
      <c r="H8440">
        <v>98</v>
      </c>
      <c r="I8440">
        <v>644</v>
      </c>
      <c r="J8440">
        <v>108</v>
      </c>
      <c r="K8440" t="b">
        <v>1</v>
      </c>
    </row>
    <row r="8441" spans="8:11" x14ac:dyDescent="0.25">
      <c r="H8441">
        <v>98</v>
      </c>
      <c r="I8441">
        <v>651</v>
      </c>
      <c r="J8441">
        <v>108</v>
      </c>
      <c r="K8441" t="b">
        <v>1</v>
      </c>
    </row>
    <row r="8442" spans="8:11" x14ac:dyDescent="0.25">
      <c r="H8442">
        <v>98</v>
      </c>
      <c r="I8442">
        <v>658</v>
      </c>
      <c r="J8442">
        <v>108</v>
      </c>
      <c r="K8442" t="b">
        <v>1</v>
      </c>
    </row>
    <row r="8443" spans="8:11" x14ac:dyDescent="0.25">
      <c r="H8443">
        <v>98</v>
      </c>
      <c r="I8443">
        <v>665</v>
      </c>
      <c r="J8443">
        <v>108</v>
      </c>
      <c r="K8443" t="b">
        <v>1</v>
      </c>
    </row>
    <row r="8444" spans="8:11" x14ac:dyDescent="0.25">
      <c r="H8444">
        <v>98</v>
      </c>
      <c r="I8444">
        <v>672</v>
      </c>
      <c r="J8444">
        <v>108</v>
      </c>
      <c r="K8444" t="b">
        <v>1</v>
      </c>
    </row>
    <row r="8445" spans="8:11" x14ac:dyDescent="0.25">
      <c r="H8445">
        <v>98</v>
      </c>
      <c r="I8445">
        <v>679</v>
      </c>
      <c r="J8445">
        <v>108</v>
      </c>
      <c r="K8445" t="b">
        <v>1</v>
      </c>
    </row>
    <row r="8446" spans="8:11" x14ac:dyDescent="0.25">
      <c r="H8446">
        <v>98</v>
      </c>
      <c r="I8446">
        <v>686</v>
      </c>
      <c r="J8446">
        <v>108</v>
      </c>
      <c r="K8446" t="b">
        <v>1</v>
      </c>
    </row>
    <row r="8447" spans="8:11" x14ac:dyDescent="0.25">
      <c r="H8447">
        <v>98</v>
      </c>
      <c r="I8447">
        <v>693</v>
      </c>
      <c r="J8447">
        <v>108</v>
      </c>
      <c r="K8447" t="b">
        <v>1</v>
      </c>
    </row>
    <row r="8448" spans="8:11" x14ac:dyDescent="0.25">
      <c r="H8448">
        <v>98</v>
      </c>
      <c r="I8448">
        <v>700</v>
      </c>
      <c r="J8448">
        <v>108</v>
      </c>
      <c r="K8448" t="b">
        <v>1</v>
      </c>
    </row>
    <row r="8449" spans="8:11" x14ac:dyDescent="0.25">
      <c r="H8449">
        <v>98</v>
      </c>
      <c r="I8449">
        <v>707</v>
      </c>
      <c r="J8449">
        <v>108</v>
      </c>
      <c r="K8449" t="b">
        <v>1</v>
      </c>
    </row>
    <row r="8450" spans="8:11" x14ac:dyDescent="0.25">
      <c r="H8450">
        <v>98</v>
      </c>
      <c r="I8450">
        <v>714</v>
      </c>
      <c r="J8450">
        <v>108</v>
      </c>
      <c r="K8450" t="b">
        <v>1</v>
      </c>
    </row>
    <row r="8451" spans="8:11" x14ac:dyDescent="0.25">
      <c r="H8451">
        <v>98</v>
      </c>
      <c r="I8451">
        <v>721</v>
      </c>
      <c r="J8451">
        <v>108</v>
      </c>
      <c r="K8451" t="b">
        <v>1</v>
      </c>
    </row>
    <row r="8452" spans="8:11" x14ac:dyDescent="0.25">
      <c r="H8452">
        <v>98</v>
      </c>
      <c r="I8452">
        <v>728</v>
      </c>
      <c r="J8452">
        <v>108</v>
      </c>
      <c r="K8452" t="b">
        <v>1</v>
      </c>
    </row>
    <row r="8453" spans="8:11" x14ac:dyDescent="0.25">
      <c r="H8453">
        <v>98</v>
      </c>
      <c r="I8453">
        <v>735</v>
      </c>
      <c r="J8453">
        <v>108</v>
      </c>
      <c r="K8453" t="b">
        <v>1</v>
      </c>
    </row>
    <row r="8454" spans="8:11" x14ac:dyDescent="0.25">
      <c r="H8454">
        <v>98</v>
      </c>
      <c r="I8454">
        <v>742</v>
      </c>
      <c r="J8454">
        <v>108</v>
      </c>
      <c r="K8454" t="b">
        <v>1</v>
      </c>
    </row>
    <row r="8455" spans="8:11" x14ac:dyDescent="0.25">
      <c r="H8455">
        <v>98</v>
      </c>
      <c r="I8455">
        <v>749</v>
      </c>
      <c r="J8455">
        <v>108</v>
      </c>
      <c r="K8455" t="b">
        <v>1</v>
      </c>
    </row>
    <row r="8456" spans="8:11" x14ac:dyDescent="0.25">
      <c r="H8456">
        <v>98</v>
      </c>
      <c r="I8456">
        <v>756</v>
      </c>
      <c r="J8456">
        <v>108</v>
      </c>
      <c r="K8456" t="b">
        <v>1</v>
      </c>
    </row>
    <row r="8457" spans="8:11" x14ac:dyDescent="0.25">
      <c r="H8457">
        <v>98</v>
      </c>
      <c r="I8457">
        <v>763</v>
      </c>
      <c r="J8457">
        <v>108</v>
      </c>
      <c r="K8457" t="b">
        <v>1</v>
      </c>
    </row>
    <row r="8458" spans="8:11" x14ac:dyDescent="0.25">
      <c r="H8458">
        <v>98</v>
      </c>
      <c r="I8458">
        <v>770</v>
      </c>
      <c r="J8458">
        <v>108</v>
      </c>
      <c r="K8458" t="b">
        <v>1</v>
      </c>
    </row>
    <row r="8459" spans="8:11" x14ac:dyDescent="0.25">
      <c r="H8459">
        <v>98</v>
      </c>
      <c r="I8459">
        <v>777</v>
      </c>
      <c r="J8459">
        <v>108</v>
      </c>
      <c r="K8459" t="b">
        <v>1</v>
      </c>
    </row>
    <row r="8460" spans="8:11" x14ac:dyDescent="0.25">
      <c r="H8460">
        <v>98</v>
      </c>
      <c r="I8460">
        <v>784</v>
      </c>
      <c r="J8460">
        <v>108</v>
      </c>
      <c r="K8460" t="b">
        <v>1</v>
      </c>
    </row>
    <row r="8461" spans="8:11" x14ac:dyDescent="0.25">
      <c r="H8461">
        <v>98</v>
      </c>
      <c r="I8461">
        <v>791</v>
      </c>
      <c r="J8461">
        <v>108</v>
      </c>
      <c r="K8461" t="b">
        <v>1</v>
      </c>
    </row>
    <row r="8462" spans="8:11" x14ac:dyDescent="0.25">
      <c r="H8462">
        <v>98</v>
      </c>
      <c r="I8462">
        <v>798</v>
      </c>
      <c r="J8462">
        <v>108</v>
      </c>
      <c r="K8462" t="b">
        <v>1</v>
      </c>
    </row>
    <row r="8463" spans="8:11" x14ac:dyDescent="0.25">
      <c r="H8463">
        <v>98</v>
      </c>
      <c r="I8463">
        <v>805</v>
      </c>
      <c r="J8463">
        <v>108</v>
      </c>
      <c r="K8463" t="b">
        <v>1</v>
      </c>
    </row>
    <row r="8464" spans="8:11" x14ac:dyDescent="0.25">
      <c r="H8464">
        <v>98</v>
      </c>
      <c r="I8464">
        <v>812</v>
      </c>
      <c r="J8464">
        <v>108</v>
      </c>
      <c r="K8464" t="b">
        <v>1</v>
      </c>
    </row>
    <row r="8465" spans="8:11" x14ac:dyDescent="0.25">
      <c r="H8465">
        <v>98</v>
      </c>
      <c r="I8465">
        <v>819</v>
      </c>
      <c r="J8465">
        <v>108</v>
      </c>
      <c r="K8465" t="b">
        <v>1</v>
      </c>
    </row>
    <row r="8466" spans="8:11" x14ac:dyDescent="0.25">
      <c r="H8466">
        <v>98</v>
      </c>
      <c r="I8466">
        <v>826</v>
      </c>
      <c r="J8466">
        <v>108</v>
      </c>
      <c r="K8466" t="b">
        <v>1</v>
      </c>
    </row>
    <row r="8467" spans="8:11" x14ac:dyDescent="0.25">
      <c r="H8467">
        <v>98</v>
      </c>
      <c r="I8467">
        <v>833</v>
      </c>
      <c r="J8467">
        <v>108</v>
      </c>
      <c r="K8467" t="b">
        <v>1</v>
      </c>
    </row>
    <row r="8468" spans="8:11" x14ac:dyDescent="0.25">
      <c r="H8468">
        <v>98</v>
      </c>
      <c r="I8468">
        <v>840</v>
      </c>
      <c r="J8468">
        <v>108</v>
      </c>
      <c r="K8468" t="b">
        <v>1</v>
      </c>
    </row>
    <row r="8469" spans="8:11" x14ac:dyDescent="0.25">
      <c r="H8469">
        <v>98</v>
      </c>
      <c r="I8469">
        <v>847</v>
      </c>
      <c r="J8469">
        <v>108</v>
      </c>
      <c r="K8469" t="b">
        <v>1</v>
      </c>
    </row>
    <row r="8470" spans="8:11" x14ac:dyDescent="0.25">
      <c r="H8470">
        <v>98</v>
      </c>
      <c r="I8470">
        <v>854</v>
      </c>
      <c r="J8470">
        <v>108</v>
      </c>
      <c r="K8470" t="b">
        <v>1</v>
      </c>
    </row>
    <row r="8471" spans="8:11" x14ac:dyDescent="0.25">
      <c r="H8471">
        <v>98</v>
      </c>
      <c r="I8471">
        <v>861</v>
      </c>
      <c r="J8471">
        <v>108</v>
      </c>
      <c r="K8471" t="b">
        <v>1</v>
      </c>
    </row>
    <row r="8472" spans="8:11" x14ac:dyDescent="0.25">
      <c r="H8472">
        <v>98</v>
      </c>
      <c r="I8472">
        <v>868</v>
      </c>
      <c r="J8472">
        <v>108</v>
      </c>
      <c r="K8472" t="b">
        <v>1</v>
      </c>
    </row>
    <row r="8473" spans="8:11" x14ac:dyDescent="0.25">
      <c r="H8473">
        <v>98</v>
      </c>
      <c r="I8473">
        <v>875</v>
      </c>
      <c r="J8473">
        <v>108</v>
      </c>
      <c r="K8473" t="b">
        <v>1</v>
      </c>
    </row>
    <row r="8474" spans="8:11" x14ac:dyDescent="0.25">
      <c r="H8474">
        <v>98</v>
      </c>
      <c r="I8474">
        <v>882</v>
      </c>
      <c r="J8474">
        <v>108</v>
      </c>
      <c r="K8474" t="b">
        <v>1</v>
      </c>
    </row>
    <row r="8475" spans="8:11" x14ac:dyDescent="0.25">
      <c r="H8475">
        <v>98</v>
      </c>
      <c r="I8475">
        <v>889</v>
      </c>
      <c r="J8475">
        <v>108</v>
      </c>
      <c r="K8475" t="b">
        <v>1</v>
      </c>
    </row>
    <row r="8476" spans="8:11" x14ac:dyDescent="0.25">
      <c r="H8476">
        <v>98</v>
      </c>
      <c r="I8476">
        <v>896</v>
      </c>
      <c r="J8476">
        <v>108</v>
      </c>
      <c r="K8476" t="b">
        <v>1</v>
      </c>
    </row>
    <row r="8477" spans="8:11" x14ac:dyDescent="0.25">
      <c r="H8477">
        <v>98</v>
      </c>
      <c r="I8477">
        <v>903</v>
      </c>
      <c r="J8477">
        <v>108</v>
      </c>
      <c r="K8477" t="b">
        <v>1</v>
      </c>
    </row>
    <row r="8478" spans="8:11" x14ac:dyDescent="0.25">
      <c r="H8478">
        <v>98</v>
      </c>
      <c r="I8478">
        <v>910</v>
      </c>
      <c r="J8478">
        <v>108</v>
      </c>
      <c r="K8478" t="b">
        <v>1</v>
      </c>
    </row>
    <row r="8479" spans="8:11" x14ac:dyDescent="0.25">
      <c r="H8479">
        <v>98</v>
      </c>
      <c r="I8479">
        <v>917</v>
      </c>
      <c r="J8479">
        <v>108</v>
      </c>
      <c r="K8479" t="b">
        <v>1</v>
      </c>
    </row>
    <row r="8480" spans="8:11" x14ac:dyDescent="0.25">
      <c r="H8480">
        <v>98</v>
      </c>
      <c r="I8480">
        <v>924</v>
      </c>
      <c r="J8480">
        <v>108</v>
      </c>
      <c r="K8480" t="b">
        <v>1</v>
      </c>
    </row>
    <row r="8481" spans="8:11" x14ac:dyDescent="0.25">
      <c r="H8481">
        <v>98</v>
      </c>
      <c r="I8481">
        <v>931</v>
      </c>
      <c r="J8481">
        <v>108</v>
      </c>
      <c r="K8481" t="b">
        <v>1</v>
      </c>
    </row>
    <row r="8482" spans="8:11" x14ac:dyDescent="0.25">
      <c r="H8482">
        <v>98</v>
      </c>
      <c r="I8482">
        <v>938</v>
      </c>
      <c r="J8482">
        <v>108</v>
      </c>
      <c r="K8482" t="b">
        <v>1</v>
      </c>
    </row>
    <row r="8483" spans="8:11" x14ac:dyDescent="0.25">
      <c r="H8483">
        <v>98</v>
      </c>
      <c r="I8483">
        <v>945</v>
      </c>
      <c r="J8483">
        <v>108</v>
      </c>
      <c r="K8483" t="b">
        <v>1</v>
      </c>
    </row>
    <row r="8484" spans="8:11" x14ac:dyDescent="0.25">
      <c r="H8484">
        <v>98</v>
      </c>
      <c r="I8484">
        <v>952</v>
      </c>
      <c r="J8484">
        <v>108</v>
      </c>
      <c r="K8484" t="b">
        <v>1</v>
      </c>
    </row>
    <row r="8485" spans="8:11" x14ac:dyDescent="0.25">
      <c r="H8485">
        <v>99</v>
      </c>
      <c r="I8485">
        <v>0</v>
      </c>
      <c r="J8485">
        <v>80</v>
      </c>
      <c r="K8485" t="b">
        <v>1</v>
      </c>
    </row>
    <row r="8486" spans="8:11" x14ac:dyDescent="0.25">
      <c r="H8486">
        <v>99</v>
      </c>
      <c r="I8486">
        <v>30</v>
      </c>
      <c r="J8486">
        <v>80</v>
      </c>
      <c r="K8486" t="b">
        <v>1</v>
      </c>
    </row>
    <row r="8487" spans="8:11" x14ac:dyDescent="0.25">
      <c r="H8487">
        <v>99</v>
      </c>
      <c r="I8487">
        <v>60</v>
      </c>
      <c r="J8487">
        <v>80</v>
      </c>
      <c r="K8487" t="b">
        <v>1</v>
      </c>
    </row>
    <row r="8488" spans="8:11" x14ac:dyDescent="0.25">
      <c r="H8488">
        <v>99</v>
      </c>
      <c r="I8488">
        <v>90</v>
      </c>
      <c r="J8488">
        <v>80</v>
      </c>
      <c r="K8488" t="b">
        <v>1</v>
      </c>
    </row>
    <row r="8489" spans="8:11" x14ac:dyDescent="0.25">
      <c r="H8489">
        <v>99</v>
      </c>
      <c r="I8489">
        <v>120</v>
      </c>
      <c r="J8489">
        <v>80</v>
      </c>
      <c r="K8489" t="b">
        <v>1</v>
      </c>
    </row>
    <row r="8490" spans="8:11" x14ac:dyDescent="0.25">
      <c r="H8490">
        <v>99</v>
      </c>
      <c r="I8490">
        <v>150</v>
      </c>
      <c r="J8490">
        <v>80</v>
      </c>
      <c r="K8490" t="b">
        <v>1</v>
      </c>
    </row>
    <row r="8491" spans="8:11" x14ac:dyDescent="0.25">
      <c r="H8491">
        <v>99</v>
      </c>
      <c r="I8491">
        <v>180</v>
      </c>
      <c r="J8491">
        <v>80</v>
      </c>
      <c r="K8491" t="b">
        <v>1</v>
      </c>
    </row>
    <row r="8492" spans="8:11" x14ac:dyDescent="0.25">
      <c r="H8492">
        <v>99</v>
      </c>
      <c r="I8492">
        <v>210</v>
      </c>
      <c r="J8492">
        <v>80</v>
      </c>
      <c r="K8492" t="b">
        <v>1</v>
      </c>
    </row>
    <row r="8493" spans="8:11" x14ac:dyDescent="0.25">
      <c r="H8493">
        <v>99</v>
      </c>
      <c r="I8493">
        <v>240</v>
      </c>
      <c r="J8493">
        <v>80</v>
      </c>
      <c r="K8493" t="b">
        <v>1</v>
      </c>
    </row>
    <row r="8494" spans="8:11" x14ac:dyDescent="0.25">
      <c r="H8494">
        <v>99</v>
      </c>
      <c r="I8494">
        <v>270</v>
      </c>
      <c r="J8494">
        <v>80</v>
      </c>
      <c r="K8494" t="b">
        <v>1</v>
      </c>
    </row>
    <row r="8495" spans="8:11" x14ac:dyDescent="0.25">
      <c r="H8495">
        <v>99</v>
      </c>
      <c r="I8495">
        <v>300</v>
      </c>
      <c r="J8495">
        <v>80</v>
      </c>
      <c r="K8495" t="b">
        <v>1</v>
      </c>
    </row>
    <row r="8496" spans="8:11" x14ac:dyDescent="0.25">
      <c r="H8496">
        <v>99</v>
      </c>
      <c r="I8496">
        <v>330</v>
      </c>
      <c r="J8496">
        <v>80</v>
      </c>
      <c r="K8496" t="b">
        <v>1</v>
      </c>
    </row>
    <row r="8497" spans="8:11" x14ac:dyDescent="0.25">
      <c r="H8497">
        <v>99</v>
      </c>
      <c r="I8497">
        <v>360</v>
      </c>
      <c r="J8497">
        <v>80</v>
      </c>
      <c r="K8497" t="b">
        <v>1</v>
      </c>
    </row>
    <row r="8498" spans="8:11" x14ac:dyDescent="0.25">
      <c r="H8498">
        <v>99</v>
      </c>
      <c r="I8498">
        <v>390</v>
      </c>
      <c r="J8498">
        <v>80</v>
      </c>
      <c r="K8498" t="b">
        <v>1</v>
      </c>
    </row>
    <row r="8499" spans="8:11" x14ac:dyDescent="0.25">
      <c r="H8499">
        <v>99</v>
      </c>
      <c r="I8499">
        <v>420</v>
      </c>
      <c r="J8499">
        <v>80</v>
      </c>
      <c r="K8499" t="b">
        <v>1</v>
      </c>
    </row>
    <row r="8500" spans="8:11" x14ac:dyDescent="0.25">
      <c r="H8500">
        <v>99</v>
      </c>
      <c r="I8500">
        <v>450</v>
      </c>
      <c r="J8500">
        <v>80</v>
      </c>
      <c r="K8500" t="b">
        <v>1</v>
      </c>
    </row>
    <row r="8501" spans="8:11" x14ac:dyDescent="0.25">
      <c r="H8501">
        <v>99</v>
      </c>
      <c r="I8501">
        <v>480</v>
      </c>
      <c r="J8501">
        <v>80</v>
      </c>
      <c r="K8501" t="b">
        <v>1</v>
      </c>
    </row>
    <row r="8502" spans="8:11" x14ac:dyDescent="0.25">
      <c r="H8502">
        <v>99</v>
      </c>
      <c r="I8502">
        <v>510</v>
      </c>
      <c r="J8502">
        <v>80</v>
      </c>
      <c r="K8502" t="b">
        <v>1</v>
      </c>
    </row>
    <row r="8503" spans="8:11" x14ac:dyDescent="0.25">
      <c r="H8503">
        <v>99</v>
      </c>
      <c r="I8503">
        <v>540</v>
      </c>
      <c r="J8503">
        <v>80</v>
      </c>
      <c r="K8503" t="b">
        <v>1</v>
      </c>
    </row>
    <row r="8504" spans="8:11" x14ac:dyDescent="0.25">
      <c r="H8504">
        <v>99</v>
      </c>
      <c r="I8504">
        <v>570</v>
      </c>
      <c r="J8504">
        <v>80</v>
      </c>
      <c r="K8504" t="b">
        <v>1</v>
      </c>
    </row>
    <row r="8505" spans="8:11" x14ac:dyDescent="0.25">
      <c r="H8505">
        <v>99</v>
      </c>
      <c r="I8505">
        <v>600</v>
      </c>
      <c r="J8505">
        <v>80</v>
      </c>
      <c r="K8505" t="b">
        <v>1</v>
      </c>
    </row>
    <row r="8506" spans="8:11" x14ac:dyDescent="0.25">
      <c r="H8506">
        <v>99</v>
      </c>
      <c r="I8506">
        <v>630</v>
      </c>
      <c r="J8506">
        <v>80</v>
      </c>
      <c r="K8506" t="b">
        <v>1</v>
      </c>
    </row>
    <row r="8507" spans="8:11" x14ac:dyDescent="0.25">
      <c r="H8507">
        <v>99</v>
      </c>
      <c r="I8507">
        <v>660</v>
      </c>
      <c r="J8507">
        <v>80</v>
      </c>
      <c r="K8507" t="b">
        <v>1</v>
      </c>
    </row>
    <row r="8508" spans="8:11" x14ac:dyDescent="0.25">
      <c r="H8508">
        <v>99</v>
      </c>
      <c r="I8508">
        <v>690</v>
      </c>
      <c r="J8508">
        <v>80</v>
      </c>
      <c r="K8508" t="b">
        <v>1</v>
      </c>
    </row>
    <row r="8509" spans="8:11" x14ac:dyDescent="0.25">
      <c r="H8509">
        <v>99</v>
      </c>
      <c r="I8509">
        <v>720</v>
      </c>
      <c r="J8509">
        <v>80</v>
      </c>
      <c r="K8509" t="b">
        <v>1</v>
      </c>
    </row>
    <row r="8510" spans="8:11" x14ac:dyDescent="0.25">
      <c r="H8510">
        <v>99</v>
      </c>
      <c r="I8510">
        <v>750</v>
      </c>
      <c r="J8510">
        <v>80</v>
      </c>
      <c r="K8510" t="b">
        <v>1</v>
      </c>
    </row>
    <row r="8511" spans="8:11" x14ac:dyDescent="0.25">
      <c r="H8511">
        <v>99</v>
      </c>
      <c r="I8511">
        <v>780</v>
      </c>
      <c r="J8511">
        <v>80</v>
      </c>
      <c r="K8511" t="b">
        <v>1</v>
      </c>
    </row>
    <row r="8512" spans="8:11" x14ac:dyDescent="0.25">
      <c r="H8512">
        <v>99</v>
      </c>
      <c r="I8512">
        <v>810</v>
      </c>
      <c r="J8512">
        <v>80</v>
      </c>
      <c r="K8512" t="b">
        <v>1</v>
      </c>
    </row>
    <row r="8513" spans="8:11" x14ac:dyDescent="0.25">
      <c r="H8513">
        <v>99</v>
      </c>
      <c r="I8513">
        <v>840</v>
      </c>
      <c r="J8513">
        <v>80</v>
      </c>
      <c r="K8513" t="b">
        <v>1</v>
      </c>
    </row>
    <row r="8514" spans="8:11" x14ac:dyDescent="0.25">
      <c r="H8514">
        <v>99</v>
      </c>
      <c r="I8514">
        <v>870</v>
      </c>
      <c r="J8514">
        <v>80</v>
      </c>
      <c r="K8514" t="b">
        <v>1</v>
      </c>
    </row>
    <row r="8515" spans="8:11" x14ac:dyDescent="0.25">
      <c r="H8515">
        <v>99</v>
      </c>
      <c r="I8515">
        <v>900</v>
      </c>
      <c r="J8515">
        <v>80</v>
      </c>
      <c r="K8515" t="b">
        <v>1</v>
      </c>
    </row>
    <row r="8516" spans="8:11" x14ac:dyDescent="0.25">
      <c r="H8516">
        <v>99</v>
      </c>
      <c r="I8516">
        <v>930</v>
      </c>
      <c r="J8516">
        <v>80</v>
      </c>
      <c r="K8516" t="b">
        <v>1</v>
      </c>
    </row>
    <row r="8517" spans="8:11" x14ac:dyDescent="0.25">
      <c r="H8517">
        <v>100</v>
      </c>
      <c r="I8517">
        <v>0</v>
      </c>
      <c r="J8517">
        <v>80</v>
      </c>
      <c r="K8517" t="b">
        <v>1</v>
      </c>
    </row>
    <row r="8518" spans="8:11" x14ac:dyDescent="0.25">
      <c r="H8518">
        <v>100</v>
      </c>
      <c r="I8518">
        <v>30</v>
      </c>
      <c r="J8518">
        <v>80</v>
      </c>
      <c r="K8518" t="b">
        <v>1</v>
      </c>
    </row>
    <row r="8519" spans="8:11" x14ac:dyDescent="0.25">
      <c r="H8519">
        <v>100</v>
      </c>
      <c r="I8519">
        <v>60</v>
      </c>
      <c r="J8519">
        <v>80</v>
      </c>
      <c r="K8519" t="b">
        <v>1</v>
      </c>
    </row>
    <row r="8520" spans="8:11" x14ac:dyDescent="0.25">
      <c r="H8520">
        <v>100</v>
      </c>
      <c r="I8520">
        <v>90</v>
      </c>
      <c r="J8520">
        <v>80</v>
      </c>
      <c r="K8520" t="b">
        <v>1</v>
      </c>
    </row>
    <row r="8521" spans="8:11" x14ac:dyDescent="0.25">
      <c r="H8521">
        <v>100</v>
      </c>
      <c r="I8521">
        <v>120</v>
      </c>
      <c r="J8521">
        <v>80</v>
      </c>
      <c r="K8521" t="b">
        <v>1</v>
      </c>
    </row>
    <row r="8522" spans="8:11" x14ac:dyDescent="0.25">
      <c r="H8522">
        <v>100</v>
      </c>
      <c r="I8522">
        <v>150</v>
      </c>
      <c r="J8522">
        <v>80</v>
      </c>
      <c r="K8522" t="b">
        <v>1</v>
      </c>
    </row>
    <row r="8523" spans="8:11" x14ac:dyDescent="0.25">
      <c r="H8523">
        <v>100</v>
      </c>
      <c r="I8523">
        <v>180</v>
      </c>
      <c r="J8523">
        <v>80</v>
      </c>
      <c r="K8523" t="b">
        <v>1</v>
      </c>
    </row>
    <row r="8524" spans="8:11" x14ac:dyDescent="0.25">
      <c r="H8524">
        <v>100</v>
      </c>
      <c r="I8524">
        <v>210</v>
      </c>
      <c r="J8524">
        <v>80</v>
      </c>
      <c r="K8524" t="b">
        <v>1</v>
      </c>
    </row>
    <row r="8525" spans="8:11" x14ac:dyDescent="0.25">
      <c r="H8525">
        <v>100</v>
      </c>
      <c r="I8525">
        <v>240</v>
      </c>
      <c r="J8525">
        <v>80</v>
      </c>
      <c r="K8525" t="b">
        <v>1</v>
      </c>
    </row>
    <row r="8526" spans="8:11" x14ac:dyDescent="0.25">
      <c r="H8526">
        <v>100</v>
      </c>
      <c r="I8526">
        <v>270</v>
      </c>
      <c r="J8526">
        <v>80</v>
      </c>
      <c r="K8526" t="b">
        <v>1</v>
      </c>
    </row>
    <row r="8527" spans="8:11" x14ac:dyDescent="0.25">
      <c r="H8527">
        <v>100</v>
      </c>
      <c r="I8527">
        <v>300</v>
      </c>
      <c r="J8527">
        <v>80</v>
      </c>
      <c r="K8527" t="b">
        <v>1</v>
      </c>
    </row>
    <row r="8528" spans="8:11" x14ac:dyDescent="0.25">
      <c r="H8528">
        <v>100</v>
      </c>
      <c r="I8528">
        <v>330</v>
      </c>
      <c r="J8528">
        <v>80</v>
      </c>
      <c r="K8528" t="b">
        <v>1</v>
      </c>
    </row>
    <row r="8529" spans="8:11" x14ac:dyDescent="0.25">
      <c r="H8529">
        <v>100</v>
      </c>
      <c r="I8529">
        <v>360</v>
      </c>
      <c r="J8529">
        <v>80</v>
      </c>
      <c r="K8529" t="b">
        <v>1</v>
      </c>
    </row>
    <row r="8530" spans="8:11" x14ac:dyDescent="0.25">
      <c r="H8530">
        <v>100</v>
      </c>
      <c r="I8530">
        <v>390</v>
      </c>
      <c r="J8530">
        <v>80</v>
      </c>
      <c r="K8530" t="b">
        <v>1</v>
      </c>
    </row>
    <row r="8531" spans="8:11" x14ac:dyDescent="0.25">
      <c r="H8531">
        <v>100</v>
      </c>
      <c r="I8531">
        <v>420</v>
      </c>
      <c r="J8531">
        <v>80</v>
      </c>
      <c r="K8531" t="b">
        <v>1</v>
      </c>
    </row>
    <row r="8532" spans="8:11" x14ac:dyDescent="0.25">
      <c r="H8532">
        <v>100</v>
      </c>
      <c r="I8532">
        <v>450</v>
      </c>
      <c r="J8532">
        <v>80</v>
      </c>
      <c r="K8532" t="b">
        <v>1</v>
      </c>
    </row>
    <row r="8533" spans="8:11" x14ac:dyDescent="0.25">
      <c r="H8533">
        <v>100</v>
      </c>
      <c r="I8533">
        <v>480</v>
      </c>
      <c r="J8533">
        <v>80</v>
      </c>
      <c r="K8533" t="b">
        <v>1</v>
      </c>
    </row>
    <row r="8534" spans="8:11" x14ac:dyDescent="0.25">
      <c r="H8534">
        <v>100</v>
      </c>
      <c r="I8534">
        <v>510</v>
      </c>
      <c r="J8534">
        <v>80</v>
      </c>
      <c r="K8534" t="b">
        <v>1</v>
      </c>
    </row>
    <row r="8535" spans="8:11" x14ac:dyDescent="0.25">
      <c r="H8535">
        <v>100</v>
      </c>
      <c r="I8535">
        <v>540</v>
      </c>
      <c r="J8535">
        <v>80</v>
      </c>
      <c r="K8535" t="b">
        <v>1</v>
      </c>
    </row>
    <row r="8536" spans="8:11" x14ac:dyDescent="0.25">
      <c r="H8536">
        <v>100</v>
      </c>
      <c r="I8536">
        <v>570</v>
      </c>
      <c r="J8536">
        <v>80</v>
      </c>
      <c r="K8536" t="b">
        <v>1</v>
      </c>
    </row>
    <row r="8537" spans="8:11" x14ac:dyDescent="0.25">
      <c r="H8537">
        <v>100</v>
      </c>
      <c r="I8537">
        <v>600</v>
      </c>
      <c r="J8537">
        <v>80</v>
      </c>
      <c r="K8537" t="b">
        <v>1</v>
      </c>
    </row>
    <row r="8538" spans="8:11" x14ac:dyDescent="0.25">
      <c r="H8538">
        <v>100</v>
      </c>
      <c r="I8538">
        <v>630</v>
      </c>
      <c r="J8538">
        <v>80</v>
      </c>
      <c r="K8538" t="b">
        <v>1</v>
      </c>
    </row>
    <row r="8539" spans="8:11" x14ac:dyDescent="0.25">
      <c r="H8539">
        <v>100</v>
      </c>
      <c r="I8539">
        <v>660</v>
      </c>
      <c r="J8539">
        <v>80</v>
      </c>
      <c r="K8539" t="b">
        <v>1</v>
      </c>
    </row>
    <row r="8540" spans="8:11" x14ac:dyDescent="0.25">
      <c r="H8540">
        <v>100</v>
      </c>
      <c r="I8540">
        <v>690</v>
      </c>
      <c r="J8540">
        <v>80</v>
      </c>
      <c r="K8540" t="b">
        <v>1</v>
      </c>
    </row>
    <row r="8541" spans="8:11" x14ac:dyDescent="0.25">
      <c r="H8541">
        <v>100</v>
      </c>
      <c r="I8541">
        <v>720</v>
      </c>
      <c r="J8541">
        <v>80</v>
      </c>
      <c r="K8541" t="b">
        <v>1</v>
      </c>
    </row>
    <row r="8542" spans="8:11" x14ac:dyDescent="0.25">
      <c r="H8542">
        <v>100</v>
      </c>
      <c r="I8542">
        <v>750</v>
      </c>
      <c r="J8542">
        <v>80</v>
      </c>
      <c r="K8542" t="b">
        <v>1</v>
      </c>
    </row>
    <row r="8543" spans="8:11" x14ac:dyDescent="0.25">
      <c r="H8543">
        <v>100</v>
      </c>
      <c r="I8543">
        <v>780</v>
      </c>
      <c r="J8543">
        <v>80</v>
      </c>
      <c r="K8543" t="b">
        <v>1</v>
      </c>
    </row>
    <row r="8544" spans="8:11" x14ac:dyDescent="0.25">
      <c r="H8544">
        <v>100</v>
      </c>
      <c r="I8544">
        <v>810</v>
      </c>
      <c r="J8544">
        <v>80</v>
      </c>
      <c r="K8544" t="b">
        <v>1</v>
      </c>
    </row>
    <row r="8545" spans="8:11" x14ac:dyDescent="0.25">
      <c r="H8545">
        <v>100</v>
      </c>
      <c r="I8545">
        <v>840</v>
      </c>
      <c r="J8545">
        <v>80</v>
      </c>
      <c r="K8545" t="b">
        <v>1</v>
      </c>
    </row>
    <row r="8546" spans="8:11" x14ac:dyDescent="0.25">
      <c r="H8546">
        <v>100</v>
      </c>
      <c r="I8546">
        <v>870</v>
      </c>
      <c r="J8546">
        <v>80</v>
      </c>
      <c r="K8546" t="b">
        <v>1</v>
      </c>
    </row>
    <row r="8547" spans="8:11" x14ac:dyDescent="0.25">
      <c r="H8547">
        <v>100</v>
      </c>
      <c r="I8547">
        <v>900</v>
      </c>
      <c r="J8547">
        <v>80</v>
      </c>
      <c r="K8547" t="b">
        <v>1</v>
      </c>
    </row>
    <row r="8548" spans="8:11" x14ac:dyDescent="0.25">
      <c r="H8548">
        <v>100</v>
      </c>
      <c r="I8548">
        <v>930</v>
      </c>
      <c r="J8548">
        <v>80</v>
      </c>
      <c r="K8548" t="b">
        <v>1</v>
      </c>
    </row>
    <row r="8549" spans="8:11" x14ac:dyDescent="0.25">
      <c r="H8549">
        <v>101</v>
      </c>
      <c r="I8549">
        <v>0</v>
      </c>
      <c r="J8549">
        <v>108</v>
      </c>
      <c r="K8549" t="b">
        <v>1</v>
      </c>
    </row>
    <row r="8550" spans="8:11" x14ac:dyDescent="0.25">
      <c r="H8550">
        <v>101</v>
      </c>
      <c r="I8550">
        <v>7</v>
      </c>
      <c r="J8550">
        <v>108</v>
      </c>
      <c r="K8550" t="b">
        <v>1</v>
      </c>
    </row>
    <row r="8551" spans="8:11" x14ac:dyDescent="0.25">
      <c r="H8551">
        <v>101</v>
      </c>
      <c r="I8551">
        <v>14</v>
      </c>
      <c r="J8551">
        <v>108</v>
      </c>
      <c r="K8551" t="b">
        <v>1</v>
      </c>
    </row>
    <row r="8552" spans="8:11" x14ac:dyDescent="0.25">
      <c r="H8552">
        <v>101</v>
      </c>
      <c r="I8552">
        <v>21</v>
      </c>
      <c r="J8552">
        <v>108</v>
      </c>
      <c r="K8552" t="b">
        <v>1</v>
      </c>
    </row>
    <row r="8553" spans="8:11" x14ac:dyDescent="0.25">
      <c r="H8553">
        <v>101</v>
      </c>
      <c r="I8553">
        <v>28</v>
      </c>
      <c r="J8553">
        <v>108</v>
      </c>
      <c r="K8553" t="b">
        <v>1</v>
      </c>
    </row>
    <row r="8554" spans="8:11" x14ac:dyDescent="0.25">
      <c r="H8554">
        <v>101</v>
      </c>
      <c r="I8554">
        <v>35</v>
      </c>
      <c r="J8554">
        <v>108</v>
      </c>
      <c r="K8554" t="b">
        <v>1</v>
      </c>
    </row>
    <row r="8555" spans="8:11" x14ac:dyDescent="0.25">
      <c r="H8555">
        <v>101</v>
      </c>
      <c r="I8555">
        <v>42</v>
      </c>
      <c r="J8555">
        <v>108</v>
      </c>
      <c r="K8555" t="b">
        <v>1</v>
      </c>
    </row>
    <row r="8556" spans="8:11" x14ac:dyDescent="0.25">
      <c r="H8556">
        <v>101</v>
      </c>
      <c r="I8556">
        <v>49</v>
      </c>
      <c r="J8556">
        <v>108</v>
      </c>
      <c r="K8556" t="b">
        <v>1</v>
      </c>
    </row>
    <row r="8557" spans="8:11" x14ac:dyDescent="0.25">
      <c r="H8557">
        <v>101</v>
      </c>
      <c r="I8557">
        <v>56</v>
      </c>
      <c r="J8557">
        <v>108</v>
      </c>
      <c r="K8557" t="b">
        <v>1</v>
      </c>
    </row>
    <row r="8558" spans="8:11" x14ac:dyDescent="0.25">
      <c r="H8558">
        <v>101</v>
      </c>
      <c r="I8558">
        <v>63</v>
      </c>
      <c r="J8558">
        <v>108</v>
      </c>
      <c r="K8558" t="b">
        <v>1</v>
      </c>
    </row>
    <row r="8559" spans="8:11" x14ac:dyDescent="0.25">
      <c r="H8559">
        <v>101</v>
      </c>
      <c r="I8559">
        <v>70</v>
      </c>
      <c r="J8559">
        <v>108</v>
      </c>
      <c r="K8559" t="b">
        <v>1</v>
      </c>
    </row>
    <row r="8560" spans="8:11" x14ac:dyDescent="0.25">
      <c r="H8560">
        <v>101</v>
      </c>
      <c r="I8560">
        <v>77</v>
      </c>
      <c r="J8560">
        <v>108</v>
      </c>
      <c r="K8560" t="b">
        <v>1</v>
      </c>
    </row>
    <row r="8561" spans="8:11" x14ac:dyDescent="0.25">
      <c r="H8561">
        <v>101</v>
      </c>
      <c r="I8561">
        <v>84</v>
      </c>
      <c r="J8561">
        <v>108</v>
      </c>
      <c r="K8561" t="b">
        <v>1</v>
      </c>
    </row>
    <row r="8562" spans="8:11" x14ac:dyDescent="0.25">
      <c r="H8562">
        <v>101</v>
      </c>
      <c r="I8562">
        <v>91</v>
      </c>
      <c r="J8562">
        <v>108</v>
      </c>
      <c r="K8562" t="b">
        <v>1</v>
      </c>
    </row>
    <row r="8563" spans="8:11" x14ac:dyDescent="0.25">
      <c r="H8563">
        <v>101</v>
      </c>
      <c r="I8563">
        <v>98</v>
      </c>
      <c r="J8563">
        <v>108</v>
      </c>
      <c r="K8563" t="b">
        <v>1</v>
      </c>
    </row>
    <row r="8564" spans="8:11" x14ac:dyDescent="0.25">
      <c r="H8564">
        <v>101</v>
      </c>
      <c r="I8564">
        <v>105</v>
      </c>
      <c r="J8564">
        <v>108</v>
      </c>
      <c r="K8564" t="b">
        <v>1</v>
      </c>
    </row>
    <row r="8565" spans="8:11" x14ac:dyDescent="0.25">
      <c r="H8565">
        <v>101</v>
      </c>
      <c r="I8565">
        <v>112</v>
      </c>
      <c r="J8565">
        <v>108</v>
      </c>
      <c r="K8565" t="b">
        <v>1</v>
      </c>
    </row>
    <row r="8566" spans="8:11" x14ac:dyDescent="0.25">
      <c r="H8566">
        <v>101</v>
      </c>
      <c r="I8566">
        <v>119</v>
      </c>
      <c r="J8566">
        <v>108</v>
      </c>
      <c r="K8566" t="b">
        <v>1</v>
      </c>
    </row>
    <row r="8567" spans="8:11" x14ac:dyDescent="0.25">
      <c r="H8567">
        <v>101</v>
      </c>
      <c r="I8567">
        <v>126</v>
      </c>
      <c r="J8567">
        <v>108</v>
      </c>
      <c r="K8567" t="b">
        <v>1</v>
      </c>
    </row>
    <row r="8568" spans="8:11" x14ac:dyDescent="0.25">
      <c r="H8568">
        <v>101</v>
      </c>
      <c r="I8568">
        <v>133</v>
      </c>
      <c r="J8568">
        <v>108</v>
      </c>
      <c r="K8568" t="b">
        <v>1</v>
      </c>
    </row>
    <row r="8569" spans="8:11" x14ac:dyDescent="0.25">
      <c r="H8569">
        <v>101</v>
      </c>
      <c r="I8569">
        <v>140</v>
      </c>
      <c r="J8569">
        <v>108</v>
      </c>
      <c r="K8569" t="b">
        <v>1</v>
      </c>
    </row>
    <row r="8570" spans="8:11" x14ac:dyDescent="0.25">
      <c r="H8570">
        <v>101</v>
      </c>
      <c r="I8570">
        <v>147</v>
      </c>
      <c r="J8570">
        <v>108</v>
      </c>
      <c r="K8570" t="b">
        <v>1</v>
      </c>
    </row>
    <row r="8571" spans="8:11" x14ac:dyDescent="0.25">
      <c r="H8571">
        <v>101</v>
      </c>
      <c r="I8571">
        <v>154</v>
      </c>
      <c r="J8571">
        <v>108</v>
      </c>
      <c r="K8571" t="b">
        <v>1</v>
      </c>
    </row>
    <row r="8572" spans="8:11" x14ac:dyDescent="0.25">
      <c r="H8572">
        <v>101</v>
      </c>
      <c r="I8572">
        <v>161</v>
      </c>
      <c r="J8572">
        <v>108</v>
      </c>
      <c r="K8572" t="b">
        <v>1</v>
      </c>
    </row>
    <row r="8573" spans="8:11" x14ac:dyDescent="0.25">
      <c r="H8573">
        <v>101</v>
      </c>
      <c r="I8573">
        <v>168</v>
      </c>
      <c r="J8573">
        <v>108</v>
      </c>
      <c r="K8573" t="b">
        <v>1</v>
      </c>
    </row>
    <row r="8574" spans="8:11" x14ac:dyDescent="0.25">
      <c r="H8574">
        <v>101</v>
      </c>
      <c r="I8574">
        <v>175</v>
      </c>
      <c r="J8574">
        <v>108</v>
      </c>
      <c r="K8574" t="b">
        <v>1</v>
      </c>
    </row>
    <row r="8575" spans="8:11" x14ac:dyDescent="0.25">
      <c r="H8575">
        <v>101</v>
      </c>
      <c r="I8575">
        <v>182</v>
      </c>
      <c r="J8575">
        <v>108</v>
      </c>
      <c r="K8575" t="b">
        <v>1</v>
      </c>
    </row>
    <row r="8576" spans="8:11" x14ac:dyDescent="0.25">
      <c r="H8576">
        <v>101</v>
      </c>
      <c r="I8576">
        <v>189</v>
      </c>
      <c r="J8576">
        <v>108</v>
      </c>
      <c r="K8576" t="b">
        <v>1</v>
      </c>
    </row>
    <row r="8577" spans="8:11" x14ac:dyDescent="0.25">
      <c r="H8577">
        <v>101</v>
      </c>
      <c r="I8577">
        <v>196</v>
      </c>
      <c r="J8577">
        <v>108</v>
      </c>
      <c r="K8577" t="b">
        <v>1</v>
      </c>
    </row>
    <row r="8578" spans="8:11" x14ac:dyDescent="0.25">
      <c r="H8578">
        <v>101</v>
      </c>
      <c r="I8578">
        <v>203</v>
      </c>
      <c r="J8578">
        <v>108</v>
      </c>
      <c r="K8578" t="b">
        <v>1</v>
      </c>
    </row>
    <row r="8579" spans="8:11" x14ac:dyDescent="0.25">
      <c r="H8579">
        <v>101</v>
      </c>
      <c r="I8579">
        <v>210</v>
      </c>
      <c r="J8579">
        <v>108</v>
      </c>
      <c r="K8579" t="b">
        <v>1</v>
      </c>
    </row>
    <row r="8580" spans="8:11" x14ac:dyDescent="0.25">
      <c r="H8580">
        <v>101</v>
      </c>
      <c r="I8580">
        <v>217</v>
      </c>
      <c r="J8580">
        <v>108</v>
      </c>
      <c r="K8580" t="b">
        <v>1</v>
      </c>
    </row>
    <row r="8581" spans="8:11" x14ac:dyDescent="0.25">
      <c r="H8581">
        <v>101</v>
      </c>
      <c r="I8581">
        <v>224</v>
      </c>
      <c r="J8581">
        <v>108</v>
      </c>
      <c r="K8581" t="b">
        <v>1</v>
      </c>
    </row>
    <row r="8582" spans="8:11" x14ac:dyDescent="0.25">
      <c r="H8582">
        <v>101</v>
      </c>
      <c r="I8582">
        <v>231</v>
      </c>
      <c r="J8582">
        <v>108</v>
      </c>
      <c r="K8582" t="b">
        <v>1</v>
      </c>
    </row>
    <row r="8583" spans="8:11" x14ac:dyDescent="0.25">
      <c r="H8583">
        <v>101</v>
      </c>
      <c r="I8583">
        <v>238</v>
      </c>
      <c r="J8583">
        <v>108</v>
      </c>
      <c r="K8583" t="b">
        <v>1</v>
      </c>
    </row>
    <row r="8584" spans="8:11" x14ac:dyDescent="0.25">
      <c r="H8584">
        <v>101</v>
      </c>
      <c r="I8584">
        <v>245</v>
      </c>
      <c r="J8584">
        <v>108</v>
      </c>
      <c r="K8584" t="b">
        <v>1</v>
      </c>
    </row>
    <row r="8585" spans="8:11" x14ac:dyDescent="0.25">
      <c r="H8585">
        <v>101</v>
      </c>
      <c r="I8585">
        <v>252</v>
      </c>
      <c r="J8585">
        <v>108</v>
      </c>
      <c r="K8585" t="b">
        <v>1</v>
      </c>
    </row>
    <row r="8586" spans="8:11" x14ac:dyDescent="0.25">
      <c r="H8586">
        <v>101</v>
      </c>
      <c r="I8586">
        <v>259</v>
      </c>
      <c r="J8586">
        <v>108</v>
      </c>
      <c r="K8586" t="b">
        <v>1</v>
      </c>
    </row>
    <row r="8587" spans="8:11" x14ac:dyDescent="0.25">
      <c r="H8587">
        <v>101</v>
      </c>
      <c r="I8587">
        <v>266</v>
      </c>
      <c r="J8587">
        <v>108</v>
      </c>
      <c r="K8587" t="b">
        <v>1</v>
      </c>
    </row>
    <row r="8588" spans="8:11" x14ac:dyDescent="0.25">
      <c r="H8588">
        <v>101</v>
      </c>
      <c r="I8588">
        <v>273</v>
      </c>
      <c r="J8588">
        <v>108</v>
      </c>
      <c r="K8588" t="b">
        <v>1</v>
      </c>
    </row>
    <row r="8589" spans="8:11" x14ac:dyDescent="0.25">
      <c r="H8589">
        <v>101</v>
      </c>
      <c r="I8589">
        <v>280</v>
      </c>
      <c r="J8589">
        <v>108</v>
      </c>
      <c r="K8589" t="b">
        <v>1</v>
      </c>
    </row>
    <row r="8590" spans="8:11" x14ac:dyDescent="0.25">
      <c r="H8590">
        <v>101</v>
      </c>
      <c r="I8590">
        <v>287</v>
      </c>
      <c r="J8590">
        <v>108</v>
      </c>
      <c r="K8590" t="b">
        <v>1</v>
      </c>
    </row>
    <row r="8591" spans="8:11" x14ac:dyDescent="0.25">
      <c r="H8591">
        <v>101</v>
      </c>
      <c r="I8591">
        <v>294</v>
      </c>
      <c r="J8591">
        <v>108</v>
      </c>
      <c r="K8591" t="b">
        <v>1</v>
      </c>
    </row>
    <row r="8592" spans="8:11" x14ac:dyDescent="0.25">
      <c r="H8592">
        <v>101</v>
      </c>
      <c r="I8592">
        <v>301</v>
      </c>
      <c r="J8592">
        <v>108</v>
      </c>
      <c r="K8592" t="b">
        <v>1</v>
      </c>
    </row>
    <row r="8593" spans="8:11" x14ac:dyDescent="0.25">
      <c r="H8593">
        <v>101</v>
      </c>
      <c r="I8593">
        <v>308</v>
      </c>
      <c r="J8593">
        <v>108</v>
      </c>
      <c r="K8593" t="b">
        <v>1</v>
      </c>
    </row>
    <row r="8594" spans="8:11" x14ac:dyDescent="0.25">
      <c r="H8594">
        <v>101</v>
      </c>
      <c r="I8594">
        <v>315</v>
      </c>
      <c r="J8594">
        <v>108</v>
      </c>
      <c r="K8594" t="b">
        <v>1</v>
      </c>
    </row>
    <row r="8595" spans="8:11" x14ac:dyDescent="0.25">
      <c r="H8595">
        <v>101</v>
      </c>
      <c r="I8595">
        <v>322</v>
      </c>
      <c r="J8595">
        <v>108</v>
      </c>
      <c r="K8595" t="b">
        <v>1</v>
      </c>
    </row>
    <row r="8596" spans="8:11" x14ac:dyDescent="0.25">
      <c r="H8596">
        <v>101</v>
      </c>
      <c r="I8596">
        <v>329</v>
      </c>
      <c r="J8596">
        <v>108</v>
      </c>
      <c r="K8596" t="b">
        <v>1</v>
      </c>
    </row>
    <row r="8597" spans="8:11" x14ac:dyDescent="0.25">
      <c r="H8597">
        <v>101</v>
      </c>
      <c r="I8597">
        <v>336</v>
      </c>
      <c r="J8597">
        <v>108</v>
      </c>
      <c r="K8597" t="b">
        <v>1</v>
      </c>
    </row>
    <row r="8598" spans="8:11" x14ac:dyDescent="0.25">
      <c r="H8598">
        <v>101</v>
      </c>
      <c r="I8598">
        <v>343</v>
      </c>
      <c r="J8598">
        <v>108</v>
      </c>
      <c r="K8598" t="b">
        <v>1</v>
      </c>
    </row>
    <row r="8599" spans="8:11" x14ac:dyDescent="0.25">
      <c r="H8599">
        <v>101</v>
      </c>
      <c r="I8599">
        <v>350</v>
      </c>
      <c r="J8599">
        <v>108</v>
      </c>
      <c r="K8599" t="b">
        <v>1</v>
      </c>
    </row>
    <row r="8600" spans="8:11" x14ac:dyDescent="0.25">
      <c r="H8600">
        <v>101</v>
      </c>
      <c r="I8600">
        <v>357</v>
      </c>
      <c r="J8600">
        <v>108</v>
      </c>
      <c r="K8600" t="b">
        <v>1</v>
      </c>
    </row>
    <row r="8601" spans="8:11" x14ac:dyDescent="0.25">
      <c r="H8601">
        <v>101</v>
      </c>
      <c r="I8601">
        <v>364</v>
      </c>
      <c r="J8601">
        <v>108</v>
      </c>
      <c r="K8601" t="b">
        <v>1</v>
      </c>
    </row>
    <row r="8602" spans="8:11" x14ac:dyDescent="0.25">
      <c r="H8602">
        <v>101</v>
      </c>
      <c r="I8602">
        <v>371</v>
      </c>
      <c r="J8602">
        <v>108</v>
      </c>
      <c r="K8602" t="b">
        <v>1</v>
      </c>
    </row>
    <row r="8603" spans="8:11" x14ac:dyDescent="0.25">
      <c r="H8603">
        <v>101</v>
      </c>
      <c r="I8603">
        <v>378</v>
      </c>
      <c r="J8603">
        <v>108</v>
      </c>
      <c r="K8603" t="b">
        <v>1</v>
      </c>
    </row>
    <row r="8604" spans="8:11" x14ac:dyDescent="0.25">
      <c r="H8604">
        <v>101</v>
      </c>
      <c r="I8604">
        <v>385</v>
      </c>
      <c r="J8604">
        <v>108</v>
      </c>
      <c r="K8604" t="b">
        <v>1</v>
      </c>
    </row>
    <row r="8605" spans="8:11" x14ac:dyDescent="0.25">
      <c r="H8605">
        <v>101</v>
      </c>
      <c r="I8605">
        <v>392</v>
      </c>
      <c r="J8605">
        <v>108</v>
      </c>
      <c r="K8605" t="b">
        <v>1</v>
      </c>
    </row>
    <row r="8606" spans="8:11" x14ac:dyDescent="0.25">
      <c r="H8606">
        <v>101</v>
      </c>
      <c r="I8606">
        <v>399</v>
      </c>
      <c r="J8606">
        <v>108</v>
      </c>
      <c r="K8606" t="b">
        <v>1</v>
      </c>
    </row>
    <row r="8607" spans="8:11" x14ac:dyDescent="0.25">
      <c r="H8607">
        <v>101</v>
      </c>
      <c r="I8607">
        <v>406</v>
      </c>
      <c r="J8607">
        <v>108</v>
      </c>
      <c r="K8607" t="b">
        <v>1</v>
      </c>
    </row>
    <row r="8608" spans="8:11" x14ac:dyDescent="0.25">
      <c r="H8608">
        <v>101</v>
      </c>
      <c r="I8608">
        <v>413</v>
      </c>
      <c r="J8608">
        <v>108</v>
      </c>
      <c r="K8608" t="b">
        <v>1</v>
      </c>
    </row>
    <row r="8609" spans="8:11" x14ac:dyDescent="0.25">
      <c r="H8609">
        <v>101</v>
      </c>
      <c r="I8609">
        <v>420</v>
      </c>
      <c r="J8609">
        <v>108</v>
      </c>
      <c r="K8609" t="b">
        <v>1</v>
      </c>
    </row>
    <row r="8610" spans="8:11" x14ac:dyDescent="0.25">
      <c r="H8610">
        <v>101</v>
      </c>
      <c r="I8610">
        <v>427</v>
      </c>
      <c r="J8610">
        <v>108</v>
      </c>
      <c r="K8610" t="b">
        <v>1</v>
      </c>
    </row>
    <row r="8611" spans="8:11" x14ac:dyDescent="0.25">
      <c r="H8611">
        <v>101</v>
      </c>
      <c r="I8611">
        <v>434</v>
      </c>
      <c r="J8611">
        <v>108</v>
      </c>
      <c r="K8611" t="b">
        <v>1</v>
      </c>
    </row>
    <row r="8612" spans="8:11" x14ac:dyDescent="0.25">
      <c r="H8612">
        <v>101</v>
      </c>
      <c r="I8612">
        <v>441</v>
      </c>
      <c r="J8612">
        <v>108</v>
      </c>
      <c r="K8612" t="b">
        <v>1</v>
      </c>
    </row>
    <row r="8613" spans="8:11" x14ac:dyDescent="0.25">
      <c r="H8613">
        <v>101</v>
      </c>
      <c r="I8613">
        <v>448</v>
      </c>
      <c r="J8613">
        <v>108</v>
      </c>
      <c r="K8613" t="b">
        <v>1</v>
      </c>
    </row>
    <row r="8614" spans="8:11" x14ac:dyDescent="0.25">
      <c r="H8614">
        <v>101</v>
      </c>
      <c r="I8614">
        <v>455</v>
      </c>
      <c r="J8614">
        <v>108</v>
      </c>
      <c r="K8614" t="b">
        <v>1</v>
      </c>
    </row>
    <row r="8615" spans="8:11" x14ac:dyDescent="0.25">
      <c r="H8615">
        <v>101</v>
      </c>
      <c r="I8615">
        <v>462</v>
      </c>
      <c r="J8615">
        <v>108</v>
      </c>
      <c r="K8615" t="b">
        <v>1</v>
      </c>
    </row>
    <row r="8616" spans="8:11" x14ac:dyDescent="0.25">
      <c r="H8616">
        <v>101</v>
      </c>
      <c r="I8616">
        <v>469</v>
      </c>
      <c r="J8616">
        <v>108</v>
      </c>
      <c r="K8616" t="b">
        <v>1</v>
      </c>
    </row>
    <row r="8617" spans="8:11" x14ac:dyDescent="0.25">
      <c r="H8617">
        <v>101</v>
      </c>
      <c r="I8617">
        <v>476</v>
      </c>
      <c r="J8617">
        <v>108</v>
      </c>
      <c r="K8617" t="b">
        <v>1</v>
      </c>
    </row>
    <row r="8618" spans="8:11" x14ac:dyDescent="0.25">
      <c r="H8618">
        <v>101</v>
      </c>
      <c r="I8618">
        <v>483</v>
      </c>
      <c r="J8618">
        <v>108</v>
      </c>
      <c r="K8618" t="b">
        <v>1</v>
      </c>
    </row>
    <row r="8619" spans="8:11" x14ac:dyDescent="0.25">
      <c r="H8619">
        <v>101</v>
      </c>
      <c r="I8619">
        <v>490</v>
      </c>
      <c r="J8619">
        <v>108</v>
      </c>
      <c r="K8619" t="b">
        <v>1</v>
      </c>
    </row>
    <row r="8620" spans="8:11" x14ac:dyDescent="0.25">
      <c r="H8620">
        <v>101</v>
      </c>
      <c r="I8620">
        <v>497</v>
      </c>
      <c r="J8620">
        <v>108</v>
      </c>
      <c r="K8620" t="b">
        <v>1</v>
      </c>
    </row>
    <row r="8621" spans="8:11" x14ac:dyDescent="0.25">
      <c r="H8621">
        <v>101</v>
      </c>
      <c r="I8621">
        <v>504</v>
      </c>
      <c r="J8621">
        <v>108</v>
      </c>
      <c r="K8621" t="b">
        <v>1</v>
      </c>
    </row>
    <row r="8622" spans="8:11" x14ac:dyDescent="0.25">
      <c r="H8622">
        <v>101</v>
      </c>
      <c r="I8622">
        <v>511</v>
      </c>
      <c r="J8622">
        <v>108</v>
      </c>
      <c r="K8622" t="b">
        <v>1</v>
      </c>
    </row>
    <row r="8623" spans="8:11" x14ac:dyDescent="0.25">
      <c r="H8623">
        <v>101</v>
      </c>
      <c r="I8623">
        <v>518</v>
      </c>
      <c r="J8623">
        <v>108</v>
      </c>
      <c r="K8623" t="b">
        <v>1</v>
      </c>
    </row>
    <row r="8624" spans="8:11" x14ac:dyDescent="0.25">
      <c r="H8624">
        <v>101</v>
      </c>
      <c r="I8624">
        <v>525</v>
      </c>
      <c r="J8624">
        <v>108</v>
      </c>
      <c r="K8624" t="b">
        <v>1</v>
      </c>
    </row>
    <row r="8625" spans="8:11" x14ac:dyDescent="0.25">
      <c r="H8625">
        <v>101</v>
      </c>
      <c r="I8625">
        <v>532</v>
      </c>
      <c r="J8625">
        <v>108</v>
      </c>
      <c r="K8625" t="b">
        <v>1</v>
      </c>
    </row>
    <row r="8626" spans="8:11" x14ac:dyDescent="0.25">
      <c r="H8626">
        <v>101</v>
      </c>
      <c r="I8626">
        <v>539</v>
      </c>
      <c r="J8626">
        <v>108</v>
      </c>
      <c r="K8626" t="b">
        <v>1</v>
      </c>
    </row>
    <row r="8627" spans="8:11" x14ac:dyDescent="0.25">
      <c r="H8627">
        <v>101</v>
      </c>
      <c r="I8627">
        <v>546</v>
      </c>
      <c r="J8627">
        <v>108</v>
      </c>
      <c r="K8627" t="b">
        <v>1</v>
      </c>
    </row>
    <row r="8628" spans="8:11" x14ac:dyDescent="0.25">
      <c r="H8628">
        <v>101</v>
      </c>
      <c r="I8628">
        <v>553</v>
      </c>
      <c r="J8628">
        <v>108</v>
      </c>
      <c r="K8628" t="b">
        <v>1</v>
      </c>
    </row>
    <row r="8629" spans="8:11" x14ac:dyDescent="0.25">
      <c r="H8629">
        <v>101</v>
      </c>
      <c r="I8629">
        <v>560</v>
      </c>
      <c r="J8629">
        <v>108</v>
      </c>
      <c r="K8629" t="b">
        <v>1</v>
      </c>
    </row>
    <row r="8630" spans="8:11" x14ac:dyDescent="0.25">
      <c r="H8630">
        <v>101</v>
      </c>
      <c r="I8630">
        <v>567</v>
      </c>
      <c r="J8630">
        <v>108</v>
      </c>
      <c r="K8630" t="b">
        <v>1</v>
      </c>
    </row>
    <row r="8631" spans="8:11" x14ac:dyDescent="0.25">
      <c r="H8631">
        <v>101</v>
      </c>
      <c r="I8631">
        <v>574</v>
      </c>
      <c r="J8631">
        <v>108</v>
      </c>
      <c r="K8631" t="b">
        <v>1</v>
      </c>
    </row>
    <row r="8632" spans="8:11" x14ac:dyDescent="0.25">
      <c r="H8632">
        <v>101</v>
      </c>
      <c r="I8632">
        <v>581</v>
      </c>
      <c r="J8632">
        <v>108</v>
      </c>
      <c r="K8632" t="b">
        <v>1</v>
      </c>
    </row>
    <row r="8633" spans="8:11" x14ac:dyDescent="0.25">
      <c r="H8633">
        <v>101</v>
      </c>
      <c r="I8633">
        <v>588</v>
      </c>
      <c r="J8633">
        <v>108</v>
      </c>
      <c r="K8633" t="b">
        <v>1</v>
      </c>
    </row>
    <row r="8634" spans="8:11" x14ac:dyDescent="0.25">
      <c r="H8634">
        <v>101</v>
      </c>
      <c r="I8634">
        <v>595</v>
      </c>
      <c r="J8634">
        <v>108</v>
      </c>
      <c r="K8634" t="b">
        <v>1</v>
      </c>
    </row>
    <row r="8635" spans="8:11" x14ac:dyDescent="0.25">
      <c r="H8635">
        <v>101</v>
      </c>
      <c r="I8635">
        <v>602</v>
      </c>
      <c r="J8635">
        <v>108</v>
      </c>
      <c r="K8635" t="b">
        <v>1</v>
      </c>
    </row>
    <row r="8636" spans="8:11" x14ac:dyDescent="0.25">
      <c r="H8636">
        <v>101</v>
      </c>
      <c r="I8636">
        <v>609</v>
      </c>
      <c r="J8636">
        <v>108</v>
      </c>
      <c r="K8636" t="b">
        <v>1</v>
      </c>
    </row>
    <row r="8637" spans="8:11" x14ac:dyDescent="0.25">
      <c r="H8637">
        <v>101</v>
      </c>
      <c r="I8637">
        <v>616</v>
      </c>
      <c r="J8637">
        <v>108</v>
      </c>
      <c r="K8637" t="b">
        <v>1</v>
      </c>
    </row>
    <row r="8638" spans="8:11" x14ac:dyDescent="0.25">
      <c r="H8638">
        <v>101</v>
      </c>
      <c r="I8638">
        <v>623</v>
      </c>
      <c r="J8638">
        <v>108</v>
      </c>
      <c r="K8638" t="b">
        <v>1</v>
      </c>
    </row>
    <row r="8639" spans="8:11" x14ac:dyDescent="0.25">
      <c r="H8639">
        <v>101</v>
      </c>
      <c r="I8639">
        <v>630</v>
      </c>
      <c r="J8639">
        <v>108</v>
      </c>
      <c r="K8639" t="b">
        <v>1</v>
      </c>
    </row>
    <row r="8640" spans="8:11" x14ac:dyDescent="0.25">
      <c r="H8640">
        <v>101</v>
      </c>
      <c r="I8640">
        <v>637</v>
      </c>
      <c r="J8640">
        <v>108</v>
      </c>
      <c r="K8640" t="b">
        <v>1</v>
      </c>
    </row>
    <row r="8641" spans="8:11" x14ac:dyDescent="0.25">
      <c r="H8641">
        <v>101</v>
      </c>
      <c r="I8641">
        <v>644</v>
      </c>
      <c r="J8641">
        <v>108</v>
      </c>
      <c r="K8641" t="b">
        <v>1</v>
      </c>
    </row>
    <row r="8642" spans="8:11" x14ac:dyDescent="0.25">
      <c r="H8642">
        <v>101</v>
      </c>
      <c r="I8642">
        <v>651</v>
      </c>
      <c r="J8642">
        <v>108</v>
      </c>
      <c r="K8642" t="b">
        <v>1</v>
      </c>
    </row>
    <row r="8643" spans="8:11" x14ac:dyDescent="0.25">
      <c r="H8643">
        <v>101</v>
      </c>
      <c r="I8643">
        <v>658</v>
      </c>
      <c r="J8643">
        <v>108</v>
      </c>
      <c r="K8643" t="b">
        <v>1</v>
      </c>
    </row>
    <row r="8644" spans="8:11" x14ac:dyDescent="0.25">
      <c r="H8644">
        <v>101</v>
      </c>
      <c r="I8644">
        <v>665</v>
      </c>
      <c r="J8644">
        <v>108</v>
      </c>
      <c r="K8644" t="b">
        <v>1</v>
      </c>
    </row>
    <row r="8645" spans="8:11" x14ac:dyDescent="0.25">
      <c r="H8645">
        <v>101</v>
      </c>
      <c r="I8645">
        <v>672</v>
      </c>
      <c r="J8645">
        <v>108</v>
      </c>
      <c r="K8645" t="b">
        <v>1</v>
      </c>
    </row>
    <row r="8646" spans="8:11" x14ac:dyDescent="0.25">
      <c r="H8646">
        <v>101</v>
      </c>
      <c r="I8646">
        <v>679</v>
      </c>
      <c r="J8646">
        <v>108</v>
      </c>
      <c r="K8646" t="b">
        <v>1</v>
      </c>
    </row>
    <row r="8647" spans="8:11" x14ac:dyDescent="0.25">
      <c r="H8647">
        <v>101</v>
      </c>
      <c r="I8647">
        <v>686</v>
      </c>
      <c r="J8647">
        <v>108</v>
      </c>
      <c r="K8647" t="b">
        <v>1</v>
      </c>
    </row>
    <row r="8648" spans="8:11" x14ac:dyDescent="0.25">
      <c r="H8648">
        <v>101</v>
      </c>
      <c r="I8648">
        <v>693</v>
      </c>
      <c r="J8648">
        <v>108</v>
      </c>
      <c r="K8648" t="b">
        <v>1</v>
      </c>
    </row>
    <row r="8649" spans="8:11" x14ac:dyDescent="0.25">
      <c r="H8649">
        <v>101</v>
      </c>
      <c r="I8649">
        <v>700</v>
      </c>
      <c r="J8649">
        <v>108</v>
      </c>
      <c r="K8649" t="b">
        <v>1</v>
      </c>
    </row>
    <row r="8650" spans="8:11" x14ac:dyDescent="0.25">
      <c r="H8650">
        <v>101</v>
      </c>
      <c r="I8650">
        <v>707</v>
      </c>
      <c r="J8650">
        <v>108</v>
      </c>
      <c r="K8650" t="b">
        <v>1</v>
      </c>
    </row>
    <row r="8651" spans="8:11" x14ac:dyDescent="0.25">
      <c r="H8651">
        <v>101</v>
      </c>
      <c r="I8651">
        <v>714</v>
      </c>
      <c r="J8651">
        <v>108</v>
      </c>
      <c r="K8651" t="b">
        <v>1</v>
      </c>
    </row>
    <row r="8652" spans="8:11" x14ac:dyDescent="0.25">
      <c r="H8652">
        <v>101</v>
      </c>
      <c r="I8652">
        <v>721</v>
      </c>
      <c r="J8652">
        <v>108</v>
      </c>
      <c r="K8652" t="b">
        <v>1</v>
      </c>
    </row>
    <row r="8653" spans="8:11" x14ac:dyDescent="0.25">
      <c r="H8653">
        <v>101</v>
      </c>
      <c r="I8653">
        <v>728</v>
      </c>
      <c r="J8653">
        <v>108</v>
      </c>
      <c r="K8653" t="b">
        <v>1</v>
      </c>
    </row>
    <row r="8654" spans="8:11" x14ac:dyDescent="0.25">
      <c r="H8654">
        <v>101</v>
      </c>
      <c r="I8654">
        <v>735</v>
      </c>
      <c r="J8654">
        <v>108</v>
      </c>
      <c r="K8654" t="b">
        <v>1</v>
      </c>
    </row>
    <row r="8655" spans="8:11" x14ac:dyDescent="0.25">
      <c r="H8655">
        <v>101</v>
      </c>
      <c r="I8655">
        <v>742</v>
      </c>
      <c r="J8655">
        <v>108</v>
      </c>
      <c r="K8655" t="b">
        <v>1</v>
      </c>
    </row>
    <row r="8656" spans="8:11" x14ac:dyDescent="0.25">
      <c r="H8656">
        <v>101</v>
      </c>
      <c r="I8656">
        <v>749</v>
      </c>
      <c r="J8656">
        <v>108</v>
      </c>
      <c r="K8656" t="b">
        <v>1</v>
      </c>
    </row>
    <row r="8657" spans="8:11" x14ac:dyDescent="0.25">
      <c r="H8657">
        <v>101</v>
      </c>
      <c r="I8657">
        <v>756</v>
      </c>
      <c r="J8657">
        <v>108</v>
      </c>
      <c r="K8657" t="b">
        <v>1</v>
      </c>
    </row>
    <row r="8658" spans="8:11" x14ac:dyDescent="0.25">
      <c r="H8658">
        <v>101</v>
      </c>
      <c r="I8658">
        <v>763</v>
      </c>
      <c r="J8658">
        <v>108</v>
      </c>
      <c r="K8658" t="b">
        <v>1</v>
      </c>
    </row>
    <row r="8659" spans="8:11" x14ac:dyDescent="0.25">
      <c r="H8659">
        <v>101</v>
      </c>
      <c r="I8659">
        <v>770</v>
      </c>
      <c r="J8659">
        <v>108</v>
      </c>
      <c r="K8659" t="b">
        <v>1</v>
      </c>
    </row>
    <row r="8660" spans="8:11" x14ac:dyDescent="0.25">
      <c r="H8660">
        <v>101</v>
      </c>
      <c r="I8660">
        <v>777</v>
      </c>
      <c r="J8660">
        <v>108</v>
      </c>
      <c r="K8660" t="b">
        <v>1</v>
      </c>
    </row>
    <row r="8661" spans="8:11" x14ac:dyDescent="0.25">
      <c r="H8661">
        <v>101</v>
      </c>
      <c r="I8661">
        <v>784</v>
      </c>
      <c r="J8661">
        <v>108</v>
      </c>
      <c r="K8661" t="b">
        <v>1</v>
      </c>
    </row>
    <row r="8662" spans="8:11" x14ac:dyDescent="0.25">
      <c r="H8662">
        <v>101</v>
      </c>
      <c r="I8662">
        <v>791</v>
      </c>
      <c r="J8662">
        <v>108</v>
      </c>
      <c r="K8662" t="b">
        <v>1</v>
      </c>
    </row>
    <row r="8663" spans="8:11" x14ac:dyDescent="0.25">
      <c r="H8663">
        <v>101</v>
      </c>
      <c r="I8663">
        <v>798</v>
      </c>
      <c r="J8663">
        <v>108</v>
      </c>
      <c r="K8663" t="b">
        <v>1</v>
      </c>
    </row>
    <row r="8664" spans="8:11" x14ac:dyDescent="0.25">
      <c r="H8664">
        <v>101</v>
      </c>
      <c r="I8664">
        <v>805</v>
      </c>
      <c r="J8664">
        <v>108</v>
      </c>
      <c r="K8664" t="b">
        <v>1</v>
      </c>
    </row>
    <row r="8665" spans="8:11" x14ac:dyDescent="0.25">
      <c r="H8665">
        <v>101</v>
      </c>
      <c r="I8665">
        <v>812</v>
      </c>
      <c r="J8665">
        <v>108</v>
      </c>
      <c r="K8665" t="b">
        <v>1</v>
      </c>
    </row>
    <row r="8666" spans="8:11" x14ac:dyDescent="0.25">
      <c r="H8666">
        <v>101</v>
      </c>
      <c r="I8666">
        <v>819</v>
      </c>
      <c r="J8666">
        <v>108</v>
      </c>
      <c r="K8666" t="b">
        <v>1</v>
      </c>
    </row>
    <row r="8667" spans="8:11" x14ac:dyDescent="0.25">
      <c r="H8667">
        <v>101</v>
      </c>
      <c r="I8667">
        <v>826</v>
      </c>
      <c r="J8667">
        <v>108</v>
      </c>
      <c r="K8667" t="b">
        <v>1</v>
      </c>
    </row>
    <row r="8668" spans="8:11" x14ac:dyDescent="0.25">
      <c r="H8668">
        <v>101</v>
      </c>
      <c r="I8668">
        <v>833</v>
      </c>
      <c r="J8668">
        <v>108</v>
      </c>
      <c r="K8668" t="b">
        <v>1</v>
      </c>
    </row>
    <row r="8669" spans="8:11" x14ac:dyDescent="0.25">
      <c r="H8669">
        <v>101</v>
      </c>
      <c r="I8669">
        <v>840</v>
      </c>
      <c r="J8669">
        <v>108</v>
      </c>
      <c r="K8669" t="b">
        <v>1</v>
      </c>
    </row>
    <row r="8670" spans="8:11" x14ac:dyDescent="0.25">
      <c r="H8670">
        <v>101</v>
      </c>
      <c r="I8670">
        <v>847</v>
      </c>
      <c r="J8670">
        <v>108</v>
      </c>
      <c r="K8670" t="b">
        <v>1</v>
      </c>
    </row>
    <row r="8671" spans="8:11" x14ac:dyDescent="0.25">
      <c r="H8671">
        <v>101</v>
      </c>
      <c r="I8671">
        <v>854</v>
      </c>
      <c r="J8671">
        <v>108</v>
      </c>
      <c r="K8671" t="b">
        <v>1</v>
      </c>
    </row>
    <row r="8672" spans="8:11" x14ac:dyDescent="0.25">
      <c r="H8672">
        <v>101</v>
      </c>
      <c r="I8672">
        <v>861</v>
      </c>
      <c r="J8672">
        <v>108</v>
      </c>
      <c r="K8672" t="b">
        <v>1</v>
      </c>
    </row>
    <row r="8673" spans="8:11" x14ac:dyDescent="0.25">
      <c r="H8673">
        <v>101</v>
      </c>
      <c r="I8673">
        <v>868</v>
      </c>
      <c r="J8673">
        <v>108</v>
      </c>
      <c r="K8673" t="b">
        <v>1</v>
      </c>
    </row>
    <row r="8674" spans="8:11" x14ac:dyDescent="0.25">
      <c r="H8674">
        <v>101</v>
      </c>
      <c r="I8674">
        <v>875</v>
      </c>
      <c r="J8674">
        <v>108</v>
      </c>
      <c r="K8674" t="b">
        <v>1</v>
      </c>
    </row>
    <row r="8675" spans="8:11" x14ac:dyDescent="0.25">
      <c r="H8675">
        <v>101</v>
      </c>
      <c r="I8675">
        <v>882</v>
      </c>
      <c r="J8675">
        <v>108</v>
      </c>
      <c r="K8675" t="b">
        <v>1</v>
      </c>
    </row>
    <row r="8676" spans="8:11" x14ac:dyDescent="0.25">
      <c r="H8676">
        <v>101</v>
      </c>
      <c r="I8676">
        <v>889</v>
      </c>
      <c r="J8676">
        <v>108</v>
      </c>
      <c r="K8676" t="b">
        <v>1</v>
      </c>
    </row>
    <row r="8677" spans="8:11" x14ac:dyDescent="0.25">
      <c r="H8677">
        <v>101</v>
      </c>
      <c r="I8677">
        <v>896</v>
      </c>
      <c r="J8677">
        <v>108</v>
      </c>
      <c r="K8677" t="b">
        <v>1</v>
      </c>
    </row>
    <row r="8678" spans="8:11" x14ac:dyDescent="0.25">
      <c r="H8678">
        <v>101</v>
      </c>
      <c r="I8678">
        <v>903</v>
      </c>
      <c r="J8678">
        <v>108</v>
      </c>
      <c r="K8678" t="b">
        <v>1</v>
      </c>
    </row>
    <row r="8679" spans="8:11" x14ac:dyDescent="0.25">
      <c r="H8679">
        <v>101</v>
      </c>
      <c r="I8679">
        <v>910</v>
      </c>
      <c r="J8679">
        <v>108</v>
      </c>
      <c r="K8679" t="b">
        <v>1</v>
      </c>
    </row>
    <row r="8680" spans="8:11" x14ac:dyDescent="0.25">
      <c r="H8680">
        <v>101</v>
      </c>
      <c r="I8680">
        <v>917</v>
      </c>
      <c r="J8680">
        <v>108</v>
      </c>
      <c r="K8680" t="b">
        <v>1</v>
      </c>
    </row>
    <row r="8681" spans="8:11" x14ac:dyDescent="0.25">
      <c r="H8681">
        <v>101</v>
      </c>
      <c r="I8681">
        <v>924</v>
      </c>
      <c r="J8681">
        <v>108</v>
      </c>
      <c r="K8681" t="b">
        <v>1</v>
      </c>
    </row>
    <row r="8682" spans="8:11" x14ac:dyDescent="0.25">
      <c r="H8682">
        <v>101</v>
      </c>
      <c r="I8682">
        <v>931</v>
      </c>
      <c r="J8682">
        <v>108</v>
      </c>
      <c r="K8682" t="b">
        <v>1</v>
      </c>
    </row>
    <row r="8683" spans="8:11" x14ac:dyDescent="0.25">
      <c r="H8683">
        <v>101</v>
      </c>
      <c r="I8683">
        <v>938</v>
      </c>
      <c r="J8683">
        <v>108</v>
      </c>
      <c r="K8683" t="b">
        <v>1</v>
      </c>
    </row>
    <row r="8684" spans="8:11" x14ac:dyDescent="0.25">
      <c r="H8684">
        <v>101</v>
      </c>
      <c r="I8684">
        <v>945</v>
      </c>
      <c r="J8684">
        <v>108</v>
      </c>
      <c r="K8684" t="b">
        <v>1</v>
      </c>
    </row>
    <row r="8685" spans="8:11" x14ac:dyDescent="0.25">
      <c r="H8685">
        <v>101</v>
      </c>
      <c r="I8685">
        <v>952</v>
      </c>
      <c r="J8685">
        <v>108</v>
      </c>
      <c r="K8685" t="b">
        <v>1</v>
      </c>
    </row>
    <row r="8686" spans="8:11" x14ac:dyDescent="0.25">
      <c r="H8686">
        <v>102</v>
      </c>
      <c r="I8686">
        <v>0</v>
      </c>
      <c r="J8686">
        <v>108</v>
      </c>
      <c r="K8686" t="b">
        <v>1</v>
      </c>
    </row>
    <row r="8687" spans="8:11" x14ac:dyDescent="0.25">
      <c r="H8687">
        <v>102</v>
      </c>
      <c r="I8687">
        <v>7</v>
      </c>
      <c r="J8687">
        <v>108</v>
      </c>
      <c r="K8687" t="b">
        <v>1</v>
      </c>
    </row>
    <row r="8688" spans="8:11" x14ac:dyDescent="0.25">
      <c r="H8688">
        <v>102</v>
      </c>
      <c r="I8688">
        <v>14</v>
      </c>
      <c r="J8688">
        <v>108</v>
      </c>
      <c r="K8688" t="b">
        <v>1</v>
      </c>
    </row>
    <row r="8689" spans="8:11" x14ac:dyDescent="0.25">
      <c r="H8689">
        <v>102</v>
      </c>
      <c r="I8689">
        <v>21</v>
      </c>
      <c r="J8689">
        <v>108</v>
      </c>
      <c r="K8689" t="b">
        <v>1</v>
      </c>
    </row>
    <row r="8690" spans="8:11" x14ac:dyDescent="0.25">
      <c r="H8690">
        <v>102</v>
      </c>
      <c r="I8690">
        <v>28</v>
      </c>
      <c r="J8690">
        <v>108</v>
      </c>
      <c r="K8690" t="b">
        <v>1</v>
      </c>
    </row>
    <row r="8691" spans="8:11" x14ac:dyDescent="0.25">
      <c r="H8691">
        <v>102</v>
      </c>
      <c r="I8691">
        <v>35</v>
      </c>
      <c r="J8691">
        <v>108</v>
      </c>
      <c r="K8691" t="b">
        <v>1</v>
      </c>
    </row>
    <row r="8692" spans="8:11" x14ac:dyDescent="0.25">
      <c r="H8692">
        <v>102</v>
      </c>
      <c r="I8692">
        <v>42</v>
      </c>
      <c r="J8692">
        <v>108</v>
      </c>
      <c r="K8692" t="b">
        <v>1</v>
      </c>
    </row>
    <row r="8693" spans="8:11" x14ac:dyDescent="0.25">
      <c r="H8693">
        <v>102</v>
      </c>
      <c r="I8693">
        <v>49</v>
      </c>
      <c r="J8693">
        <v>108</v>
      </c>
      <c r="K8693" t="b">
        <v>1</v>
      </c>
    </row>
    <row r="8694" spans="8:11" x14ac:dyDescent="0.25">
      <c r="H8694">
        <v>102</v>
      </c>
      <c r="I8694">
        <v>56</v>
      </c>
      <c r="J8694">
        <v>108</v>
      </c>
      <c r="K8694" t="b">
        <v>1</v>
      </c>
    </row>
    <row r="8695" spans="8:11" x14ac:dyDescent="0.25">
      <c r="H8695">
        <v>102</v>
      </c>
      <c r="I8695">
        <v>63</v>
      </c>
      <c r="J8695">
        <v>108</v>
      </c>
      <c r="K8695" t="b">
        <v>1</v>
      </c>
    </row>
    <row r="8696" spans="8:11" x14ac:dyDescent="0.25">
      <c r="H8696">
        <v>102</v>
      </c>
      <c r="I8696">
        <v>70</v>
      </c>
      <c r="J8696">
        <v>108</v>
      </c>
      <c r="K8696" t="b">
        <v>1</v>
      </c>
    </row>
    <row r="8697" spans="8:11" x14ac:dyDescent="0.25">
      <c r="H8697">
        <v>102</v>
      </c>
      <c r="I8697">
        <v>77</v>
      </c>
      <c r="J8697">
        <v>108</v>
      </c>
      <c r="K8697" t="b">
        <v>1</v>
      </c>
    </row>
    <row r="8698" spans="8:11" x14ac:dyDescent="0.25">
      <c r="H8698">
        <v>102</v>
      </c>
      <c r="I8698">
        <v>84</v>
      </c>
      <c r="J8698">
        <v>108</v>
      </c>
      <c r="K8698" t="b">
        <v>1</v>
      </c>
    </row>
    <row r="8699" spans="8:11" x14ac:dyDescent="0.25">
      <c r="H8699">
        <v>102</v>
      </c>
      <c r="I8699">
        <v>91</v>
      </c>
      <c r="J8699">
        <v>108</v>
      </c>
      <c r="K8699" t="b">
        <v>1</v>
      </c>
    </row>
    <row r="8700" spans="8:11" x14ac:dyDescent="0.25">
      <c r="H8700">
        <v>102</v>
      </c>
      <c r="I8700">
        <v>98</v>
      </c>
      <c r="J8700">
        <v>108</v>
      </c>
      <c r="K8700" t="b">
        <v>1</v>
      </c>
    </row>
    <row r="8701" spans="8:11" x14ac:dyDescent="0.25">
      <c r="H8701">
        <v>102</v>
      </c>
      <c r="I8701">
        <v>105</v>
      </c>
      <c r="J8701">
        <v>108</v>
      </c>
      <c r="K8701" t="b">
        <v>1</v>
      </c>
    </row>
    <row r="8702" spans="8:11" x14ac:dyDescent="0.25">
      <c r="H8702">
        <v>102</v>
      </c>
      <c r="I8702">
        <v>112</v>
      </c>
      <c r="J8702">
        <v>108</v>
      </c>
      <c r="K8702" t="b">
        <v>1</v>
      </c>
    </row>
    <row r="8703" spans="8:11" x14ac:dyDescent="0.25">
      <c r="H8703">
        <v>102</v>
      </c>
      <c r="I8703">
        <v>119</v>
      </c>
      <c r="J8703">
        <v>108</v>
      </c>
      <c r="K8703" t="b">
        <v>1</v>
      </c>
    </row>
    <row r="8704" spans="8:11" x14ac:dyDescent="0.25">
      <c r="H8704">
        <v>102</v>
      </c>
      <c r="I8704">
        <v>126</v>
      </c>
      <c r="J8704">
        <v>108</v>
      </c>
      <c r="K8704" t="b">
        <v>1</v>
      </c>
    </row>
    <row r="8705" spans="8:11" x14ac:dyDescent="0.25">
      <c r="H8705">
        <v>102</v>
      </c>
      <c r="I8705">
        <v>133</v>
      </c>
      <c r="J8705">
        <v>108</v>
      </c>
      <c r="K8705" t="b">
        <v>1</v>
      </c>
    </row>
    <row r="8706" spans="8:11" x14ac:dyDescent="0.25">
      <c r="H8706">
        <v>102</v>
      </c>
      <c r="I8706">
        <v>140</v>
      </c>
      <c r="J8706">
        <v>108</v>
      </c>
      <c r="K8706" t="b">
        <v>1</v>
      </c>
    </row>
    <row r="8707" spans="8:11" x14ac:dyDescent="0.25">
      <c r="H8707">
        <v>102</v>
      </c>
      <c r="I8707">
        <v>147</v>
      </c>
      <c r="J8707">
        <v>108</v>
      </c>
      <c r="K8707" t="b">
        <v>1</v>
      </c>
    </row>
    <row r="8708" spans="8:11" x14ac:dyDescent="0.25">
      <c r="H8708">
        <v>102</v>
      </c>
      <c r="I8708">
        <v>154</v>
      </c>
      <c r="J8708">
        <v>108</v>
      </c>
      <c r="K8708" t="b">
        <v>1</v>
      </c>
    </row>
    <row r="8709" spans="8:11" x14ac:dyDescent="0.25">
      <c r="H8709">
        <v>102</v>
      </c>
      <c r="I8709">
        <v>161</v>
      </c>
      <c r="J8709">
        <v>108</v>
      </c>
      <c r="K8709" t="b">
        <v>1</v>
      </c>
    </row>
    <row r="8710" spans="8:11" x14ac:dyDescent="0.25">
      <c r="H8710">
        <v>102</v>
      </c>
      <c r="I8710">
        <v>168</v>
      </c>
      <c r="J8710">
        <v>108</v>
      </c>
      <c r="K8710" t="b">
        <v>1</v>
      </c>
    </row>
    <row r="8711" spans="8:11" x14ac:dyDescent="0.25">
      <c r="H8711">
        <v>102</v>
      </c>
      <c r="I8711">
        <v>175</v>
      </c>
      <c r="J8711">
        <v>108</v>
      </c>
      <c r="K8711" t="b">
        <v>1</v>
      </c>
    </row>
    <row r="8712" spans="8:11" x14ac:dyDescent="0.25">
      <c r="H8712">
        <v>102</v>
      </c>
      <c r="I8712">
        <v>182</v>
      </c>
      <c r="J8712">
        <v>108</v>
      </c>
      <c r="K8712" t="b">
        <v>1</v>
      </c>
    </row>
    <row r="8713" spans="8:11" x14ac:dyDescent="0.25">
      <c r="H8713">
        <v>102</v>
      </c>
      <c r="I8713">
        <v>189</v>
      </c>
      <c r="J8713">
        <v>108</v>
      </c>
      <c r="K8713" t="b">
        <v>1</v>
      </c>
    </row>
    <row r="8714" spans="8:11" x14ac:dyDescent="0.25">
      <c r="H8714">
        <v>102</v>
      </c>
      <c r="I8714">
        <v>196</v>
      </c>
      <c r="J8714">
        <v>108</v>
      </c>
      <c r="K8714" t="b">
        <v>1</v>
      </c>
    </row>
    <row r="8715" spans="8:11" x14ac:dyDescent="0.25">
      <c r="H8715">
        <v>102</v>
      </c>
      <c r="I8715">
        <v>203</v>
      </c>
      <c r="J8715">
        <v>108</v>
      </c>
      <c r="K8715" t="b">
        <v>1</v>
      </c>
    </row>
    <row r="8716" spans="8:11" x14ac:dyDescent="0.25">
      <c r="H8716">
        <v>102</v>
      </c>
      <c r="I8716">
        <v>210</v>
      </c>
      <c r="J8716">
        <v>108</v>
      </c>
      <c r="K8716" t="b">
        <v>1</v>
      </c>
    </row>
    <row r="8717" spans="8:11" x14ac:dyDescent="0.25">
      <c r="H8717">
        <v>102</v>
      </c>
      <c r="I8717">
        <v>217</v>
      </c>
      <c r="J8717">
        <v>108</v>
      </c>
      <c r="K8717" t="b">
        <v>1</v>
      </c>
    </row>
    <row r="8718" spans="8:11" x14ac:dyDescent="0.25">
      <c r="H8718">
        <v>102</v>
      </c>
      <c r="I8718">
        <v>224</v>
      </c>
      <c r="J8718">
        <v>108</v>
      </c>
      <c r="K8718" t="b">
        <v>1</v>
      </c>
    </row>
    <row r="8719" spans="8:11" x14ac:dyDescent="0.25">
      <c r="H8719">
        <v>102</v>
      </c>
      <c r="I8719">
        <v>231</v>
      </c>
      <c r="J8719">
        <v>108</v>
      </c>
      <c r="K8719" t="b">
        <v>1</v>
      </c>
    </row>
    <row r="8720" spans="8:11" x14ac:dyDescent="0.25">
      <c r="H8720">
        <v>102</v>
      </c>
      <c r="I8720">
        <v>238</v>
      </c>
      <c r="J8720">
        <v>108</v>
      </c>
      <c r="K8720" t="b">
        <v>1</v>
      </c>
    </row>
    <row r="8721" spans="8:11" x14ac:dyDescent="0.25">
      <c r="H8721">
        <v>102</v>
      </c>
      <c r="I8721">
        <v>245</v>
      </c>
      <c r="J8721">
        <v>108</v>
      </c>
      <c r="K8721" t="b">
        <v>1</v>
      </c>
    </row>
    <row r="8722" spans="8:11" x14ac:dyDescent="0.25">
      <c r="H8722">
        <v>102</v>
      </c>
      <c r="I8722">
        <v>252</v>
      </c>
      <c r="J8722">
        <v>108</v>
      </c>
      <c r="K8722" t="b">
        <v>1</v>
      </c>
    </row>
    <row r="8723" spans="8:11" x14ac:dyDescent="0.25">
      <c r="H8723">
        <v>102</v>
      </c>
      <c r="I8723">
        <v>259</v>
      </c>
      <c r="J8723">
        <v>108</v>
      </c>
      <c r="K8723" t="b">
        <v>1</v>
      </c>
    </row>
    <row r="8724" spans="8:11" x14ac:dyDescent="0.25">
      <c r="H8724">
        <v>102</v>
      </c>
      <c r="I8724">
        <v>266</v>
      </c>
      <c r="J8724">
        <v>108</v>
      </c>
      <c r="K8724" t="b">
        <v>1</v>
      </c>
    </row>
    <row r="8725" spans="8:11" x14ac:dyDescent="0.25">
      <c r="H8725">
        <v>102</v>
      </c>
      <c r="I8725">
        <v>273</v>
      </c>
      <c r="J8725">
        <v>108</v>
      </c>
      <c r="K8725" t="b">
        <v>1</v>
      </c>
    </row>
    <row r="8726" spans="8:11" x14ac:dyDescent="0.25">
      <c r="H8726">
        <v>102</v>
      </c>
      <c r="I8726">
        <v>280</v>
      </c>
      <c r="J8726">
        <v>108</v>
      </c>
      <c r="K8726" t="b">
        <v>1</v>
      </c>
    </row>
    <row r="8727" spans="8:11" x14ac:dyDescent="0.25">
      <c r="H8727">
        <v>102</v>
      </c>
      <c r="I8727">
        <v>287</v>
      </c>
      <c r="J8727">
        <v>108</v>
      </c>
      <c r="K8727" t="b">
        <v>1</v>
      </c>
    </row>
    <row r="8728" spans="8:11" x14ac:dyDescent="0.25">
      <c r="H8728">
        <v>102</v>
      </c>
      <c r="I8728">
        <v>294</v>
      </c>
      <c r="J8728">
        <v>108</v>
      </c>
      <c r="K8728" t="b">
        <v>1</v>
      </c>
    </row>
    <row r="8729" spans="8:11" x14ac:dyDescent="0.25">
      <c r="H8729">
        <v>102</v>
      </c>
      <c r="I8729">
        <v>301</v>
      </c>
      <c r="J8729">
        <v>108</v>
      </c>
      <c r="K8729" t="b">
        <v>1</v>
      </c>
    </row>
    <row r="8730" spans="8:11" x14ac:dyDescent="0.25">
      <c r="H8730">
        <v>102</v>
      </c>
      <c r="I8730">
        <v>308</v>
      </c>
      <c r="J8730">
        <v>108</v>
      </c>
      <c r="K8730" t="b">
        <v>1</v>
      </c>
    </row>
    <row r="8731" spans="8:11" x14ac:dyDescent="0.25">
      <c r="H8731">
        <v>102</v>
      </c>
      <c r="I8731">
        <v>315</v>
      </c>
      <c r="J8731">
        <v>108</v>
      </c>
      <c r="K8731" t="b">
        <v>1</v>
      </c>
    </row>
    <row r="8732" spans="8:11" x14ac:dyDescent="0.25">
      <c r="H8732">
        <v>102</v>
      </c>
      <c r="I8732">
        <v>322</v>
      </c>
      <c r="J8732">
        <v>108</v>
      </c>
      <c r="K8732" t="b">
        <v>1</v>
      </c>
    </row>
    <row r="8733" spans="8:11" x14ac:dyDescent="0.25">
      <c r="H8733">
        <v>102</v>
      </c>
      <c r="I8733">
        <v>329</v>
      </c>
      <c r="J8733">
        <v>108</v>
      </c>
      <c r="K8733" t="b">
        <v>1</v>
      </c>
    </row>
    <row r="8734" spans="8:11" x14ac:dyDescent="0.25">
      <c r="H8734">
        <v>102</v>
      </c>
      <c r="I8734">
        <v>336</v>
      </c>
      <c r="J8734">
        <v>108</v>
      </c>
      <c r="K8734" t="b">
        <v>1</v>
      </c>
    </row>
    <row r="8735" spans="8:11" x14ac:dyDescent="0.25">
      <c r="H8735">
        <v>102</v>
      </c>
      <c r="I8735">
        <v>343</v>
      </c>
      <c r="J8735">
        <v>108</v>
      </c>
      <c r="K8735" t="b">
        <v>1</v>
      </c>
    </row>
    <row r="8736" spans="8:11" x14ac:dyDescent="0.25">
      <c r="H8736">
        <v>102</v>
      </c>
      <c r="I8736">
        <v>350</v>
      </c>
      <c r="J8736">
        <v>108</v>
      </c>
      <c r="K8736" t="b">
        <v>1</v>
      </c>
    </row>
    <row r="8737" spans="8:11" x14ac:dyDescent="0.25">
      <c r="H8737">
        <v>102</v>
      </c>
      <c r="I8737">
        <v>357</v>
      </c>
      <c r="J8737">
        <v>108</v>
      </c>
      <c r="K8737" t="b">
        <v>1</v>
      </c>
    </row>
    <row r="8738" spans="8:11" x14ac:dyDescent="0.25">
      <c r="H8738">
        <v>102</v>
      </c>
      <c r="I8738">
        <v>364</v>
      </c>
      <c r="J8738">
        <v>108</v>
      </c>
      <c r="K8738" t="b">
        <v>1</v>
      </c>
    </row>
    <row r="8739" spans="8:11" x14ac:dyDescent="0.25">
      <c r="H8739">
        <v>102</v>
      </c>
      <c r="I8739">
        <v>371</v>
      </c>
      <c r="J8739">
        <v>108</v>
      </c>
      <c r="K8739" t="b">
        <v>1</v>
      </c>
    </row>
    <row r="8740" spans="8:11" x14ac:dyDescent="0.25">
      <c r="H8740">
        <v>102</v>
      </c>
      <c r="I8740">
        <v>378</v>
      </c>
      <c r="J8740">
        <v>108</v>
      </c>
      <c r="K8740" t="b">
        <v>1</v>
      </c>
    </row>
    <row r="8741" spans="8:11" x14ac:dyDescent="0.25">
      <c r="H8741">
        <v>102</v>
      </c>
      <c r="I8741">
        <v>385</v>
      </c>
      <c r="J8741">
        <v>108</v>
      </c>
      <c r="K8741" t="b">
        <v>1</v>
      </c>
    </row>
    <row r="8742" spans="8:11" x14ac:dyDescent="0.25">
      <c r="H8742">
        <v>102</v>
      </c>
      <c r="I8742">
        <v>392</v>
      </c>
      <c r="J8742">
        <v>108</v>
      </c>
      <c r="K8742" t="b">
        <v>1</v>
      </c>
    </row>
    <row r="8743" spans="8:11" x14ac:dyDescent="0.25">
      <c r="H8743">
        <v>102</v>
      </c>
      <c r="I8743">
        <v>399</v>
      </c>
      <c r="J8743">
        <v>108</v>
      </c>
      <c r="K8743" t="b">
        <v>1</v>
      </c>
    </row>
    <row r="8744" spans="8:11" x14ac:dyDescent="0.25">
      <c r="H8744">
        <v>102</v>
      </c>
      <c r="I8744">
        <v>406</v>
      </c>
      <c r="J8744">
        <v>108</v>
      </c>
      <c r="K8744" t="b">
        <v>1</v>
      </c>
    </row>
    <row r="8745" spans="8:11" x14ac:dyDescent="0.25">
      <c r="H8745">
        <v>102</v>
      </c>
      <c r="I8745">
        <v>413</v>
      </c>
      <c r="J8745">
        <v>108</v>
      </c>
      <c r="K8745" t="b">
        <v>1</v>
      </c>
    </row>
    <row r="8746" spans="8:11" x14ac:dyDescent="0.25">
      <c r="H8746">
        <v>102</v>
      </c>
      <c r="I8746">
        <v>420</v>
      </c>
      <c r="J8746">
        <v>108</v>
      </c>
      <c r="K8746" t="b">
        <v>1</v>
      </c>
    </row>
    <row r="8747" spans="8:11" x14ac:dyDescent="0.25">
      <c r="H8747">
        <v>102</v>
      </c>
      <c r="I8747">
        <v>427</v>
      </c>
      <c r="J8747">
        <v>108</v>
      </c>
      <c r="K8747" t="b">
        <v>1</v>
      </c>
    </row>
    <row r="8748" spans="8:11" x14ac:dyDescent="0.25">
      <c r="H8748">
        <v>102</v>
      </c>
      <c r="I8748">
        <v>434</v>
      </c>
      <c r="J8748">
        <v>108</v>
      </c>
      <c r="K8748" t="b">
        <v>1</v>
      </c>
    </row>
    <row r="8749" spans="8:11" x14ac:dyDescent="0.25">
      <c r="H8749">
        <v>102</v>
      </c>
      <c r="I8749">
        <v>441</v>
      </c>
      <c r="J8749">
        <v>108</v>
      </c>
      <c r="K8749" t="b">
        <v>1</v>
      </c>
    </row>
    <row r="8750" spans="8:11" x14ac:dyDescent="0.25">
      <c r="H8750">
        <v>102</v>
      </c>
      <c r="I8750">
        <v>448</v>
      </c>
      <c r="J8750">
        <v>108</v>
      </c>
      <c r="K8750" t="b">
        <v>1</v>
      </c>
    </row>
    <row r="8751" spans="8:11" x14ac:dyDescent="0.25">
      <c r="H8751">
        <v>102</v>
      </c>
      <c r="I8751">
        <v>455</v>
      </c>
      <c r="J8751">
        <v>108</v>
      </c>
      <c r="K8751" t="b">
        <v>1</v>
      </c>
    </row>
    <row r="8752" spans="8:11" x14ac:dyDescent="0.25">
      <c r="H8752">
        <v>102</v>
      </c>
      <c r="I8752">
        <v>462</v>
      </c>
      <c r="J8752">
        <v>108</v>
      </c>
      <c r="K8752" t="b">
        <v>1</v>
      </c>
    </row>
    <row r="8753" spans="8:11" x14ac:dyDescent="0.25">
      <c r="H8753">
        <v>102</v>
      </c>
      <c r="I8753">
        <v>469</v>
      </c>
      <c r="J8753">
        <v>108</v>
      </c>
      <c r="K8753" t="b">
        <v>1</v>
      </c>
    </row>
    <row r="8754" spans="8:11" x14ac:dyDescent="0.25">
      <c r="H8754">
        <v>102</v>
      </c>
      <c r="I8754">
        <v>476</v>
      </c>
      <c r="J8754">
        <v>108</v>
      </c>
      <c r="K8754" t="b">
        <v>1</v>
      </c>
    </row>
    <row r="8755" spans="8:11" x14ac:dyDescent="0.25">
      <c r="H8755">
        <v>102</v>
      </c>
      <c r="I8755">
        <v>483</v>
      </c>
      <c r="J8755">
        <v>108</v>
      </c>
      <c r="K8755" t="b">
        <v>1</v>
      </c>
    </row>
    <row r="8756" spans="8:11" x14ac:dyDescent="0.25">
      <c r="H8756">
        <v>102</v>
      </c>
      <c r="I8756">
        <v>490</v>
      </c>
      <c r="J8756">
        <v>108</v>
      </c>
      <c r="K8756" t="b">
        <v>1</v>
      </c>
    </row>
    <row r="8757" spans="8:11" x14ac:dyDescent="0.25">
      <c r="H8757">
        <v>102</v>
      </c>
      <c r="I8757">
        <v>497</v>
      </c>
      <c r="J8757">
        <v>108</v>
      </c>
      <c r="K8757" t="b">
        <v>1</v>
      </c>
    </row>
    <row r="8758" spans="8:11" x14ac:dyDescent="0.25">
      <c r="H8758">
        <v>102</v>
      </c>
      <c r="I8758">
        <v>504</v>
      </c>
      <c r="J8758">
        <v>108</v>
      </c>
      <c r="K8758" t="b">
        <v>1</v>
      </c>
    </row>
    <row r="8759" spans="8:11" x14ac:dyDescent="0.25">
      <c r="H8759">
        <v>102</v>
      </c>
      <c r="I8759">
        <v>511</v>
      </c>
      <c r="J8759">
        <v>108</v>
      </c>
      <c r="K8759" t="b">
        <v>1</v>
      </c>
    </row>
    <row r="8760" spans="8:11" x14ac:dyDescent="0.25">
      <c r="H8760">
        <v>102</v>
      </c>
      <c r="I8760">
        <v>518</v>
      </c>
      <c r="J8760">
        <v>108</v>
      </c>
      <c r="K8760" t="b">
        <v>1</v>
      </c>
    </row>
    <row r="8761" spans="8:11" x14ac:dyDescent="0.25">
      <c r="H8761">
        <v>102</v>
      </c>
      <c r="I8761">
        <v>525</v>
      </c>
      <c r="J8761">
        <v>108</v>
      </c>
      <c r="K8761" t="b">
        <v>1</v>
      </c>
    </row>
    <row r="8762" spans="8:11" x14ac:dyDescent="0.25">
      <c r="H8762">
        <v>102</v>
      </c>
      <c r="I8762">
        <v>532</v>
      </c>
      <c r="J8762">
        <v>108</v>
      </c>
      <c r="K8762" t="b">
        <v>1</v>
      </c>
    </row>
    <row r="8763" spans="8:11" x14ac:dyDescent="0.25">
      <c r="H8763">
        <v>102</v>
      </c>
      <c r="I8763">
        <v>539</v>
      </c>
      <c r="J8763">
        <v>108</v>
      </c>
      <c r="K8763" t="b">
        <v>1</v>
      </c>
    </row>
    <row r="8764" spans="8:11" x14ac:dyDescent="0.25">
      <c r="H8764">
        <v>102</v>
      </c>
      <c r="I8764">
        <v>546</v>
      </c>
      <c r="J8764">
        <v>108</v>
      </c>
      <c r="K8764" t="b">
        <v>1</v>
      </c>
    </row>
    <row r="8765" spans="8:11" x14ac:dyDescent="0.25">
      <c r="H8765">
        <v>102</v>
      </c>
      <c r="I8765">
        <v>553</v>
      </c>
      <c r="J8765">
        <v>108</v>
      </c>
      <c r="K8765" t="b">
        <v>1</v>
      </c>
    </row>
    <row r="8766" spans="8:11" x14ac:dyDescent="0.25">
      <c r="H8766">
        <v>102</v>
      </c>
      <c r="I8766">
        <v>560</v>
      </c>
      <c r="J8766">
        <v>108</v>
      </c>
      <c r="K8766" t="b">
        <v>1</v>
      </c>
    </row>
    <row r="8767" spans="8:11" x14ac:dyDescent="0.25">
      <c r="H8767">
        <v>102</v>
      </c>
      <c r="I8767">
        <v>567</v>
      </c>
      <c r="J8767">
        <v>108</v>
      </c>
      <c r="K8767" t="b">
        <v>1</v>
      </c>
    </row>
    <row r="8768" spans="8:11" x14ac:dyDescent="0.25">
      <c r="H8768">
        <v>102</v>
      </c>
      <c r="I8768">
        <v>574</v>
      </c>
      <c r="J8768">
        <v>108</v>
      </c>
      <c r="K8768" t="b">
        <v>1</v>
      </c>
    </row>
    <row r="8769" spans="8:11" x14ac:dyDescent="0.25">
      <c r="H8769">
        <v>102</v>
      </c>
      <c r="I8769">
        <v>581</v>
      </c>
      <c r="J8769">
        <v>108</v>
      </c>
      <c r="K8769" t="b">
        <v>1</v>
      </c>
    </row>
    <row r="8770" spans="8:11" x14ac:dyDescent="0.25">
      <c r="H8770">
        <v>102</v>
      </c>
      <c r="I8770">
        <v>588</v>
      </c>
      <c r="J8770">
        <v>108</v>
      </c>
      <c r="K8770" t="b">
        <v>1</v>
      </c>
    </row>
    <row r="8771" spans="8:11" x14ac:dyDescent="0.25">
      <c r="H8771">
        <v>102</v>
      </c>
      <c r="I8771">
        <v>595</v>
      </c>
      <c r="J8771">
        <v>108</v>
      </c>
      <c r="K8771" t="b">
        <v>1</v>
      </c>
    </row>
    <row r="8772" spans="8:11" x14ac:dyDescent="0.25">
      <c r="H8772">
        <v>102</v>
      </c>
      <c r="I8772">
        <v>602</v>
      </c>
      <c r="J8772">
        <v>108</v>
      </c>
      <c r="K8772" t="b">
        <v>1</v>
      </c>
    </row>
    <row r="8773" spans="8:11" x14ac:dyDescent="0.25">
      <c r="H8773">
        <v>102</v>
      </c>
      <c r="I8773">
        <v>609</v>
      </c>
      <c r="J8773">
        <v>108</v>
      </c>
      <c r="K8773" t="b">
        <v>1</v>
      </c>
    </row>
    <row r="8774" spans="8:11" x14ac:dyDescent="0.25">
      <c r="H8774">
        <v>102</v>
      </c>
      <c r="I8774">
        <v>616</v>
      </c>
      <c r="J8774">
        <v>108</v>
      </c>
      <c r="K8774" t="b">
        <v>1</v>
      </c>
    </row>
    <row r="8775" spans="8:11" x14ac:dyDescent="0.25">
      <c r="H8775">
        <v>102</v>
      </c>
      <c r="I8775">
        <v>623</v>
      </c>
      <c r="J8775">
        <v>108</v>
      </c>
      <c r="K8775" t="b">
        <v>1</v>
      </c>
    </row>
    <row r="8776" spans="8:11" x14ac:dyDescent="0.25">
      <c r="H8776">
        <v>102</v>
      </c>
      <c r="I8776">
        <v>630</v>
      </c>
      <c r="J8776">
        <v>108</v>
      </c>
      <c r="K8776" t="b">
        <v>1</v>
      </c>
    </row>
    <row r="8777" spans="8:11" x14ac:dyDescent="0.25">
      <c r="H8777">
        <v>102</v>
      </c>
      <c r="I8777">
        <v>637</v>
      </c>
      <c r="J8777">
        <v>108</v>
      </c>
      <c r="K8777" t="b">
        <v>1</v>
      </c>
    </row>
    <row r="8778" spans="8:11" x14ac:dyDescent="0.25">
      <c r="H8778">
        <v>102</v>
      </c>
      <c r="I8778">
        <v>644</v>
      </c>
      <c r="J8778">
        <v>108</v>
      </c>
      <c r="K8778" t="b">
        <v>1</v>
      </c>
    </row>
    <row r="8779" spans="8:11" x14ac:dyDescent="0.25">
      <c r="H8779">
        <v>102</v>
      </c>
      <c r="I8779">
        <v>651</v>
      </c>
      <c r="J8779">
        <v>108</v>
      </c>
      <c r="K8779" t="b">
        <v>1</v>
      </c>
    </row>
    <row r="8780" spans="8:11" x14ac:dyDescent="0.25">
      <c r="H8780">
        <v>102</v>
      </c>
      <c r="I8780">
        <v>658</v>
      </c>
      <c r="J8780">
        <v>108</v>
      </c>
      <c r="K8780" t="b">
        <v>1</v>
      </c>
    </row>
    <row r="8781" spans="8:11" x14ac:dyDescent="0.25">
      <c r="H8781">
        <v>102</v>
      </c>
      <c r="I8781">
        <v>665</v>
      </c>
      <c r="J8781">
        <v>108</v>
      </c>
      <c r="K8781" t="b">
        <v>1</v>
      </c>
    </row>
    <row r="8782" spans="8:11" x14ac:dyDescent="0.25">
      <c r="H8782">
        <v>102</v>
      </c>
      <c r="I8782">
        <v>672</v>
      </c>
      <c r="J8782">
        <v>108</v>
      </c>
      <c r="K8782" t="b">
        <v>1</v>
      </c>
    </row>
    <row r="8783" spans="8:11" x14ac:dyDescent="0.25">
      <c r="H8783">
        <v>102</v>
      </c>
      <c r="I8783">
        <v>679</v>
      </c>
      <c r="J8783">
        <v>108</v>
      </c>
      <c r="K8783" t="b">
        <v>1</v>
      </c>
    </row>
    <row r="8784" spans="8:11" x14ac:dyDescent="0.25">
      <c r="H8784">
        <v>102</v>
      </c>
      <c r="I8784">
        <v>686</v>
      </c>
      <c r="J8784">
        <v>108</v>
      </c>
      <c r="K8784" t="b">
        <v>1</v>
      </c>
    </row>
    <row r="8785" spans="8:11" x14ac:dyDescent="0.25">
      <c r="H8785">
        <v>102</v>
      </c>
      <c r="I8785">
        <v>693</v>
      </c>
      <c r="J8785">
        <v>108</v>
      </c>
      <c r="K8785" t="b">
        <v>1</v>
      </c>
    </row>
    <row r="8786" spans="8:11" x14ac:dyDescent="0.25">
      <c r="H8786">
        <v>102</v>
      </c>
      <c r="I8786">
        <v>700</v>
      </c>
      <c r="J8786">
        <v>108</v>
      </c>
      <c r="K8786" t="b">
        <v>1</v>
      </c>
    </row>
    <row r="8787" spans="8:11" x14ac:dyDescent="0.25">
      <c r="H8787">
        <v>102</v>
      </c>
      <c r="I8787">
        <v>707</v>
      </c>
      <c r="J8787">
        <v>108</v>
      </c>
      <c r="K8787" t="b">
        <v>1</v>
      </c>
    </row>
    <row r="8788" spans="8:11" x14ac:dyDescent="0.25">
      <c r="H8788">
        <v>102</v>
      </c>
      <c r="I8788">
        <v>714</v>
      </c>
      <c r="J8788">
        <v>108</v>
      </c>
      <c r="K8788" t="b">
        <v>1</v>
      </c>
    </row>
    <row r="8789" spans="8:11" x14ac:dyDescent="0.25">
      <c r="H8789">
        <v>102</v>
      </c>
      <c r="I8789">
        <v>721</v>
      </c>
      <c r="J8789">
        <v>108</v>
      </c>
      <c r="K8789" t="b">
        <v>1</v>
      </c>
    </row>
    <row r="8790" spans="8:11" x14ac:dyDescent="0.25">
      <c r="H8790">
        <v>102</v>
      </c>
      <c r="I8790">
        <v>728</v>
      </c>
      <c r="J8790">
        <v>108</v>
      </c>
      <c r="K8790" t="b">
        <v>1</v>
      </c>
    </row>
    <row r="8791" spans="8:11" x14ac:dyDescent="0.25">
      <c r="H8791">
        <v>102</v>
      </c>
      <c r="I8791">
        <v>735</v>
      </c>
      <c r="J8791">
        <v>108</v>
      </c>
      <c r="K8791" t="b">
        <v>1</v>
      </c>
    </row>
    <row r="8792" spans="8:11" x14ac:dyDescent="0.25">
      <c r="H8792">
        <v>102</v>
      </c>
      <c r="I8792">
        <v>742</v>
      </c>
      <c r="J8792">
        <v>108</v>
      </c>
      <c r="K8792" t="b">
        <v>1</v>
      </c>
    </row>
    <row r="8793" spans="8:11" x14ac:dyDescent="0.25">
      <c r="H8793">
        <v>102</v>
      </c>
      <c r="I8793">
        <v>749</v>
      </c>
      <c r="J8793">
        <v>108</v>
      </c>
      <c r="K8793" t="b">
        <v>1</v>
      </c>
    </row>
    <row r="8794" spans="8:11" x14ac:dyDescent="0.25">
      <c r="H8794">
        <v>102</v>
      </c>
      <c r="I8794">
        <v>756</v>
      </c>
      <c r="J8794">
        <v>108</v>
      </c>
      <c r="K8794" t="b">
        <v>1</v>
      </c>
    </row>
    <row r="8795" spans="8:11" x14ac:dyDescent="0.25">
      <c r="H8795">
        <v>102</v>
      </c>
      <c r="I8795">
        <v>763</v>
      </c>
      <c r="J8795">
        <v>108</v>
      </c>
      <c r="K8795" t="b">
        <v>1</v>
      </c>
    </row>
    <row r="8796" spans="8:11" x14ac:dyDescent="0.25">
      <c r="H8796">
        <v>102</v>
      </c>
      <c r="I8796">
        <v>770</v>
      </c>
      <c r="J8796">
        <v>108</v>
      </c>
      <c r="K8796" t="b">
        <v>1</v>
      </c>
    </row>
    <row r="8797" spans="8:11" x14ac:dyDescent="0.25">
      <c r="H8797">
        <v>102</v>
      </c>
      <c r="I8797">
        <v>777</v>
      </c>
      <c r="J8797">
        <v>108</v>
      </c>
      <c r="K8797" t="b">
        <v>1</v>
      </c>
    </row>
    <row r="8798" spans="8:11" x14ac:dyDescent="0.25">
      <c r="H8798">
        <v>102</v>
      </c>
      <c r="I8798">
        <v>784</v>
      </c>
      <c r="J8798">
        <v>108</v>
      </c>
      <c r="K8798" t="b">
        <v>1</v>
      </c>
    </row>
    <row r="8799" spans="8:11" x14ac:dyDescent="0.25">
      <c r="H8799">
        <v>102</v>
      </c>
      <c r="I8799">
        <v>791</v>
      </c>
      <c r="J8799">
        <v>108</v>
      </c>
      <c r="K8799" t="b">
        <v>1</v>
      </c>
    </row>
    <row r="8800" spans="8:11" x14ac:dyDescent="0.25">
      <c r="H8800">
        <v>102</v>
      </c>
      <c r="I8800">
        <v>798</v>
      </c>
      <c r="J8800">
        <v>108</v>
      </c>
      <c r="K8800" t="b">
        <v>1</v>
      </c>
    </row>
    <row r="8801" spans="8:11" x14ac:dyDescent="0.25">
      <c r="H8801">
        <v>102</v>
      </c>
      <c r="I8801">
        <v>805</v>
      </c>
      <c r="J8801">
        <v>108</v>
      </c>
      <c r="K8801" t="b">
        <v>1</v>
      </c>
    </row>
    <row r="8802" spans="8:11" x14ac:dyDescent="0.25">
      <c r="H8802">
        <v>102</v>
      </c>
      <c r="I8802">
        <v>812</v>
      </c>
      <c r="J8802">
        <v>108</v>
      </c>
      <c r="K8802" t="b">
        <v>1</v>
      </c>
    </row>
    <row r="8803" spans="8:11" x14ac:dyDescent="0.25">
      <c r="H8803">
        <v>102</v>
      </c>
      <c r="I8803">
        <v>819</v>
      </c>
      <c r="J8803">
        <v>108</v>
      </c>
      <c r="K8803" t="b">
        <v>1</v>
      </c>
    </row>
    <row r="8804" spans="8:11" x14ac:dyDescent="0.25">
      <c r="H8804">
        <v>102</v>
      </c>
      <c r="I8804">
        <v>826</v>
      </c>
      <c r="J8804">
        <v>108</v>
      </c>
      <c r="K8804" t="b">
        <v>1</v>
      </c>
    </row>
    <row r="8805" spans="8:11" x14ac:dyDescent="0.25">
      <c r="H8805">
        <v>102</v>
      </c>
      <c r="I8805">
        <v>833</v>
      </c>
      <c r="J8805">
        <v>108</v>
      </c>
      <c r="K8805" t="b">
        <v>1</v>
      </c>
    </row>
    <row r="8806" spans="8:11" x14ac:dyDescent="0.25">
      <c r="H8806">
        <v>102</v>
      </c>
      <c r="I8806">
        <v>840</v>
      </c>
      <c r="J8806">
        <v>108</v>
      </c>
      <c r="K8806" t="b">
        <v>1</v>
      </c>
    </row>
    <row r="8807" spans="8:11" x14ac:dyDescent="0.25">
      <c r="H8807">
        <v>102</v>
      </c>
      <c r="I8807">
        <v>847</v>
      </c>
      <c r="J8807">
        <v>108</v>
      </c>
      <c r="K8807" t="b">
        <v>1</v>
      </c>
    </row>
    <row r="8808" spans="8:11" x14ac:dyDescent="0.25">
      <c r="H8808">
        <v>102</v>
      </c>
      <c r="I8808">
        <v>854</v>
      </c>
      <c r="J8808">
        <v>108</v>
      </c>
      <c r="K8808" t="b">
        <v>1</v>
      </c>
    </row>
    <row r="8809" spans="8:11" x14ac:dyDescent="0.25">
      <c r="H8809">
        <v>102</v>
      </c>
      <c r="I8809">
        <v>861</v>
      </c>
      <c r="J8809">
        <v>108</v>
      </c>
      <c r="K8809" t="b">
        <v>1</v>
      </c>
    </row>
    <row r="8810" spans="8:11" x14ac:dyDescent="0.25">
      <c r="H8810">
        <v>102</v>
      </c>
      <c r="I8810">
        <v>868</v>
      </c>
      <c r="J8810">
        <v>108</v>
      </c>
      <c r="K8810" t="b">
        <v>1</v>
      </c>
    </row>
    <row r="8811" spans="8:11" x14ac:dyDescent="0.25">
      <c r="H8811">
        <v>102</v>
      </c>
      <c r="I8811">
        <v>875</v>
      </c>
      <c r="J8811">
        <v>108</v>
      </c>
      <c r="K8811" t="b">
        <v>1</v>
      </c>
    </row>
    <row r="8812" spans="8:11" x14ac:dyDescent="0.25">
      <c r="H8812">
        <v>102</v>
      </c>
      <c r="I8812">
        <v>882</v>
      </c>
      <c r="J8812">
        <v>108</v>
      </c>
      <c r="K8812" t="b">
        <v>1</v>
      </c>
    </row>
    <row r="8813" spans="8:11" x14ac:dyDescent="0.25">
      <c r="H8813">
        <v>102</v>
      </c>
      <c r="I8813">
        <v>889</v>
      </c>
      <c r="J8813">
        <v>108</v>
      </c>
      <c r="K8813" t="b">
        <v>1</v>
      </c>
    </row>
    <row r="8814" spans="8:11" x14ac:dyDescent="0.25">
      <c r="H8814">
        <v>102</v>
      </c>
      <c r="I8814">
        <v>896</v>
      </c>
      <c r="J8814">
        <v>108</v>
      </c>
      <c r="K8814" t="b">
        <v>1</v>
      </c>
    </row>
    <row r="8815" spans="8:11" x14ac:dyDescent="0.25">
      <c r="H8815">
        <v>102</v>
      </c>
      <c r="I8815">
        <v>903</v>
      </c>
      <c r="J8815">
        <v>108</v>
      </c>
      <c r="K8815" t="b">
        <v>1</v>
      </c>
    </row>
    <row r="8816" spans="8:11" x14ac:dyDescent="0.25">
      <c r="H8816">
        <v>102</v>
      </c>
      <c r="I8816">
        <v>910</v>
      </c>
      <c r="J8816">
        <v>108</v>
      </c>
      <c r="K8816" t="b">
        <v>1</v>
      </c>
    </row>
    <row r="8817" spans="8:11" x14ac:dyDescent="0.25">
      <c r="H8817">
        <v>102</v>
      </c>
      <c r="I8817">
        <v>917</v>
      </c>
      <c r="J8817">
        <v>108</v>
      </c>
      <c r="K8817" t="b">
        <v>1</v>
      </c>
    </row>
    <row r="8818" spans="8:11" x14ac:dyDescent="0.25">
      <c r="H8818">
        <v>102</v>
      </c>
      <c r="I8818">
        <v>924</v>
      </c>
      <c r="J8818">
        <v>108</v>
      </c>
      <c r="K8818" t="b">
        <v>1</v>
      </c>
    </row>
    <row r="8819" spans="8:11" x14ac:dyDescent="0.25">
      <c r="H8819">
        <v>102</v>
      </c>
      <c r="I8819">
        <v>931</v>
      </c>
      <c r="J8819">
        <v>108</v>
      </c>
      <c r="K8819" t="b">
        <v>1</v>
      </c>
    </row>
    <row r="8820" spans="8:11" x14ac:dyDescent="0.25">
      <c r="H8820">
        <v>102</v>
      </c>
      <c r="I8820">
        <v>938</v>
      </c>
      <c r="J8820">
        <v>108</v>
      </c>
      <c r="K8820" t="b">
        <v>1</v>
      </c>
    </row>
    <row r="8821" spans="8:11" x14ac:dyDescent="0.25">
      <c r="H8821">
        <v>102</v>
      </c>
      <c r="I8821">
        <v>945</v>
      </c>
      <c r="J8821">
        <v>108</v>
      </c>
      <c r="K8821" t="b">
        <v>1</v>
      </c>
    </row>
    <row r="8822" spans="8:11" x14ac:dyDescent="0.25">
      <c r="H8822">
        <v>102</v>
      </c>
      <c r="I8822">
        <v>952</v>
      </c>
      <c r="J8822">
        <v>108</v>
      </c>
      <c r="K8822" t="b">
        <v>1</v>
      </c>
    </row>
    <row r="8823" spans="8:11" x14ac:dyDescent="0.25">
      <c r="H8823">
        <v>103</v>
      </c>
      <c r="I8823">
        <v>0</v>
      </c>
      <c r="J8823">
        <v>80</v>
      </c>
      <c r="K8823" t="b">
        <v>1</v>
      </c>
    </row>
    <row r="8824" spans="8:11" x14ac:dyDescent="0.25">
      <c r="H8824">
        <v>103</v>
      </c>
      <c r="I8824">
        <v>140</v>
      </c>
      <c r="J8824">
        <v>80</v>
      </c>
      <c r="K8824" t="b">
        <v>1</v>
      </c>
    </row>
    <row r="8825" spans="8:11" x14ac:dyDescent="0.25">
      <c r="H8825">
        <v>103</v>
      </c>
      <c r="I8825">
        <v>280</v>
      </c>
      <c r="J8825">
        <v>80</v>
      </c>
      <c r="K8825" t="b">
        <v>1</v>
      </c>
    </row>
    <row r="8826" spans="8:11" x14ac:dyDescent="0.25">
      <c r="H8826">
        <v>103</v>
      </c>
      <c r="I8826">
        <v>420</v>
      </c>
      <c r="J8826">
        <v>80</v>
      </c>
      <c r="K8826" t="b">
        <v>1</v>
      </c>
    </row>
    <row r="8827" spans="8:11" x14ac:dyDescent="0.25">
      <c r="H8827">
        <v>103</v>
      </c>
      <c r="I8827">
        <v>560</v>
      </c>
      <c r="J8827">
        <v>80</v>
      </c>
      <c r="K8827" t="b">
        <v>1</v>
      </c>
    </row>
    <row r="8828" spans="8:11" x14ac:dyDescent="0.25">
      <c r="H8828">
        <v>103</v>
      </c>
      <c r="I8828">
        <v>700</v>
      </c>
      <c r="J8828">
        <v>80</v>
      </c>
      <c r="K8828" t="b">
        <v>1</v>
      </c>
    </row>
    <row r="8829" spans="8:11" x14ac:dyDescent="0.25">
      <c r="H8829">
        <v>104</v>
      </c>
      <c r="I8829">
        <v>0</v>
      </c>
      <c r="J8829">
        <v>80</v>
      </c>
      <c r="K8829" t="b">
        <v>1</v>
      </c>
    </row>
    <row r="8830" spans="8:11" x14ac:dyDescent="0.25">
      <c r="H8830">
        <v>104</v>
      </c>
      <c r="I8830">
        <v>140</v>
      </c>
      <c r="J8830">
        <v>80</v>
      </c>
      <c r="K8830" t="b">
        <v>1</v>
      </c>
    </row>
    <row r="8831" spans="8:11" x14ac:dyDescent="0.25">
      <c r="H8831">
        <v>104</v>
      </c>
      <c r="I8831">
        <v>280</v>
      </c>
      <c r="J8831">
        <v>80</v>
      </c>
      <c r="K8831" t="b">
        <v>1</v>
      </c>
    </row>
    <row r="8832" spans="8:11" x14ac:dyDescent="0.25">
      <c r="H8832">
        <v>104</v>
      </c>
      <c r="I8832">
        <v>420</v>
      </c>
      <c r="J8832">
        <v>80</v>
      </c>
      <c r="K8832" t="b">
        <v>1</v>
      </c>
    </row>
    <row r="8833" spans="8:11" x14ac:dyDescent="0.25">
      <c r="H8833">
        <v>104</v>
      </c>
      <c r="I8833">
        <v>560</v>
      </c>
      <c r="J8833">
        <v>80</v>
      </c>
      <c r="K8833" t="b">
        <v>1</v>
      </c>
    </row>
    <row r="8834" spans="8:11" x14ac:dyDescent="0.25">
      <c r="H8834">
        <v>104</v>
      </c>
      <c r="I8834">
        <v>700</v>
      </c>
      <c r="J8834">
        <v>80</v>
      </c>
      <c r="K8834" t="b">
        <v>1</v>
      </c>
    </row>
    <row r="8835" spans="8:11" x14ac:dyDescent="0.25">
      <c r="H8835">
        <v>105</v>
      </c>
      <c r="I8835">
        <v>0</v>
      </c>
      <c r="J8835">
        <v>80</v>
      </c>
      <c r="K8835" t="b">
        <v>1</v>
      </c>
    </row>
    <row r="8836" spans="8:11" x14ac:dyDescent="0.25">
      <c r="H8836">
        <v>105</v>
      </c>
      <c r="I8836">
        <v>30</v>
      </c>
      <c r="J8836">
        <v>80</v>
      </c>
      <c r="K8836" t="b">
        <v>1</v>
      </c>
    </row>
    <row r="8837" spans="8:11" x14ac:dyDescent="0.25">
      <c r="H8837">
        <v>105</v>
      </c>
      <c r="I8837">
        <v>60</v>
      </c>
      <c r="J8837">
        <v>80</v>
      </c>
      <c r="K8837" t="b">
        <v>1</v>
      </c>
    </row>
    <row r="8838" spans="8:11" x14ac:dyDescent="0.25">
      <c r="H8838">
        <v>105</v>
      </c>
      <c r="I8838">
        <v>90</v>
      </c>
      <c r="J8838">
        <v>80</v>
      </c>
      <c r="K8838" t="b">
        <v>1</v>
      </c>
    </row>
    <row r="8839" spans="8:11" x14ac:dyDescent="0.25">
      <c r="H8839">
        <v>105</v>
      </c>
      <c r="I8839">
        <v>120</v>
      </c>
      <c r="J8839">
        <v>80</v>
      </c>
      <c r="K8839" t="b">
        <v>1</v>
      </c>
    </row>
    <row r="8840" spans="8:11" x14ac:dyDescent="0.25">
      <c r="H8840">
        <v>105</v>
      </c>
      <c r="I8840">
        <v>150</v>
      </c>
      <c r="J8840">
        <v>80</v>
      </c>
      <c r="K8840" t="b">
        <v>1</v>
      </c>
    </row>
    <row r="8841" spans="8:11" x14ac:dyDescent="0.25">
      <c r="H8841">
        <v>105</v>
      </c>
      <c r="I8841">
        <v>180</v>
      </c>
      <c r="J8841">
        <v>80</v>
      </c>
      <c r="K8841" t="b">
        <v>1</v>
      </c>
    </row>
    <row r="8842" spans="8:11" x14ac:dyDescent="0.25">
      <c r="H8842">
        <v>105</v>
      </c>
      <c r="I8842">
        <v>210</v>
      </c>
      <c r="J8842">
        <v>80</v>
      </c>
      <c r="K8842" t="b">
        <v>1</v>
      </c>
    </row>
    <row r="8843" spans="8:11" x14ac:dyDescent="0.25">
      <c r="H8843">
        <v>105</v>
      </c>
      <c r="I8843">
        <v>240</v>
      </c>
      <c r="J8843">
        <v>80</v>
      </c>
      <c r="K8843" t="b">
        <v>1</v>
      </c>
    </row>
    <row r="8844" spans="8:11" x14ac:dyDescent="0.25">
      <c r="H8844">
        <v>105</v>
      </c>
      <c r="I8844">
        <v>270</v>
      </c>
      <c r="J8844">
        <v>80</v>
      </c>
      <c r="K8844" t="b">
        <v>1</v>
      </c>
    </row>
    <row r="8845" spans="8:11" x14ac:dyDescent="0.25">
      <c r="H8845">
        <v>105</v>
      </c>
      <c r="I8845">
        <v>300</v>
      </c>
      <c r="J8845">
        <v>80</v>
      </c>
      <c r="K8845" t="b">
        <v>1</v>
      </c>
    </row>
    <row r="8846" spans="8:11" x14ac:dyDescent="0.25">
      <c r="H8846">
        <v>105</v>
      </c>
      <c r="I8846">
        <v>330</v>
      </c>
      <c r="J8846">
        <v>80</v>
      </c>
      <c r="K8846" t="b">
        <v>1</v>
      </c>
    </row>
    <row r="8847" spans="8:11" x14ac:dyDescent="0.25">
      <c r="H8847">
        <v>105</v>
      </c>
      <c r="I8847">
        <v>360</v>
      </c>
      <c r="J8847">
        <v>80</v>
      </c>
      <c r="K8847" t="b">
        <v>1</v>
      </c>
    </row>
    <row r="8848" spans="8:11" x14ac:dyDescent="0.25">
      <c r="H8848">
        <v>105</v>
      </c>
      <c r="I8848">
        <v>390</v>
      </c>
      <c r="J8848">
        <v>80</v>
      </c>
      <c r="K8848" t="b">
        <v>1</v>
      </c>
    </row>
    <row r="8849" spans="8:11" x14ac:dyDescent="0.25">
      <c r="H8849">
        <v>105</v>
      </c>
      <c r="I8849">
        <v>420</v>
      </c>
      <c r="J8849">
        <v>80</v>
      </c>
      <c r="K8849" t="b">
        <v>1</v>
      </c>
    </row>
    <row r="8850" spans="8:11" x14ac:dyDescent="0.25">
      <c r="H8850">
        <v>105</v>
      </c>
      <c r="I8850">
        <v>450</v>
      </c>
      <c r="J8850">
        <v>80</v>
      </c>
      <c r="K8850" t="b">
        <v>1</v>
      </c>
    </row>
    <row r="8851" spans="8:11" x14ac:dyDescent="0.25">
      <c r="H8851">
        <v>105</v>
      </c>
      <c r="I8851">
        <v>480</v>
      </c>
      <c r="J8851">
        <v>80</v>
      </c>
      <c r="K8851" t="b">
        <v>1</v>
      </c>
    </row>
    <row r="8852" spans="8:11" x14ac:dyDescent="0.25">
      <c r="H8852">
        <v>105</v>
      </c>
      <c r="I8852">
        <v>510</v>
      </c>
      <c r="J8852">
        <v>80</v>
      </c>
      <c r="K8852" t="b">
        <v>1</v>
      </c>
    </row>
    <row r="8853" spans="8:11" x14ac:dyDescent="0.25">
      <c r="H8853">
        <v>105</v>
      </c>
      <c r="I8853">
        <v>540</v>
      </c>
      <c r="J8853">
        <v>80</v>
      </c>
      <c r="K8853" t="b">
        <v>1</v>
      </c>
    </row>
    <row r="8854" spans="8:11" x14ac:dyDescent="0.25">
      <c r="H8854">
        <v>105</v>
      </c>
      <c r="I8854">
        <v>570</v>
      </c>
      <c r="J8854">
        <v>80</v>
      </c>
      <c r="K8854" t="b">
        <v>1</v>
      </c>
    </row>
    <row r="8855" spans="8:11" x14ac:dyDescent="0.25">
      <c r="H8855">
        <v>105</v>
      </c>
      <c r="I8855">
        <v>600</v>
      </c>
      <c r="J8855">
        <v>80</v>
      </c>
      <c r="K8855" t="b">
        <v>1</v>
      </c>
    </row>
    <row r="8856" spans="8:11" x14ac:dyDescent="0.25">
      <c r="H8856">
        <v>105</v>
      </c>
      <c r="I8856">
        <v>630</v>
      </c>
      <c r="J8856">
        <v>80</v>
      </c>
      <c r="K8856" t="b">
        <v>1</v>
      </c>
    </row>
    <row r="8857" spans="8:11" x14ac:dyDescent="0.25">
      <c r="H8857">
        <v>105</v>
      </c>
      <c r="I8857">
        <v>660</v>
      </c>
      <c r="J8857">
        <v>80</v>
      </c>
      <c r="K8857" t="b">
        <v>1</v>
      </c>
    </row>
    <row r="8858" spans="8:11" x14ac:dyDescent="0.25">
      <c r="H8858">
        <v>105</v>
      </c>
      <c r="I8858">
        <v>690</v>
      </c>
      <c r="J8858">
        <v>80</v>
      </c>
      <c r="K8858" t="b">
        <v>1</v>
      </c>
    </row>
    <row r="8859" spans="8:11" x14ac:dyDescent="0.25">
      <c r="H8859">
        <v>105</v>
      </c>
      <c r="I8859">
        <v>720</v>
      </c>
      <c r="J8859">
        <v>80</v>
      </c>
      <c r="K8859" t="b">
        <v>1</v>
      </c>
    </row>
    <row r="8860" spans="8:11" x14ac:dyDescent="0.25">
      <c r="H8860">
        <v>105</v>
      </c>
      <c r="I8860">
        <v>750</v>
      </c>
      <c r="J8860">
        <v>80</v>
      </c>
      <c r="K8860" t="b">
        <v>1</v>
      </c>
    </row>
    <row r="8861" spans="8:11" x14ac:dyDescent="0.25">
      <c r="H8861">
        <v>105</v>
      </c>
      <c r="I8861">
        <v>780</v>
      </c>
      <c r="J8861">
        <v>80</v>
      </c>
      <c r="K8861" t="b">
        <v>1</v>
      </c>
    </row>
    <row r="8862" spans="8:11" x14ac:dyDescent="0.25">
      <c r="H8862">
        <v>105</v>
      </c>
      <c r="I8862">
        <v>810</v>
      </c>
      <c r="J8862">
        <v>80</v>
      </c>
      <c r="K8862" t="b">
        <v>1</v>
      </c>
    </row>
    <row r="8863" spans="8:11" x14ac:dyDescent="0.25">
      <c r="H8863">
        <v>105</v>
      </c>
      <c r="I8863">
        <v>840</v>
      </c>
      <c r="J8863">
        <v>80</v>
      </c>
      <c r="K8863" t="b">
        <v>1</v>
      </c>
    </row>
    <row r="8864" spans="8:11" x14ac:dyDescent="0.25">
      <c r="H8864">
        <v>105</v>
      </c>
      <c r="I8864">
        <v>870</v>
      </c>
      <c r="J8864">
        <v>80</v>
      </c>
      <c r="K8864" t="b">
        <v>1</v>
      </c>
    </row>
    <row r="8865" spans="8:11" x14ac:dyDescent="0.25">
      <c r="H8865">
        <v>105</v>
      </c>
      <c r="I8865">
        <v>900</v>
      </c>
      <c r="J8865">
        <v>80</v>
      </c>
      <c r="K8865" t="b">
        <v>1</v>
      </c>
    </row>
    <row r="8866" spans="8:11" x14ac:dyDescent="0.25">
      <c r="H8866">
        <v>105</v>
      </c>
      <c r="I8866">
        <v>930</v>
      </c>
      <c r="J8866">
        <v>80</v>
      </c>
      <c r="K8866" t="b">
        <v>1</v>
      </c>
    </row>
    <row r="8867" spans="8:11" x14ac:dyDescent="0.25">
      <c r="H8867">
        <v>106</v>
      </c>
      <c r="I8867">
        <v>0</v>
      </c>
      <c r="J8867">
        <v>80</v>
      </c>
      <c r="K8867" t="b">
        <v>1</v>
      </c>
    </row>
    <row r="8868" spans="8:11" x14ac:dyDescent="0.25">
      <c r="H8868">
        <v>106</v>
      </c>
      <c r="I8868">
        <v>30</v>
      </c>
      <c r="J8868">
        <v>80</v>
      </c>
      <c r="K8868" t="b">
        <v>1</v>
      </c>
    </row>
    <row r="8869" spans="8:11" x14ac:dyDescent="0.25">
      <c r="H8869">
        <v>106</v>
      </c>
      <c r="I8869">
        <v>60</v>
      </c>
      <c r="J8869">
        <v>80</v>
      </c>
      <c r="K8869" t="b">
        <v>1</v>
      </c>
    </row>
    <row r="8870" spans="8:11" x14ac:dyDescent="0.25">
      <c r="H8870">
        <v>106</v>
      </c>
      <c r="I8870">
        <v>90</v>
      </c>
      <c r="J8870">
        <v>80</v>
      </c>
      <c r="K8870" t="b">
        <v>1</v>
      </c>
    </row>
    <row r="8871" spans="8:11" x14ac:dyDescent="0.25">
      <c r="H8871">
        <v>106</v>
      </c>
      <c r="I8871">
        <v>120</v>
      </c>
      <c r="J8871">
        <v>80</v>
      </c>
      <c r="K8871" t="b">
        <v>1</v>
      </c>
    </row>
    <row r="8872" spans="8:11" x14ac:dyDescent="0.25">
      <c r="H8872">
        <v>106</v>
      </c>
      <c r="I8872">
        <v>150</v>
      </c>
      <c r="J8872">
        <v>80</v>
      </c>
      <c r="K8872" t="b">
        <v>1</v>
      </c>
    </row>
    <row r="8873" spans="8:11" x14ac:dyDescent="0.25">
      <c r="H8873">
        <v>106</v>
      </c>
      <c r="I8873">
        <v>180</v>
      </c>
      <c r="J8873">
        <v>80</v>
      </c>
      <c r="K8873" t="b">
        <v>1</v>
      </c>
    </row>
    <row r="8874" spans="8:11" x14ac:dyDescent="0.25">
      <c r="H8874">
        <v>106</v>
      </c>
      <c r="I8874">
        <v>210</v>
      </c>
      <c r="J8874">
        <v>80</v>
      </c>
      <c r="K8874" t="b">
        <v>1</v>
      </c>
    </row>
    <row r="8875" spans="8:11" x14ac:dyDescent="0.25">
      <c r="H8875">
        <v>106</v>
      </c>
      <c r="I8875">
        <v>240</v>
      </c>
      <c r="J8875">
        <v>80</v>
      </c>
      <c r="K8875" t="b">
        <v>1</v>
      </c>
    </row>
    <row r="8876" spans="8:11" x14ac:dyDescent="0.25">
      <c r="H8876">
        <v>106</v>
      </c>
      <c r="I8876">
        <v>270</v>
      </c>
      <c r="J8876">
        <v>80</v>
      </c>
      <c r="K8876" t="b">
        <v>1</v>
      </c>
    </row>
    <row r="8877" spans="8:11" x14ac:dyDescent="0.25">
      <c r="H8877">
        <v>106</v>
      </c>
      <c r="I8877">
        <v>300</v>
      </c>
      <c r="J8877">
        <v>80</v>
      </c>
      <c r="K8877" t="b">
        <v>1</v>
      </c>
    </row>
    <row r="8878" spans="8:11" x14ac:dyDescent="0.25">
      <c r="H8878">
        <v>106</v>
      </c>
      <c r="I8878">
        <v>330</v>
      </c>
      <c r="J8878">
        <v>80</v>
      </c>
      <c r="K8878" t="b">
        <v>1</v>
      </c>
    </row>
    <row r="8879" spans="8:11" x14ac:dyDescent="0.25">
      <c r="H8879">
        <v>106</v>
      </c>
      <c r="I8879">
        <v>360</v>
      </c>
      <c r="J8879">
        <v>80</v>
      </c>
      <c r="K8879" t="b">
        <v>1</v>
      </c>
    </row>
    <row r="8880" spans="8:11" x14ac:dyDescent="0.25">
      <c r="H8880">
        <v>106</v>
      </c>
      <c r="I8880">
        <v>390</v>
      </c>
      <c r="J8880">
        <v>80</v>
      </c>
      <c r="K8880" t="b">
        <v>1</v>
      </c>
    </row>
    <row r="8881" spans="8:11" x14ac:dyDescent="0.25">
      <c r="H8881">
        <v>106</v>
      </c>
      <c r="I8881">
        <v>420</v>
      </c>
      <c r="J8881">
        <v>80</v>
      </c>
      <c r="K8881" t="b">
        <v>1</v>
      </c>
    </row>
    <row r="8882" spans="8:11" x14ac:dyDescent="0.25">
      <c r="H8882">
        <v>106</v>
      </c>
      <c r="I8882">
        <v>450</v>
      </c>
      <c r="J8882">
        <v>80</v>
      </c>
      <c r="K8882" t="b">
        <v>1</v>
      </c>
    </row>
    <row r="8883" spans="8:11" x14ac:dyDescent="0.25">
      <c r="H8883">
        <v>106</v>
      </c>
      <c r="I8883">
        <v>480</v>
      </c>
      <c r="J8883">
        <v>80</v>
      </c>
      <c r="K8883" t="b">
        <v>1</v>
      </c>
    </row>
    <row r="8884" spans="8:11" x14ac:dyDescent="0.25">
      <c r="H8884">
        <v>106</v>
      </c>
      <c r="I8884">
        <v>510</v>
      </c>
      <c r="J8884">
        <v>80</v>
      </c>
      <c r="K8884" t="b">
        <v>1</v>
      </c>
    </row>
    <row r="8885" spans="8:11" x14ac:dyDescent="0.25">
      <c r="H8885">
        <v>106</v>
      </c>
      <c r="I8885">
        <v>540</v>
      </c>
      <c r="J8885">
        <v>80</v>
      </c>
      <c r="K8885" t="b">
        <v>1</v>
      </c>
    </row>
    <row r="8886" spans="8:11" x14ac:dyDescent="0.25">
      <c r="H8886">
        <v>106</v>
      </c>
      <c r="I8886">
        <v>570</v>
      </c>
      <c r="J8886">
        <v>80</v>
      </c>
      <c r="K8886" t="b">
        <v>1</v>
      </c>
    </row>
    <row r="8887" spans="8:11" x14ac:dyDescent="0.25">
      <c r="H8887">
        <v>106</v>
      </c>
      <c r="I8887">
        <v>600</v>
      </c>
      <c r="J8887">
        <v>80</v>
      </c>
      <c r="K8887" t="b">
        <v>1</v>
      </c>
    </row>
    <row r="8888" spans="8:11" x14ac:dyDescent="0.25">
      <c r="H8888">
        <v>106</v>
      </c>
      <c r="I8888">
        <v>630</v>
      </c>
      <c r="J8888">
        <v>80</v>
      </c>
      <c r="K8888" t="b">
        <v>1</v>
      </c>
    </row>
    <row r="8889" spans="8:11" x14ac:dyDescent="0.25">
      <c r="H8889">
        <v>106</v>
      </c>
      <c r="I8889">
        <v>660</v>
      </c>
      <c r="J8889">
        <v>80</v>
      </c>
      <c r="K8889" t="b">
        <v>1</v>
      </c>
    </row>
    <row r="8890" spans="8:11" x14ac:dyDescent="0.25">
      <c r="H8890">
        <v>106</v>
      </c>
      <c r="I8890">
        <v>690</v>
      </c>
      <c r="J8890">
        <v>80</v>
      </c>
      <c r="K8890" t="b">
        <v>1</v>
      </c>
    </row>
    <row r="8891" spans="8:11" x14ac:dyDescent="0.25">
      <c r="H8891">
        <v>106</v>
      </c>
      <c r="I8891">
        <v>720</v>
      </c>
      <c r="J8891">
        <v>80</v>
      </c>
      <c r="K8891" t="b">
        <v>1</v>
      </c>
    </row>
    <row r="8892" spans="8:11" x14ac:dyDescent="0.25">
      <c r="H8892">
        <v>106</v>
      </c>
      <c r="I8892">
        <v>750</v>
      </c>
      <c r="J8892">
        <v>80</v>
      </c>
      <c r="K8892" t="b">
        <v>1</v>
      </c>
    </row>
    <row r="8893" spans="8:11" x14ac:dyDescent="0.25">
      <c r="H8893">
        <v>106</v>
      </c>
      <c r="I8893">
        <v>780</v>
      </c>
      <c r="J8893">
        <v>80</v>
      </c>
      <c r="K8893" t="b">
        <v>1</v>
      </c>
    </row>
    <row r="8894" spans="8:11" x14ac:dyDescent="0.25">
      <c r="H8894">
        <v>106</v>
      </c>
      <c r="I8894">
        <v>810</v>
      </c>
      <c r="J8894">
        <v>80</v>
      </c>
      <c r="K8894" t="b">
        <v>1</v>
      </c>
    </row>
    <row r="8895" spans="8:11" x14ac:dyDescent="0.25">
      <c r="H8895">
        <v>106</v>
      </c>
      <c r="I8895">
        <v>840</v>
      </c>
      <c r="J8895">
        <v>80</v>
      </c>
      <c r="K8895" t="b">
        <v>1</v>
      </c>
    </row>
    <row r="8896" spans="8:11" x14ac:dyDescent="0.25">
      <c r="H8896">
        <v>106</v>
      </c>
      <c r="I8896">
        <v>870</v>
      </c>
      <c r="J8896">
        <v>80</v>
      </c>
      <c r="K8896" t="b">
        <v>1</v>
      </c>
    </row>
    <row r="8897" spans="8:11" x14ac:dyDescent="0.25">
      <c r="H8897">
        <v>106</v>
      </c>
      <c r="I8897">
        <v>900</v>
      </c>
      <c r="J8897">
        <v>80</v>
      </c>
      <c r="K8897" t="b">
        <v>1</v>
      </c>
    </row>
    <row r="8898" spans="8:11" x14ac:dyDescent="0.25">
      <c r="H8898">
        <v>106</v>
      </c>
      <c r="I8898">
        <v>930</v>
      </c>
      <c r="J8898">
        <v>80</v>
      </c>
      <c r="K8898" t="b">
        <v>1</v>
      </c>
    </row>
    <row r="8899" spans="8:11" x14ac:dyDescent="0.25">
      <c r="H8899">
        <v>107</v>
      </c>
      <c r="I8899">
        <v>0</v>
      </c>
      <c r="J8899">
        <v>80</v>
      </c>
      <c r="K8899" t="b">
        <v>1</v>
      </c>
    </row>
    <row r="8900" spans="8:11" x14ac:dyDescent="0.25">
      <c r="H8900">
        <v>107</v>
      </c>
      <c r="I8900">
        <v>30</v>
      </c>
      <c r="J8900">
        <v>80</v>
      </c>
      <c r="K8900" t="b">
        <v>1</v>
      </c>
    </row>
    <row r="8901" spans="8:11" x14ac:dyDescent="0.25">
      <c r="H8901">
        <v>107</v>
      </c>
      <c r="I8901">
        <v>60</v>
      </c>
      <c r="J8901">
        <v>80</v>
      </c>
      <c r="K8901" t="b">
        <v>1</v>
      </c>
    </row>
    <row r="8902" spans="8:11" x14ac:dyDescent="0.25">
      <c r="H8902">
        <v>107</v>
      </c>
      <c r="I8902">
        <v>90</v>
      </c>
      <c r="J8902">
        <v>80</v>
      </c>
      <c r="K8902" t="b">
        <v>1</v>
      </c>
    </row>
    <row r="8903" spans="8:11" x14ac:dyDescent="0.25">
      <c r="H8903">
        <v>107</v>
      </c>
      <c r="I8903">
        <v>120</v>
      </c>
      <c r="J8903">
        <v>80</v>
      </c>
      <c r="K8903" t="b">
        <v>1</v>
      </c>
    </row>
    <row r="8904" spans="8:11" x14ac:dyDescent="0.25">
      <c r="H8904">
        <v>107</v>
      </c>
      <c r="I8904">
        <v>150</v>
      </c>
      <c r="J8904">
        <v>80</v>
      </c>
      <c r="K8904" t="b">
        <v>1</v>
      </c>
    </row>
    <row r="8905" spans="8:11" x14ac:dyDescent="0.25">
      <c r="H8905">
        <v>107</v>
      </c>
      <c r="I8905">
        <v>180</v>
      </c>
      <c r="J8905">
        <v>80</v>
      </c>
      <c r="K8905" t="b">
        <v>1</v>
      </c>
    </row>
    <row r="8906" spans="8:11" x14ac:dyDescent="0.25">
      <c r="H8906">
        <v>107</v>
      </c>
      <c r="I8906">
        <v>210</v>
      </c>
      <c r="J8906">
        <v>80</v>
      </c>
      <c r="K8906" t="b">
        <v>1</v>
      </c>
    </row>
    <row r="8907" spans="8:11" x14ac:dyDescent="0.25">
      <c r="H8907">
        <v>107</v>
      </c>
      <c r="I8907">
        <v>240</v>
      </c>
      <c r="J8907">
        <v>80</v>
      </c>
      <c r="K8907" t="b">
        <v>1</v>
      </c>
    </row>
    <row r="8908" spans="8:11" x14ac:dyDescent="0.25">
      <c r="H8908">
        <v>107</v>
      </c>
      <c r="I8908">
        <v>270</v>
      </c>
      <c r="J8908">
        <v>80</v>
      </c>
      <c r="K8908" t="b">
        <v>1</v>
      </c>
    </row>
    <row r="8909" spans="8:11" x14ac:dyDescent="0.25">
      <c r="H8909">
        <v>107</v>
      </c>
      <c r="I8909">
        <v>300</v>
      </c>
      <c r="J8909">
        <v>80</v>
      </c>
      <c r="K8909" t="b">
        <v>1</v>
      </c>
    </row>
    <row r="8910" spans="8:11" x14ac:dyDescent="0.25">
      <c r="H8910">
        <v>107</v>
      </c>
      <c r="I8910">
        <v>330</v>
      </c>
      <c r="J8910">
        <v>80</v>
      </c>
      <c r="K8910" t="b">
        <v>1</v>
      </c>
    </row>
    <row r="8911" spans="8:11" x14ac:dyDescent="0.25">
      <c r="H8911">
        <v>107</v>
      </c>
      <c r="I8911">
        <v>360</v>
      </c>
      <c r="J8911">
        <v>80</v>
      </c>
      <c r="K8911" t="b">
        <v>1</v>
      </c>
    </row>
    <row r="8912" spans="8:11" x14ac:dyDescent="0.25">
      <c r="H8912">
        <v>107</v>
      </c>
      <c r="I8912">
        <v>390</v>
      </c>
      <c r="J8912">
        <v>80</v>
      </c>
      <c r="K8912" t="b">
        <v>1</v>
      </c>
    </row>
    <row r="8913" spans="8:11" x14ac:dyDescent="0.25">
      <c r="H8913">
        <v>107</v>
      </c>
      <c r="I8913">
        <v>420</v>
      </c>
      <c r="J8913">
        <v>80</v>
      </c>
      <c r="K8913" t="b">
        <v>1</v>
      </c>
    </row>
    <row r="8914" spans="8:11" x14ac:dyDescent="0.25">
      <c r="H8914">
        <v>107</v>
      </c>
      <c r="I8914">
        <v>450</v>
      </c>
      <c r="J8914">
        <v>80</v>
      </c>
      <c r="K8914" t="b">
        <v>1</v>
      </c>
    </row>
    <row r="8915" spans="8:11" x14ac:dyDescent="0.25">
      <c r="H8915">
        <v>107</v>
      </c>
      <c r="I8915">
        <v>480</v>
      </c>
      <c r="J8915">
        <v>80</v>
      </c>
      <c r="K8915" t="b">
        <v>1</v>
      </c>
    </row>
    <row r="8916" spans="8:11" x14ac:dyDescent="0.25">
      <c r="H8916">
        <v>107</v>
      </c>
      <c r="I8916">
        <v>510</v>
      </c>
      <c r="J8916">
        <v>80</v>
      </c>
      <c r="K8916" t="b">
        <v>1</v>
      </c>
    </row>
    <row r="8917" spans="8:11" x14ac:dyDescent="0.25">
      <c r="H8917">
        <v>107</v>
      </c>
      <c r="I8917">
        <v>540</v>
      </c>
      <c r="J8917">
        <v>80</v>
      </c>
      <c r="K8917" t="b">
        <v>1</v>
      </c>
    </row>
    <row r="8918" spans="8:11" x14ac:dyDescent="0.25">
      <c r="H8918">
        <v>107</v>
      </c>
      <c r="I8918">
        <v>570</v>
      </c>
      <c r="J8918">
        <v>80</v>
      </c>
      <c r="K8918" t="b">
        <v>1</v>
      </c>
    </row>
    <row r="8919" spans="8:11" x14ac:dyDescent="0.25">
      <c r="H8919">
        <v>107</v>
      </c>
      <c r="I8919">
        <v>600</v>
      </c>
      <c r="J8919">
        <v>80</v>
      </c>
      <c r="K8919" t="b">
        <v>1</v>
      </c>
    </row>
    <row r="8920" spans="8:11" x14ac:dyDescent="0.25">
      <c r="H8920">
        <v>107</v>
      </c>
      <c r="I8920">
        <v>630</v>
      </c>
      <c r="J8920">
        <v>80</v>
      </c>
      <c r="K8920" t="b">
        <v>1</v>
      </c>
    </row>
    <row r="8921" spans="8:11" x14ac:dyDescent="0.25">
      <c r="H8921">
        <v>107</v>
      </c>
      <c r="I8921">
        <v>660</v>
      </c>
      <c r="J8921">
        <v>80</v>
      </c>
      <c r="K8921" t="b">
        <v>1</v>
      </c>
    </row>
    <row r="8922" spans="8:11" x14ac:dyDescent="0.25">
      <c r="H8922">
        <v>107</v>
      </c>
      <c r="I8922">
        <v>690</v>
      </c>
      <c r="J8922">
        <v>80</v>
      </c>
      <c r="K8922" t="b">
        <v>1</v>
      </c>
    </row>
    <row r="8923" spans="8:11" x14ac:dyDescent="0.25">
      <c r="H8923">
        <v>107</v>
      </c>
      <c r="I8923">
        <v>720</v>
      </c>
      <c r="J8923">
        <v>80</v>
      </c>
      <c r="K8923" t="b">
        <v>1</v>
      </c>
    </row>
    <row r="8924" spans="8:11" x14ac:dyDescent="0.25">
      <c r="H8924">
        <v>107</v>
      </c>
      <c r="I8924">
        <v>750</v>
      </c>
      <c r="J8924">
        <v>80</v>
      </c>
      <c r="K8924" t="b">
        <v>1</v>
      </c>
    </row>
    <row r="8925" spans="8:11" x14ac:dyDescent="0.25">
      <c r="H8925">
        <v>107</v>
      </c>
      <c r="I8925">
        <v>780</v>
      </c>
      <c r="J8925">
        <v>80</v>
      </c>
      <c r="K8925" t="b">
        <v>1</v>
      </c>
    </row>
    <row r="8926" spans="8:11" x14ac:dyDescent="0.25">
      <c r="H8926">
        <v>107</v>
      </c>
      <c r="I8926">
        <v>810</v>
      </c>
      <c r="J8926">
        <v>80</v>
      </c>
      <c r="K8926" t="b">
        <v>1</v>
      </c>
    </row>
    <row r="8927" spans="8:11" x14ac:dyDescent="0.25">
      <c r="H8927">
        <v>107</v>
      </c>
      <c r="I8927">
        <v>840</v>
      </c>
      <c r="J8927">
        <v>80</v>
      </c>
      <c r="K8927" t="b">
        <v>1</v>
      </c>
    </row>
    <row r="8928" spans="8:11" x14ac:dyDescent="0.25">
      <c r="H8928">
        <v>107</v>
      </c>
      <c r="I8928">
        <v>870</v>
      </c>
      <c r="J8928">
        <v>80</v>
      </c>
      <c r="K8928" t="b">
        <v>1</v>
      </c>
    </row>
    <row r="8929" spans="8:11" x14ac:dyDescent="0.25">
      <c r="H8929">
        <v>107</v>
      </c>
      <c r="I8929">
        <v>900</v>
      </c>
      <c r="J8929">
        <v>80</v>
      </c>
      <c r="K8929" t="b">
        <v>1</v>
      </c>
    </row>
    <row r="8930" spans="8:11" x14ac:dyDescent="0.25">
      <c r="H8930">
        <v>107</v>
      </c>
      <c r="I8930">
        <v>930</v>
      </c>
      <c r="J8930">
        <v>80</v>
      </c>
      <c r="K8930" t="b">
        <v>1</v>
      </c>
    </row>
    <row r="8931" spans="8:11" x14ac:dyDescent="0.25">
      <c r="H8931">
        <v>108</v>
      </c>
      <c r="I8931">
        <v>0</v>
      </c>
      <c r="J8931">
        <v>80</v>
      </c>
      <c r="K8931" t="b">
        <v>1</v>
      </c>
    </row>
    <row r="8932" spans="8:11" x14ac:dyDescent="0.25">
      <c r="H8932">
        <v>108</v>
      </c>
      <c r="I8932">
        <v>30</v>
      </c>
      <c r="J8932">
        <v>80</v>
      </c>
      <c r="K8932" t="b">
        <v>1</v>
      </c>
    </row>
    <row r="8933" spans="8:11" x14ac:dyDescent="0.25">
      <c r="H8933">
        <v>108</v>
      </c>
      <c r="I8933">
        <v>60</v>
      </c>
      <c r="J8933">
        <v>80</v>
      </c>
      <c r="K8933" t="b">
        <v>1</v>
      </c>
    </row>
    <row r="8934" spans="8:11" x14ac:dyDescent="0.25">
      <c r="H8934">
        <v>108</v>
      </c>
      <c r="I8934">
        <v>90</v>
      </c>
      <c r="J8934">
        <v>80</v>
      </c>
      <c r="K8934" t="b">
        <v>1</v>
      </c>
    </row>
    <row r="8935" spans="8:11" x14ac:dyDescent="0.25">
      <c r="H8935">
        <v>108</v>
      </c>
      <c r="I8935">
        <v>120</v>
      </c>
      <c r="J8935">
        <v>80</v>
      </c>
      <c r="K8935" t="b">
        <v>1</v>
      </c>
    </row>
    <row r="8936" spans="8:11" x14ac:dyDescent="0.25">
      <c r="H8936">
        <v>108</v>
      </c>
      <c r="I8936">
        <v>150</v>
      </c>
      <c r="J8936">
        <v>80</v>
      </c>
      <c r="K8936" t="b">
        <v>1</v>
      </c>
    </row>
    <row r="8937" spans="8:11" x14ac:dyDescent="0.25">
      <c r="H8937">
        <v>108</v>
      </c>
      <c r="I8937">
        <v>180</v>
      </c>
      <c r="J8937">
        <v>80</v>
      </c>
      <c r="K8937" t="b">
        <v>1</v>
      </c>
    </row>
    <row r="8938" spans="8:11" x14ac:dyDescent="0.25">
      <c r="H8938">
        <v>108</v>
      </c>
      <c r="I8938">
        <v>210</v>
      </c>
      <c r="J8938">
        <v>80</v>
      </c>
      <c r="K8938" t="b">
        <v>1</v>
      </c>
    </row>
    <row r="8939" spans="8:11" x14ac:dyDescent="0.25">
      <c r="H8939">
        <v>108</v>
      </c>
      <c r="I8939">
        <v>240</v>
      </c>
      <c r="J8939">
        <v>80</v>
      </c>
      <c r="K8939" t="b">
        <v>1</v>
      </c>
    </row>
    <row r="8940" spans="8:11" x14ac:dyDescent="0.25">
      <c r="H8940">
        <v>108</v>
      </c>
      <c r="I8940">
        <v>270</v>
      </c>
      <c r="J8940">
        <v>80</v>
      </c>
      <c r="K8940" t="b">
        <v>1</v>
      </c>
    </row>
    <row r="8941" spans="8:11" x14ac:dyDescent="0.25">
      <c r="H8941">
        <v>108</v>
      </c>
      <c r="I8941">
        <v>300</v>
      </c>
      <c r="J8941">
        <v>80</v>
      </c>
      <c r="K8941" t="b">
        <v>1</v>
      </c>
    </row>
    <row r="8942" spans="8:11" x14ac:dyDescent="0.25">
      <c r="H8942">
        <v>108</v>
      </c>
      <c r="I8942">
        <v>330</v>
      </c>
      <c r="J8942">
        <v>80</v>
      </c>
      <c r="K8942" t="b">
        <v>1</v>
      </c>
    </row>
    <row r="8943" spans="8:11" x14ac:dyDescent="0.25">
      <c r="H8943">
        <v>108</v>
      </c>
      <c r="I8943">
        <v>360</v>
      </c>
      <c r="J8943">
        <v>80</v>
      </c>
      <c r="K8943" t="b">
        <v>1</v>
      </c>
    </row>
    <row r="8944" spans="8:11" x14ac:dyDescent="0.25">
      <c r="H8944">
        <v>108</v>
      </c>
      <c r="I8944">
        <v>390</v>
      </c>
      <c r="J8944">
        <v>80</v>
      </c>
      <c r="K8944" t="b">
        <v>1</v>
      </c>
    </row>
    <row r="8945" spans="8:11" x14ac:dyDescent="0.25">
      <c r="H8945">
        <v>108</v>
      </c>
      <c r="I8945">
        <v>420</v>
      </c>
      <c r="J8945">
        <v>80</v>
      </c>
      <c r="K8945" t="b">
        <v>1</v>
      </c>
    </row>
    <row r="8946" spans="8:11" x14ac:dyDescent="0.25">
      <c r="H8946">
        <v>108</v>
      </c>
      <c r="I8946">
        <v>450</v>
      </c>
      <c r="J8946">
        <v>80</v>
      </c>
      <c r="K8946" t="b">
        <v>1</v>
      </c>
    </row>
    <row r="8947" spans="8:11" x14ac:dyDescent="0.25">
      <c r="H8947">
        <v>108</v>
      </c>
      <c r="I8947">
        <v>480</v>
      </c>
      <c r="J8947">
        <v>80</v>
      </c>
      <c r="K8947" t="b">
        <v>1</v>
      </c>
    </row>
    <row r="8948" spans="8:11" x14ac:dyDescent="0.25">
      <c r="H8948">
        <v>108</v>
      </c>
      <c r="I8948">
        <v>510</v>
      </c>
      <c r="J8948">
        <v>80</v>
      </c>
      <c r="K8948" t="b">
        <v>1</v>
      </c>
    </row>
    <row r="8949" spans="8:11" x14ac:dyDescent="0.25">
      <c r="H8949">
        <v>108</v>
      </c>
      <c r="I8949">
        <v>540</v>
      </c>
      <c r="J8949">
        <v>80</v>
      </c>
      <c r="K8949" t="b">
        <v>1</v>
      </c>
    </row>
    <row r="8950" spans="8:11" x14ac:dyDescent="0.25">
      <c r="H8950">
        <v>108</v>
      </c>
      <c r="I8950">
        <v>570</v>
      </c>
      <c r="J8950">
        <v>80</v>
      </c>
      <c r="K8950" t="b">
        <v>1</v>
      </c>
    </row>
    <row r="8951" spans="8:11" x14ac:dyDescent="0.25">
      <c r="H8951">
        <v>108</v>
      </c>
      <c r="I8951">
        <v>600</v>
      </c>
      <c r="J8951">
        <v>80</v>
      </c>
      <c r="K8951" t="b">
        <v>1</v>
      </c>
    </row>
    <row r="8952" spans="8:11" x14ac:dyDescent="0.25">
      <c r="H8952">
        <v>108</v>
      </c>
      <c r="I8952">
        <v>630</v>
      </c>
      <c r="J8952">
        <v>80</v>
      </c>
      <c r="K8952" t="b">
        <v>1</v>
      </c>
    </row>
    <row r="8953" spans="8:11" x14ac:dyDescent="0.25">
      <c r="H8953">
        <v>108</v>
      </c>
      <c r="I8953">
        <v>660</v>
      </c>
      <c r="J8953">
        <v>80</v>
      </c>
      <c r="K8953" t="b">
        <v>1</v>
      </c>
    </row>
    <row r="8954" spans="8:11" x14ac:dyDescent="0.25">
      <c r="H8954">
        <v>108</v>
      </c>
      <c r="I8954">
        <v>690</v>
      </c>
      <c r="J8954">
        <v>80</v>
      </c>
      <c r="K8954" t="b">
        <v>1</v>
      </c>
    </row>
    <row r="8955" spans="8:11" x14ac:dyDescent="0.25">
      <c r="H8955">
        <v>108</v>
      </c>
      <c r="I8955">
        <v>720</v>
      </c>
      <c r="J8955">
        <v>80</v>
      </c>
      <c r="K8955" t="b">
        <v>1</v>
      </c>
    </row>
    <row r="8956" spans="8:11" x14ac:dyDescent="0.25">
      <c r="H8956">
        <v>108</v>
      </c>
      <c r="I8956">
        <v>750</v>
      </c>
      <c r="J8956">
        <v>80</v>
      </c>
      <c r="K8956" t="b">
        <v>1</v>
      </c>
    </row>
    <row r="8957" spans="8:11" x14ac:dyDescent="0.25">
      <c r="H8957">
        <v>108</v>
      </c>
      <c r="I8957">
        <v>780</v>
      </c>
      <c r="J8957">
        <v>80</v>
      </c>
      <c r="K8957" t="b">
        <v>1</v>
      </c>
    </row>
    <row r="8958" spans="8:11" x14ac:dyDescent="0.25">
      <c r="H8958">
        <v>108</v>
      </c>
      <c r="I8958">
        <v>810</v>
      </c>
      <c r="J8958">
        <v>80</v>
      </c>
      <c r="K8958" t="b">
        <v>1</v>
      </c>
    </row>
    <row r="8959" spans="8:11" x14ac:dyDescent="0.25">
      <c r="H8959">
        <v>108</v>
      </c>
      <c r="I8959">
        <v>840</v>
      </c>
      <c r="J8959">
        <v>80</v>
      </c>
      <c r="K8959" t="b">
        <v>1</v>
      </c>
    </row>
    <row r="8960" spans="8:11" x14ac:dyDescent="0.25">
      <c r="H8960">
        <v>108</v>
      </c>
      <c r="I8960">
        <v>870</v>
      </c>
      <c r="J8960">
        <v>80</v>
      </c>
      <c r="K8960" t="b">
        <v>1</v>
      </c>
    </row>
    <row r="8961" spans="8:11" x14ac:dyDescent="0.25">
      <c r="H8961">
        <v>108</v>
      </c>
      <c r="I8961">
        <v>900</v>
      </c>
      <c r="J8961">
        <v>80</v>
      </c>
      <c r="K8961" t="b">
        <v>1</v>
      </c>
    </row>
    <row r="8962" spans="8:11" x14ac:dyDescent="0.25">
      <c r="H8962">
        <v>108</v>
      </c>
      <c r="I8962">
        <v>930</v>
      </c>
      <c r="J8962">
        <v>80</v>
      </c>
      <c r="K8962" t="b">
        <v>1</v>
      </c>
    </row>
    <row r="8963" spans="8:11" x14ac:dyDescent="0.25">
      <c r="H8963">
        <v>109</v>
      </c>
      <c r="I8963">
        <v>0</v>
      </c>
      <c r="J8963">
        <v>75</v>
      </c>
      <c r="K8963" t="b">
        <v>1</v>
      </c>
    </row>
    <row r="8964" spans="8:11" x14ac:dyDescent="0.25">
      <c r="H8964">
        <v>109</v>
      </c>
      <c r="I8964">
        <v>9</v>
      </c>
      <c r="J8964">
        <v>75</v>
      </c>
      <c r="K8964" t="b">
        <v>1</v>
      </c>
    </row>
    <row r="8965" spans="8:11" x14ac:dyDescent="0.25">
      <c r="H8965">
        <v>109</v>
      </c>
      <c r="I8965">
        <v>18</v>
      </c>
      <c r="J8965">
        <v>75</v>
      </c>
      <c r="K8965" t="b">
        <v>1</v>
      </c>
    </row>
    <row r="8966" spans="8:11" x14ac:dyDescent="0.25">
      <c r="H8966">
        <v>109</v>
      </c>
      <c r="I8966">
        <v>27</v>
      </c>
      <c r="J8966">
        <v>75</v>
      </c>
      <c r="K8966" t="b">
        <v>1</v>
      </c>
    </row>
    <row r="8967" spans="8:11" x14ac:dyDescent="0.25">
      <c r="H8967">
        <v>109</v>
      </c>
      <c r="I8967">
        <v>36</v>
      </c>
      <c r="J8967">
        <v>75</v>
      </c>
      <c r="K8967" t="b">
        <v>1</v>
      </c>
    </row>
    <row r="8968" spans="8:11" x14ac:dyDescent="0.25">
      <c r="H8968">
        <v>109</v>
      </c>
      <c r="I8968">
        <v>45</v>
      </c>
      <c r="J8968">
        <v>75</v>
      </c>
      <c r="K8968" t="b">
        <v>1</v>
      </c>
    </row>
    <row r="8969" spans="8:11" x14ac:dyDescent="0.25">
      <c r="H8969">
        <v>109</v>
      </c>
      <c r="I8969">
        <v>54</v>
      </c>
      <c r="J8969">
        <v>75</v>
      </c>
      <c r="K8969" t="b">
        <v>1</v>
      </c>
    </row>
    <row r="8970" spans="8:11" x14ac:dyDescent="0.25">
      <c r="H8970">
        <v>109</v>
      </c>
      <c r="I8970">
        <v>63</v>
      </c>
      <c r="J8970">
        <v>75</v>
      </c>
      <c r="K8970" t="b">
        <v>1</v>
      </c>
    </row>
    <row r="8971" spans="8:11" x14ac:dyDescent="0.25">
      <c r="H8971">
        <v>109</v>
      </c>
      <c r="I8971">
        <v>72</v>
      </c>
      <c r="J8971">
        <v>75</v>
      </c>
      <c r="K8971" t="b">
        <v>1</v>
      </c>
    </row>
    <row r="8972" spans="8:11" x14ac:dyDescent="0.25">
      <c r="H8972">
        <v>109</v>
      </c>
      <c r="I8972">
        <v>81</v>
      </c>
      <c r="J8972">
        <v>75</v>
      </c>
      <c r="K8972" t="b">
        <v>1</v>
      </c>
    </row>
    <row r="8973" spans="8:11" x14ac:dyDescent="0.25">
      <c r="H8973">
        <v>109</v>
      </c>
      <c r="I8973">
        <v>90</v>
      </c>
      <c r="J8973">
        <v>75</v>
      </c>
      <c r="K8973" t="b">
        <v>1</v>
      </c>
    </row>
    <row r="8974" spans="8:11" x14ac:dyDescent="0.25">
      <c r="H8974">
        <v>109</v>
      </c>
      <c r="I8974">
        <v>99</v>
      </c>
      <c r="J8974">
        <v>75</v>
      </c>
      <c r="K8974" t="b">
        <v>1</v>
      </c>
    </row>
    <row r="8975" spans="8:11" x14ac:dyDescent="0.25">
      <c r="H8975">
        <v>109</v>
      </c>
      <c r="I8975">
        <v>108</v>
      </c>
      <c r="J8975">
        <v>75</v>
      </c>
      <c r="K8975" t="b">
        <v>1</v>
      </c>
    </row>
    <row r="8976" spans="8:11" x14ac:dyDescent="0.25">
      <c r="H8976">
        <v>109</v>
      </c>
      <c r="I8976">
        <v>117</v>
      </c>
      <c r="J8976">
        <v>75</v>
      </c>
      <c r="K8976" t="b">
        <v>1</v>
      </c>
    </row>
    <row r="8977" spans="8:11" x14ac:dyDescent="0.25">
      <c r="H8977">
        <v>109</v>
      </c>
      <c r="I8977">
        <v>126</v>
      </c>
      <c r="J8977">
        <v>75</v>
      </c>
      <c r="K8977" t="b">
        <v>1</v>
      </c>
    </row>
    <row r="8978" spans="8:11" x14ac:dyDescent="0.25">
      <c r="H8978">
        <v>109</v>
      </c>
      <c r="I8978">
        <v>135</v>
      </c>
      <c r="J8978">
        <v>75</v>
      </c>
      <c r="K8978" t="b">
        <v>1</v>
      </c>
    </row>
    <row r="8979" spans="8:11" x14ac:dyDescent="0.25">
      <c r="H8979">
        <v>109</v>
      </c>
      <c r="I8979">
        <v>144</v>
      </c>
      <c r="J8979">
        <v>75</v>
      </c>
      <c r="K8979" t="b">
        <v>1</v>
      </c>
    </row>
    <row r="8980" spans="8:11" x14ac:dyDescent="0.25">
      <c r="H8980">
        <v>109</v>
      </c>
      <c r="I8980">
        <v>153</v>
      </c>
      <c r="J8980">
        <v>75</v>
      </c>
      <c r="K8980" t="b">
        <v>1</v>
      </c>
    </row>
    <row r="8981" spans="8:11" x14ac:dyDescent="0.25">
      <c r="H8981">
        <v>109</v>
      </c>
      <c r="I8981">
        <v>162</v>
      </c>
      <c r="J8981">
        <v>75</v>
      </c>
      <c r="K8981" t="b">
        <v>1</v>
      </c>
    </row>
    <row r="8982" spans="8:11" x14ac:dyDescent="0.25">
      <c r="H8982">
        <v>109</v>
      </c>
      <c r="I8982">
        <v>171</v>
      </c>
      <c r="J8982">
        <v>75</v>
      </c>
      <c r="K8982" t="b">
        <v>1</v>
      </c>
    </row>
    <row r="8983" spans="8:11" x14ac:dyDescent="0.25">
      <c r="H8983">
        <v>109</v>
      </c>
      <c r="I8983">
        <v>180</v>
      </c>
      <c r="J8983">
        <v>75</v>
      </c>
      <c r="K8983" t="b">
        <v>1</v>
      </c>
    </row>
    <row r="8984" spans="8:11" x14ac:dyDescent="0.25">
      <c r="H8984">
        <v>109</v>
      </c>
      <c r="I8984">
        <v>189</v>
      </c>
      <c r="J8984">
        <v>75</v>
      </c>
      <c r="K8984" t="b">
        <v>1</v>
      </c>
    </row>
    <row r="8985" spans="8:11" x14ac:dyDescent="0.25">
      <c r="H8985">
        <v>109</v>
      </c>
      <c r="I8985">
        <v>198</v>
      </c>
      <c r="J8985">
        <v>75</v>
      </c>
      <c r="K8985" t="b">
        <v>1</v>
      </c>
    </row>
    <row r="8986" spans="8:11" x14ac:dyDescent="0.25">
      <c r="H8986">
        <v>109</v>
      </c>
      <c r="I8986">
        <v>207</v>
      </c>
      <c r="J8986">
        <v>75</v>
      </c>
      <c r="K8986" t="b">
        <v>1</v>
      </c>
    </row>
    <row r="8987" spans="8:11" x14ac:dyDescent="0.25">
      <c r="H8987">
        <v>109</v>
      </c>
      <c r="I8987">
        <v>216</v>
      </c>
      <c r="J8987">
        <v>75</v>
      </c>
      <c r="K8987" t="b">
        <v>1</v>
      </c>
    </row>
    <row r="8988" spans="8:11" x14ac:dyDescent="0.25">
      <c r="H8988">
        <v>109</v>
      </c>
      <c r="I8988">
        <v>225</v>
      </c>
      <c r="J8988">
        <v>75</v>
      </c>
      <c r="K8988" t="b">
        <v>1</v>
      </c>
    </row>
    <row r="8989" spans="8:11" x14ac:dyDescent="0.25">
      <c r="H8989">
        <v>109</v>
      </c>
      <c r="I8989">
        <v>234</v>
      </c>
      <c r="J8989">
        <v>75</v>
      </c>
      <c r="K8989" t="b">
        <v>1</v>
      </c>
    </row>
    <row r="8990" spans="8:11" x14ac:dyDescent="0.25">
      <c r="H8990">
        <v>109</v>
      </c>
      <c r="I8990">
        <v>243</v>
      </c>
      <c r="J8990">
        <v>75</v>
      </c>
      <c r="K8990" t="b">
        <v>1</v>
      </c>
    </row>
    <row r="8991" spans="8:11" x14ac:dyDescent="0.25">
      <c r="H8991">
        <v>109</v>
      </c>
      <c r="I8991">
        <v>252</v>
      </c>
      <c r="J8991">
        <v>75</v>
      </c>
      <c r="K8991" t="b">
        <v>1</v>
      </c>
    </row>
    <row r="8992" spans="8:11" x14ac:dyDescent="0.25">
      <c r="H8992">
        <v>109</v>
      </c>
      <c r="I8992">
        <v>261</v>
      </c>
      <c r="J8992">
        <v>75</v>
      </c>
      <c r="K8992" t="b">
        <v>1</v>
      </c>
    </row>
    <row r="8993" spans="8:11" x14ac:dyDescent="0.25">
      <c r="H8993">
        <v>109</v>
      </c>
      <c r="I8993">
        <v>270</v>
      </c>
      <c r="J8993">
        <v>75</v>
      </c>
      <c r="K8993" t="b">
        <v>1</v>
      </c>
    </row>
    <row r="8994" spans="8:11" x14ac:dyDescent="0.25">
      <c r="H8994">
        <v>109</v>
      </c>
      <c r="I8994">
        <v>279</v>
      </c>
      <c r="J8994">
        <v>75</v>
      </c>
      <c r="K8994" t="b">
        <v>1</v>
      </c>
    </row>
    <row r="8995" spans="8:11" x14ac:dyDescent="0.25">
      <c r="H8995">
        <v>109</v>
      </c>
      <c r="I8995">
        <v>288</v>
      </c>
      <c r="J8995">
        <v>75</v>
      </c>
      <c r="K8995" t="b">
        <v>1</v>
      </c>
    </row>
    <row r="8996" spans="8:11" x14ac:dyDescent="0.25">
      <c r="H8996">
        <v>109</v>
      </c>
      <c r="I8996">
        <v>297</v>
      </c>
      <c r="J8996">
        <v>75</v>
      </c>
      <c r="K8996" t="b">
        <v>1</v>
      </c>
    </row>
    <row r="8997" spans="8:11" x14ac:dyDescent="0.25">
      <c r="H8997">
        <v>109</v>
      </c>
      <c r="I8997">
        <v>306</v>
      </c>
      <c r="J8997">
        <v>75</v>
      </c>
      <c r="K8997" t="b">
        <v>1</v>
      </c>
    </row>
    <row r="8998" spans="8:11" x14ac:dyDescent="0.25">
      <c r="H8998">
        <v>109</v>
      </c>
      <c r="I8998">
        <v>315</v>
      </c>
      <c r="J8998">
        <v>75</v>
      </c>
      <c r="K8998" t="b">
        <v>1</v>
      </c>
    </row>
    <row r="8999" spans="8:11" x14ac:dyDescent="0.25">
      <c r="H8999">
        <v>109</v>
      </c>
      <c r="I8999">
        <v>324</v>
      </c>
      <c r="J8999">
        <v>75</v>
      </c>
      <c r="K8999" t="b">
        <v>1</v>
      </c>
    </row>
    <row r="9000" spans="8:11" x14ac:dyDescent="0.25">
      <c r="H9000">
        <v>109</v>
      </c>
      <c r="I9000">
        <v>333</v>
      </c>
      <c r="J9000">
        <v>75</v>
      </c>
      <c r="K9000" t="b">
        <v>1</v>
      </c>
    </row>
    <row r="9001" spans="8:11" x14ac:dyDescent="0.25">
      <c r="H9001">
        <v>109</v>
      </c>
      <c r="I9001">
        <v>342</v>
      </c>
      <c r="J9001">
        <v>75</v>
      </c>
      <c r="K9001" t="b">
        <v>1</v>
      </c>
    </row>
    <row r="9002" spans="8:11" x14ac:dyDescent="0.25">
      <c r="H9002">
        <v>109</v>
      </c>
      <c r="I9002">
        <v>351</v>
      </c>
      <c r="J9002">
        <v>75</v>
      </c>
      <c r="K9002" t="b">
        <v>1</v>
      </c>
    </row>
    <row r="9003" spans="8:11" x14ac:dyDescent="0.25">
      <c r="H9003">
        <v>109</v>
      </c>
      <c r="I9003">
        <v>360</v>
      </c>
      <c r="J9003">
        <v>75</v>
      </c>
      <c r="K9003" t="b">
        <v>1</v>
      </c>
    </row>
    <row r="9004" spans="8:11" x14ac:dyDescent="0.25">
      <c r="H9004">
        <v>109</v>
      </c>
      <c r="I9004">
        <v>369</v>
      </c>
      <c r="J9004">
        <v>75</v>
      </c>
      <c r="K9004" t="b">
        <v>1</v>
      </c>
    </row>
    <row r="9005" spans="8:11" x14ac:dyDescent="0.25">
      <c r="H9005">
        <v>109</v>
      </c>
      <c r="I9005">
        <v>378</v>
      </c>
      <c r="J9005">
        <v>75</v>
      </c>
      <c r="K9005" t="b">
        <v>1</v>
      </c>
    </row>
    <row r="9006" spans="8:11" x14ac:dyDescent="0.25">
      <c r="H9006">
        <v>109</v>
      </c>
      <c r="I9006">
        <v>387</v>
      </c>
      <c r="J9006">
        <v>75</v>
      </c>
      <c r="K9006" t="b">
        <v>1</v>
      </c>
    </row>
    <row r="9007" spans="8:11" x14ac:dyDescent="0.25">
      <c r="H9007">
        <v>109</v>
      </c>
      <c r="I9007">
        <v>396</v>
      </c>
      <c r="J9007">
        <v>75</v>
      </c>
      <c r="K9007" t="b">
        <v>1</v>
      </c>
    </row>
    <row r="9008" spans="8:11" x14ac:dyDescent="0.25">
      <c r="H9008">
        <v>109</v>
      </c>
      <c r="I9008">
        <v>405</v>
      </c>
      <c r="J9008">
        <v>75</v>
      </c>
      <c r="K9008" t="b">
        <v>1</v>
      </c>
    </row>
    <row r="9009" spans="8:11" x14ac:dyDescent="0.25">
      <c r="H9009">
        <v>109</v>
      </c>
      <c r="I9009">
        <v>414</v>
      </c>
      <c r="J9009">
        <v>75</v>
      </c>
      <c r="K9009" t="b">
        <v>1</v>
      </c>
    </row>
    <row r="9010" spans="8:11" x14ac:dyDescent="0.25">
      <c r="H9010">
        <v>109</v>
      </c>
      <c r="I9010">
        <v>423</v>
      </c>
      <c r="J9010">
        <v>75</v>
      </c>
      <c r="K9010" t="b">
        <v>1</v>
      </c>
    </row>
    <row r="9011" spans="8:11" x14ac:dyDescent="0.25">
      <c r="H9011">
        <v>109</v>
      </c>
      <c r="I9011">
        <v>432</v>
      </c>
      <c r="J9011">
        <v>75</v>
      </c>
      <c r="K9011" t="b">
        <v>1</v>
      </c>
    </row>
    <row r="9012" spans="8:11" x14ac:dyDescent="0.25">
      <c r="H9012">
        <v>109</v>
      </c>
      <c r="I9012">
        <v>441</v>
      </c>
      <c r="J9012">
        <v>75</v>
      </c>
      <c r="K9012" t="b">
        <v>1</v>
      </c>
    </row>
    <row r="9013" spans="8:11" x14ac:dyDescent="0.25">
      <c r="H9013">
        <v>109</v>
      </c>
      <c r="I9013">
        <v>450</v>
      </c>
      <c r="J9013">
        <v>75</v>
      </c>
      <c r="K9013" t="b">
        <v>1</v>
      </c>
    </row>
    <row r="9014" spans="8:11" x14ac:dyDescent="0.25">
      <c r="H9014">
        <v>109</v>
      </c>
      <c r="I9014">
        <v>459</v>
      </c>
      <c r="J9014">
        <v>75</v>
      </c>
      <c r="K9014" t="b">
        <v>1</v>
      </c>
    </row>
    <row r="9015" spans="8:11" x14ac:dyDescent="0.25">
      <c r="H9015">
        <v>109</v>
      </c>
      <c r="I9015">
        <v>468</v>
      </c>
      <c r="J9015">
        <v>75</v>
      </c>
      <c r="K9015" t="b">
        <v>1</v>
      </c>
    </row>
    <row r="9016" spans="8:11" x14ac:dyDescent="0.25">
      <c r="H9016">
        <v>109</v>
      </c>
      <c r="I9016">
        <v>477</v>
      </c>
      <c r="J9016">
        <v>75</v>
      </c>
      <c r="K9016" t="b">
        <v>1</v>
      </c>
    </row>
    <row r="9017" spans="8:11" x14ac:dyDescent="0.25">
      <c r="H9017">
        <v>109</v>
      </c>
      <c r="I9017">
        <v>486</v>
      </c>
      <c r="J9017">
        <v>75</v>
      </c>
      <c r="K9017" t="b">
        <v>1</v>
      </c>
    </row>
    <row r="9018" spans="8:11" x14ac:dyDescent="0.25">
      <c r="H9018">
        <v>109</v>
      </c>
      <c r="I9018">
        <v>495</v>
      </c>
      <c r="J9018">
        <v>75</v>
      </c>
      <c r="K9018" t="b">
        <v>1</v>
      </c>
    </row>
    <row r="9019" spans="8:11" x14ac:dyDescent="0.25">
      <c r="H9019">
        <v>109</v>
      </c>
      <c r="I9019">
        <v>504</v>
      </c>
      <c r="J9019">
        <v>75</v>
      </c>
      <c r="K9019" t="b">
        <v>1</v>
      </c>
    </row>
    <row r="9020" spans="8:11" x14ac:dyDescent="0.25">
      <c r="H9020">
        <v>109</v>
      </c>
      <c r="I9020">
        <v>513</v>
      </c>
      <c r="J9020">
        <v>75</v>
      </c>
      <c r="K9020" t="b">
        <v>1</v>
      </c>
    </row>
    <row r="9021" spans="8:11" x14ac:dyDescent="0.25">
      <c r="H9021">
        <v>109</v>
      </c>
      <c r="I9021">
        <v>522</v>
      </c>
      <c r="J9021">
        <v>75</v>
      </c>
      <c r="K9021" t="b">
        <v>1</v>
      </c>
    </row>
    <row r="9022" spans="8:11" x14ac:dyDescent="0.25">
      <c r="H9022">
        <v>109</v>
      </c>
      <c r="I9022">
        <v>531</v>
      </c>
      <c r="J9022">
        <v>75</v>
      </c>
      <c r="K9022" t="b">
        <v>1</v>
      </c>
    </row>
    <row r="9023" spans="8:11" x14ac:dyDescent="0.25">
      <c r="H9023">
        <v>109</v>
      </c>
      <c r="I9023">
        <v>540</v>
      </c>
      <c r="J9023">
        <v>75</v>
      </c>
      <c r="K9023" t="b">
        <v>1</v>
      </c>
    </row>
    <row r="9024" spans="8:11" x14ac:dyDescent="0.25">
      <c r="H9024">
        <v>109</v>
      </c>
      <c r="I9024">
        <v>549</v>
      </c>
      <c r="J9024">
        <v>75</v>
      </c>
      <c r="K9024" t="b">
        <v>1</v>
      </c>
    </row>
    <row r="9025" spans="8:11" x14ac:dyDescent="0.25">
      <c r="H9025">
        <v>109</v>
      </c>
      <c r="I9025">
        <v>558</v>
      </c>
      <c r="J9025">
        <v>75</v>
      </c>
      <c r="K9025" t="b">
        <v>1</v>
      </c>
    </row>
    <row r="9026" spans="8:11" x14ac:dyDescent="0.25">
      <c r="H9026">
        <v>109</v>
      </c>
      <c r="I9026">
        <v>567</v>
      </c>
      <c r="J9026">
        <v>75</v>
      </c>
      <c r="K9026" t="b">
        <v>1</v>
      </c>
    </row>
    <row r="9027" spans="8:11" x14ac:dyDescent="0.25">
      <c r="H9027">
        <v>109</v>
      </c>
      <c r="I9027">
        <v>576</v>
      </c>
      <c r="J9027">
        <v>75</v>
      </c>
      <c r="K9027" t="b">
        <v>1</v>
      </c>
    </row>
    <row r="9028" spans="8:11" x14ac:dyDescent="0.25">
      <c r="H9028">
        <v>109</v>
      </c>
      <c r="I9028">
        <v>585</v>
      </c>
      <c r="J9028">
        <v>75</v>
      </c>
      <c r="K9028" t="b">
        <v>1</v>
      </c>
    </row>
    <row r="9029" spans="8:11" x14ac:dyDescent="0.25">
      <c r="H9029">
        <v>109</v>
      </c>
      <c r="I9029">
        <v>594</v>
      </c>
      <c r="J9029">
        <v>75</v>
      </c>
      <c r="K9029" t="b">
        <v>1</v>
      </c>
    </row>
    <row r="9030" spans="8:11" x14ac:dyDescent="0.25">
      <c r="H9030">
        <v>109</v>
      </c>
      <c r="I9030">
        <v>603</v>
      </c>
      <c r="J9030">
        <v>75</v>
      </c>
      <c r="K9030" t="b">
        <v>1</v>
      </c>
    </row>
    <row r="9031" spans="8:11" x14ac:dyDescent="0.25">
      <c r="H9031">
        <v>109</v>
      </c>
      <c r="I9031">
        <v>612</v>
      </c>
      <c r="J9031">
        <v>75</v>
      </c>
      <c r="K9031" t="b">
        <v>1</v>
      </c>
    </row>
    <row r="9032" spans="8:11" x14ac:dyDescent="0.25">
      <c r="H9032">
        <v>109</v>
      </c>
      <c r="I9032">
        <v>621</v>
      </c>
      <c r="J9032">
        <v>75</v>
      </c>
      <c r="K9032" t="b">
        <v>1</v>
      </c>
    </row>
    <row r="9033" spans="8:11" x14ac:dyDescent="0.25">
      <c r="H9033">
        <v>109</v>
      </c>
      <c r="I9033">
        <v>630</v>
      </c>
      <c r="J9033">
        <v>75</v>
      </c>
      <c r="K9033" t="b">
        <v>1</v>
      </c>
    </row>
    <row r="9034" spans="8:11" x14ac:dyDescent="0.25">
      <c r="H9034">
        <v>109</v>
      </c>
      <c r="I9034">
        <v>639</v>
      </c>
      <c r="J9034">
        <v>75</v>
      </c>
      <c r="K9034" t="b">
        <v>1</v>
      </c>
    </row>
    <row r="9035" spans="8:11" x14ac:dyDescent="0.25">
      <c r="H9035">
        <v>109</v>
      </c>
      <c r="I9035">
        <v>648</v>
      </c>
      <c r="J9035">
        <v>75</v>
      </c>
      <c r="K9035" t="b">
        <v>1</v>
      </c>
    </row>
    <row r="9036" spans="8:11" x14ac:dyDescent="0.25">
      <c r="H9036">
        <v>109</v>
      </c>
      <c r="I9036">
        <v>657</v>
      </c>
      <c r="J9036">
        <v>75</v>
      </c>
      <c r="K9036" t="b">
        <v>1</v>
      </c>
    </row>
    <row r="9037" spans="8:11" x14ac:dyDescent="0.25">
      <c r="H9037">
        <v>109</v>
      </c>
      <c r="I9037">
        <v>666</v>
      </c>
      <c r="J9037">
        <v>75</v>
      </c>
      <c r="K9037" t="b">
        <v>1</v>
      </c>
    </row>
    <row r="9038" spans="8:11" x14ac:dyDescent="0.25">
      <c r="H9038">
        <v>109</v>
      </c>
      <c r="I9038">
        <v>675</v>
      </c>
      <c r="J9038">
        <v>75</v>
      </c>
      <c r="K9038" t="b">
        <v>1</v>
      </c>
    </row>
    <row r="9039" spans="8:11" x14ac:dyDescent="0.25">
      <c r="H9039">
        <v>109</v>
      </c>
      <c r="I9039">
        <v>684</v>
      </c>
      <c r="J9039">
        <v>75</v>
      </c>
      <c r="K9039" t="b">
        <v>1</v>
      </c>
    </row>
    <row r="9040" spans="8:11" x14ac:dyDescent="0.25">
      <c r="H9040">
        <v>109</v>
      </c>
      <c r="I9040">
        <v>693</v>
      </c>
      <c r="J9040">
        <v>75</v>
      </c>
      <c r="K9040" t="b">
        <v>1</v>
      </c>
    </row>
    <row r="9041" spans="8:11" x14ac:dyDescent="0.25">
      <c r="H9041">
        <v>109</v>
      </c>
      <c r="I9041">
        <v>702</v>
      </c>
      <c r="J9041">
        <v>75</v>
      </c>
      <c r="K9041" t="b">
        <v>1</v>
      </c>
    </row>
    <row r="9042" spans="8:11" x14ac:dyDescent="0.25">
      <c r="H9042">
        <v>109</v>
      </c>
      <c r="I9042">
        <v>711</v>
      </c>
      <c r="J9042">
        <v>75</v>
      </c>
      <c r="K9042" t="b">
        <v>1</v>
      </c>
    </row>
    <row r="9043" spans="8:11" x14ac:dyDescent="0.25">
      <c r="H9043">
        <v>109</v>
      </c>
      <c r="I9043">
        <v>720</v>
      </c>
      <c r="J9043">
        <v>75</v>
      </c>
      <c r="K9043" t="b">
        <v>1</v>
      </c>
    </row>
    <row r="9044" spans="8:11" x14ac:dyDescent="0.25">
      <c r="H9044">
        <v>109</v>
      </c>
      <c r="I9044">
        <v>729</v>
      </c>
      <c r="J9044">
        <v>75</v>
      </c>
      <c r="K9044" t="b">
        <v>1</v>
      </c>
    </row>
    <row r="9045" spans="8:11" x14ac:dyDescent="0.25">
      <c r="H9045">
        <v>109</v>
      </c>
      <c r="I9045">
        <v>738</v>
      </c>
      <c r="J9045">
        <v>75</v>
      </c>
      <c r="K9045" t="b">
        <v>1</v>
      </c>
    </row>
    <row r="9046" spans="8:11" x14ac:dyDescent="0.25">
      <c r="H9046">
        <v>109</v>
      </c>
      <c r="I9046">
        <v>747</v>
      </c>
      <c r="J9046">
        <v>75</v>
      </c>
      <c r="K9046" t="b">
        <v>1</v>
      </c>
    </row>
    <row r="9047" spans="8:11" x14ac:dyDescent="0.25">
      <c r="H9047">
        <v>109</v>
      </c>
      <c r="I9047">
        <v>756</v>
      </c>
      <c r="J9047">
        <v>75</v>
      </c>
      <c r="K9047" t="b">
        <v>1</v>
      </c>
    </row>
    <row r="9048" spans="8:11" x14ac:dyDescent="0.25">
      <c r="H9048">
        <v>109</v>
      </c>
      <c r="I9048">
        <v>765</v>
      </c>
      <c r="J9048">
        <v>75</v>
      </c>
      <c r="K9048" t="b">
        <v>1</v>
      </c>
    </row>
    <row r="9049" spans="8:11" x14ac:dyDescent="0.25">
      <c r="H9049">
        <v>109</v>
      </c>
      <c r="I9049">
        <v>774</v>
      </c>
      <c r="J9049">
        <v>75</v>
      </c>
      <c r="K9049" t="b">
        <v>1</v>
      </c>
    </row>
    <row r="9050" spans="8:11" x14ac:dyDescent="0.25">
      <c r="H9050">
        <v>109</v>
      </c>
      <c r="I9050">
        <v>783</v>
      </c>
      <c r="J9050">
        <v>75</v>
      </c>
      <c r="K9050" t="b">
        <v>1</v>
      </c>
    </row>
    <row r="9051" spans="8:11" x14ac:dyDescent="0.25">
      <c r="H9051">
        <v>109</v>
      </c>
      <c r="I9051">
        <v>792</v>
      </c>
      <c r="J9051">
        <v>75</v>
      </c>
      <c r="K9051" t="b">
        <v>1</v>
      </c>
    </row>
    <row r="9052" spans="8:11" x14ac:dyDescent="0.25">
      <c r="H9052">
        <v>109</v>
      </c>
      <c r="I9052">
        <v>801</v>
      </c>
      <c r="J9052">
        <v>75</v>
      </c>
      <c r="K9052" t="b">
        <v>1</v>
      </c>
    </row>
    <row r="9053" spans="8:11" x14ac:dyDescent="0.25">
      <c r="H9053">
        <v>109</v>
      </c>
      <c r="I9053">
        <v>810</v>
      </c>
      <c r="J9053">
        <v>75</v>
      </c>
      <c r="K9053" t="b">
        <v>1</v>
      </c>
    </row>
    <row r="9054" spans="8:11" x14ac:dyDescent="0.25">
      <c r="H9054">
        <v>109</v>
      </c>
      <c r="I9054">
        <v>819</v>
      </c>
      <c r="J9054">
        <v>75</v>
      </c>
      <c r="K9054" t="b">
        <v>1</v>
      </c>
    </row>
    <row r="9055" spans="8:11" x14ac:dyDescent="0.25">
      <c r="H9055">
        <v>109</v>
      </c>
      <c r="I9055">
        <v>828</v>
      </c>
      <c r="J9055">
        <v>75</v>
      </c>
      <c r="K9055" t="b">
        <v>1</v>
      </c>
    </row>
    <row r="9056" spans="8:11" x14ac:dyDescent="0.25">
      <c r="H9056">
        <v>109</v>
      </c>
      <c r="I9056">
        <v>837</v>
      </c>
      <c r="J9056">
        <v>75</v>
      </c>
      <c r="K9056" t="b">
        <v>1</v>
      </c>
    </row>
    <row r="9057" spans="8:11" x14ac:dyDescent="0.25">
      <c r="H9057">
        <v>109</v>
      </c>
      <c r="I9057">
        <v>846</v>
      </c>
      <c r="J9057">
        <v>75</v>
      </c>
      <c r="K9057" t="b">
        <v>1</v>
      </c>
    </row>
    <row r="9058" spans="8:11" x14ac:dyDescent="0.25">
      <c r="H9058">
        <v>109</v>
      </c>
      <c r="I9058">
        <v>855</v>
      </c>
      <c r="J9058">
        <v>75</v>
      </c>
      <c r="K9058" t="b">
        <v>1</v>
      </c>
    </row>
    <row r="9059" spans="8:11" x14ac:dyDescent="0.25">
      <c r="H9059">
        <v>109</v>
      </c>
      <c r="I9059">
        <v>864</v>
      </c>
      <c r="J9059">
        <v>75</v>
      </c>
      <c r="K9059" t="b">
        <v>1</v>
      </c>
    </row>
    <row r="9060" spans="8:11" x14ac:dyDescent="0.25">
      <c r="H9060">
        <v>109</v>
      </c>
      <c r="I9060">
        <v>873</v>
      </c>
      <c r="J9060">
        <v>75</v>
      </c>
      <c r="K9060" t="b">
        <v>1</v>
      </c>
    </row>
    <row r="9061" spans="8:11" x14ac:dyDescent="0.25">
      <c r="H9061">
        <v>109</v>
      </c>
      <c r="I9061">
        <v>882</v>
      </c>
      <c r="J9061">
        <v>75</v>
      </c>
      <c r="K9061" t="b">
        <v>1</v>
      </c>
    </row>
    <row r="9062" spans="8:11" x14ac:dyDescent="0.25">
      <c r="H9062">
        <v>109</v>
      </c>
      <c r="I9062">
        <v>891</v>
      </c>
      <c r="J9062">
        <v>75</v>
      </c>
      <c r="K9062" t="b">
        <v>1</v>
      </c>
    </row>
    <row r="9063" spans="8:11" x14ac:dyDescent="0.25">
      <c r="H9063">
        <v>109</v>
      </c>
      <c r="I9063">
        <v>900</v>
      </c>
      <c r="J9063">
        <v>75</v>
      </c>
      <c r="K9063" t="b">
        <v>1</v>
      </c>
    </row>
    <row r="9064" spans="8:11" x14ac:dyDescent="0.25">
      <c r="H9064">
        <v>109</v>
      </c>
      <c r="I9064">
        <v>909</v>
      </c>
      <c r="J9064">
        <v>75</v>
      </c>
      <c r="K9064" t="b">
        <v>1</v>
      </c>
    </row>
    <row r="9065" spans="8:11" x14ac:dyDescent="0.25">
      <c r="H9065">
        <v>109</v>
      </c>
      <c r="I9065">
        <v>918</v>
      </c>
      <c r="J9065">
        <v>75</v>
      </c>
      <c r="K9065" t="b">
        <v>1</v>
      </c>
    </row>
    <row r="9066" spans="8:11" x14ac:dyDescent="0.25">
      <c r="H9066">
        <v>109</v>
      </c>
      <c r="I9066">
        <v>927</v>
      </c>
      <c r="J9066">
        <v>75</v>
      </c>
      <c r="K9066" t="b">
        <v>1</v>
      </c>
    </row>
    <row r="9067" spans="8:11" x14ac:dyDescent="0.25">
      <c r="H9067">
        <v>109</v>
      </c>
      <c r="I9067">
        <v>936</v>
      </c>
      <c r="J9067">
        <v>75</v>
      </c>
      <c r="K9067" t="b">
        <v>1</v>
      </c>
    </row>
    <row r="9068" spans="8:11" x14ac:dyDescent="0.25">
      <c r="H9068">
        <v>109</v>
      </c>
      <c r="I9068">
        <v>945</v>
      </c>
      <c r="J9068">
        <v>75</v>
      </c>
      <c r="K9068" t="b">
        <v>1</v>
      </c>
    </row>
    <row r="9069" spans="8:11" x14ac:dyDescent="0.25">
      <c r="H9069">
        <v>110</v>
      </c>
      <c r="I9069">
        <v>0</v>
      </c>
      <c r="J9069">
        <v>75</v>
      </c>
      <c r="K9069" t="b">
        <v>1</v>
      </c>
    </row>
    <row r="9070" spans="8:11" x14ac:dyDescent="0.25">
      <c r="H9070">
        <v>110</v>
      </c>
      <c r="I9070">
        <v>9</v>
      </c>
      <c r="J9070">
        <v>75</v>
      </c>
      <c r="K9070" t="b">
        <v>1</v>
      </c>
    </row>
    <row r="9071" spans="8:11" x14ac:dyDescent="0.25">
      <c r="H9071">
        <v>110</v>
      </c>
      <c r="I9071">
        <v>18</v>
      </c>
      <c r="J9071">
        <v>75</v>
      </c>
      <c r="K9071" t="b">
        <v>1</v>
      </c>
    </row>
    <row r="9072" spans="8:11" x14ac:dyDescent="0.25">
      <c r="H9072">
        <v>110</v>
      </c>
      <c r="I9072">
        <v>27</v>
      </c>
      <c r="J9072">
        <v>75</v>
      </c>
      <c r="K9072" t="b">
        <v>1</v>
      </c>
    </row>
    <row r="9073" spans="8:11" x14ac:dyDescent="0.25">
      <c r="H9073">
        <v>110</v>
      </c>
      <c r="I9073">
        <v>36</v>
      </c>
      <c r="J9073">
        <v>75</v>
      </c>
      <c r="K9073" t="b">
        <v>1</v>
      </c>
    </row>
    <row r="9074" spans="8:11" x14ac:dyDescent="0.25">
      <c r="H9074">
        <v>110</v>
      </c>
      <c r="I9074">
        <v>45</v>
      </c>
      <c r="J9074">
        <v>75</v>
      </c>
      <c r="K9074" t="b">
        <v>1</v>
      </c>
    </row>
    <row r="9075" spans="8:11" x14ac:dyDescent="0.25">
      <c r="H9075">
        <v>110</v>
      </c>
      <c r="I9075">
        <v>54</v>
      </c>
      <c r="J9075">
        <v>75</v>
      </c>
      <c r="K9075" t="b">
        <v>1</v>
      </c>
    </row>
    <row r="9076" spans="8:11" x14ac:dyDescent="0.25">
      <c r="H9076">
        <v>110</v>
      </c>
      <c r="I9076">
        <v>63</v>
      </c>
      <c r="J9076">
        <v>75</v>
      </c>
      <c r="K9076" t="b">
        <v>1</v>
      </c>
    </row>
    <row r="9077" spans="8:11" x14ac:dyDescent="0.25">
      <c r="H9077">
        <v>110</v>
      </c>
      <c r="I9077">
        <v>72</v>
      </c>
      <c r="J9077">
        <v>75</v>
      </c>
      <c r="K9077" t="b">
        <v>1</v>
      </c>
    </row>
    <row r="9078" spans="8:11" x14ac:dyDescent="0.25">
      <c r="H9078">
        <v>110</v>
      </c>
      <c r="I9078">
        <v>81</v>
      </c>
      <c r="J9078">
        <v>75</v>
      </c>
      <c r="K9078" t="b">
        <v>1</v>
      </c>
    </row>
    <row r="9079" spans="8:11" x14ac:dyDescent="0.25">
      <c r="H9079">
        <v>110</v>
      </c>
      <c r="I9079">
        <v>90</v>
      </c>
      <c r="J9079">
        <v>75</v>
      </c>
      <c r="K9079" t="b">
        <v>1</v>
      </c>
    </row>
    <row r="9080" spans="8:11" x14ac:dyDescent="0.25">
      <c r="H9080">
        <v>110</v>
      </c>
      <c r="I9080">
        <v>99</v>
      </c>
      <c r="J9080">
        <v>75</v>
      </c>
      <c r="K9080" t="b">
        <v>1</v>
      </c>
    </row>
    <row r="9081" spans="8:11" x14ac:dyDescent="0.25">
      <c r="H9081">
        <v>110</v>
      </c>
      <c r="I9081">
        <v>108</v>
      </c>
      <c r="J9081">
        <v>75</v>
      </c>
      <c r="K9081" t="b">
        <v>1</v>
      </c>
    </row>
    <row r="9082" spans="8:11" x14ac:dyDescent="0.25">
      <c r="H9082">
        <v>110</v>
      </c>
      <c r="I9082">
        <v>117</v>
      </c>
      <c r="J9082">
        <v>75</v>
      </c>
      <c r="K9082" t="b">
        <v>1</v>
      </c>
    </row>
    <row r="9083" spans="8:11" x14ac:dyDescent="0.25">
      <c r="H9083">
        <v>110</v>
      </c>
      <c r="I9083">
        <v>126</v>
      </c>
      <c r="J9083">
        <v>75</v>
      </c>
      <c r="K9083" t="b">
        <v>1</v>
      </c>
    </row>
    <row r="9084" spans="8:11" x14ac:dyDescent="0.25">
      <c r="H9084">
        <v>110</v>
      </c>
      <c r="I9084">
        <v>135</v>
      </c>
      <c r="J9084">
        <v>75</v>
      </c>
      <c r="K9084" t="b">
        <v>1</v>
      </c>
    </row>
    <row r="9085" spans="8:11" x14ac:dyDescent="0.25">
      <c r="H9085">
        <v>110</v>
      </c>
      <c r="I9085">
        <v>144</v>
      </c>
      <c r="J9085">
        <v>75</v>
      </c>
      <c r="K9085" t="b">
        <v>1</v>
      </c>
    </row>
    <row r="9086" spans="8:11" x14ac:dyDescent="0.25">
      <c r="H9086">
        <v>110</v>
      </c>
      <c r="I9086">
        <v>153</v>
      </c>
      <c r="J9086">
        <v>75</v>
      </c>
      <c r="K9086" t="b">
        <v>1</v>
      </c>
    </row>
    <row r="9087" spans="8:11" x14ac:dyDescent="0.25">
      <c r="H9087">
        <v>110</v>
      </c>
      <c r="I9087">
        <v>162</v>
      </c>
      <c r="J9087">
        <v>75</v>
      </c>
      <c r="K9087" t="b">
        <v>1</v>
      </c>
    </row>
    <row r="9088" spans="8:11" x14ac:dyDescent="0.25">
      <c r="H9088">
        <v>110</v>
      </c>
      <c r="I9088">
        <v>171</v>
      </c>
      <c r="J9088">
        <v>75</v>
      </c>
      <c r="K9088" t="b">
        <v>1</v>
      </c>
    </row>
    <row r="9089" spans="8:11" x14ac:dyDescent="0.25">
      <c r="H9089">
        <v>110</v>
      </c>
      <c r="I9089">
        <v>180</v>
      </c>
      <c r="J9089">
        <v>75</v>
      </c>
      <c r="K9089" t="b">
        <v>1</v>
      </c>
    </row>
    <row r="9090" spans="8:11" x14ac:dyDescent="0.25">
      <c r="H9090">
        <v>110</v>
      </c>
      <c r="I9090">
        <v>189</v>
      </c>
      <c r="J9090">
        <v>75</v>
      </c>
      <c r="K9090" t="b">
        <v>1</v>
      </c>
    </row>
    <row r="9091" spans="8:11" x14ac:dyDescent="0.25">
      <c r="H9091">
        <v>110</v>
      </c>
      <c r="I9091">
        <v>198</v>
      </c>
      <c r="J9091">
        <v>75</v>
      </c>
      <c r="K9091" t="b">
        <v>1</v>
      </c>
    </row>
    <row r="9092" spans="8:11" x14ac:dyDescent="0.25">
      <c r="H9092">
        <v>110</v>
      </c>
      <c r="I9092">
        <v>207</v>
      </c>
      <c r="J9092">
        <v>75</v>
      </c>
      <c r="K9092" t="b">
        <v>1</v>
      </c>
    </row>
    <row r="9093" spans="8:11" x14ac:dyDescent="0.25">
      <c r="H9093">
        <v>110</v>
      </c>
      <c r="I9093">
        <v>216</v>
      </c>
      <c r="J9093">
        <v>75</v>
      </c>
      <c r="K9093" t="b">
        <v>1</v>
      </c>
    </row>
    <row r="9094" spans="8:11" x14ac:dyDescent="0.25">
      <c r="H9094">
        <v>110</v>
      </c>
      <c r="I9094">
        <v>225</v>
      </c>
      <c r="J9094">
        <v>75</v>
      </c>
      <c r="K9094" t="b">
        <v>1</v>
      </c>
    </row>
    <row r="9095" spans="8:11" x14ac:dyDescent="0.25">
      <c r="H9095">
        <v>110</v>
      </c>
      <c r="I9095">
        <v>234</v>
      </c>
      <c r="J9095">
        <v>75</v>
      </c>
      <c r="K9095" t="b">
        <v>1</v>
      </c>
    </row>
    <row r="9096" spans="8:11" x14ac:dyDescent="0.25">
      <c r="H9096">
        <v>110</v>
      </c>
      <c r="I9096">
        <v>243</v>
      </c>
      <c r="J9096">
        <v>75</v>
      </c>
      <c r="K9096" t="b">
        <v>1</v>
      </c>
    </row>
    <row r="9097" spans="8:11" x14ac:dyDescent="0.25">
      <c r="H9097">
        <v>110</v>
      </c>
      <c r="I9097">
        <v>252</v>
      </c>
      <c r="J9097">
        <v>75</v>
      </c>
      <c r="K9097" t="b">
        <v>1</v>
      </c>
    </row>
    <row r="9098" spans="8:11" x14ac:dyDescent="0.25">
      <c r="H9098">
        <v>110</v>
      </c>
      <c r="I9098">
        <v>261</v>
      </c>
      <c r="J9098">
        <v>75</v>
      </c>
      <c r="K9098" t="b">
        <v>1</v>
      </c>
    </row>
    <row r="9099" spans="8:11" x14ac:dyDescent="0.25">
      <c r="H9099">
        <v>110</v>
      </c>
      <c r="I9099">
        <v>270</v>
      </c>
      <c r="J9099">
        <v>75</v>
      </c>
      <c r="K9099" t="b">
        <v>1</v>
      </c>
    </row>
    <row r="9100" spans="8:11" x14ac:dyDescent="0.25">
      <c r="H9100">
        <v>110</v>
      </c>
      <c r="I9100">
        <v>279</v>
      </c>
      <c r="J9100">
        <v>75</v>
      </c>
      <c r="K9100" t="b">
        <v>1</v>
      </c>
    </row>
    <row r="9101" spans="8:11" x14ac:dyDescent="0.25">
      <c r="H9101">
        <v>110</v>
      </c>
      <c r="I9101">
        <v>288</v>
      </c>
      <c r="J9101">
        <v>75</v>
      </c>
      <c r="K9101" t="b">
        <v>1</v>
      </c>
    </row>
    <row r="9102" spans="8:11" x14ac:dyDescent="0.25">
      <c r="H9102">
        <v>110</v>
      </c>
      <c r="I9102">
        <v>297</v>
      </c>
      <c r="J9102">
        <v>75</v>
      </c>
      <c r="K9102" t="b">
        <v>1</v>
      </c>
    </row>
    <row r="9103" spans="8:11" x14ac:dyDescent="0.25">
      <c r="H9103">
        <v>110</v>
      </c>
      <c r="I9103">
        <v>306</v>
      </c>
      <c r="J9103">
        <v>75</v>
      </c>
      <c r="K9103" t="b">
        <v>1</v>
      </c>
    </row>
    <row r="9104" spans="8:11" x14ac:dyDescent="0.25">
      <c r="H9104">
        <v>110</v>
      </c>
      <c r="I9104">
        <v>315</v>
      </c>
      <c r="J9104">
        <v>75</v>
      </c>
      <c r="K9104" t="b">
        <v>1</v>
      </c>
    </row>
    <row r="9105" spans="8:11" x14ac:dyDescent="0.25">
      <c r="H9105">
        <v>110</v>
      </c>
      <c r="I9105">
        <v>324</v>
      </c>
      <c r="J9105">
        <v>75</v>
      </c>
      <c r="K9105" t="b">
        <v>1</v>
      </c>
    </row>
    <row r="9106" spans="8:11" x14ac:dyDescent="0.25">
      <c r="H9106">
        <v>110</v>
      </c>
      <c r="I9106">
        <v>333</v>
      </c>
      <c r="J9106">
        <v>75</v>
      </c>
      <c r="K9106" t="b">
        <v>1</v>
      </c>
    </row>
    <row r="9107" spans="8:11" x14ac:dyDescent="0.25">
      <c r="H9107">
        <v>110</v>
      </c>
      <c r="I9107">
        <v>342</v>
      </c>
      <c r="J9107">
        <v>75</v>
      </c>
      <c r="K9107" t="b">
        <v>1</v>
      </c>
    </row>
    <row r="9108" spans="8:11" x14ac:dyDescent="0.25">
      <c r="H9108">
        <v>110</v>
      </c>
      <c r="I9108">
        <v>351</v>
      </c>
      <c r="J9108">
        <v>75</v>
      </c>
      <c r="K9108" t="b">
        <v>1</v>
      </c>
    </row>
    <row r="9109" spans="8:11" x14ac:dyDescent="0.25">
      <c r="H9109">
        <v>110</v>
      </c>
      <c r="I9109">
        <v>360</v>
      </c>
      <c r="J9109">
        <v>75</v>
      </c>
      <c r="K9109" t="b">
        <v>1</v>
      </c>
    </row>
    <row r="9110" spans="8:11" x14ac:dyDescent="0.25">
      <c r="H9110">
        <v>110</v>
      </c>
      <c r="I9110">
        <v>369</v>
      </c>
      <c r="J9110">
        <v>75</v>
      </c>
      <c r="K9110" t="b">
        <v>1</v>
      </c>
    </row>
    <row r="9111" spans="8:11" x14ac:dyDescent="0.25">
      <c r="H9111">
        <v>110</v>
      </c>
      <c r="I9111">
        <v>378</v>
      </c>
      <c r="J9111">
        <v>75</v>
      </c>
      <c r="K9111" t="b">
        <v>1</v>
      </c>
    </row>
    <row r="9112" spans="8:11" x14ac:dyDescent="0.25">
      <c r="H9112">
        <v>110</v>
      </c>
      <c r="I9112">
        <v>387</v>
      </c>
      <c r="J9112">
        <v>75</v>
      </c>
      <c r="K9112" t="b">
        <v>1</v>
      </c>
    </row>
    <row r="9113" spans="8:11" x14ac:dyDescent="0.25">
      <c r="H9113">
        <v>110</v>
      </c>
      <c r="I9113">
        <v>396</v>
      </c>
      <c r="J9113">
        <v>75</v>
      </c>
      <c r="K9113" t="b">
        <v>1</v>
      </c>
    </row>
    <row r="9114" spans="8:11" x14ac:dyDescent="0.25">
      <c r="H9114">
        <v>110</v>
      </c>
      <c r="I9114">
        <v>405</v>
      </c>
      <c r="J9114">
        <v>75</v>
      </c>
      <c r="K9114" t="b">
        <v>1</v>
      </c>
    </row>
    <row r="9115" spans="8:11" x14ac:dyDescent="0.25">
      <c r="H9115">
        <v>110</v>
      </c>
      <c r="I9115">
        <v>414</v>
      </c>
      <c r="J9115">
        <v>75</v>
      </c>
      <c r="K9115" t="b">
        <v>1</v>
      </c>
    </row>
    <row r="9116" spans="8:11" x14ac:dyDescent="0.25">
      <c r="H9116">
        <v>110</v>
      </c>
      <c r="I9116">
        <v>423</v>
      </c>
      <c r="J9116">
        <v>75</v>
      </c>
      <c r="K9116" t="b">
        <v>1</v>
      </c>
    </row>
    <row r="9117" spans="8:11" x14ac:dyDescent="0.25">
      <c r="H9117">
        <v>110</v>
      </c>
      <c r="I9117">
        <v>432</v>
      </c>
      <c r="J9117">
        <v>75</v>
      </c>
      <c r="K9117" t="b">
        <v>1</v>
      </c>
    </row>
    <row r="9118" spans="8:11" x14ac:dyDescent="0.25">
      <c r="H9118">
        <v>110</v>
      </c>
      <c r="I9118">
        <v>441</v>
      </c>
      <c r="J9118">
        <v>75</v>
      </c>
      <c r="K9118" t="b">
        <v>1</v>
      </c>
    </row>
    <row r="9119" spans="8:11" x14ac:dyDescent="0.25">
      <c r="H9119">
        <v>110</v>
      </c>
      <c r="I9119">
        <v>450</v>
      </c>
      <c r="J9119">
        <v>75</v>
      </c>
      <c r="K9119" t="b">
        <v>1</v>
      </c>
    </row>
    <row r="9120" spans="8:11" x14ac:dyDescent="0.25">
      <c r="H9120">
        <v>110</v>
      </c>
      <c r="I9120">
        <v>459</v>
      </c>
      <c r="J9120">
        <v>75</v>
      </c>
      <c r="K9120" t="b">
        <v>1</v>
      </c>
    </row>
    <row r="9121" spans="8:11" x14ac:dyDescent="0.25">
      <c r="H9121">
        <v>110</v>
      </c>
      <c r="I9121">
        <v>468</v>
      </c>
      <c r="J9121">
        <v>75</v>
      </c>
      <c r="K9121" t="b">
        <v>1</v>
      </c>
    </row>
    <row r="9122" spans="8:11" x14ac:dyDescent="0.25">
      <c r="H9122">
        <v>110</v>
      </c>
      <c r="I9122">
        <v>477</v>
      </c>
      <c r="J9122">
        <v>75</v>
      </c>
      <c r="K9122" t="b">
        <v>1</v>
      </c>
    </row>
    <row r="9123" spans="8:11" x14ac:dyDescent="0.25">
      <c r="H9123">
        <v>110</v>
      </c>
      <c r="I9123">
        <v>486</v>
      </c>
      <c r="J9123">
        <v>75</v>
      </c>
      <c r="K9123" t="b">
        <v>1</v>
      </c>
    </row>
    <row r="9124" spans="8:11" x14ac:dyDescent="0.25">
      <c r="H9124">
        <v>110</v>
      </c>
      <c r="I9124">
        <v>495</v>
      </c>
      <c r="J9124">
        <v>75</v>
      </c>
      <c r="K9124" t="b">
        <v>1</v>
      </c>
    </row>
    <row r="9125" spans="8:11" x14ac:dyDescent="0.25">
      <c r="H9125">
        <v>110</v>
      </c>
      <c r="I9125">
        <v>504</v>
      </c>
      <c r="J9125">
        <v>75</v>
      </c>
      <c r="K9125" t="b">
        <v>1</v>
      </c>
    </row>
    <row r="9126" spans="8:11" x14ac:dyDescent="0.25">
      <c r="H9126">
        <v>110</v>
      </c>
      <c r="I9126">
        <v>513</v>
      </c>
      <c r="J9126">
        <v>75</v>
      </c>
      <c r="K9126" t="b">
        <v>1</v>
      </c>
    </row>
    <row r="9127" spans="8:11" x14ac:dyDescent="0.25">
      <c r="H9127">
        <v>110</v>
      </c>
      <c r="I9127">
        <v>522</v>
      </c>
      <c r="J9127">
        <v>75</v>
      </c>
      <c r="K9127" t="b">
        <v>1</v>
      </c>
    </row>
    <row r="9128" spans="8:11" x14ac:dyDescent="0.25">
      <c r="H9128">
        <v>110</v>
      </c>
      <c r="I9128">
        <v>531</v>
      </c>
      <c r="J9128">
        <v>75</v>
      </c>
      <c r="K9128" t="b">
        <v>1</v>
      </c>
    </row>
    <row r="9129" spans="8:11" x14ac:dyDescent="0.25">
      <c r="H9129">
        <v>110</v>
      </c>
      <c r="I9129">
        <v>540</v>
      </c>
      <c r="J9129">
        <v>75</v>
      </c>
      <c r="K9129" t="b">
        <v>1</v>
      </c>
    </row>
    <row r="9130" spans="8:11" x14ac:dyDescent="0.25">
      <c r="H9130">
        <v>110</v>
      </c>
      <c r="I9130">
        <v>549</v>
      </c>
      <c r="J9130">
        <v>75</v>
      </c>
      <c r="K9130" t="b">
        <v>1</v>
      </c>
    </row>
    <row r="9131" spans="8:11" x14ac:dyDescent="0.25">
      <c r="H9131">
        <v>110</v>
      </c>
      <c r="I9131">
        <v>558</v>
      </c>
      <c r="J9131">
        <v>75</v>
      </c>
      <c r="K9131" t="b">
        <v>1</v>
      </c>
    </row>
    <row r="9132" spans="8:11" x14ac:dyDescent="0.25">
      <c r="H9132">
        <v>110</v>
      </c>
      <c r="I9132">
        <v>567</v>
      </c>
      <c r="J9132">
        <v>75</v>
      </c>
      <c r="K9132" t="b">
        <v>1</v>
      </c>
    </row>
    <row r="9133" spans="8:11" x14ac:dyDescent="0.25">
      <c r="H9133">
        <v>110</v>
      </c>
      <c r="I9133">
        <v>576</v>
      </c>
      <c r="J9133">
        <v>75</v>
      </c>
      <c r="K9133" t="b">
        <v>1</v>
      </c>
    </row>
    <row r="9134" spans="8:11" x14ac:dyDescent="0.25">
      <c r="H9134">
        <v>110</v>
      </c>
      <c r="I9134">
        <v>585</v>
      </c>
      <c r="J9134">
        <v>75</v>
      </c>
      <c r="K9134" t="b">
        <v>1</v>
      </c>
    </row>
    <row r="9135" spans="8:11" x14ac:dyDescent="0.25">
      <c r="H9135">
        <v>110</v>
      </c>
      <c r="I9135">
        <v>594</v>
      </c>
      <c r="J9135">
        <v>75</v>
      </c>
      <c r="K9135" t="b">
        <v>1</v>
      </c>
    </row>
    <row r="9136" spans="8:11" x14ac:dyDescent="0.25">
      <c r="H9136">
        <v>110</v>
      </c>
      <c r="I9136">
        <v>603</v>
      </c>
      <c r="J9136">
        <v>75</v>
      </c>
      <c r="K9136" t="b">
        <v>1</v>
      </c>
    </row>
    <row r="9137" spans="8:11" x14ac:dyDescent="0.25">
      <c r="H9137">
        <v>110</v>
      </c>
      <c r="I9137">
        <v>612</v>
      </c>
      <c r="J9137">
        <v>75</v>
      </c>
      <c r="K9137" t="b">
        <v>1</v>
      </c>
    </row>
    <row r="9138" spans="8:11" x14ac:dyDescent="0.25">
      <c r="H9138">
        <v>110</v>
      </c>
      <c r="I9138">
        <v>621</v>
      </c>
      <c r="J9138">
        <v>75</v>
      </c>
      <c r="K9138" t="b">
        <v>1</v>
      </c>
    </row>
    <row r="9139" spans="8:11" x14ac:dyDescent="0.25">
      <c r="H9139">
        <v>110</v>
      </c>
      <c r="I9139">
        <v>630</v>
      </c>
      <c r="J9139">
        <v>75</v>
      </c>
      <c r="K9139" t="b">
        <v>1</v>
      </c>
    </row>
    <row r="9140" spans="8:11" x14ac:dyDescent="0.25">
      <c r="H9140">
        <v>110</v>
      </c>
      <c r="I9140">
        <v>639</v>
      </c>
      <c r="J9140">
        <v>75</v>
      </c>
      <c r="K9140" t="b">
        <v>1</v>
      </c>
    </row>
    <row r="9141" spans="8:11" x14ac:dyDescent="0.25">
      <c r="H9141">
        <v>110</v>
      </c>
      <c r="I9141">
        <v>648</v>
      </c>
      <c r="J9141">
        <v>75</v>
      </c>
      <c r="K9141" t="b">
        <v>1</v>
      </c>
    </row>
    <row r="9142" spans="8:11" x14ac:dyDescent="0.25">
      <c r="H9142">
        <v>110</v>
      </c>
      <c r="I9142">
        <v>657</v>
      </c>
      <c r="J9142">
        <v>75</v>
      </c>
      <c r="K9142" t="b">
        <v>1</v>
      </c>
    </row>
    <row r="9143" spans="8:11" x14ac:dyDescent="0.25">
      <c r="H9143">
        <v>110</v>
      </c>
      <c r="I9143">
        <v>666</v>
      </c>
      <c r="J9143">
        <v>75</v>
      </c>
      <c r="K9143" t="b">
        <v>1</v>
      </c>
    </row>
    <row r="9144" spans="8:11" x14ac:dyDescent="0.25">
      <c r="H9144">
        <v>110</v>
      </c>
      <c r="I9144">
        <v>675</v>
      </c>
      <c r="J9144">
        <v>75</v>
      </c>
      <c r="K9144" t="b">
        <v>1</v>
      </c>
    </row>
    <row r="9145" spans="8:11" x14ac:dyDescent="0.25">
      <c r="H9145">
        <v>110</v>
      </c>
      <c r="I9145">
        <v>684</v>
      </c>
      <c r="J9145">
        <v>75</v>
      </c>
      <c r="K9145" t="b">
        <v>1</v>
      </c>
    </row>
    <row r="9146" spans="8:11" x14ac:dyDescent="0.25">
      <c r="H9146">
        <v>110</v>
      </c>
      <c r="I9146">
        <v>693</v>
      </c>
      <c r="J9146">
        <v>75</v>
      </c>
      <c r="K9146" t="b">
        <v>1</v>
      </c>
    </row>
    <row r="9147" spans="8:11" x14ac:dyDescent="0.25">
      <c r="H9147">
        <v>110</v>
      </c>
      <c r="I9147">
        <v>702</v>
      </c>
      <c r="J9147">
        <v>75</v>
      </c>
      <c r="K9147" t="b">
        <v>1</v>
      </c>
    </row>
    <row r="9148" spans="8:11" x14ac:dyDescent="0.25">
      <c r="H9148">
        <v>110</v>
      </c>
      <c r="I9148">
        <v>711</v>
      </c>
      <c r="J9148">
        <v>75</v>
      </c>
      <c r="K9148" t="b">
        <v>1</v>
      </c>
    </row>
    <row r="9149" spans="8:11" x14ac:dyDescent="0.25">
      <c r="H9149">
        <v>110</v>
      </c>
      <c r="I9149">
        <v>720</v>
      </c>
      <c r="J9149">
        <v>75</v>
      </c>
      <c r="K9149" t="b">
        <v>1</v>
      </c>
    </row>
    <row r="9150" spans="8:11" x14ac:dyDescent="0.25">
      <c r="H9150">
        <v>110</v>
      </c>
      <c r="I9150">
        <v>729</v>
      </c>
      <c r="J9150">
        <v>75</v>
      </c>
      <c r="K9150" t="b">
        <v>1</v>
      </c>
    </row>
    <row r="9151" spans="8:11" x14ac:dyDescent="0.25">
      <c r="H9151">
        <v>110</v>
      </c>
      <c r="I9151">
        <v>738</v>
      </c>
      <c r="J9151">
        <v>75</v>
      </c>
      <c r="K9151" t="b">
        <v>1</v>
      </c>
    </row>
    <row r="9152" spans="8:11" x14ac:dyDescent="0.25">
      <c r="H9152">
        <v>110</v>
      </c>
      <c r="I9152">
        <v>747</v>
      </c>
      <c r="J9152">
        <v>75</v>
      </c>
      <c r="K9152" t="b">
        <v>1</v>
      </c>
    </row>
    <row r="9153" spans="8:11" x14ac:dyDescent="0.25">
      <c r="H9153">
        <v>110</v>
      </c>
      <c r="I9153">
        <v>756</v>
      </c>
      <c r="J9153">
        <v>75</v>
      </c>
      <c r="K9153" t="b">
        <v>1</v>
      </c>
    </row>
    <row r="9154" spans="8:11" x14ac:dyDescent="0.25">
      <c r="H9154">
        <v>110</v>
      </c>
      <c r="I9154">
        <v>765</v>
      </c>
      <c r="J9154">
        <v>75</v>
      </c>
      <c r="K9154" t="b">
        <v>1</v>
      </c>
    </row>
    <row r="9155" spans="8:11" x14ac:dyDescent="0.25">
      <c r="H9155">
        <v>110</v>
      </c>
      <c r="I9155">
        <v>774</v>
      </c>
      <c r="J9155">
        <v>75</v>
      </c>
      <c r="K9155" t="b">
        <v>1</v>
      </c>
    </row>
    <row r="9156" spans="8:11" x14ac:dyDescent="0.25">
      <c r="H9156">
        <v>110</v>
      </c>
      <c r="I9156">
        <v>783</v>
      </c>
      <c r="J9156">
        <v>75</v>
      </c>
      <c r="K9156" t="b">
        <v>1</v>
      </c>
    </row>
    <row r="9157" spans="8:11" x14ac:dyDescent="0.25">
      <c r="H9157">
        <v>110</v>
      </c>
      <c r="I9157">
        <v>792</v>
      </c>
      <c r="J9157">
        <v>75</v>
      </c>
      <c r="K9157" t="b">
        <v>1</v>
      </c>
    </row>
    <row r="9158" spans="8:11" x14ac:dyDescent="0.25">
      <c r="H9158">
        <v>110</v>
      </c>
      <c r="I9158">
        <v>801</v>
      </c>
      <c r="J9158">
        <v>75</v>
      </c>
      <c r="K9158" t="b">
        <v>1</v>
      </c>
    </row>
    <row r="9159" spans="8:11" x14ac:dyDescent="0.25">
      <c r="H9159">
        <v>110</v>
      </c>
      <c r="I9159">
        <v>810</v>
      </c>
      <c r="J9159">
        <v>75</v>
      </c>
      <c r="K9159" t="b">
        <v>1</v>
      </c>
    </row>
    <row r="9160" spans="8:11" x14ac:dyDescent="0.25">
      <c r="H9160">
        <v>110</v>
      </c>
      <c r="I9160">
        <v>819</v>
      </c>
      <c r="J9160">
        <v>75</v>
      </c>
      <c r="K9160" t="b">
        <v>1</v>
      </c>
    </row>
    <row r="9161" spans="8:11" x14ac:dyDescent="0.25">
      <c r="H9161">
        <v>110</v>
      </c>
      <c r="I9161">
        <v>828</v>
      </c>
      <c r="J9161">
        <v>75</v>
      </c>
      <c r="K9161" t="b">
        <v>1</v>
      </c>
    </row>
    <row r="9162" spans="8:11" x14ac:dyDescent="0.25">
      <c r="H9162">
        <v>110</v>
      </c>
      <c r="I9162">
        <v>837</v>
      </c>
      <c r="J9162">
        <v>75</v>
      </c>
      <c r="K9162" t="b">
        <v>1</v>
      </c>
    </row>
    <row r="9163" spans="8:11" x14ac:dyDescent="0.25">
      <c r="H9163">
        <v>110</v>
      </c>
      <c r="I9163">
        <v>846</v>
      </c>
      <c r="J9163">
        <v>75</v>
      </c>
      <c r="K9163" t="b">
        <v>1</v>
      </c>
    </row>
    <row r="9164" spans="8:11" x14ac:dyDescent="0.25">
      <c r="H9164">
        <v>110</v>
      </c>
      <c r="I9164">
        <v>855</v>
      </c>
      <c r="J9164">
        <v>75</v>
      </c>
      <c r="K9164" t="b">
        <v>1</v>
      </c>
    </row>
    <row r="9165" spans="8:11" x14ac:dyDescent="0.25">
      <c r="H9165">
        <v>110</v>
      </c>
      <c r="I9165">
        <v>864</v>
      </c>
      <c r="J9165">
        <v>75</v>
      </c>
      <c r="K9165" t="b">
        <v>1</v>
      </c>
    </row>
    <row r="9166" spans="8:11" x14ac:dyDescent="0.25">
      <c r="H9166">
        <v>110</v>
      </c>
      <c r="I9166">
        <v>873</v>
      </c>
      <c r="J9166">
        <v>75</v>
      </c>
      <c r="K9166" t="b">
        <v>1</v>
      </c>
    </row>
    <row r="9167" spans="8:11" x14ac:dyDescent="0.25">
      <c r="H9167">
        <v>110</v>
      </c>
      <c r="I9167">
        <v>882</v>
      </c>
      <c r="J9167">
        <v>75</v>
      </c>
      <c r="K9167" t="b">
        <v>1</v>
      </c>
    </row>
    <row r="9168" spans="8:11" x14ac:dyDescent="0.25">
      <c r="H9168">
        <v>110</v>
      </c>
      <c r="I9168">
        <v>891</v>
      </c>
      <c r="J9168">
        <v>75</v>
      </c>
      <c r="K9168" t="b">
        <v>1</v>
      </c>
    </row>
    <row r="9169" spans="8:11" x14ac:dyDescent="0.25">
      <c r="H9169">
        <v>110</v>
      </c>
      <c r="I9169">
        <v>900</v>
      </c>
      <c r="J9169">
        <v>75</v>
      </c>
      <c r="K9169" t="b">
        <v>1</v>
      </c>
    </row>
    <row r="9170" spans="8:11" x14ac:dyDescent="0.25">
      <c r="H9170">
        <v>110</v>
      </c>
      <c r="I9170">
        <v>909</v>
      </c>
      <c r="J9170">
        <v>75</v>
      </c>
      <c r="K9170" t="b">
        <v>1</v>
      </c>
    </row>
    <row r="9171" spans="8:11" x14ac:dyDescent="0.25">
      <c r="H9171">
        <v>110</v>
      </c>
      <c r="I9171">
        <v>918</v>
      </c>
      <c r="J9171">
        <v>75</v>
      </c>
      <c r="K9171" t="b">
        <v>1</v>
      </c>
    </row>
    <row r="9172" spans="8:11" x14ac:dyDescent="0.25">
      <c r="H9172">
        <v>110</v>
      </c>
      <c r="I9172">
        <v>927</v>
      </c>
      <c r="J9172">
        <v>75</v>
      </c>
      <c r="K9172" t="b">
        <v>1</v>
      </c>
    </row>
    <row r="9173" spans="8:11" x14ac:dyDescent="0.25">
      <c r="H9173">
        <v>110</v>
      </c>
      <c r="I9173">
        <v>936</v>
      </c>
      <c r="J9173">
        <v>75</v>
      </c>
      <c r="K9173" t="b">
        <v>1</v>
      </c>
    </row>
    <row r="9174" spans="8:11" x14ac:dyDescent="0.25">
      <c r="H9174">
        <v>110</v>
      </c>
      <c r="I9174">
        <v>945</v>
      </c>
      <c r="J9174">
        <v>75</v>
      </c>
      <c r="K9174" t="b">
        <v>1</v>
      </c>
    </row>
    <row r="9175" spans="8:11" x14ac:dyDescent="0.25">
      <c r="H9175">
        <v>111</v>
      </c>
      <c r="I9175">
        <v>0</v>
      </c>
      <c r="J9175">
        <v>80</v>
      </c>
      <c r="K9175" t="b">
        <v>1</v>
      </c>
    </row>
    <row r="9176" spans="8:11" x14ac:dyDescent="0.25">
      <c r="H9176">
        <v>111</v>
      </c>
      <c r="I9176">
        <v>30</v>
      </c>
      <c r="J9176">
        <v>80</v>
      </c>
      <c r="K9176" t="b">
        <v>1</v>
      </c>
    </row>
    <row r="9177" spans="8:11" x14ac:dyDescent="0.25">
      <c r="H9177">
        <v>111</v>
      </c>
      <c r="I9177">
        <v>60</v>
      </c>
      <c r="J9177">
        <v>80</v>
      </c>
      <c r="K9177" t="b">
        <v>1</v>
      </c>
    </row>
    <row r="9178" spans="8:11" x14ac:dyDescent="0.25">
      <c r="H9178">
        <v>111</v>
      </c>
      <c r="I9178">
        <v>90</v>
      </c>
      <c r="J9178">
        <v>80</v>
      </c>
      <c r="K9178" t="b">
        <v>1</v>
      </c>
    </row>
    <row r="9179" spans="8:11" x14ac:dyDescent="0.25">
      <c r="H9179">
        <v>111</v>
      </c>
      <c r="I9179">
        <v>120</v>
      </c>
      <c r="J9179">
        <v>80</v>
      </c>
      <c r="K9179" t="b">
        <v>1</v>
      </c>
    </row>
    <row r="9180" spans="8:11" x14ac:dyDescent="0.25">
      <c r="H9180">
        <v>111</v>
      </c>
      <c r="I9180">
        <v>150</v>
      </c>
      <c r="J9180">
        <v>80</v>
      </c>
      <c r="K9180" t="b">
        <v>1</v>
      </c>
    </row>
    <row r="9181" spans="8:11" x14ac:dyDescent="0.25">
      <c r="H9181">
        <v>111</v>
      </c>
      <c r="I9181">
        <v>180</v>
      </c>
      <c r="J9181">
        <v>80</v>
      </c>
      <c r="K9181" t="b">
        <v>1</v>
      </c>
    </row>
    <row r="9182" spans="8:11" x14ac:dyDescent="0.25">
      <c r="H9182">
        <v>111</v>
      </c>
      <c r="I9182">
        <v>210</v>
      </c>
      <c r="J9182">
        <v>80</v>
      </c>
      <c r="K9182" t="b">
        <v>1</v>
      </c>
    </row>
    <row r="9183" spans="8:11" x14ac:dyDescent="0.25">
      <c r="H9183">
        <v>111</v>
      </c>
      <c r="I9183">
        <v>240</v>
      </c>
      <c r="J9183">
        <v>80</v>
      </c>
      <c r="K9183" t="b">
        <v>1</v>
      </c>
    </row>
    <row r="9184" spans="8:11" x14ac:dyDescent="0.25">
      <c r="H9184">
        <v>111</v>
      </c>
      <c r="I9184">
        <v>270</v>
      </c>
      <c r="J9184">
        <v>80</v>
      </c>
      <c r="K9184" t="b">
        <v>1</v>
      </c>
    </row>
    <row r="9185" spans="8:11" x14ac:dyDescent="0.25">
      <c r="H9185">
        <v>111</v>
      </c>
      <c r="I9185">
        <v>300</v>
      </c>
      <c r="J9185">
        <v>80</v>
      </c>
      <c r="K9185" t="b">
        <v>1</v>
      </c>
    </row>
    <row r="9186" spans="8:11" x14ac:dyDescent="0.25">
      <c r="H9186">
        <v>111</v>
      </c>
      <c r="I9186">
        <v>330</v>
      </c>
      <c r="J9186">
        <v>80</v>
      </c>
      <c r="K9186" t="b">
        <v>1</v>
      </c>
    </row>
    <row r="9187" spans="8:11" x14ac:dyDescent="0.25">
      <c r="H9187">
        <v>111</v>
      </c>
      <c r="I9187">
        <v>360</v>
      </c>
      <c r="J9187">
        <v>80</v>
      </c>
      <c r="K9187" t="b">
        <v>1</v>
      </c>
    </row>
    <row r="9188" spans="8:11" x14ac:dyDescent="0.25">
      <c r="H9188">
        <v>111</v>
      </c>
      <c r="I9188">
        <v>390</v>
      </c>
      <c r="J9188">
        <v>80</v>
      </c>
      <c r="K9188" t="b">
        <v>1</v>
      </c>
    </row>
    <row r="9189" spans="8:11" x14ac:dyDescent="0.25">
      <c r="H9189">
        <v>111</v>
      </c>
      <c r="I9189">
        <v>420</v>
      </c>
      <c r="J9189">
        <v>80</v>
      </c>
      <c r="K9189" t="b">
        <v>1</v>
      </c>
    </row>
    <row r="9190" spans="8:11" x14ac:dyDescent="0.25">
      <c r="H9190">
        <v>111</v>
      </c>
      <c r="I9190">
        <v>450</v>
      </c>
      <c r="J9190">
        <v>80</v>
      </c>
      <c r="K9190" t="b">
        <v>1</v>
      </c>
    </row>
    <row r="9191" spans="8:11" x14ac:dyDescent="0.25">
      <c r="H9191">
        <v>111</v>
      </c>
      <c r="I9191">
        <v>480</v>
      </c>
      <c r="J9191">
        <v>80</v>
      </c>
      <c r="K9191" t="b">
        <v>1</v>
      </c>
    </row>
    <row r="9192" spans="8:11" x14ac:dyDescent="0.25">
      <c r="H9192">
        <v>111</v>
      </c>
      <c r="I9192">
        <v>510</v>
      </c>
      <c r="J9192">
        <v>80</v>
      </c>
      <c r="K9192" t="b">
        <v>1</v>
      </c>
    </row>
    <row r="9193" spans="8:11" x14ac:dyDescent="0.25">
      <c r="H9193">
        <v>111</v>
      </c>
      <c r="I9193">
        <v>540</v>
      </c>
      <c r="J9193">
        <v>80</v>
      </c>
      <c r="K9193" t="b">
        <v>1</v>
      </c>
    </row>
    <row r="9194" spans="8:11" x14ac:dyDescent="0.25">
      <c r="H9194">
        <v>111</v>
      </c>
      <c r="I9194">
        <v>570</v>
      </c>
      <c r="J9194">
        <v>80</v>
      </c>
      <c r="K9194" t="b">
        <v>1</v>
      </c>
    </row>
    <row r="9195" spans="8:11" x14ac:dyDescent="0.25">
      <c r="H9195">
        <v>111</v>
      </c>
      <c r="I9195">
        <v>600</v>
      </c>
      <c r="J9195">
        <v>80</v>
      </c>
      <c r="K9195" t="b">
        <v>1</v>
      </c>
    </row>
    <row r="9196" spans="8:11" x14ac:dyDescent="0.25">
      <c r="H9196">
        <v>111</v>
      </c>
      <c r="I9196">
        <v>630</v>
      </c>
      <c r="J9196">
        <v>80</v>
      </c>
      <c r="K9196" t="b">
        <v>1</v>
      </c>
    </row>
    <row r="9197" spans="8:11" x14ac:dyDescent="0.25">
      <c r="H9197">
        <v>111</v>
      </c>
      <c r="I9197">
        <v>660</v>
      </c>
      <c r="J9197">
        <v>80</v>
      </c>
      <c r="K9197" t="b">
        <v>1</v>
      </c>
    </row>
    <row r="9198" spans="8:11" x14ac:dyDescent="0.25">
      <c r="H9198">
        <v>111</v>
      </c>
      <c r="I9198">
        <v>690</v>
      </c>
      <c r="J9198">
        <v>80</v>
      </c>
      <c r="K9198" t="b">
        <v>1</v>
      </c>
    </row>
    <row r="9199" spans="8:11" x14ac:dyDescent="0.25">
      <c r="H9199">
        <v>111</v>
      </c>
      <c r="I9199">
        <v>720</v>
      </c>
      <c r="J9199">
        <v>80</v>
      </c>
      <c r="K9199" t="b">
        <v>1</v>
      </c>
    </row>
    <row r="9200" spans="8:11" x14ac:dyDescent="0.25">
      <c r="H9200">
        <v>111</v>
      </c>
      <c r="I9200">
        <v>750</v>
      </c>
      <c r="J9200">
        <v>80</v>
      </c>
      <c r="K9200" t="b">
        <v>1</v>
      </c>
    </row>
    <row r="9201" spans="8:11" x14ac:dyDescent="0.25">
      <c r="H9201">
        <v>111</v>
      </c>
      <c r="I9201">
        <v>780</v>
      </c>
      <c r="J9201">
        <v>80</v>
      </c>
      <c r="K9201" t="b">
        <v>1</v>
      </c>
    </row>
    <row r="9202" spans="8:11" x14ac:dyDescent="0.25">
      <c r="H9202">
        <v>111</v>
      </c>
      <c r="I9202">
        <v>810</v>
      </c>
      <c r="J9202">
        <v>80</v>
      </c>
      <c r="K9202" t="b">
        <v>1</v>
      </c>
    </row>
    <row r="9203" spans="8:11" x14ac:dyDescent="0.25">
      <c r="H9203">
        <v>111</v>
      </c>
      <c r="I9203">
        <v>840</v>
      </c>
      <c r="J9203">
        <v>80</v>
      </c>
      <c r="K9203" t="b">
        <v>1</v>
      </c>
    </row>
    <row r="9204" spans="8:11" x14ac:dyDescent="0.25">
      <c r="H9204">
        <v>111</v>
      </c>
      <c r="I9204">
        <v>870</v>
      </c>
      <c r="J9204">
        <v>80</v>
      </c>
      <c r="K9204" t="b">
        <v>1</v>
      </c>
    </row>
    <row r="9205" spans="8:11" x14ac:dyDescent="0.25">
      <c r="H9205">
        <v>111</v>
      </c>
      <c r="I9205">
        <v>900</v>
      </c>
      <c r="J9205">
        <v>80</v>
      </c>
      <c r="K9205" t="b">
        <v>1</v>
      </c>
    </row>
    <row r="9206" spans="8:11" x14ac:dyDescent="0.25">
      <c r="H9206">
        <v>111</v>
      </c>
      <c r="I9206">
        <v>930</v>
      </c>
      <c r="J9206">
        <v>80</v>
      </c>
      <c r="K9206" t="b">
        <v>1</v>
      </c>
    </row>
    <row r="9207" spans="8:11" x14ac:dyDescent="0.25">
      <c r="H9207">
        <v>112</v>
      </c>
      <c r="I9207">
        <v>0</v>
      </c>
      <c r="J9207">
        <v>80</v>
      </c>
      <c r="K9207" t="b">
        <v>1</v>
      </c>
    </row>
    <row r="9208" spans="8:11" x14ac:dyDescent="0.25">
      <c r="H9208">
        <v>112</v>
      </c>
      <c r="I9208">
        <v>30</v>
      </c>
      <c r="J9208">
        <v>80</v>
      </c>
      <c r="K9208" t="b">
        <v>1</v>
      </c>
    </row>
    <row r="9209" spans="8:11" x14ac:dyDescent="0.25">
      <c r="H9209">
        <v>112</v>
      </c>
      <c r="I9209">
        <v>60</v>
      </c>
      <c r="J9209">
        <v>80</v>
      </c>
      <c r="K9209" t="b">
        <v>1</v>
      </c>
    </row>
    <row r="9210" spans="8:11" x14ac:dyDescent="0.25">
      <c r="H9210">
        <v>112</v>
      </c>
      <c r="I9210">
        <v>90</v>
      </c>
      <c r="J9210">
        <v>80</v>
      </c>
      <c r="K9210" t="b">
        <v>1</v>
      </c>
    </row>
    <row r="9211" spans="8:11" x14ac:dyDescent="0.25">
      <c r="H9211">
        <v>112</v>
      </c>
      <c r="I9211">
        <v>120</v>
      </c>
      <c r="J9211">
        <v>80</v>
      </c>
      <c r="K9211" t="b">
        <v>1</v>
      </c>
    </row>
    <row r="9212" spans="8:11" x14ac:dyDescent="0.25">
      <c r="H9212">
        <v>112</v>
      </c>
      <c r="I9212">
        <v>150</v>
      </c>
      <c r="J9212">
        <v>80</v>
      </c>
      <c r="K9212" t="b">
        <v>1</v>
      </c>
    </row>
    <row r="9213" spans="8:11" x14ac:dyDescent="0.25">
      <c r="H9213">
        <v>112</v>
      </c>
      <c r="I9213">
        <v>180</v>
      </c>
      <c r="J9213">
        <v>80</v>
      </c>
      <c r="K9213" t="b">
        <v>1</v>
      </c>
    </row>
    <row r="9214" spans="8:11" x14ac:dyDescent="0.25">
      <c r="H9214">
        <v>112</v>
      </c>
      <c r="I9214">
        <v>210</v>
      </c>
      <c r="J9214">
        <v>80</v>
      </c>
      <c r="K9214" t="b">
        <v>1</v>
      </c>
    </row>
    <row r="9215" spans="8:11" x14ac:dyDescent="0.25">
      <c r="H9215">
        <v>112</v>
      </c>
      <c r="I9215">
        <v>240</v>
      </c>
      <c r="J9215">
        <v>80</v>
      </c>
      <c r="K9215" t="b">
        <v>1</v>
      </c>
    </row>
    <row r="9216" spans="8:11" x14ac:dyDescent="0.25">
      <c r="H9216">
        <v>112</v>
      </c>
      <c r="I9216">
        <v>270</v>
      </c>
      <c r="J9216">
        <v>80</v>
      </c>
      <c r="K9216" t="b">
        <v>1</v>
      </c>
    </row>
    <row r="9217" spans="8:11" x14ac:dyDescent="0.25">
      <c r="H9217">
        <v>112</v>
      </c>
      <c r="I9217">
        <v>300</v>
      </c>
      <c r="J9217">
        <v>80</v>
      </c>
      <c r="K9217" t="b">
        <v>1</v>
      </c>
    </row>
    <row r="9218" spans="8:11" x14ac:dyDescent="0.25">
      <c r="H9218">
        <v>112</v>
      </c>
      <c r="I9218">
        <v>330</v>
      </c>
      <c r="J9218">
        <v>80</v>
      </c>
      <c r="K9218" t="b">
        <v>1</v>
      </c>
    </row>
    <row r="9219" spans="8:11" x14ac:dyDescent="0.25">
      <c r="H9219">
        <v>112</v>
      </c>
      <c r="I9219">
        <v>360</v>
      </c>
      <c r="J9219">
        <v>80</v>
      </c>
      <c r="K9219" t="b">
        <v>1</v>
      </c>
    </row>
    <row r="9220" spans="8:11" x14ac:dyDescent="0.25">
      <c r="H9220">
        <v>112</v>
      </c>
      <c r="I9220">
        <v>390</v>
      </c>
      <c r="J9220">
        <v>80</v>
      </c>
      <c r="K9220" t="b">
        <v>1</v>
      </c>
    </row>
    <row r="9221" spans="8:11" x14ac:dyDescent="0.25">
      <c r="H9221">
        <v>112</v>
      </c>
      <c r="I9221">
        <v>420</v>
      </c>
      <c r="J9221">
        <v>80</v>
      </c>
      <c r="K9221" t="b">
        <v>1</v>
      </c>
    </row>
    <row r="9222" spans="8:11" x14ac:dyDescent="0.25">
      <c r="H9222">
        <v>112</v>
      </c>
      <c r="I9222">
        <v>450</v>
      </c>
      <c r="J9222">
        <v>80</v>
      </c>
      <c r="K9222" t="b">
        <v>1</v>
      </c>
    </row>
    <row r="9223" spans="8:11" x14ac:dyDescent="0.25">
      <c r="H9223">
        <v>112</v>
      </c>
      <c r="I9223">
        <v>480</v>
      </c>
      <c r="J9223">
        <v>80</v>
      </c>
      <c r="K9223" t="b">
        <v>1</v>
      </c>
    </row>
    <row r="9224" spans="8:11" x14ac:dyDescent="0.25">
      <c r="H9224">
        <v>112</v>
      </c>
      <c r="I9224">
        <v>510</v>
      </c>
      <c r="J9224">
        <v>80</v>
      </c>
      <c r="K9224" t="b">
        <v>1</v>
      </c>
    </row>
    <row r="9225" spans="8:11" x14ac:dyDescent="0.25">
      <c r="H9225">
        <v>112</v>
      </c>
      <c r="I9225">
        <v>540</v>
      </c>
      <c r="J9225">
        <v>80</v>
      </c>
      <c r="K9225" t="b">
        <v>1</v>
      </c>
    </row>
    <row r="9226" spans="8:11" x14ac:dyDescent="0.25">
      <c r="H9226">
        <v>112</v>
      </c>
      <c r="I9226">
        <v>570</v>
      </c>
      <c r="J9226">
        <v>80</v>
      </c>
      <c r="K9226" t="b">
        <v>1</v>
      </c>
    </row>
    <row r="9227" spans="8:11" x14ac:dyDescent="0.25">
      <c r="H9227">
        <v>112</v>
      </c>
      <c r="I9227">
        <v>600</v>
      </c>
      <c r="J9227">
        <v>80</v>
      </c>
      <c r="K9227" t="b">
        <v>1</v>
      </c>
    </row>
    <row r="9228" spans="8:11" x14ac:dyDescent="0.25">
      <c r="H9228">
        <v>112</v>
      </c>
      <c r="I9228">
        <v>630</v>
      </c>
      <c r="J9228">
        <v>80</v>
      </c>
      <c r="K9228" t="b">
        <v>1</v>
      </c>
    </row>
    <row r="9229" spans="8:11" x14ac:dyDescent="0.25">
      <c r="H9229">
        <v>112</v>
      </c>
      <c r="I9229">
        <v>660</v>
      </c>
      <c r="J9229">
        <v>80</v>
      </c>
      <c r="K9229" t="b">
        <v>1</v>
      </c>
    </row>
    <row r="9230" spans="8:11" x14ac:dyDescent="0.25">
      <c r="H9230">
        <v>112</v>
      </c>
      <c r="I9230">
        <v>690</v>
      </c>
      <c r="J9230">
        <v>80</v>
      </c>
      <c r="K9230" t="b">
        <v>1</v>
      </c>
    </row>
    <row r="9231" spans="8:11" x14ac:dyDescent="0.25">
      <c r="H9231">
        <v>112</v>
      </c>
      <c r="I9231">
        <v>720</v>
      </c>
      <c r="J9231">
        <v>80</v>
      </c>
      <c r="K9231" t="b">
        <v>1</v>
      </c>
    </row>
    <row r="9232" spans="8:11" x14ac:dyDescent="0.25">
      <c r="H9232">
        <v>112</v>
      </c>
      <c r="I9232">
        <v>750</v>
      </c>
      <c r="J9232">
        <v>80</v>
      </c>
      <c r="K9232" t="b">
        <v>1</v>
      </c>
    </row>
    <row r="9233" spans="8:11" x14ac:dyDescent="0.25">
      <c r="H9233">
        <v>112</v>
      </c>
      <c r="I9233">
        <v>780</v>
      </c>
      <c r="J9233">
        <v>80</v>
      </c>
      <c r="K9233" t="b">
        <v>1</v>
      </c>
    </row>
    <row r="9234" spans="8:11" x14ac:dyDescent="0.25">
      <c r="H9234">
        <v>112</v>
      </c>
      <c r="I9234">
        <v>810</v>
      </c>
      <c r="J9234">
        <v>80</v>
      </c>
      <c r="K9234" t="b">
        <v>1</v>
      </c>
    </row>
    <row r="9235" spans="8:11" x14ac:dyDescent="0.25">
      <c r="H9235">
        <v>112</v>
      </c>
      <c r="I9235">
        <v>840</v>
      </c>
      <c r="J9235">
        <v>80</v>
      </c>
      <c r="K9235" t="b">
        <v>1</v>
      </c>
    </row>
    <row r="9236" spans="8:11" x14ac:dyDescent="0.25">
      <c r="H9236">
        <v>112</v>
      </c>
      <c r="I9236">
        <v>870</v>
      </c>
      <c r="J9236">
        <v>80</v>
      </c>
      <c r="K9236" t="b">
        <v>1</v>
      </c>
    </row>
    <row r="9237" spans="8:11" x14ac:dyDescent="0.25">
      <c r="H9237">
        <v>112</v>
      </c>
      <c r="I9237">
        <v>900</v>
      </c>
      <c r="J9237">
        <v>80</v>
      </c>
      <c r="K9237" t="b">
        <v>1</v>
      </c>
    </row>
    <row r="9238" spans="8:11" x14ac:dyDescent="0.25">
      <c r="H9238">
        <v>112</v>
      </c>
      <c r="I9238">
        <v>930</v>
      </c>
      <c r="J9238">
        <v>80</v>
      </c>
      <c r="K9238" t="b">
        <v>1</v>
      </c>
    </row>
    <row r="9239" spans="8:11" x14ac:dyDescent="0.25">
      <c r="H9239">
        <v>113</v>
      </c>
      <c r="I9239">
        <v>0</v>
      </c>
      <c r="J9239">
        <v>108</v>
      </c>
      <c r="K9239" t="b">
        <v>1</v>
      </c>
    </row>
    <row r="9240" spans="8:11" x14ac:dyDescent="0.25">
      <c r="H9240">
        <v>113</v>
      </c>
      <c r="I9240">
        <v>5</v>
      </c>
      <c r="J9240">
        <v>108</v>
      </c>
      <c r="K9240" t="b">
        <v>1</v>
      </c>
    </row>
    <row r="9241" spans="8:11" x14ac:dyDescent="0.25">
      <c r="H9241">
        <v>113</v>
      </c>
      <c r="I9241">
        <v>10</v>
      </c>
      <c r="J9241">
        <v>108</v>
      </c>
      <c r="K9241" t="b">
        <v>1</v>
      </c>
    </row>
    <row r="9242" spans="8:11" x14ac:dyDescent="0.25">
      <c r="H9242">
        <v>113</v>
      </c>
      <c r="I9242">
        <v>15</v>
      </c>
      <c r="J9242">
        <v>108</v>
      </c>
      <c r="K9242" t="b">
        <v>1</v>
      </c>
    </row>
    <row r="9243" spans="8:11" x14ac:dyDescent="0.25">
      <c r="H9243">
        <v>113</v>
      </c>
      <c r="I9243">
        <v>20</v>
      </c>
      <c r="J9243">
        <v>108</v>
      </c>
      <c r="K9243" t="b">
        <v>1</v>
      </c>
    </row>
    <row r="9244" spans="8:11" x14ac:dyDescent="0.25">
      <c r="H9244">
        <v>113</v>
      </c>
      <c r="I9244">
        <v>25</v>
      </c>
      <c r="J9244">
        <v>108</v>
      </c>
      <c r="K9244" t="b">
        <v>1</v>
      </c>
    </row>
    <row r="9245" spans="8:11" x14ac:dyDescent="0.25">
      <c r="H9245">
        <v>113</v>
      </c>
      <c r="I9245">
        <v>30</v>
      </c>
      <c r="J9245">
        <v>108</v>
      </c>
      <c r="K9245" t="b">
        <v>1</v>
      </c>
    </row>
    <row r="9246" spans="8:11" x14ac:dyDescent="0.25">
      <c r="H9246">
        <v>113</v>
      </c>
      <c r="I9246">
        <v>35</v>
      </c>
      <c r="J9246">
        <v>108</v>
      </c>
      <c r="K9246" t="b">
        <v>1</v>
      </c>
    </row>
    <row r="9247" spans="8:11" x14ac:dyDescent="0.25">
      <c r="H9247">
        <v>113</v>
      </c>
      <c r="I9247">
        <v>40</v>
      </c>
      <c r="J9247">
        <v>108</v>
      </c>
      <c r="K9247" t="b">
        <v>1</v>
      </c>
    </row>
    <row r="9248" spans="8:11" x14ac:dyDescent="0.25">
      <c r="H9248">
        <v>113</v>
      </c>
      <c r="I9248">
        <v>45</v>
      </c>
      <c r="J9248">
        <v>108</v>
      </c>
      <c r="K9248" t="b">
        <v>1</v>
      </c>
    </row>
    <row r="9249" spans="8:11" x14ac:dyDescent="0.25">
      <c r="H9249">
        <v>113</v>
      </c>
      <c r="I9249">
        <v>50</v>
      </c>
      <c r="J9249">
        <v>108</v>
      </c>
      <c r="K9249" t="b">
        <v>1</v>
      </c>
    </row>
    <row r="9250" spans="8:11" x14ac:dyDescent="0.25">
      <c r="H9250">
        <v>113</v>
      </c>
      <c r="I9250">
        <v>55</v>
      </c>
      <c r="J9250">
        <v>108</v>
      </c>
      <c r="K9250" t="b">
        <v>1</v>
      </c>
    </row>
    <row r="9251" spans="8:11" x14ac:dyDescent="0.25">
      <c r="H9251">
        <v>113</v>
      </c>
      <c r="I9251">
        <v>60</v>
      </c>
      <c r="J9251">
        <v>108</v>
      </c>
      <c r="K9251" t="b">
        <v>1</v>
      </c>
    </row>
    <row r="9252" spans="8:11" x14ac:dyDescent="0.25">
      <c r="H9252">
        <v>113</v>
      </c>
      <c r="I9252">
        <v>65</v>
      </c>
      <c r="J9252">
        <v>108</v>
      </c>
      <c r="K9252" t="b">
        <v>1</v>
      </c>
    </row>
    <row r="9253" spans="8:11" x14ac:dyDescent="0.25">
      <c r="H9253">
        <v>113</v>
      </c>
      <c r="I9253">
        <v>70</v>
      </c>
      <c r="J9253">
        <v>108</v>
      </c>
      <c r="K9253" t="b">
        <v>1</v>
      </c>
    </row>
    <row r="9254" spans="8:11" x14ac:dyDescent="0.25">
      <c r="H9254">
        <v>113</v>
      </c>
      <c r="I9254">
        <v>75</v>
      </c>
      <c r="J9254">
        <v>108</v>
      </c>
      <c r="K9254" t="b">
        <v>1</v>
      </c>
    </row>
    <row r="9255" spans="8:11" x14ac:dyDescent="0.25">
      <c r="H9255">
        <v>113</v>
      </c>
      <c r="I9255">
        <v>80</v>
      </c>
      <c r="J9255">
        <v>108</v>
      </c>
      <c r="K9255" t="b">
        <v>1</v>
      </c>
    </row>
    <row r="9256" spans="8:11" x14ac:dyDescent="0.25">
      <c r="H9256">
        <v>113</v>
      </c>
      <c r="I9256">
        <v>85</v>
      </c>
      <c r="J9256">
        <v>108</v>
      </c>
      <c r="K9256" t="b">
        <v>1</v>
      </c>
    </row>
    <row r="9257" spans="8:11" x14ac:dyDescent="0.25">
      <c r="H9257">
        <v>113</v>
      </c>
      <c r="I9257">
        <v>90</v>
      </c>
      <c r="J9257">
        <v>108</v>
      </c>
      <c r="K9257" t="b">
        <v>1</v>
      </c>
    </row>
    <row r="9258" spans="8:11" x14ac:dyDescent="0.25">
      <c r="H9258">
        <v>113</v>
      </c>
      <c r="I9258">
        <v>95</v>
      </c>
      <c r="J9258">
        <v>108</v>
      </c>
      <c r="K9258" t="b">
        <v>1</v>
      </c>
    </row>
    <row r="9259" spans="8:11" x14ac:dyDescent="0.25">
      <c r="H9259">
        <v>113</v>
      </c>
      <c r="I9259">
        <v>100</v>
      </c>
      <c r="J9259">
        <v>108</v>
      </c>
      <c r="K9259" t="b">
        <v>1</v>
      </c>
    </row>
    <row r="9260" spans="8:11" x14ac:dyDescent="0.25">
      <c r="H9260">
        <v>113</v>
      </c>
      <c r="I9260">
        <v>105</v>
      </c>
      <c r="J9260">
        <v>108</v>
      </c>
      <c r="K9260" t="b">
        <v>1</v>
      </c>
    </row>
    <row r="9261" spans="8:11" x14ac:dyDescent="0.25">
      <c r="H9261">
        <v>113</v>
      </c>
      <c r="I9261">
        <v>110</v>
      </c>
      <c r="J9261">
        <v>108</v>
      </c>
      <c r="K9261" t="b">
        <v>1</v>
      </c>
    </row>
    <row r="9262" spans="8:11" x14ac:dyDescent="0.25">
      <c r="H9262">
        <v>113</v>
      </c>
      <c r="I9262">
        <v>115</v>
      </c>
      <c r="J9262">
        <v>108</v>
      </c>
      <c r="K9262" t="b">
        <v>1</v>
      </c>
    </row>
    <row r="9263" spans="8:11" x14ac:dyDescent="0.25">
      <c r="H9263">
        <v>113</v>
      </c>
      <c r="I9263">
        <v>120</v>
      </c>
      <c r="J9263">
        <v>108</v>
      </c>
      <c r="K9263" t="b">
        <v>1</v>
      </c>
    </row>
    <row r="9264" spans="8:11" x14ac:dyDescent="0.25">
      <c r="H9264">
        <v>113</v>
      </c>
      <c r="I9264">
        <v>125</v>
      </c>
      <c r="J9264">
        <v>108</v>
      </c>
      <c r="K9264" t="b">
        <v>1</v>
      </c>
    </row>
    <row r="9265" spans="8:11" x14ac:dyDescent="0.25">
      <c r="H9265">
        <v>113</v>
      </c>
      <c r="I9265">
        <v>130</v>
      </c>
      <c r="J9265">
        <v>108</v>
      </c>
      <c r="K9265" t="b">
        <v>1</v>
      </c>
    </row>
    <row r="9266" spans="8:11" x14ac:dyDescent="0.25">
      <c r="H9266">
        <v>113</v>
      </c>
      <c r="I9266">
        <v>135</v>
      </c>
      <c r="J9266">
        <v>108</v>
      </c>
      <c r="K9266" t="b">
        <v>1</v>
      </c>
    </row>
    <row r="9267" spans="8:11" x14ac:dyDescent="0.25">
      <c r="H9267">
        <v>113</v>
      </c>
      <c r="I9267">
        <v>140</v>
      </c>
      <c r="J9267">
        <v>108</v>
      </c>
      <c r="K9267" t="b">
        <v>1</v>
      </c>
    </row>
    <row r="9268" spans="8:11" x14ac:dyDescent="0.25">
      <c r="H9268">
        <v>113</v>
      </c>
      <c r="I9268">
        <v>145</v>
      </c>
      <c r="J9268">
        <v>108</v>
      </c>
      <c r="K9268" t="b">
        <v>1</v>
      </c>
    </row>
    <row r="9269" spans="8:11" x14ac:dyDescent="0.25">
      <c r="H9269">
        <v>113</v>
      </c>
      <c r="I9269">
        <v>150</v>
      </c>
      <c r="J9269">
        <v>108</v>
      </c>
      <c r="K9269" t="b">
        <v>1</v>
      </c>
    </row>
    <row r="9270" spans="8:11" x14ac:dyDescent="0.25">
      <c r="H9270">
        <v>113</v>
      </c>
      <c r="I9270">
        <v>155</v>
      </c>
      <c r="J9270">
        <v>108</v>
      </c>
      <c r="K9270" t="b">
        <v>1</v>
      </c>
    </row>
    <row r="9271" spans="8:11" x14ac:dyDescent="0.25">
      <c r="H9271">
        <v>113</v>
      </c>
      <c r="I9271">
        <v>160</v>
      </c>
      <c r="J9271">
        <v>108</v>
      </c>
      <c r="K9271" t="b">
        <v>1</v>
      </c>
    </row>
    <row r="9272" spans="8:11" x14ac:dyDescent="0.25">
      <c r="H9272">
        <v>113</v>
      </c>
      <c r="I9272">
        <v>165</v>
      </c>
      <c r="J9272">
        <v>108</v>
      </c>
      <c r="K9272" t="b">
        <v>1</v>
      </c>
    </row>
    <row r="9273" spans="8:11" x14ac:dyDescent="0.25">
      <c r="H9273">
        <v>113</v>
      </c>
      <c r="I9273">
        <v>170</v>
      </c>
      <c r="J9273">
        <v>108</v>
      </c>
      <c r="K9273" t="b">
        <v>1</v>
      </c>
    </row>
    <row r="9274" spans="8:11" x14ac:dyDescent="0.25">
      <c r="H9274">
        <v>113</v>
      </c>
      <c r="I9274">
        <v>175</v>
      </c>
      <c r="J9274">
        <v>108</v>
      </c>
      <c r="K9274" t="b">
        <v>1</v>
      </c>
    </row>
    <row r="9275" spans="8:11" x14ac:dyDescent="0.25">
      <c r="H9275">
        <v>113</v>
      </c>
      <c r="I9275">
        <v>180</v>
      </c>
      <c r="J9275">
        <v>108</v>
      </c>
      <c r="K9275" t="b">
        <v>1</v>
      </c>
    </row>
    <row r="9276" spans="8:11" x14ac:dyDescent="0.25">
      <c r="H9276">
        <v>113</v>
      </c>
      <c r="I9276">
        <v>185</v>
      </c>
      <c r="J9276">
        <v>108</v>
      </c>
      <c r="K9276" t="b">
        <v>1</v>
      </c>
    </row>
    <row r="9277" spans="8:11" x14ac:dyDescent="0.25">
      <c r="H9277">
        <v>113</v>
      </c>
      <c r="I9277">
        <v>190</v>
      </c>
      <c r="J9277">
        <v>108</v>
      </c>
      <c r="K9277" t="b">
        <v>1</v>
      </c>
    </row>
    <row r="9278" spans="8:11" x14ac:dyDescent="0.25">
      <c r="H9278">
        <v>113</v>
      </c>
      <c r="I9278">
        <v>195</v>
      </c>
      <c r="J9278">
        <v>108</v>
      </c>
      <c r="K9278" t="b">
        <v>1</v>
      </c>
    </row>
    <row r="9279" spans="8:11" x14ac:dyDescent="0.25">
      <c r="H9279">
        <v>113</v>
      </c>
      <c r="I9279">
        <v>200</v>
      </c>
      <c r="J9279">
        <v>108</v>
      </c>
      <c r="K9279" t="b">
        <v>1</v>
      </c>
    </row>
    <row r="9280" spans="8:11" x14ac:dyDescent="0.25">
      <c r="H9280">
        <v>113</v>
      </c>
      <c r="I9280">
        <v>205</v>
      </c>
      <c r="J9280">
        <v>108</v>
      </c>
      <c r="K9280" t="b">
        <v>1</v>
      </c>
    </row>
    <row r="9281" spans="8:11" x14ac:dyDescent="0.25">
      <c r="H9281">
        <v>113</v>
      </c>
      <c r="I9281">
        <v>210</v>
      </c>
      <c r="J9281">
        <v>108</v>
      </c>
      <c r="K9281" t="b">
        <v>1</v>
      </c>
    </row>
    <row r="9282" spans="8:11" x14ac:dyDescent="0.25">
      <c r="H9282">
        <v>113</v>
      </c>
      <c r="I9282">
        <v>215</v>
      </c>
      <c r="J9282">
        <v>108</v>
      </c>
      <c r="K9282" t="b">
        <v>1</v>
      </c>
    </row>
    <row r="9283" spans="8:11" x14ac:dyDescent="0.25">
      <c r="H9283">
        <v>113</v>
      </c>
      <c r="I9283">
        <v>220</v>
      </c>
      <c r="J9283">
        <v>108</v>
      </c>
      <c r="K9283" t="b">
        <v>1</v>
      </c>
    </row>
    <row r="9284" spans="8:11" x14ac:dyDescent="0.25">
      <c r="H9284">
        <v>113</v>
      </c>
      <c r="I9284">
        <v>225</v>
      </c>
      <c r="J9284">
        <v>108</v>
      </c>
      <c r="K9284" t="b">
        <v>1</v>
      </c>
    </row>
    <row r="9285" spans="8:11" x14ac:dyDescent="0.25">
      <c r="H9285">
        <v>113</v>
      </c>
      <c r="I9285">
        <v>230</v>
      </c>
      <c r="J9285">
        <v>108</v>
      </c>
      <c r="K9285" t="b">
        <v>1</v>
      </c>
    </row>
    <row r="9286" spans="8:11" x14ac:dyDescent="0.25">
      <c r="H9286">
        <v>113</v>
      </c>
      <c r="I9286">
        <v>235</v>
      </c>
      <c r="J9286">
        <v>108</v>
      </c>
      <c r="K9286" t="b">
        <v>1</v>
      </c>
    </row>
    <row r="9287" spans="8:11" x14ac:dyDescent="0.25">
      <c r="H9287">
        <v>113</v>
      </c>
      <c r="I9287">
        <v>240</v>
      </c>
      <c r="J9287">
        <v>108</v>
      </c>
      <c r="K9287" t="b">
        <v>1</v>
      </c>
    </row>
    <row r="9288" spans="8:11" x14ac:dyDescent="0.25">
      <c r="H9288">
        <v>113</v>
      </c>
      <c r="I9288">
        <v>245</v>
      </c>
      <c r="J9288">
        <v>108</v>
      </c>
      <c r="K9288" t="b">
        <v>1</v>
      </c>
    </row>
    <row r="9289" spans="8:11" x14ac:dyDescent="0.25">
      <c r="H9289">
        <v>113</v>
      </c>
      <c r="I9289">
        <v>250</v>
      </c>
      <c r="J9289">
        <v>108</v>
      </c>
      <c r="K9289" t="b">
        <v>1</v>
      </c>
    </row>
    <row r="9290" spans="8:11" x14ac:dyDescent="0.25">
      <c r="H9290">
        <v>113</v>
      </c>
      <c r="I9290">
        <v>255</v>
      </c>
      <c r="J9290">
        <v>108</v>
      </c>
      <c r="K9290" t="b">
        <v>1</v>
      </c>
    </row>
    <row r="9291" spans="8:11" x14ac:dyDescent="0.25">
      <c r="H9291">
        <v>113</v>
      </c>
      <c r="I9291">
        <v>260</v>
      </c>
      <c r="J9291">
        <v>108</v>
      </c>
      <c r="K9291" t="b">
        <v>1</v>
      </c>
    </row>
    <row r="9292" spans="8:11" x14ac:dyDescent="0.25">
      <c r="H9292">
        <v>113</v>
      </c>
      <c r="I9292">
        <v>265</v>
      </c>
      <c r="J9292">
        <v>108</v>
      </c>
      <c r="K9292" t="b">
        <v>1</v>
      </c>
    </row>
    <row r="9293" spans="8:11" x14ac:dyDescent="0.25">
      <c r="H9293">
        <v>113</v>
      </c>
      <c r="I9293">
        <v>270</v>
      </c>
      <c r="J9293">
        <v>108</v>
      </c>
      <c r="K9293" t="b">
        <v>1</v>
      </c>
    </row>
    <row r="9294" spans="8:11" x14ac:dyDescent="0.25">
      <c r="H9294">
        <v>113</v>
      </c>
      <c r="I9294">
        <v>275</v>
      </c>
      <c r="J9294">
        <v>108</v>
      </c>
      <c r="K9294" t="b">
        <v>1</v>
      </c>
    </row>
    <row r="9295" spans="8:11" x14ac:dyDescent="0.25">
      <c r="H9295">
        <v>113</v>
      </c>
      <c r="I9295">
        <v>280</v>
      </c>
      <c r="J9295">
        <v>108</v>
      </c>
      <c r="K9295" t="b">
        <v>1</v>
      </c>
    </row>
    <row r="9296" spans="8:11" x14ac:dyDescent="0.25">
      <c r="H9296">
        <v>113</v>
      </c>
      <c r="I9296">
        <v>285</v>
      </c>
      <c r="J9296">
        <v>108</v>
      </c>
      <c r="K9296" t="b">
        <v>1</v>
      </c>
    </row>
    <row r="9297" spans="8:11" x14ac:dyDescent="0.25">
      <c r="H9297">
        <v>113</v>
      </c>
      <c r="I9297">
        <v>290</v>
      </c>
      <c r="J9297">
        <v>108</v>
      </c>
      <c r="K9297" t="b">
        <v>1</v>
      </c>
    </row>
    <row r="9298" spans="8:11" x14ac:dyDescent="0.25">
      <c r="H9298">
        <v>113</v>
      </c>
      <c r="I9298">
        <v>295</v>
      </c>
      <c r="J9298">
        <v>108</v>
      </c>
      <c r="K9298" t="b">
        <v>1</v>
      </c>
    </row>
    <row r="9299" spans="8:11" x14ac:dyDescent="0.25">
      <c r="H9299">
        <v>113</v>
      </c>
      <c r="I9299">
        <v>300</v>
      </c>
      <c r="J9299">
        <v>108</v>
      </c>
      <c r="K9299" t="b">
        <v>1</v>
      </c>
    </row>
    <row r="9300" spans="8:11" x14ac:dyDescent="0.25">
      <c r="H9300">
        <v>113</v>
      </c>
      <c r="I9300">
        <v>305</v>
      </c>
      <c r="J9300">
        <v>108</v>
      </c>
      <c r="K9300" t="b">
        <v>1</v>
      </c>
    </row>
    <row r="9301" spans="8:11" x14ac:dyDescent="0.25">
      <c r="H9301">
        <v>113</v>
      </c>
      <c r="I9301">
        <v>310</v>
      </c>
      <c r="J9301">
        <v>108</v>
      </c>
      <c r="K9301" t="b">
        <v>1</v>
      </c>
    </row>
    <row r="9302" spans="8:11" x14ac:dyDescent="0.25">
      <c r="H9302">
        <v>113</v>
      </c>
      <c r="I9302">
        <v>315</v>
      </c>
      <c r="J9302">
        <v>108</v>
      </c>
      <c r="K9302" t="b">
        <v>1</v>
      </c>
    </row>
    <row r="9303" spans="8:11" x14ac:dyDescent="0.25">
      <c r="H9303">
        <v>113</v>
      </c>
      <c r="I9303">
        <v>320</v>
      </c>
      <c r="J9303">
        <v>108</v>
      </c>
      <c r="K9303" t="b">
        <v>1</v>
      </c>
    </row>
    <row r="9304" spans="8:11" x14ac:dyDescent="0.25">
      <c r="H9304">
        <v>113</v>
      </c>
      <c r="I9304">
        <v>325</v>
      </c>
      <c r="J9304">
        <v>108</v>
      </c>
      <c r="K9304" t="b">
        <v>1</v>
      </c>
    </row>
    <row r="9305" spans="8:11" x14ac:dyDescent="0.25">
      <c r="H9305">
        <v>113</v>
      </c>
      <c r="I9305">
        <v>330</v>
      </c>
      <c r="J9305">
        <v>108</v>
      </c>
      <c r="K9305" t="b">
        <v>1</v>
      </c>
    </row>
    <row r="9306" spans="8:11" x14ac:dyDescent="0.25">
      <c r="H9306">
        <v>113</v>
      </c>
      <c r="I9306">
        <v>335</v>
      </c>
      <c r="J9306">
        <v>108</v>
      </c>
      <c r="K9306" t="b">
        <v>1</v>
      </c>
    </row>
    <row r="9307" spans="8:11" x14ac:dyDescent="0.25">
      <c r="H9307">
        <v>113</v>
      </c>
      <c r="I9307">
        <v>340</v>
      </c>
      <c r="J9307">
        <v>108</v>
      </c>
      <c r="K9307" t="b">
        <v>1</v>
      </c>
    </row>
    <row r="9308" spans="8:11" x14ac:dyDescent="0.25">
      <c r="H9308">
        <v>113</v>
      </c>
      <c r="I9308">
        <v>345</v>
      </c>
      <c r="J9308">
        <v>108</v>
      </c>
      <c r="K9308" t="b">
        <v>1</v>
      </c>
    </row>
    <row r="9309" spans="8:11" x14ac:dyDescent="0.25">
      <c r="H9309">
        <v>113</v>
      </c>
      <c r="I9309">
        <v>350</v>
      </c>
      <c r="J9309">
        <v>108</v>
      </c>
      <c r="K9309" t="b">
        <v>1</v>
      </c>
    </row>
    <row r="9310" spans="8:11" x14ac:dyDescent="0.25">
      <c r="H9310">
        <v>113</v>
      </c>
      <c r="I9310">
        <v>355</v>
      </c>
      <c r="J9310">
        <v>108</v>
      </c>
      <c r="K9310" t="b">
        <v>1</v>
      </c>
    </row>
    <row r="9311" spans="8:11" x14ac:dyDescent="0.25">
      <c r="H9311">
        <v>113</v>
      </c>
      <c r="I9311">
        <v>360</v>
      </c>
      <c r="J9311">
        <v>108</v>
      </c>
      <c r="K9311" t="b">
        <v>1</v>
      </c>
    </row>
    <row r="9312" spans="8:11" x14ac:dyDescent="0.25">
      <c r="H9312">
        <v>113</v>
      </c>
      <c r="I9312">
        <v>365</v>
      </c>
      <c r="J9312">
        <v>108</v>
      </c>
      <c r="K9312" t="b">
        <v>1</v>
      </c>
    </row>
    <row r="9313" spans="8:11" x14ac:dyDescent="0.25">
      <c r="H9313">
        <v>113</v>
      </c>
      <c r="I9313">
        <v>370</v>
      </c>
      <c r="J9313">
        <v>108</v>
      </c>
      <c r="K9313" t="b">
        <v>1</v>
      </c>
    </row>
    <row r="9314" spans="8:11" x14ac:dyDescent="0.25">
      <c r="H9314">
        <v>113</v>
      </c>
      <c r="I9314">
        <v>375</v>
      </c>
      <c r="J9314">
        <v>108</v>
      </c>
      <c r="K9314" t="b">
        <v>1</v>
      </c>
    </row>
    <row r="9315" spans="8:11" x14ac:dyDescent="0.25">
      <c r="H9315">
        <v>113</v>
      </c>
      <c r="I9315">
        <v>380</v>
      </c>
      <c r="J9315">
        <v>108</v>
      </c>
      <c r="K9315" t="b">
        <v>1</v>
      </c>
    </row>
    <row r="9316" spans="8:11" x14ac:dyDescent="0.25">
      <c r="H9316">
        <v>113</v>
      </c>
      <c r="I9316">
        <v>385</v>
      </c>
      <c r="J9316">
        <v>108</v>
      </c>
      <c r="K9316" t="b">
        <v>1</v>
      </c>
    </row>
    <row r="9317" spans="8:11" x14ac:dyDescent="0.25">
      <c r="H9317">
        <v>113</v>
      </c>
      <c r="I9317">
        <v>390</v>
      </c>
      <c r="J9317">
        <v>108</v>
      </c>
      <c r="K9317" t="b">
        <v>1</v>
      </c>
    </row>
    <row r="9318" spans="8:11" x14ac:dyDescent="0.25">
      <c r="H9318">
        <v>113</v>
      </c>
      <c r="I9318">
        <v>395</v>
      </c>
      <c r="J9318">
        <v>108</v>
      </c>
      <c r="K9318" t="b">
        <v>1</v>
      </c>
    </row>
    <row r="9319" spans="8:11" x14ac:dyDescent="0.25">
      <c r="H9319">
        <v>113</v>
      </c>
      <c r="I9319">
        <v>400</v>
      </c>
      <c r="J9319">
        <v>108</v>
      </c>
      <c r="K9319" t="b">
        <v>1</v>
      </c>
    </row>
    <row r="9320" spans="8:11" x14ac:dyDescent="0.25">
      <c r="H9320">
        <v>113</v>
      </c>
      <c r="I9320">
        <v>405</v>
      </c>
      <c r="J9320">
        <v>108</v>
      </c>
      <c r="K9320" t="b">
        <v>1</v>
      </c>
    </row>
    <row r="9321" spans="8:11" x14ac:dyDescent="0.25">
      <c r="H9321">
        <v>113</v>
      </c>
      <c r="I9321">
        <v>410</v>
      </c>
      <c r="J9321">
        <v>108</v>
      </c>
      <c r="K9321" t="b">
        <v>1</v>
      </c>
    </row>
    <row r="9322" spans="8:11" x14ac:dyDescent="0.25">
      <c r="H9322">
        <v>113</v>
      </c>
      <c r="I9322">
        <v>415</v>
      </c>
      <c r="J9322">
        <v>108</v>
      </c>
      <c r="K9322" t="b">
        <v>1</v>
      </c>
    </row>
    <row r="9323" spans="8:11" x14ac:dyDescent="0.25">
      <c r="H9323">
        <v>113</v>
      </c>
      <c r="I9323">
        <v>420</v>
      </c>
      <c r="J9323">
        <v>108</v>
      </c>
      <c r="K9323" t="b">
        <v>1</v>
      </c>
    </row>
    <row r="9324" spans="8:11" x14ac:dyDescent="0.25">
      <c r="H9324">
        <v>113</v>
      </c>
      <c r="I9324">
        <v>425</v>
      </c>
      <c r="J9324">
        <v>108</v>
      </c>
      <c r="K9324" t="b">
        <v>1</v>
      </c>
    </row>
    <row r="9325" spans="8:11" x14ac:dyDescent="0.25">
      <c r="H9325">
        <v>113</v>
      </c>
      <c r="I9325">
        <v>430</v>
      </c>
      <c r="J9325">
        <v>108</v>
      </c>
      <c r="K9325" t="b">
        <v>1</v>
      </c>
    </row>
    <row r="9326" spans="8:11" x14ac:dyDescent="0.25">
      <c r="H9326">
        <v>113</v>
      </c>
      <c r="I9326">
        <v>435</v>
      </c>
      <c r="J9326">
        <v>108</v>
      </c>
      <c r="K9326" t="b">
        <v>1</v>
      </c>
    </row>
    <row r="9327" spans="8:11" x14ac:dyDescent="0.25">
      <c r="H9327">
        <v>113</v>
      </c>
      <c r="I9327">
        <v>440</v>
      </c>
      <c r="J9327">
        <v>108</v>
      </c>
      <c r="K9327" t="b">
        <v>1</v>
      </c>
    </row>
    <row r="9328" spans="8:11" x14ac:dyDescent="0.25">
      <c r="H9328">
        <v>113</v>
      </c>
      <c r="I9328">
        <v>445</v>
      </c>
      <c r="J9328">
        <v>108</v>
      </c>
      <c r="K9328" t="b">
        <v>1</v>
      </c>
    </row>
    <row r="9329" spans="8:11" x14ac:dyDescent="0.25">
      <c r="H9329">
        <v>113</v>
      </c>
      <c r="I9329">
        <v>450</v>
      </c>
      <c r="J9329">
        <v>108</v>
      </c>
      <c r="K9329" t="b">
        <v>1</v>
      </c>
    </row>
    <row r="9330" spans="8:11" x14ac:dyDescent="0.25">
      <c r="H9330">
        <v>113</v>
      </c>
      <c r="I9330">
        <v>455</v>
      </c>
      <c r="J9330">
        <v>108</v>
      </c>
      <c r="K9330" t="b">
        <v>1</v>
      </c>
    </row>
    <row r="9331" spans="8:11" x14ac:dyDescent="0.25">
      <c r="H9331">
        <v>113</v>
      </c>
      <c r="I9331">
        <v>460</v>
      </c>
      <c r="J9331">
        <v>108</v>
      </c>
      <c r="K9331" t="b">
        <v>1</v>
      </c>
    </row>
    <row r="9332" spans="8:11" x14ac:dyDescent="0.25">
      <c r="H9332">
        <v>113</v>
      </c>
      <c r="I9332">
        <v>465</v>
      </c>
      <c r="J9332">
        <v>108</v>
      </c>
      <c r="K9332" t="b">
        <v>1</v>
      </c>
    </row>
    <row r="9333" spans="8:11" x14ac:dyDescent="0.25">
      <c r="H9333">
        <v>113</v>
      </c>
      <c r="I9333">
        <v>470</v>
      </c>
      <c r="J9333">
        <v>108</v>
      </c>
      <c r="K9333" t="b">
        <v>1</v>
      </c>
    </row>
    <row r="9334" spans="8:11" x14ac:dyDescent="0.25">
      <c r="H9334">
        <v>113</v>
      </c>
      <c r="I9334">
        <v>475</v>
      </c>
      <c r="J9334">
        <v>108</v>
      </c>
      <c r="K9334" t="b">
        <v>1</v>
      </c>
    </row>
    <row r="9335" spans="8:11" x14ac:dyDescent="0.25">
      <c r="H9335">
        <v>113</v>
      </c>
      <c r="I9335">
        <v>480</v>
      </c>
      <c r="J9335">
        <v>108</v>
      </c>
      <c r="K9335" t="b">
        <v>1</v>
      </c>
    </row>
    <row r="9336" spans="8:11" x14ac:dyDescent="0.25">
      <c r="H9336">
        <v>113</v>
      </c>
      <c r="I9336">
        <v>485</v>
      </c>
      <c r="J9336">
        <v>108</v>
      </c>
      <c r="K9336" t="b">
        <v>1</v>
      </c>
    </row>
    <row r="9337" spans="8:11" x14ac:dyDescent="0.25">
      <c r="H9337">
        <v>113</v>
      </c>
      <c r="I9337">
        <v>490</v>
      </c>
      <c r="J9337">
        <v>108</v>
      </c>
      <c r="K9337" t="b">
        <v>1</v>
      </c>
    </row>
    <row r="9338" spans="8:11" x14ac:dyDescent="0.25">
      <c r="H9338">
        <v>113</v>
      </c>
      <c r="I9338">
        <v>495</v>
      </c>
      <c r="J9338">
        <v>108</v>
      </c>
      <c r="K9338" t="b">
        <v>1</v>
      </c>
    </row>
    <row r="9339" spans="8:11" x14ac:dyDescent="0.25">
      <c r="H9339">
        <v>113</v>
      </c>
      <c r="I9339">
        <v>500</v>
      </c>
      <c r="J9339">
        <v>108</v>
      </c>
      <c r="K9339" t="b">
        <v>1</v>
      </c>
    </row>
    <row r="9340" spans="8:11" x14ac:dyDescent="0.25">
      <c r="H9340">
        <v>113</v>
      </c>
      <c r="I9340">
        <v>505</v>
      </c>
      <c r="J9340">
        <v>108</v>
      </c>
      <c r="K9340" t="b">
        <v>1</v>
      </c>
    </row>
    <row r="9341" spans="8:11" x14ac:dyDescent="0.25">
      <c r="H9341">
        <v>113</v>
      </c>
      <c r="I9341">
        <v>510</v>
      </c>
      <c r="J9341">
        <v>108</v>
      </c>
      <c r="K9341" t="b">
        <v>1</v>
      </c>
    </row>
    <row r="9342" spans="8:11" x14ac:dyDescent="0.25">
      <c r="H9342">
        <v>113</v>
      </c>
      <c r="I9342">
        <v>515</v>
      </c>
      <c r="J9342">
        <v>108</v>
      </c>
      <c r="K9342" t="b">
        <v>1</v>
      </c>
    </row>
    <row r="9343" spans="8:11" x14ac:dyDescent="0.25">
      <c r="H9343">
        <v>113</v>
      </c>
      <c r="I9343">
        <v>520</v>
      </c>
      <c r="J9343">
        <v>108</v>
      </c>
      <c r="K9343" t="b">
        <v>1</v>
      </c>
    </row>
    <row r="9344" spans="8:11" x14ac:dyDescent="0.25">
      <c r="H9344">
        <v>113</v>
      </c>
      <c r="I9344">
        <v>525</v>
      </c>
      <c r="J9344">
        <v>108</v>
      </c>
      <c r="K9344" t="b">
        <v>1</v>
      </c>
    </row>
    <row r="9345" spans="8:11" x14ac:dyDescent="0.25">
      <c r="H9345">
        <v>113</v>
      </c>
      <c r="I9345">
        <v>530</v>
      </c>
      <c r="J9345">
        <v>108</v>
      </c>
      <c r="K9345" t="b">
        <v>1</v>
      </c>
    </row>
    <row r="9346" spans="8:11" x14ac:dyDescent="0.25">
      <c r="H9346">
        <v>113</v>
      </c>
      <c r="I9346">
        <v>535</v>
      </c>
      <c r="J9346">
        <v>108</v>
      </c>
      <c r="K9346" t="b">
        <v>1</v>
      </c>
    </row>
    <row r="9347" spans="8:11" x14ac:dyDescent="0.25">
      <c r="H9347">
        <v>113</v>
      </c>
      <c r="I9347">
        <v>540</v>
      </c>
      <c r="J9347">
        <v>108</v>
      </c>
      <c r="K9347" t="b">
        <v>1</v>
      </c>
    </row>
    <row r="9348" spans="8:11" x14ac:dyDescent="0.25">
      <c r="H9348">
        <v>113</v>
      </c>
      <c r="I9348">
        <v>545</v>
      </c>
      <c r="J9348">
        <v>108</v>
      </c>
      <c r="K9348" t="b">
        <v>1</v>
      </c>
    </row>
    <row r="9349" spans="8:11" x14ac:dyDescent="0.25">
      <c r="H9349">
        <v>113</v>
      </c>
      <c r="I9349">
        <v>550</v>
      </c>
      <c r="J9349">
        <v>108</v>
      </c>
      <c r="K9349" t="b">
        <v>1</v>
      </c>
    </row>
    <row r="9350" spans="8:11" x14ac:dyDescent="0.25">
      <c r="H9350">
        <v>113</v>
      </c>
      <c r="I9350">
        <v>555</v>
      </c>
      <c r="J9350">
        <v>108</v>
      </c>
      <c r="K9350" t="b">
        <v>1</v>
      </c>
    </row>
    <row r="9351" spans="8:11" x14ac:dyDescent="0.25">
      <c r="H9351">
        <v>113</v>
      </c>
      <c r="I9351">
        <v>560</v>
      </c>
      <c r="J9351">
        <v>108</v>
      </c>
      <c r="K9351" t="b">
        <v>1</v>
      </c>
    </row>
    <row r="9352" spans="8:11" x14ac:dyDescent="0.25">
      <c r="H9352">
        <v>113</v>
      </c>
      <c r="I9352">
        <v>565</v>
      </c>
      <c r="J9352">
        <v>108</v>
      </c>
      <c r="K9352" t="b">
        <v>1</v>
      </c>
    </row>
    <row r="9353" spans="8:11" x14ac:dyDescent="0.25">
      <c r="H9353">
        <v>113</v>
      </c>
      <c r="I9353">
        <v>570</v>
      </c>
      <c r="J9353">
        <v>108</v>
      </c>
      <c r="K9353" t="b">
        <v>1</v>
      </c>
    </row>
    <row r="9354" spans="8:11" x14ac:dyDescent="0.25">
      <c r="H9354">
        <v>113</v>
      </c>
      <c r="I9354">
        <v>575</v>
      </c>
      <c r="J9354">
        <v>108</v>
      </c>
      <c r="K9354" t="b">
        <v>1</v>
      </c>
    </row>
    <row r="9355" spans="8:11" x14ac:dyDescent="0.25">
      <c r="H9355">
        <v>113</v>
      </c>
      <c r="I9355">
        <v>580</v>
      </c>
      <c r="J9355">
        <v>108</v>
      </c>
      <c r="K9355" t="b">
        <v>1</v>
      </c>
    </row>
    <row r="9356" spans="8:11" x14ac:dyDescent="0.25">
      <c r="H9356">
        <v>113</v>
      </c>
      <c r="I9356">
        <v>585</v>
      </c>
      <c r="J9356">
        <v>108</v>
      </c>
      <c r="K9356" t="b">
        <v>1</v>
      </c>
    </row>
    <row r="9357" spans="8:11" x14ac:dyDescent="0.25">
      <c r="H9357">
        <v>113</v>
      </c>
      <c r="I9357">
        <v>590</v>
      </c>
      <c r="J9357">
        <v>108</v>
      </c>
      <c r="K9357" t="b">
        <v>1</v>
      </c>
    </row>
    <row r="9358" spans="8:11" x14ac:dyDescent="0.25">
      <c r="H9358">
        <v>113</v>
      </c>
      <c r="I9358">
        <v>595</v>
      </c>
      <c r="J9358">
        <v>108</v>
      </c>
      <c r="K9358" t="b">
        <v>1</v>
      </c>
    </row>
    <row r="9359" spans="8:11" x14ac:dyDescent="0.25">
      <c r="H9359">
        <v>113</v>
      </c>
      <c r="I9359">
        <v>600</v>
      </c>
      <c r="J9359">
        <v>108</v>
      </c>
      <c r="K9359" t="b">
        <v>1</v>
      </c>
    </row>
    <row r="9360" spans="8:11" x14ac:dyDescent="0.25">
      <c r="H9360">
        <v>113</v>
      </c>
      <c r="I9360">
        <v>605</v>
      </c>
      <c r="J9360">
        <v>108</v>
      </c>
      <c r="K9360" t="b">
        <v>1</v>
      </c>
    </row>
    <row r="9361" spans="8:11" x14ac:dyDescent="0.25">
      <c r="H9361">
        <v>113</v>
      </c>
      <c r="I9361">
        <v>610</v>
      </c>
      <c r="J9361">
        <v>108</v>
      </c>
      <c r="K9361" t="b">
        <v>1</v>
      </c>
    </row>
    <row r="9362" spans="8:11" x14ac:dyDescent="0.25">
      <c r="H9362">
        <v>113</v>
      </c>
      <c r="I9362">
        <v>615</v>
      </c>
      <c r="J9362">
        <v>108</v>
      </c>
      <c r="K9362" t="b">
        <v>1</v>
      </c>
    </row>
    <row r="9363" spans="8:11" x14ac:dyDescent="0.25">
      <c r="H9363">
        <v>113</v>
      </c>
      <c r="I9363">
        <v>620</v>
      </c>
      <c r="J9363">
        <v>108</v>
      </c>
      <c r="K9363" t="b">
        <v>1</v>
      </c>
    </row>
    <row r="9364" spans="8:11" x14ac:dyDescent="0.25">
      <c r="H9364">
        <v>113</v>
      </c>
      <c r="I9364">
        <v>625</v>
      </c>
      <c r="J9364">
        <v>108</v>
      </c>
      <c r="K9364" t="b">
        <v>1</v>
      </c>
    </row>
    <row r="9365" spans="8:11" x14ac:dyDescent="0.25">
      <c r="H9365">
        <v>113</v>
      </c>
      <c r="I9365">
        <v>630</v>
      </c>
      <c r="J9365">
        <v>108</v>
      </c>
      <c r="K9365" t="b">
        <v>1</v>
      </c>
    </row>
    <row r="9366" spans="8:11" x14ac:dyDescent="0.25">
      <c r="H9366">
        <v>113</v>
      </c>
      <c r="I9366">
        <v>635</v>
      </c>
      <c r="J9366">
        <v>108</v>
      </c>
      <c r="K9366" t="b">
        <v>1</v>
      </c>
    </row>
    <row r="9367" spans="8:11" x14ac:dyDescent="0.25">
      <c r="H9367">
        <v>113</v>
      </c>
      <c r="I9367">
        <v>640</v>
      </c>
      <c r="J9367">
        <v>108</v>
      </c>
      <c r="K9367" t="b">
        <v>1</v>
      </c>
    </row>
    <row r="9368" spans="8:11" x14ac:dyDescent="0.25">
      <c r="H9368">
        <v>113</v>
      </c>
      <c r="I9368">
        <v>645</v>
      </c>
      <c r="J9368">
        <v>108</v>
      </c>
      <c r="K9368" t="b">
        <v>1</v>
      </c>
    </row>
    <row r="9369" spans="8:11" x14ac:dyDescent="0.25">
      <c r="H9369">
        <v>113</v>
      </c>
      <c r="I9369">
        <v>650</v>
      </c>
      <c r="J9369">
        <v>108</v>
      </c>
      <c r="K9369" t="b">
        <v>1</v>
      </c>
    </row>
    <row r="9370" spans="8:11" x14ac:dyDescent="0.25">
      <c r="H9370">
        <v>113</v>
      </c>
      <c r="I9370">
        <v>655</v>
      </c>
      <c r="J9370">
        <v>108</v>
      </c>
      <c r="K9370" t="b">
        <v>1</v>
      </c>
    </row>
    <row r="9371" spans="8:11" x14ac:dyDescent="0.25">
      <c r="H9371">
        <v>113</v>
      </c>
      <c r="I9371">
        <v>660</v>
      </c>
      <c r="J9371">
        <v>108</v>
      </c>
      <c r="K9371" t="b">
        <v>1</v>
      </c>
    </row>
    <row r="9372" spans="8:11" x14ac:dyDescent="0.25">
      <c r="H9372">
        <v>113</v>
      </c>
      <c r="I9372">
        <v>665</v>
      </c>
      <c r="J9372">
        <v>108</v>
      </c>
      <c r="K9372" t="b">
        <v>1</v>
      </c>
    </row>
    <row r="9373" spans="8:11" x14ac:dyDescent="0.25">
      <c r="H9373">
        <v>113</v>
      </c>
      <c r="I9373">
        <v>670</v>
      </c>
      <c r="J9373">
        <v>108</v>
      </c>
      <c r="K9373" t="b">
        <v>1</v>
      </c>
    </row>
    <row r="9374" spans="8:11" x14ac:dyDescent="0.25">
      <c r="H9374">
        <v>113</v>
      </c>
      <c r="I9374">
        <v>675</v>
      </c>
      <c r="J9374">
        <v>108</v>
      </c>
      <c r="K9374" t="b">
        <v>1</v>
      </c>
    </row>
    <row r="9375" spans="8:11" x14ac:dyDescent="0.25">
      <c r="H9375">
        <v>113</v>
      </c>
      <c r="I9375">
        <v>680</v>
      </c>
      <c r="J9375">
        <v>108</v>
      </c>
      <c r="K9375" t="b">
        <v>1</v>
      </c>
    </row>
    <row r="9376" spans="8:11" x14ac:dyDescent="0.25">
      <c r="H9376">
        <v>113</v>
      </c>
      <c r="I9376">
        <v>685</v>
      </c>
      <c r="J9376">
        <v>108</v>
      </c>
      <c r="K9376" t="b">
        <v>1</v>
      </c>
    </row>
    <row r="9377" spans="8:11" x14ac:dyDescent="0.25">
      <c r="H9377">
        <v>113</v>
      </c>
      <c r="I9377">
        <v>690</v>
      </c>
      <c r="J9377">
        <v>108</v>
      </c>
      <c r="K9377" t="b">
        <v>1</v>
      </c>
    </row>
    <row r="9378" spans="8:11" x14ac:dyDescent="0.25">
      <c r="H9378">
        <v>113</v>
      </c>
      <c r="I9378">
        <v>695</v>
      </c>
      <c r="J9378">
        <v>108</v>
      </c>
      <c r="K9378" t="b">
        <v>1</v>
      </c>
    </row>
    <row r="9379" spans="8:11" x14ac:dyDescent="0.25">
      <c r="H9379">
        <v>113</v>
      </c>
      <c r="I9379">
        <v>700</v>
      </c>
      <c r="J9379">
        <v>108</v>
      </c>
      <c r="K9379" t="b">
        <v>1</v>
      </c>
    </row>
    <row r="9380" spans="8:11" x14ac:dyDescent="0.25">
      <c r="H9380">
        <v>113</v>
      </c>
      <c r="I9380">
        <v>705</v>
      </c>
      <c r="J9380">
        <v>108</v>
      </c>
      <c r="K9380" t="b">
        <v>1</v>
      </c>
    </row>
    <row r="9381" spans="8:11" x14ac:dyDescent="0.25">
      <c r="H9381">
        <v>113</v>
      </c>
      <c r="I9381">
        <v>710</v>
      </c>
      <c r="J9381">
        <v>108</v>
      </c>
      <c r="K9381" t="b">
        <v>1</v>
      </c>
    </row>
    <row r="9382" spans="8:11" x14ac:dyDescent="0.25">
      <c r="H9382">
        <v>113</v>
      </c>
      <c r="I9382">
        <v>715</v>
      </c>
      <c r="J9382">
        <v>108</v>
      </c>
      <c r="K9382" t="b">
        <v>1</v>
      </c>
    </row>
    <row r="9383" spans="8:11" x14ac:dyDescent="0.25">
      <c r="H9383">
        <v>113</v>
      </c>
      <c r="I9383">
        <v>720</v>
      </c>
      <c r="J9383">
        <v>108</v>
      </c>
      <c r="K9383" t="b">
        <v>1</v>
      </c>
    </row>
    <row r="9384" spans="8:11" x14ac:dyDescent="0.25">
      <c r="H9384">
        <v>113</v>
      </c>
      <c r="I9384">
        <v>725</v>
      </c>
      <c r="J9384">
        <v>108</v>
      </c>
      <c r="K9384" t="b">
        <v>1</v>
      </c>
    </row>
    <row r="9385" spans="8:11" x14ac:dyDescent="0.25">
      <c r="H9385">
        <v>113</v>
      </c>
      <c r="I9385">
        <v>730</v>
      </c>
      <c r="J9385">
        <v>108</v>
      </c>
      <c r="K9385" t="b">
        <v>1</v>
      </c>
    </row>
    <row r="9386" spans="8:11" x14ac:dyDescent="0.25">
      <c r="H9386">
        <v>113</v>
      </c>
      <c r="I9386">
        <v>735</v>
      </c>
      <c r="J9386">
        <v>108</v>
      </c>
      <c r="K9386" t="b">
        <v>1</v>
      </c>
    </row>
    <row r="9387" spans="8:11" x14ac:dyDescent="0.25">
      <c r="H9387">
        <v>113</v>
      </c>
      <c r="I9387">
        <v>740</v>
      </c>
      <c r="J9387">
        <v>108</v>
      </c>
      <c r="K9387" t="b">
        <v>1</v>
      </c>
    </row>
    <row r="9388" spans="8:11" x14ac:dyDescent="0.25">
      <c r="H9388">
        <v>113</v>
      </c>
      <c r="I9388">
        <v>745</v>
      </c>
      <c r="J9388">
        <v>108</v>
      </c>
      <c r="K9388" t="b">
        <v>1</v>
      </c>
    </row>
    <row r="9389" spans="8:11" x14ac:dyDescent="0.25">
      <c r="H9389">
        <v>113</v>
      </c>
      <c r="I9389">
        <v>750</v>
      </c>
      <c r="J9389">
        <v>108</v>
      </c>
      <c r="K9389" t="b">
        <v>1</v>
      </c>
    </row>
    <row r="9390" spans="8:11" x14ac:dyDescent="0.25">
      <c r="H9390">
        <v>113</v>
      </c>
      <c r="I9390">
        <v>755</v>
      </c>
      <c r="J9390">
        <v>108</v>
      </c>
      <c r="K9390" t="b">
        <v>1</v>
      </c>
    </row>
    <row r="9391" spans="8:11" x14ac:dyDescent="0.25">
      <c r="H9391">
        <v>113</v>
      </c>
      <c r="I9391">
        <v>760</v>
      </c>
      <c r="J9391">
        <v>108</v>
      </c>
      <c r="K9391" t="b">
        <v>1</v>
      </c>
    </row>
    <row r="9392" spans="8:11" x14ac:dyDescent="0.25">
      <c r="H9392">
        <v>113</v>
      </c>
      <c r="I9392">
        <v>765</v>
      </c>
      <c r="J9392">
        <v>108</v>
      </c>
      <c r="K9392" t="b">
        <v>1</v>
      </c>
    </row>
    <row r="9393" spans="8:11" x14ac:dyDescent="0.25">
      <c r="H9393">
        <v>113</v>
      </c>
      <c r="I9393">
        <v>770</v>
      </c>
      <c r="J9393">
        <v>108</v>
      </c>
      <c r="K9393" t="b">
        <v>1</v>
      </c>
    </row>
    <row r="9394" spans="8:11" x14ac:dyDescent="0.25">
      <c r="H9394">
        <v>113</v>
      </c>
      <c r="I9394">
        <v>775</v>
      </c>
      <c r="J9394">
        <v>108</v>
      </c>
      <c r="K9394" t="b">
        <v>1</v>
      </c>
    </row>
    <row r="9395" spans="8:11" x14ac:dyDescent="0.25">
      <c r="H9395">
        <v>113</v>
      </c>
      <c r="I9395">
        <v>780</v>
      </c>
      <c r="J9395">
        <v>108</v>
      </c>
      <c r="K9395" t="b">
        <v>1</v>
      </c>
    </row>
    <row r="9396" spans="8:11" x14ac:dyDescent="0.25">
      <c r="H9396">
        <v>113</v>
      </c>
      <c r="I9396">
        <v>785</v>
      </c>
      <c r="J9396">
        <v>108</v>
      </c>
      <c r="K9396" t="b">
        <v>1</v>
      </c>
    </row>
    <row r="9397" spans="8:11" x14ac:dyDescent="0.25">
      <c r="H9397">
        <v>113</v>
      </c>
      <c r="I9397">
        <v>790</v>
      </c>
      <c r="J9397">
        <v>108</v>
      </c>
      <c r="K9397" t="b">
        <v>1</v>
      </c>
    </row>
    <row r="9398" spans="8:11" x14ac:dyDescent="0.25">
      <c r="H9398">
        <v>113</v>
      </c>
      <c r="I9398">
        <v>795</v>
      </c>
      <c r="J9398">
        <v>108</v>
      </c>
      <c r="K9398" t="b">
        <v>1</v>
      </c>
    </row>
    <row r="9399" spans="8:11" x14ac:dyDescent="0.25">
      <c r="H9399">
        <v>113</v>
      </c>
      <c r="I9399">
        <v>800</v>
      </c>
      <c r="J9399">
        <v>108</v>
      </c>
      <c r="K9399" t="b">
        <v>1</v>
      </c>
    </row>
    <row r="9400" spans="8:11" x14ac:dyDescent="0.25">
      <c r="H9400">
        <v>113</v>
      </c>
      <c r="I9400">
        <v>805</v>
      </c>
      <c r="J9400">
        <v>108</v>
      </c>
      <c r="K9400" t="b">
        <v>1</v>
      </c>
    </row>
    <row r="9401" spans="8:11" x14ac:dyDescent="0.25">
      <c r="H9401">
        <v>113</v>
      </c>
      <c r="I9401">
        <v>810</v>
      </c>
      <c r="J9401">
        <v>108</v>
      </c>
      <c r="K9401" t="b">
        <v>1</v>
      </c>
    </row>
    <row r="9402" spans="8:11" x14ac:dyDescent="0.25">
      <c r="H9402">
        <v>113</v>
      </c>
      <c r="I9402">
        <v>815</v>
      </c>
      <c r="J9402">
        <v>108</v>
      </c>
      <c r="K9402" t="b">
        <v>1</v>
      </c>
    </row>
    <row r="9403" spans="8:11" x14ac:dyDescent="0.25">
      <c r="H9403">
        <v>113</v>
      </c>
      <c r="I9403">
        <v>820</v>
      </c>
      <c r="J9403">
        <v>108</v>
      </c>
      <c r="K9403" t="b">
        <v>1</v>
      </c>
    </row>
    <row r="9404" spans="8:11" x14ac:dyDescent="0.25">
      <c r="H9404">
        <v>113</v>
      </c>
      <c r="I9404">
        <v>825</v>
      </c>
      <c r="J9404">
        <v>108</v>
      </c>
      <c r="K9404" t="b">
        <v>1</v>
      </c>
    </row>
    <row r="9405" spans="8:11" x14ac:dyDescent="0.25">
      <c r="H9405">
        <v>113</v>
      </c>
      <c r="I9405">
        <v>830</v>
      </c>
      <c r="J9405">
        <v>108</v>
      </c>
      <c r="K9405" t="b">
        <v>1</v>
      </c>
    </row>
    <row r="9406" spans="8:11" x14ac:dyDescent="0.25">
      <c r="H9406">
        <v>113</v>
      </c>
      <c r="I9406">
        <v>835</v>
      </c>
      <c r="J9406">
        <v>108</v>
      </c>
      <c r="K9406" t="b">
        <v>1</v>
      </c>
    </row>
    <row r="9407" spans="8:11" x14ac:dyDescent="0.25">
      <c r="H9407">
        <v>113</v>
      </c>
      <c r="I9407">
        <v>840</v>
      </c>
      <c r="J9407">
        <v>108</v>
      </c>
      <c r="K9407" t="b">
        <v>1</v>
      </c>
    </row>
    <row r="9408" spans="8:11" x14ac:dyDescent="0.25">
      <c r="H9408">
        <v>113</v>
      </c>
      <c r="I9408">
        <v>845</v>
      </c>
      <c r="J9408">
        <v>108</v>
      </c>
      <c r="K9408" t="b">
        <v>1</v>
      </c>
    </row>
    <row r="9409" spans="8:11" x14ac:dyDescent="0.25">
      <c r="H9409">
        <v>113</v>
      </c>
      <c r="I9409">
        <v>850</v>
      </c>
      <c r="J9409">
        <v>108</v>
      </c>
      <c r="K9409" t="b">
        <v>1</v>
      </c>
    </row>
    <row r="9410" spans="8:11" x14ac:dyDescent="0.25">
      <c r="H9410">
        <v>113</v>
      </c>
      <c r="I9410">
        <v>855</v>
      </c>
      <c r="J9410">
        <v>108</v>
      </c>
      <c r="K9410" t="b">
        <v>1</v>
      </c>
    </row>
    <row r="9411" spans="8:11" x14ac:dyDescent="0.25">
      <c r="H9411">
        <v>113</v>
      </c>
      <c r="I9411">
        <v>860</v>
      </c>
      <c r="J9411">
        <v>108</v>
      </c>
      <c r="K9411" t="b">
        <v>1</v>
      </c>
    </row>
    <row r="9412" spans="8:11" x14ac:dyDescent="0.25">
      <c r="H9412">
        <v>113</v>
      </c>
      <c r="I9412">
        <v>865</v>
      </c>
      <c r="J9412">
        <v>108</v>
      </c>
      <c r="K9412" t="b">
        <v>1</v>
      </c>
    </row>
    <row r="9413" spans="8:11" x14ac:dyDescent="0.25">
      <c r="H9413">
        <v>113</v>
      </c>
      <c r="I9413">
        <v>870</v>
      </c>
      <c r="J9413">
        <v>108</v>
      </c>
      <c r="K9413" t="b">
        <v>1</v>
      </c>
    </row>
    <row r="9414" spans="8:11" x14ac:dyDescent="0.25">
      <c r="H9414">
        <v>113</v>
      </c>
      <c r="I9414">
        <v>875</v>
      </c>
      <c r="J9414">
        <v>108</v>
      </c>
      <c r="K9414" t="b">
        <v>1</v>
      </c>
    </row>
    <row r="9415" spans="8:11" x14ac:dyDescent="0.25">
      <c r="H9415">
        <v>113</v>
      </c>
      <c r="I9415">
        <v>880</v>
      </c>
      <c r="J9415">
        <v>108</v>
      </c>
      <c r="K9415" t="b">
        <v>1</v>
      </c>
    </row>
    <row r="9416" spans="8:11" x14ac:dyDescent="0.25">
      <c r="H9416">
        <v>113</v>
      </c>
      <c r="I9416">
        <v>885</v>
      </c>
      <c r="J9416">
        <v>108</v>
      </c>
      <c r="K9416" t="b">
        <v>1</v>
      </c>
    </row>
    <row r="9417" spans="8:11" x14ac:dyDescent="0.25">
      <c r="H9417">
        <v>113</v>
      </c>
      <c r="I9417">
        <v>890</v>
      </c>
      <c r="J9417">
        <v>108</v>
      </c>
      <c r="K9417" t="b">
        <v>1</v>
      </c>
    </row>
    <row r="9418" spans="8:11" x14ac:dyDescent="0.25">
      <c r="H9418">
        <v>113</v>
      </c>
      <c r="I9418">
        <v>895</v>
      </c>
      <c r="J9418">
        <v>108</v>
      </c>
      <c r="K9418" t="b">
        <v>1</v>
      </c>
    </row>
    <row r="9419" spans="8:11" x14ac:dyDescent="0.25">
      <c r="H9419">
        <v>113</v>
      </c>
      <c r="I9419">
        <v>900</v>
      </c>
      <c r="J9419">
        <v>108</v>
      </c>
      <c r="K9419" t="b">
        <v>1</v>
      </c>
    </row>
    <row r="9420" spans="8:11" x14ac:dyDescent="0.25">
      <c r="H9420">
        <v>113</v>
      </c>
      <c r="I9420">
        <v>905</v>
      </c>
      <c r="J9420">
        <v>108</v>
      </c>
      <c r="K9420" t="b">
        <v>1</v>
      </c>
    </row>
    <row r="9421" spans="8:11" x14ac:dyDescent="0.25">
      <c r="H9421">
        <v>113</v>
      </c>
      <c r="I9421">
        <v>910</v>
      </c>
      <c r="J9421">
        <v>108</v>
      </c>
      <c r="K9421" t="b">
        <v>1</v>
      </c>
    </row>
    <row r="9422" spans="8:11" x14ac:dyDescent="0.25">
      <c r="H9422">
        <v>113</v>
      </c>
      <c r="I9422">
        <v>915</v>
      </c>
      <c r="J9422">
        <v>108</v>
      </c>
      <c r="K9422" t="b">
        <v>1</v>
      </c>
    </row>
    <row r="9423" spans="8:11" x14ac:dyDescent="0.25">
      <c r="H9423">
        <v>113</v>
      </c>
      <c r="I9423">
        <v>920</v>
      </c>
      <c r="J9423">
        <v>108</v>
      </c>
      <c r="K9423" t="b">
        <v>1</v>
      </c>
    </row>
    <row r="9424" spans="8:11" x14ac:dyDescent="0.25">
      <c r="H9424">
        <v>113</v>
      </c>
      <c r="I9424">
        <v>925</v>
      </c>
      <c r="J9424">
        <v>108</v>
      </c>
      <c r="K9424" t="b">
        <v>1</v>
      </c>
    </row>
    <row r="9425" spans="8:11" x14ac:dyDescent="0.25">
      <c r="H9425">
        <v>113</v>
      </c>
      <c r="I9425">
        <v>930</v>
      </c>
      <c r="J9425">
        <v>108</v>
      </c>
      <c r="K9425" t="b">
        <v>1</v>
      </c>
    </row>
    <row r="9426" spans="8:11" x14ac:dyDescent="0.25">
      <c r="H9426">
        <v>113</v>
      </c>
      <c r="I9426">
        <v>935</v>
      </c>
      <c r="J9426">
        <v>108</v>
      </c>
      <c r="K9426" t="b">
        <v>1</v>
      </c>
    </row>
    <row r="9427" spans="8:11" x14ac:dyDescent="0.25">
      <c r="H9427">
        <v>113</v>
      </c>
      <c r="I9427">
        <v>940</v>
      </c>
      <c r="J9427">
        <v>108</v>
      </c>
      <c r="K9427" t="b">
        <v>1</v>
      </c>
    </row>
    <row r="9428" spans="8:11" x14ac:dyDescent="0.25">
      <c r="H9428">
        <v>113</v>
      </c>
      <c r="I9428">
        <v>945</v>
      </c>
      <c r="J9428">
        <v>108</v>
      </c>
      <c r="K9428" t="b">
        <v>1</v>
      </c>
    </row>
    <row r="9429" spans="8:11" x14ac:dyDescent="0.25">
      <c r="H9429">
        <v>113</v>
      </c>
      <c r="I9429">
        <v>950</v>
      </c>
      <c r="J9429">
        <v>108</v>
      </c>
      <c r="K9429" t="b">
        <v>1</v>
      </c>
    </row>
    <row r="9430" spans="8:11" x14ac:dyDescent="0.25">
      <c r="H9430">
        <v>113</v>
      </c>
      <c r="I9430">
        <v>955</v>
      </c>
      <c r="J9430">
        <v>108</v>
      </c>
      <c r="K9430" t="b">
        <v>1</v>
      </c>
    </row>
    <row r="9431" spans="8:11" x14ac:dyDescent="0.25">
      <c r="H9431">
        <v>114</v>
      </c>
      <c r="I9431">
        <v>0</v>
      </c>
      <c r="J9431">
        <v>108</v>
      </c>
      <c r="K9431" t="b">
        <v>1</v>
      </c>
    </row>
    <row r="9432" spans="8:11" x14ac:dyDescent="0.25">
      <c r="H9432">
        <v>114</v>
      </c>
      <c r="I9432">
        <v>5</v>
      </c>
      <c r="J9432">
        <v>108</v>
      </c>
      <c r="K9432" t="b">
        <v>1</v>
      </c>
    </row>
    <row r="9433" spans="8:11" x14ac:dyDescent="0.25">
      <c r="H9433">
        <v>114</v>
      </c>
      <c r="I9433">
        <v>10</v>
      </c>
      <c r="J9433">
        <v>108</v>
      </c>
      <c r="K9433" t="b">
        <v>1</v>
      </c>
    </row>
    <row r="9434" spans="8:11" x14ac:dyDescent="0.25">
      <c r="H9434">
        <v>114</v>
      </c>
      <c r="I9434">
        <v>15</v>
      </c>
      <c r="J9434">
        <v>108</v>
      </c>
      <c r="K9434" t="b">
        <v>1</v>
      </c>
    </row>
    <row r="9435" spans="8:11" x14ac:dyDescent="0.25">
      <c r="H9435">
        <v>114</v>
      </c>
      <c r="I9435">
        <v>20</v>
      </c>
      <c r="J9435">
        <v>108</v>
      </c>
      <c r="K9435" t="b">
        <v>1</v>
      </c>
    </row>
    <row r="9436" spans="8:11" x14ac:dyDescent="0.25">
      <c r="H9436">
        <v>114</v>
      </c>
      <c r="I9436">
        <v>25</v>
      </c>
      <c r="J9436">
        <v>108</v>
      </c>
      <c r="K9436" t="b">
        <v>1</v>
      </c>
    </row>
    <row r="9437" spans="8:11" x14ac:dyDescent="0.25">
      <c r="H9437">
        <v>114</v>
      </c>
      <c r="I9437">
        <v>30</v>
      </c>
      <c r="J9437">
        <v>108</v>
      </c>
      <c r="K9437" t="b">
        <v>1</v>
      </c>
    </row>
    <row r="9438" spans="8:11" x14ac:dyDescent="0.25">
      <c r="H9438">
        <v>114</v>
      </c>
      <c r="I9438">
        <v>35</v>
      </c>
      <c r="J9438">
        <v>108</v>
      </c>
      <c r="K9438" t="b">
        <v>1</v>
      </c>
    </row>
    <row r="9439" spans="8:11" x14ac:dyDescent="0.25">
      <c r="H9439">
        <v>114</v>
      </c>
      <c r="I9439">
        <v>40</v>
      </c>
      <c r="J9439">
        <v>108</v>
      </c>
      <c r="K9439" t="b">
        <v>1</v>
      </c>
    </row>
    <row r="9440" spans="8:11" x14ac:dyDescent="0.25">
      <c r="H9440">
        <v>114</v>
      </c>
      <c r="I9440">
        <v>45</v>
      </c>
      <c r="J9440">
        <v>108</v>
      </c>
      <c r="K9440" t="b">
        <v>1</v>
      </c>
    </row>
    <row r="9441" spans="8:11" x14ac:dyDescent="0.25">
      <c r="H9441">
        <v>114</v>
      </c>
      <c r="I9441">
        <v>50</v>
      </c>
      <c r="J9441">
        <v>108</v>
      </c>
      <c r="K9441" t="b">
        <v>1</v>
      </c>
    </row>
    <row r="9442" spans="8:11" x14ac:dyDescent="0.25">
      <c r="H9442">
        <v>114</v>
      </c>
      <c r="I9442">
        <v>55</v>
      </c>
      <c r="J9442">
        <v>108</v>
      </c>
      <c r="K9442" t="b">
        <v>1</v>
      </c>
    </row>
    <row r="9443" spans="8:11" x14ac:dyDescent="0.25">
      <c r="H9443">
        <v>114</v>
      </c>
      <c r="I9443">
        <v>60</v>
      </c>
      <c r="J9443">
        <v>108</v>
      </c>
      <c r="K9443" t="b">
        <v>1</v>
      </c>
    </row>
    <row r="9444" spans="8:11" x14ac:dyDescent="0.25">
      <c r="H9444">
        <v>114</v>
      </c>
      <c r="I9444">
        <v>65</v>
      </c>
      <c r="J9444">
        <v>108</v>
      </c>
      <c r="K9444" t="b">
        <v>1</v>
      </c>
    </row>
    <row r="9445" spans="8:11" x14ac:dyDescent="0.25">
      <c r="H9445">
        <v>114</v>
      </c>
      <c r="I9445">
        <v>70</v>
      </c>
      <c r="J9445">
        <v>108</v>
      </c>
      <c r="K9445" t="b">
        <v>1</v>
      </c>
    </row>
    <row r="9446" spans="8:11" x14ac:dyDescent="0.25">
      <c r="H9446">
        <v>114</v>
      </c>
      <c r="I9446">
        <v>75</v>
      </c>
      <c r="J9446">
        <v>108</v>
      </c>
      <c r="K9446" t="b">
        <v>1</v>
      </c>
    </row>
    <row r="9447" spans="8:11" x14ac:dyDescent="0.25">
      <c r="H9447">
        <v>114</v>
      </c>
      <c r="I9447">
        <v>80</v>
      </c>
      <c r="J9447">
        <v>108</v>
      </c>
      <c r="K9447" t="b">
        <v>1</v>
      </c>
    </row>
    <row r="9448" spans="8:11" x14ac:dyDescent="0.25">
      <c r="H9448">
        <v>114</v>
      </c>
      <c r="I9448">
        <v>85</v>
      </c>
      <c r="J9448">
        <v>108</v>
      </c>
      <c r="K9448" t="b">
        <v>1</v>
      </c>
    </row>
    <row r="9449" spans="8:11" x14ac:dyDescent="0.25">
      <c r="H9449">
        <v>114</v>
      </c>
      <c r="I9449">
        <v>90</v>
      </c>
      <c r="J9449">
        <v>108</v>
      </c>
      <c r="K9449" t="b">
        <v>1</v>
      </c>
    </row>
    <row r="9450" spans="8:11" x14ac:dyDescent="0.25">
      <c r="H9450">
        <v>114</v>
      </c>
      <c r="I9450">
        <v>95</v>
      </c>
      <c r="J9450">
        <v>108</v>
      </c>
      <c r="K9450" t="b">
        <v>1</v>
      </c>
    </row>
    <row r="9451" spans="8:11" x14ac:dyDescent="0.25">
      <c r="H9451">
        <v>114</v>
      </c>
      <c r="I9451">
        <v>100</v>
      </c>
      <c r="J9451">
        <v>108</v>
      </c>
      <c r="K9451" t="b">
        <v>1</v>
      </c>
    </row>
    <row r="9452" spans="8:11" x14ac:dyDescent="0.25">
      <c r="H9452">
        <v>114</v>
      </c>
      <c r="I9452">
        <v>105</v>
      </c>
      <c r="J9452">
        <v>108</v>
      </c>
      <c r="K9452" t="b">
        <v>1</v>
      </c>
    </row>
    <row r="9453" spans="8:11" x14ac:dyDescent="0.25">
      <c r="H9453">
        <v>114</v>
      </c>
      <c r="I9453">
        <v>110</v>
      </c>
      <c r="J9453">
        <v>108</v>
      </c>
      <c r="K9453" t="b">
        <v>1</v>
      </c>
    </row>
    <row r="9454" spans="8:11" x14ac:dyDescent="0.25">
      <c r="H9454">
        <v>114</v>
      </c>
      <c r="I9454">
        <v>115</v>
      </c>
      <c r="J9454">
        <v>108</v>
      </c>
      <c r="K9454" t="b">
        <v>1</v>
      </c>
    </row>
    <row r="9455" spans="8:11" x14ac:dyDescent="0.25">
      <c r="H9455">
        <v>114</v>
      </c>
      <c r="I9455">
        <v>120</v>
      </c>
      <c r="J9455">
        <v>108</v>
      </c>
      <c r="K9455" t="b">
        <v>1</v>
      </c>
    </row>
    <row r="9456" spans="8:11" x14ac:dyDescent="0.25">
      <c r="H9456">
        <v>114</v>
      </c>
      <c r="I9456">
        <v>125</v>
      </c>
      <c r="J9456">
        <v>108</v>
      </c>
      <c r="K9456" t="b">
        <v>1</v>
      </c>
    </row>
    <row r="9457" spans="8:11" x14ac:dyDescent="0.25">
      <c r="H9457">
        <v>114</v>
      </c>
      <c r="I9457">
        <v>130</v>
      </c>
      <c r="J9457">
        <v>108</v>
      </c>
      <c r="K9457" t="b">
        <v>1</v>
      </c>
    </row>
    <row r="9458" spans="8:11" x14ac:dyDescent="0.25">
      <c r="H9458">
        <v>114</v>
      </c>
      <c r="I9458">
        <v>135</v>
      </c>
      <c r="J9458">
        <v>108</v>
      </c>
      <c r="K9458" t="b">
        <v>1</v>
      </c>
    </row>
    <row r="9459" spans="8:11" x14ac:dyDescent="0.25">
      <c r="H9459">
        <v>114</v>
      </c>
      <c r="I9459">
        <v>140</v>
      </c>
      <c r="J9459">
        <v>108</v>
      </c>
      <c r="K9459" t="b">
        <v>1</v>
      </c>
    </row>
    <row r="9460" spans="8:11" x14ac:dyDescent="0.25">
      <c r="H9460">
        <v>114</v>
      </c>
      <c r="I9460">
        <v>145</v>
      </c>
      <c r="J9460">
        <v>108</v>
      </c>
      <c r="K9460" t="b">
        <v>1</v>
      </c>
    </row>
    <row r="9461" spans="8:11" x14ac:dyDescent="0.25">
      <c r="H9461">
        <v>114</v>
      </c>
      <c r="I9461">
        <v>150</v>
      </c>
      <c r="J9461">
        <v>108</v>
      </c>
      <c r="K9461" t="b">
        <v>1</v>
      </c>
    </row>
    <row r="9462" spans="8:11" x14ac:dyDescent="0.25">
      <c r="H9462">
        <v>114</v>
      </c>
      <c r="I9462">
        <v>155</v>
      </c>
      <c r="J9462">
        <v>108</v>
      </c>
      <c r="K9462" t="b">
        <v>1</v>
      </c>
    </row>
    <row r="9463" spans="8:11" x14ac:dyDescent="0.25">
      <c r="H9463">
        <v>114</v>
      </c>
      <c r="I9463">
        <v>160</v>
      </c>
      <c r="J9463">
        <v>108</v>
      </c>
      <c r="K9463" t="b">
        <v>1</v>
      </c>
    </row>
    <row r="9464" spans="8:11" x14ac:dyDescent="0.25">
      <c r="H9464">
        <v>114</v>
      </c>
      <c r="I9464">
        <v>165</v>
      </c>
      <c r="J9464">
        <v>108</v>
      </c>
      <c r="K9464" t="b">
        <v>1</v>
      </c>
    </row>
    <row r="9465" spans="8:11" x14ac:dyDescent="0.25">
      <c r="H9465">
        <v>114</v>
      </c>
      <c r="I9465">
        <v>170</v>
      </c>
      <c r="J9465">
        <v>108</v>
      </c>
      <c r="K9465" t="b">
        <v>1</v>
      </c>
    </row>
    <row r="9466" spans="8:11" x14ac:dyDescent="0.25">
      <c r="H9466">
        <v>114</v>
      </c>
      <c r="I9466">
        <v>175</v>
      </c>
      <c r="J9466">
        <v>108</v>
      </c>
      <c r="K9466" t="b">
        <v>1</v>
      </c>
    </row>
    <row r="9467" spans="8:11" x14ac:dyDescent="0.25">
      <c r="H9467">
        <v>114</v>
      </c>
      <c r="I9467">
        <v>180</v>
      </c>
      <c r="J9467">
        <v>108</v>
      </c>
      <c r="K9467" t="b">
        <v>1</v>
      </c>
    </row>
    <row r="9468" spans="8:11" x14ac:dyDescent="0.25">
      <c r="H9468">
        <v>114</v>
      </c>
      <c r="I9468">
        <v>185</v>
      </c>
      <c r="J9468">
        <v>108</v>
      </c>
      <c r="K9468" t="b">
        <v>1</v>
      </c>
    </row>
    <row r="9469" spans="8:11" x14ac:dyDescent="0.25">
      <c r="H9469">
        <v>114</v>
      </c>
      <c r="I9469">
        <v>190</v>
      </c>
      <c r="J9469">
        <v>108</v>
      </c>
      <c r="K9469" t="b">
        <v>1</v>
      </c>
    </row>
    <row r="9470" spans="8:11" x14ac:dyDescent="0.25">
      <c r="H9470">
        <v>114</v>
      </c>
      <c r="I9470">
        <v>195</v>
      </c>
      <c r="J9470">
        <v>108</v>
      </c>
      <c r="K9470" t="b">
        <v>1</v>
      </c>
    </row>
    <row r="9471" spans="8:11" x14ac:dyDescent="0.25">
      <c r="H9471">
        <v>114</v>
      </c>
      <c r="I9471">
        <v>200</v>
      </c>
      <c r="J9471">
        <v>108</v>
      </c>
      <c r="K9471" t="b">
        <v>1</v>
      </c>
    </row>
    <row r="9472" spans="8:11" x14ac:dyDescent="0.25">
      <c r="H9472">
        <v>114</v>
      </c>
      <c r="I9472">
        <v>205</v>
      </c>
      <c r="J9472">
        <v>108</v>
      </c>
      <c r="K9472" t="b">
        <v>1</v>
      </c>
    </row>
    <row r="9473" spans="8:11" x14ac:dyDescent="0.25">
      <c r="H9473">
        <v>114</v>
      </c>
      <c r="I9473">
        <v>210</v>
      </c>
      <c r="J9473">
        <v>108</v>
      </c>
      <c r="K9473" t="b">
        <v>1</v>
      </c>
    </row>
    <row r="9474" spans="8:11" x14ac:dyDescent="0.25">
      <c r="H9474">
        <v>114</v>
      </c>
      <c r="I9474">
        <v>215</v>
      </c>
      <c r="J9474">
        <v>108</v>
      </c>
      <c r="K9474" t="b">
        <v>1</v>
      </c>
    </row>
    <row r="9475" spans="8:11" x14ac:dyDescent="0.25">
      <c r="H9475">
        <v>114</v>
      </c>
      <c r="I9475">
        <v>220</v>
      </c>
      <c r="J9475">
        <v>108</v>
      </c>
      <c r="K9475" t="b">
        <v>1</v>
      </c>
    </row>
    <row r="9476" spans="8:11" x14ac:dyDescent="0.25">
      <c r="H9476">
        <v>114</v>
      </c>
      <c r="I9476">
        <v>225</v>
      </c>
      <c r="J9476">
        <v>108</v>
      </c>
      <c r="K9476" t="b">
        <v>1</v>
      </c>
    </row>
    <row r="9477" spans="8:11" x14ac:dyDescent="0.25">
      <c r="H9477">
        <v>114</v>
      </c>
      <c r="I9477">
        <v>230</v>
      </c>
      <c r="J9477">
        <v>108</v>
      </c>
      <c r="K9477" t="b">
        <v>1</v>
      </c>
    </row>
    <row r="9478" spans="8:11" x14ac:dyDescent="0.25">
      <c r="H9478">
        <v>114</v>
      </c>
      <c r="I9478">
        <v>235</v>
      </c>
      <c r="J9478">
        <v>108</v>
      </c>
      <c r="K9478" t="b">
        <v>1</v>
      </c>
    </row>
    <row r="9479" spans="8:11" x14ac:dyDescent="0.25">
      <c r="H9479">
        <v>114</v>
      </c>
      <c r="I9479">
        <v>240</v>
      </c>
      <c r="J9479">
        <v>108</v>
      </c>
      <c r="K9479" t="b">
        <v>1</v>
      </c>
    </row>
    <row r="9480" spans="8:11" x14ac:dyDescent="0.25">
      <c r="H9480">
        <v>114</v>
      </c>
      <c r="I9480">
        <v>245</v>
      </c>
      <c r="J9480">
        <v>108</v>
      </c>
      <c r="K9480" t="b">
        <v>1</v>
      </c>
    </row>
    <row r="9481" spans="8:11" x14ac:dyDescent="0.25">
      <c r="H9481">
        <v>114</v>
      </c>
      <c r="I9481">
        <v>250</v>
      </c>
      <c r="J9481">
        <v>108</v>
      </c>
      <c r="K9481" t="b">
        <v>1</v>
      </c>
    </row>
    <row r="9482" spans="8:11" x14ac:dyDescent="0.25">
      <c r="H9482">
        <v>114</v>
      </c>
      <c r="I9482">
        <v>255</v>
      </c>
      <c r="J9482">
        <v>108</v>
      </c>
      <c r="K9482" t="b">
        <v>1</v>
      </c>
    </row>
    <row r="9483" spans="8:11" x14ac:dyDescent="0.25">
      <c r="H9483">
        <v>114</v>
      </c>
      <c r="I9483">
        <v>260</v>
      </c>
      <c r="J9483">
        <v>108</v>
      </c>
      <c r="K9483" t="b">
        <v>1</v>
      </c>
    </row>
    <row r="9484" spans="8:11" x14ac:dyDescent="0.25">
      <c r="H9484">
        <v>114</v>
      </c>
      <c r="I9484">
        <v>265</v>
      </c>
      <c r="J9484">
        <v>108</v>
      </c>
      <c r="K9484" t="b">
        <v>1</v>
      </c>
    </row>
    <row r="9485" spans="8:11" x14ac:dyDescent="0.25">
      <c r="H9485">
        <v>114</v>
      </c>
      <c r="I9485">
        <v>270</v>
      </c>
      <c r="J9485">
        <v>108</v>
      </c>
      <c r="K9485" t="b">
        <v>1</v>
      </c>
    </row>
    <row r="9486" spans="8:11" x14ac:dyDescent="0.25">
      <c r="H9486">
        <v>114</v>
      </c>
      <c r="I9486">
        <v>275</v>
      </c>
      <c r="J9486">
        <v>108</v>
      </c>
      <c r="K9486" t="b">
        <v>1</v>
      </c>
    </row>
    <row r="9487" spans="8:11" x14ac:dyDescent="0.25">
      <c r="H9487">
        <v>114</v>
      </c>
      <c r="I9487">
        <v>280</v>
      </c>
      <c r="J9487">
        <v>108</v>
      </c>
      <c r="K9487" t="b">
        <v>1</v>
      </c>
    </row>
    <row r="9488" spans="8:11" x14ac:dyDescent="0.25">
      <c r="H9488">
        <v>114</v>
      </c>
      <c r="I9488">
        <v>285</v>
      </c>
      <c r="J9488">
        <v>108</v>
      </c>
      <c r="K9488" t="b">
        <v>1</v>
      </c>
    </row>
    <row r="9489" spans="8:11" x14ac:dyDescent="0.25">
      <c r="H9489">
        <v>114</v>
      </c>
      <c r="I9489">
        <v>290</v>
      </c>
      <c r="J9489">
        <v>108</v>
      </c>
      <c r="K9489" t="b">
        <v>1</v>
      </c>
    </row>
    <row r="9490" spans="8:11" x14ac:dyDescent="0.25">
      <c r="H9490">
        <v>114</v>
      </c>
      <c r="I9490">
        <v>295</v>
      </c>
      <c r="J9490">
        <v>108</v>
      </c>
      <c r="K9490" t="b">
        <v>1</v>
      </c>
    </row>
    <row r="9491" spans="8:11" x14ac:dyDescent="0.25">
      <c r="H9491">
        <v>114</v>
      </c>
      <c r="I9491">
        <v>300</v>
      </c>
      <c r="J9491">
        <v>108</v>
      </c>
      <c r="K9491" t="b">
        <v>1</v>
      </c>
    </row>
    <row r="9492" spans="8:11" x14ac:dyDescent="0.25">
      <c r="H9492">
        <v>114</v>
      </c>
      <c r="I9492">
        <v>305</v>
      </c>
      <c r="J9492">
        <v>108</v>
      </c>
      <c r="K9492" t="b">
        <v>1</v>
      </c>
    </row>
    <row r="9493" spans="8:11" x14ac:dyDescent="0.25">
      <c r="H9493">
        <v>114</v>
      </c>
      <c r="I9493">
        <v>310</v>
      </c>
      <c r="J9493">
        <v>108</v>
      </c>
      <c r="K9493" t="b">
        <v>1</v>
      </c>
    </row>
    <row r="9494" spans="8:11" x14ac:dyDescent="0.25">
      <c r="H9494">
        <v>114</v>
      </c>
      <c r="I9494">
        <v>315</v>
      </c>
      <c r="J9494">
        <v>108</v>
      </c>
      <c r="K9494" t="b">
        <v>1</v>
      </c>
    </row>
    <row r="9495" spans="8:11" x14ac:dyDescent="0.25">
      <c r="H9495">
        <v>114</v>
      </c>
      <c r="I9495">
        <v>320</v>
      </c>
      <c r="J9495">
        <v>108</v>
      </c>
      <c r="K9495" t="b">
        <v>1</v>
      </c>
    </row>
    <row r="9496" spans="8:11" x14ac:dyDescent="0.25">
      <c r="H9496">
        <v>114</v>
      </c>
      <c r="I9496">
        <v>325</v>
      </c>
      <c r="J9496">
        <v>108</v>
      </c>
      <c r="K9496" t="b">
        <v>1</v>
      </c>
    </row>
    <row r="9497" spans="8:11" x14ac:dyDescent="0.25">
      <c r="H9497">
        <v>114</v>
      </c>
      <c r="I9497">
        <v>330</v>
      </c>
      <c r="J9497">
        <v>108</v>
      </c>
      <c r="K9497" t="b">
        <v>1</v>
      </c>
    </row>
    <row r="9498" spans="8:11" x14ac:dyDescent="0.25">
      <c r="H9498">
        <v>114</v>
      </c>
      <c r="I9498">
        <v>335</v>
      </c>
      <c r="J9498">
        <v>108</v>
      </c>
      <c r="K9498" t="b">
        <v>1</v>
      </c>
    </row>
    <row r="9499" spans="8:11" x14ac:dyDescent="0.25">
      <c r="H9499">
        <v>114</v>
      </c>
      <c r="I9499">
        <v>340</v>
      </c>
      <c r="J9499">
        <v>108</v>
      </c>
      <c r="K9499" t="b">
        <v>1</v>
      </c>
    </row>
    <row r="9500" spans="8:11" x14ac:dyDescent="0.25">
      <c r="H9500">
        <v>114</v>
      </c>
      <c r="I9500">
        <v>345</v>
      </c>
      <c r="J9500">
        <v>108</v>
      </c>
      <c r="K9500" t="b">
        <v>1</v>
      </c>
    </row>
    <row r="9501" spans="8:11" x14ac:dyDescent="0.25">
      <c r="H9501">
        <v>114</v>
      </c>
      <c r="I9501">
        <v>350</v>
      </c>
      <c r="J9501">
        <v>108</v>
      </c>
      <c r="K9501" t="b">
        <v>1</v>
      </c>
    </row>
    <row r="9502" spans="8:11" x14ac:dyDescent="0.25">
      <c r="H9502">
        <v>114</v>
      </c>
      <c r="I9502">
        <v>355</v>
      </c>
      <c r="J9502">
        <v>108</v>
      </c>
      <c r="K9502" t="b">
        <v>1</v>
      </c>
    </row>
    <row r="9503" spans="8:11" x14ac:dyDescent="0.25">
      <c r="H9503">
        <v>114</v>
      </c>
      <c r="I9503">
        <v>360</v>
      </c>
      <c r="J9503">
        <v>108</v>
      </c>
      <c r="K9503" t="b">
        <v>1</v>
      </c>
    </row>
    <row r="9504" spans="8:11" x14ac:dyDescent="0.25">
      <c r="H9504">
        <v>114</v>
      </c>
      <c r="I9504">
        <v>365</v>
      </c>
      <c r="J9504">
        <v>108</v>
      </c>
      <c r="K9504" t="b">
        <v>1</v>
      </c>
    </row>
    <row r="9505" spans="8:11" x14ac:dyDescent="0.25">
      <c r="H9505">
        <v>114</v>
      </c>
      <c r="I9505">
        <v>370</v>
      </c>
      <c r="J9505">
        <v>108</v>
      </c>
      <c r="K9505" t="b">
        <v>1</v>
      </c>
    </row>
    <row r="9506" spans="8:11" x14ac:dyDescent="0.25">
      <c r="H9506">
        <v>114</v>
      </c>
      <c r="I9506">
        <v>375</v>
      </c>
      <c r="J9506">
        <v>108</v>
      </c>
      <c r="K9506" t="b">
        <v>1</v>
      </c>
    </row>
    <row r="9507" spans="8:11" x14ac:dyDescent="0.25">
      <c r="H9507">
        <v>114</v>
      </c>
      <c r="I9507">
        <v>380</v>
      </c>
      <c r="J9507">
        <v>108</v>
      </c>
      <c r="K9507" t="b">
        <v>1</v>
      </c>
    </row>
    <row r="9508" spans="8:11" x14ac:dyDescent="0.25">
      <c r="H9508">
        <v>114</v>
      </c>
      <c r="I9508">
        <v>385</v>
      </c>
      <c r="J9508">
        <v>108</v>
      </c>
      <c r="K9508" t="b">
        <v>1</v>
      </c>
    </row>
    <row r="9509" spans="8:11" x14ac:dyDescent="0.25">
      <c r="H9509">
        <v>114</v>
      </c>
      <c r="I9509">
        <v>390</v>
      </c>
      <c r="J9509">
        <v>108</v>
      </c>
      <c r="K9509" t="b">
        <v>1</v>
      </c>
    </row>
    <row r="9510" spans="8:11" x14ac:dyDescent="0.25">
      <c r="H9510">
        <v>114</v>
      </c>
      <c r="I9510">
        <v>395</v>
      </c>
      <c r="J9510">
        <v>108</v>
      </c>
      <c r="K9510" t="b">
        <v>1</v>
      </c>
    </row>
    <row r="9511" spans="8:11" x14ac:dyDescent="0.25">
      <c r="H9511">
        <v>114</v>
      </c>
      <c r="I9511">
        <v>400</v>
      </c>
      <c r="J9511">
        <v>108</v>
      </c>
      <c r="K9511" t="b">
        <v>1</v>
      </c>
    </row>
    <row r="9512" spans="8:11" x14ac:dyDescent="0.25">
      <c r="H9512">
        <v>114</v>
      </c>
      <c r="I9512">
        <v>405</v>
      </c>
      <c r="J9512">
        <v>108</v>
      </c>
      <c r="K9512" t="b">
        <v>1</v>
      </c>
    </row>
    <row r="9513" spans="8:11" x14ac:dyDescent="0.25">
      <c r="H9513">
        <v>114</v>
      </c>
      <c r="I9513">
        <v>410</v>
      </c>
      <c r="J9513">
        <v>108</v>
      </c>
      <c r="K9513" t="b">
        <v>1</v>
      </c>
    </row>
    <row r="9514" spans="8:11" x14ac:dyDescent="0.25">
      <c r="H9514">
        <v>114</v>
      </c>
      <c r="I9514">
        <v>415</v>
      </c>
      <c r="J9514">
        <v>108</v>
      </c>
      <c r="K9514" t="b">
        <v>1</v>
      </c>
    </row>
    <row r="9515" spans="8:11" x14ac:dyDescent="0.25">
      <c r="H9515">
        <v>114</v>
      </c>
      <c r="I9515">
        <v>420</v>
      </c>
      <c r="J9515">
        <v>108</v>
      </c>
      <c r="K9515" t="b">
        <v>1</v>
      </c>
    </row>
    <row r="9516" spans="8:11" x14ac:dyDescent="0.25">
      <c r="H9516">
        <v>114</v>
      </c>
      <c r="I9516">
        <v>425</v>
      </c>
      <c r="J9516">
        <v>108</v>
      </c>
      <c r="K9516" t="b">
        <v>1</v>
      </c>
    </row>
    <row r="9517" spans="8:11" x14ac:dyDescent="0.25">
      <c r="H9517">
        <v>114</v>
      </c>
      <c r="I9517">
        <v>430</v>
      </c>
      <c r="J9517">
        <v>108</v>
      </c>
      <c r="K9517" t="b">
        <v>1</v>
      </c>
    </row>
    <row r="9518" spans="8:11" x14ac:dyDescent="0.25">
      <c r="H9518">
        <v>114</v>
      </c>
      <c r="I9518">
        <v>435</v>
      </c>
      <c r="J9518">
        <v>108</v>
      </c>
      <c r="K9518" t="b">
        <v>1</v>
      </c>
    </row>
    <row r="9519" spans="8:11" x14ac:dyDescent="0.25">
      <c r="H9519">
        <v>114</v>
      </c>
      <c r="I9519">
        <v>440</v>
      </c>
      <c r="J9519">
        <v>108</v>
      </c>
      <c r="K9519" t="b">
        <v>1</v>
      </c>
    </row>
    <row r="9520" spans="8:11" x14ac:dyDescent="0.25">
      <c r="H9520">
        <v>114</v>
      </c>
      <c r="I9520">
        <v>445</v>
      </c>
      <c r="J9520">
        <v>108</v>
      </c>
      <c r="K9520" t="b">
        <v>1</v>
      </c>
    </row>
    <row r="9521" spans="8:11" x14ac:dyDescent="0.25">
      <c r="H9521">
        <v>114</v>
      </c>
      <c r="I9521">
        <v>450</v>
      </c>
      <c r="J9521">
        <v>108</v>
      </c>
      <c r="K9521" t="b">
        <v>1</v>
      </c>
    </row>
    <row r="9522" spans="8:11" x14ac:dyDescent="0.25">
      <c r="H9522">
        <v>114</v>
      </c>
      <c r="I9522">
        <v>455</v>
      </c>
      <c r="J9522">
        <v>108</v>
      </c>
      <c r="K9522" t="b">
        <v>1</v>
      </c>
    </row>
    <row r="9523" spans="8:11" x14ac:dyDescent="0.25">
      <c r="H9523">
        <v>114</v>
      </c>
      <c r="I9523">
        <v>460</v>
      </c>
      <c r="J9523">
        <v>108</v>
      </c>
      <c r="K9523" t="b">
        <v>1</v>
      </c>
    </row>
    <row r="9524" spans="8:11" x14ac:dyDescent="0.25">
      <c r="H9524">
        <v>114</v>
      </c>
      <c r="I9524">
        <v>465</v>
      </c>
      <c r="J9524">
        <v>108</v>
      </c>
      <c r="K9524" t="b">
        <v>1</v>
      </c>
    </row>
    <row r="9525" spans="8:11" x14ac:dyDescent="0.25">
      <c r="H9525">
        <v>114</v>
      </c>
      <c r="I9525">
        <v>470</v>
      </c>
      <c r="J9525">
        <v>108</v>
      </c>
      <c r="K9525" t="b">
        <v>1</v>
      </c>
    </row>
    <row r="9526" spans="8:11" x14ac:dyDescent="0.25">
      <c r="H9526">
        <v>114</v>
      </c>
      <c r="I9526">
        <v>475</v>
      </c>
      <c r="J9526">
        <v>108</v>
      </c>
      <c r="K9526" t="b">
        <v>1</v>
      </c>
    </row>
    <row r="9527" spans="8:11" x14ac:dyDescent="0.25">
      <c r="H9527">
        <v>114</v>
      </c>
      <c r="I9527">
        <v>480</v>
      </c>
      <c r="J9527">
        <v>108</v>
      </c>
      <c r="K9527" t="b">
        <v>1</v>
      </c>
    </row>
    <row r="9528" spans="8:11" x14ac:dyDescent="0.25">
      <c r="H9528">
        <v>114</v>
      </c>
      <c r="I9528">
        <v>485</v>
      </c>
      <c r="J9528">
        <v>108</v>
      </c>
      <c r="K9528" t="b">
        <v>1</v>
      </c>
    </row>
    <row r="9529" spans="8:11" x14ac:dyDescent="0.25">
      <c r="H9529">
        <v>114</v>
      </c>
      <c r="I9529">
        <v>490</v>
      </c>
      <c r="J9529">
        <v>108</v>
      </c>
      <c r="K9529" t="b">
        <v>1</v>
      </c>
    </row>
    <row r="9530" spans="8:11" x14ac:dyDescent="0.25">
      <c r="H9530">
        <v>114</v>
      </c>
      <c r="I9530">
        <v>495</v>
      </c>
      <c r="J9530">
        <v>108</v>
      </c>
      <c r="K9530" t="b">
        <v>1</v>
      </c>
    </row>
    <row r="9531" spans="8:11" x14ac:dyDescent="0.25">
      <c r="H9531">
        <v>114</v>
      </c>
      <c r="I9531">
        <v>500</v>
      </c>
      <c r="J9531">
        <v>108</v>
      </c>
      <c r="K9531" t="b">
        <v>1</v>
      </c>
    </row>
    <row r="9532" spans="8:11" x14ac:dyDescent="0.25">
      <c r="H9532">
        <v>114</v>
      </c>
      <c r="I9532">
        <v>505</v>
      </c>
      <c r="J9532">
        <v>108</v>
      </c>
      <c r="K9532" t="b">
        <v>1</v>
      </c>
    </row>
    <row r="9533" spans="8:11" x14ac:dyDescent="0.25">
      <c r="H9533">
        <v>114</v>
      </c>
      <c r="I9533">
        <v>510</v>
      </c>
      <c r="J9533">
        <v>108</v>
      </c>
      <c r="K9533" t="b">
        <v>1</v>
      </c>
    </row>
    <row r="9534" spans="8:11" x14ac:dyDescent="0.25">
      <c r="H9534">
        <v>114</v>
      </c>
      <c r="I9534">
        <v>515</v>
      </c>
      <c r="J9534">
        <v>108</v>
      </c>
      <c r="K9534" t="b">
        <v>1</v>
      </c>
    </row>
    <row r="9535" spans="8:11" x14ac:dyDescent="0.25">
      <c r="H9535">
        <v>114</v>
      </c>
      <c r="I9535">
        <v>520</v>
      </c>
      <c r="J9535">
        <v>108</v>
      </c>
      <c r="K9535" t="b">
        <v>1</v>
      </c>
    </row>
    <row r="9536" spans="8:11" x14ac:dyDescent="0.25">
      <c r="H9536">
        <v>114</v>
      </c>
      <c r="I9536">
        <v>525</v>
      </c>
      <c r="J9536">
        <v>108</v>
      </c>
      <c r="K9536" t="b">
        <v>1</v>
      </c>
    </row>
    <row r="9537" spans="8:11" x14ac:dyDescent="0.25">
      <c r="H9537">
        <v>114</v>
      </c>
      <c r="I9537">
        <v>530</v>
      </c>
      <c r="J9537">
        <v>108</v>
      </c>
      <c r="K9537" t="b">
        <v>1</v>
      </c>
    </row>
    <row r="9538" spans="8:11" x14ac:dyDescent="0.25">
      <c r="H9538">
        <v>114</v>
      </c>
      <c r="I9538">
        <v>535</v>
      </c>
      <c r="J9538">
        <v>108</v>
      </c>
      <c r="K9538" t="b">
        <v>1</v>
      </c>
    </row>
    <row r="9539" spans="8:11" x14ac:dyDescent="0.25">
      <c r="H9539">
        <v>114</v>
      </c>
      <c r="I9539">
        <v>540</v>
      </c>
      <c r="J9539">
        <v>108</v>
      </c>
      <c r="K9539" t="b">
        <v>1</v>
      </c>
    </row>
    <row r="9540" spans="8:11" x14ac:dyDescent="0.25">
      <c r="H9540">
        <v>114</v>
      </c>
      <c r="I9540">
        <v>545</v>
      </c>
      <c r="J9540">
        <v>108</v>
      </c>
      <c r="K9540" t="b">
        <v>1</v>
      </c>
    </row>
    <row r="9541" spans="8:11" x14ac:dyDescent="0.25">
      <c r="H9541">
        <v>114</v>
      </c>
      <c r="I9541">
        <v>550</v>
      </c>
      <c r="J9541">
        <v>108</v>
      </c>
      <c r="K9541" t="b">
        <v>1</v>
      </c>
    </row>
    <row r="9542" spans="8:11" x14ac:dyDescent="0.25">
      <c r="H9542">
        <v>114</v>
      </c>
      <c r="I9542">
        <v>555</v>
      </c>
      <c r="J9542">
        <v>108</v>
      </c>
      <c r="K9542" t="b">
        <v>1</v>
      </c>
    </row>
    <row r="9543" spans="8:11" x14ac:dyDescent="0.25">
      <c r="H9543">
        <v>114</v>
      </c>
      <c r="I9543">
        <v>560</v>
      </c>
      <c r="J9543">
        <v>108</v>
      </c>
      <c r="K9543" t="b">
        <v>1</v>
      </c>
    </row>
    <row r="9544" spans="8:11" x14ac:dyDescent="0.25">
      <c r="H9544">
        <v>114</v>
      </c>
      <c r="I9544">
        <v>565</v>
      </c>
      <c r="J9544">
        <v>108</v>
      </c>
      <c r="K9544" t="b">
        <v>1</v>
      </c>
    </row>
    <row r="9545" spans="8:11" x14ac:dyDescent="0.25">
      <c r="H9545">
        <v>114</v>
      </c>
      <c r="I9545">
        <v>570</v>
      </c>
      <c r="J9545">
        <v>108</v>
      </c>
      <c r="K9545" t="b">
        <v>1</v>
      </c>
    </row>
    <row r="9546" spans="8:11" x14ac:dyDescent="0.25">
      <c r="H9546">
        <v>114</v>
      </c>
      <c r="I9546">
        <v>575</v>
      </c>
      <c r="J9546">
        <v>108</v>
      </c>
      <c r="K9546" t="b">
        <v>1</v>
      </c>
    </row>
    <row r="9547" spans="8:11" x14ac:dyDescent="0.25">
      <c r="H9547">
        <v>114</v>
      </c>
      <c r="I9547">
        <v>580</v>
      </c>
      <c r="J9547">
        <v>108</v>
      </c>
      <c r="K9547" t="b">
        <v>1</v>
      </c>
    </row>
    <row r="9548" spans="8:11" x14ac:dyDescent="0.25">
      <c r="H9548">
        <v>114</v>
      </c>
      <c r="I9548">
        <v>585</v>
      </c>
      <c r="J9548">
        <v>108</v>
      </c>
      <c r="K9548" t="b">
        <v>1</v>
      </c>
    </row>
    <row r="9549" spans="8:11" x14ac:dyDescent="0.25">
      <c r="H9549">
        <v>114</v>
      </c>
      <c r="I9549">
        <v>590</v>
      </c>
      <c r="J9549">
        <v>108</v>
      </c>
      <c r="K9549" t="b">
        <v>1</v>
      </c>
    </row>
    <row r="9550" spans="8:11" x14ac:dyDescent="0.25">
      <c r="H9550">
        <v>114</v>
      </c>
      <c r="I9550">
        <v>595</v>
      </c>
      <c r="J9550">
        <v>108</v>
      </c>
      <c r="K9550" t="b">
        <v>1</v>
      </c>
    </row>
    <row r="9551" spans="8:11" x14ac:dyDescent="0.25">
      <c r="H9551">
        <v>114</v>
      </c>
      <c r="I9551">
        <v>600</v>
      </c>
      <c r="J9551">
        <v>108</v>
      </c>
      <c r="K9551" t="b">
        <v>1</v>
      </c>
    </row>
    <row r="9552" spans="8:11" x14ac:dyDescent="0.25">
      <c r="H9552">
        <v>114</v>
      </c>
      <c r="I9552">
        <v>605</v>
      </c>
      <c r="J9552">
        <v>108</v>
      </c>
      <c r="K9552" t="b">
        <v>1</v>
      </c>
    </row>
    <row r="9553" spans="8:11" x14ac:dyDescent="0.25">
      <c r="H9553">
        <v>114</v>
      </c>
      <c r="I9553">
        <v>610</v>
      </c>
      <c r="J9553">
        <v>108</v>
      </c>
      <c r="K9553" t="b">
        <v>1</v>
      </c>
    </row>
    <row r="9554" spans="8:11" x14ac:dyDescent="0.25">
      <c r="H9554">
        <v>114</v>
      </c>
      <c r="I9554">
        <v>615</v>
      </c>
      <c r="J9554">
        <v>108</v>
      </c>
      <c r="K9554" t="b">
        <v>1</v>
      </c>
    </row>
    <row r="9555" spans="8:11" x14ac:dyDescent="0.25">
      <c r="H9555">
        <v>114</v>
      </c>
      <c r="I9555">
        <v>620</v>
      </c>
      <c r="J9555">
        <v>108</v>
      </c>
      <c r="K9555" t="b">
        <v>1</v>
      </c>
    </row>
    <row r="9556" spans="8:11" x14ac:dyDescent="0.25">
      <c r="H9556">
        <v>114</v>
      </c>
      <c r="I9556">
        <v>625</v>
      </c>
      <c r="J9556">
        <v>108</v>
      </c>
      <c r="K9556" t="b">
        <v>1</v>
      </c>
    </row>
    <row r="9557" spans="8:11" x14ac:dyDescent="0.25">
      <c r="H9557">
        <v>114</v>
      </c>
      <c r="I9557">
        <v>630</v>
      </c>
      <c r="J9557">
        <v>108</v>
      </c>
      <c r="K9557" t="b">
        <v>1</v>
      </c>
    </row>
    <row r="9558" spans="8:11" x14ac:dyDescent="0.25">
      <c r="H9558">
        <v>114</v>
      </c>
      <c r="I9558">
        <v>635</v>
      </c>
      <c r="J9558">
        <v>108</v>
      </c>
      <c r="K9558" t="b">
        <v>1</v>
      </c>
    </row>
    <row r="9559" spans="8:11" x14ac:dyDescent="0.25">
      <c r="H9559">
        <v>114</v>
      </c>
      <c r="I9559">
        <v>640</v>
      </c>
      <c r="J9559">
        <v>108</v>
      </c>
      <c r="K9559" t="b">
        <v>1</v>
      </c>
    </row>
    <row r="9560" spans="8:11" x14ac:dyDescent="0.25">
      <c r="H9560">
        <v>114</v>
      </c>
      <c r="I9560">
        <v>645</v>
      </c>
      <c r="J9560">
        <v>108</v>
      </c>
      <c r="K9560" t="b">
        <v>1</v>
      </c>
    </row>
    <row r="9561" spans="8:11" x14ac:dyDescent="0.25">
      <c r="H9561">
        <v>114</v>
      </c>
      <c r="I9561">
        <v>650</v>
      </c>
      <c r="J9561">
        <v>108</v>
      </c>
      <c r="K9561" t="b">
        <v>1</v>
      </c>
    </row>
    <row r="9562" spans="8:11" x14ac:dyDescent="0.25">
      <c r="H9562">
        <v>114</v>
      </c>
      <c r="I9562">
        <v>655</v>
      </c>
      <c r="J9562">
        <v>108</v>
      </c>
      <c r="K9562" t="b">
        <v>1</v>
      </c>
    </row>
    <row r="9563" spans="8:11" x14ac:dyDescent="0.25">
      <c r="H9563">
        <v>114</v>
      </c>
      <c r="I9563">
        <v>660</v>
      </c>
      <c r="J9563">
        <v>108</v>
      </c>
      <c r="K9563" t="b">
        <v>1</v>
      </c>
    </row>
    <row r="9564" spans="8:11" x14ac:dyDescent="0.25">
      <c r="H9564">
        <v>114</v>
      </c>
      <c r="I9564">
        <v>665</v>
      </c>
      <c r="J9564">
        <v>108</v>
      </c>
      <c r="K9564" t="b">
        <v>1</v>
      </c>
    </row>
    <row r="9565" spans="8:11" x14ac:dyDescent="0.25">
      <c r="H9565">
        <v>114</v>
      </c>
      <c r="I9565">
        <v>670</v>
      </c>
      <c r="J9565">
        <v>108</v>
      </c>
      <c r="K9565" t="b">
        <v>1</v>
      </c>
    </row>
    <row r="9566" spans="8:11" x14ac:dyDescent="0.25">
      <c r="H9566">
        <v>114</v>
      </c>
      <c r="I9566">
        <v>675</v>
      </c>
      <c r="J9566">
        <v>108</v>
      </c>
      <c r="K9566" t="b">
        <v>1</v>
      </c>
    </row>
    <row r="9567" spans="8:11" x14ac:dyDescent="0.25">
      <c r="H9567">
        <v>114</v>
      </c>
      <c r="I9567">
        <v>680</v>
      </c>
      <c r="J9567">
        <v>108</v>
      </c>
      <c r="K9567" t="b">
        <v>1</v>
      </c>
    </row>
    <row r="9568" spans="8:11" x14ac:dyDescent="0.25">
      <c r="H9568">
        <v>114</v>
      </c>
      <c r="I9568">
        <v>685</v>
      </c>
      <c r="J9568">
        <v>108</v>
      </c>
      <c r="K9568" t="b">
        <v>1</v>
      </c>
    </row>
    <row r="9569" spans="8:11" x14ac:dyDescent="0.25">
      <c r="H9569">
        <v>114</v>
      </c>
      <c r="I9569">
        <v>690</v>
      </c>
      <c r="J9569">
        <v>108</v>
      </c>
      <c r="K9569" t="b">
        <v>1</v>
      </c>
    </row>
    <row r="9570" spans="8:11" x14ac:dyDescent="0.25">
      <c r="H9570">
        <v>114</v>
      </c>
      <c r="I9570">
        <v>695</v>
      </c>
      <c r="J9570">
        <v>108</v>
      </c>
      <c r="K9570" t="b">
        <v>1</v>
      </c>
    </row>
    <row r="9571" spans="8:11" x14ac:dyDescent="0.25">
      <c r="H9571">
        <v>114</v>
      </c>
      <c r="I9571">
        <v>700</v>
      </c>
      <c r="J9571">
        <v>108</v>
      </c>
      <c r="K9571" t="b">
        <v>1</v>
      </c>
    </row>
    <row r="9572" spans="8:11" x14ac:dyDescent="0.25">
      <c r="H9572">
        <v>114</v>
      </c>
      <c r="I9572">
        <v>705</v>
      </c>
      <c r="J9572">
        <v>108</v>
      </c>
      <c r="K9572" t="b">
        <v>1</v>
      </c>
    </row>
    <row r="9573" spans="8:11" x14ac:dyDescent="0.25">
      <c r="H9573">
        <v>114</v>
      </c>
      <c r="I9573">
        <v>710</v>
      </c>
      <c r="J9573">
        <v>108</v>
      </c>
      <c r="K9573" t="b">
        <v>1</v>
      </c>
    </row>
    <row r="9574" spans="8:11" x14ac:dyDescent="0.25">
      <c r="H9574">
        <v>114</v>
      </c>
      <c r="I9574">
        <v>715</v>
      </c>
      <c r="J9574">
        <v>108</v>
      </c>
      <c r="K9574" t="b">
        <v>1</v>
      </c>
    </row>
    <row r="9575" spans="8:11" x14ac:dyDescent="0.25">
      <c r="H9575">
        <v>114</v>
      </c>
      <c r="I9575">
        <v>720</v>
      </c>
      <c r="J9575">
        <v>108</v>
      </c>
      <c r="K9575" t="b">
        <v>1</v>
      </c>
    </row>
    <row r="9576" spans="8:11" x14ac:dyDescent="0.25">
      <c r="H9576">
        <v>114</v>
      </c>
      <c r="I9576">
        <v>725</v>
      </c>
      <c r="J9576">
        <v>108</v>
      </c>
      <c r="K9576" t="b">
        <v>1</v>
      </c>
    </row>
    <row r="9577" spans="8:11" x14ac:dyDescent="0.25">
      <c r="H9577">
        <v>114</v>
      </c>
      <c r="I9577">
        <v>730</v>
      </c>
      <c r="J9577">
        <v>108</v>
      </c>
      <c r="K9577" t="b">
        <v>1</v>
      </c>
    </row>
    <row r="9578" spans="8:11" x14ac:dyDescent="0.25">
      <c r="H9578">
        <v>114</v>
      </c>
      <c r="I9578">
        <v>735</v>
      </c>
      <c r="J9578">
        <v>108</v>
      </c>
      <c r="K9578" t="b">
        <v>1</v>
      </c>
    </row>
    <row r="9579" spans="8:11" x14ac:dyDescent="0.25">
      <c r="H9579">
        <v>114</v>
      </c>
      <c r="I9579">
        <v>740</v>
      </c>
      <c r="J9579">
        <v>108</v>
      </c>
      <c r="K9579" t="b">
        <v>1</v>
      </c>
    </row>
    <row r="9580" spans="8:11" x14ac:dyDescent="0.25">
      <c r="H9580">
        <v>114</v>
      </c>
      <c r="I9580">
        <v>745</v>
      </c>
      <c r="J9580">
        <v>108</v>
      </c>
      <c r="K9580" t="b">
        <v>1</v>
      </c>
    </row>
    <row r="9581" spans="8:11" x14ac:dyDescent="0.25">
      <c r="H9581">
        <v>114</v>
      </c>
      <c r="I9581">
        <v>750</v>
      </c>
      <c r="J9581">
        <v>108</v>
      </c>
      <c r="K9581" t="b">
        <v>1</v>
      </c>
    </row>
    <row r="9582" spans="8:11" x14ac:dyDescent="0.25">
      <c r="H9582">
        <v>114</v>
      </c>
      <c r="I9582">
        <v>755</v>
      </c>
      <c r="J9582">
        <v>108</v>
      </c>
      <c r="K9582" t="b">
        <v>1</v>
      </c>
    </row>
    <row r="9583" spans="8:11" x14ac:dyDescent="0.25">
      <c r="H9583">
        <v>114</v>
      </c>
      <c r="I9583">
        <v>760</v>
      </c>
      <c r="J9583">
        <v>108</v>
      </c>
      <c r="K9583" t="b">
        <v>1</v>
      </c>
    </row>
    <row r="9584" spans="8:11" x14ac:dyDescent="0.25">
      <c r="H9584">
        <v>114</v>
      </c>
      <c r="I9584">
        <v>765</v>
      </c>
      <c r="J9584">
        <v>108</v>
      </c>
      <c r="K9584" t="b">
        <v>1</v>
      </c>
    </row>
    <row r="9585" spans="8:11" x14ac:dyDescent="0.25">
      <c r="H9585">
        <v>114</v>
      </c>
      <c r="I9585">
        <v>770</v>
      </c>
      <c r="J9585">
        <v>108</v>
      </c>
      <c r="K9585" t="b">
        <v>1</v>
      </c>
    </row>
    <row r="9586" spans="8:11" x14ac:dyDescent="0.25">
      <c r="H9586">
        <v>114</v>
      </c>
      <c r="I9586">
        <v>775</v>
      </c>
      <c r="J9586">
        <v>108</v>
      </c>
      <c r="K9586" t="b">
        <v>1</v>
      </c>
    </row>
    <row r="9587" spans="8:11" x14ac:dyDescent="0.25">
      <c r="H9587">
        <v>114</v>
      </c>
      <c r="I9587">
        <v>780</v>
      </c>
      <c r="J9587">
        <v>108</v>
      </c>
      <c r="K9587" t="b">
        <v>1</v>
      </c>
    </row>
    <row r="9588" spans="8:11" x14ac:dyDescent="0.25">
      <c r="H9588">
        <v>114</v>
      </c>
      <c r="I9588">
        <v>785</v>
      </c>
      <c r="J9588">
        <v>108</v>
      </c>
      <c r="K9588" t="b">
        <v>1</v>
      </c>
    </row>
    <row r="9589" spans="8:11" x14ac:dyDescent="0.25">
      <c r="H9589">
        <v>114</v>
      </c>
      <c r="I9589">
        <v>790</v>
      </c>
      <c r="J9589">
        <v>108</v>
      </c>
      <c r="K9589" t="b">
        <v>1</v>
      </c>
    </row>
    <row r="9590" spans="8:11" x14ac:dyDescent="0.25">
      <c r="H9590">
        <v>114</v>
      </c>
      <c r="I9590">
        <v>795</v>
      </c>
      <c r="J9590">
        <v>108</v>
      </c>
      <c r="K9590" t="b">
        <v>1</v>
      </c>
    </row>
    <row r="9591" spans="8:11" x14ac:dyDescent="0.25">
      <c r="H9591">
        <v>114</v>
      </c>
      <c r="I9591">
        <v>800</v>
      </c>
      <c r="J9591">
        <v>108</v>
      </c>
      <c r="K9591" t="b">
        <v>1</v>
      </c>
    </row>
    <row r="9592" spans="8:11" x14ac:dyDescent="0.25">
      <c r="H9592">
        <v>114</v>
      </c>
      <c r="I9592">
        <v>805</v>
      </c>
      <c r="J9592">
        <v>108</v>
      </c>
      <c r="K9592" t="b">
        <v>1</v>
      </c>
    </row>
    <row r="9593" spans="8:11" x14ac:dyDescent="0.25">
      <c r="H9593">
        <v>114</v>
      </c>
      <c r="I9593">
        <v>810</v>
      </c>
      <c r="J9593">
        <v>108</v>
      </c>
      <c r="K9593" t="b">
        <v>1</v>
      </c>
    </row>
    <row r="9594" spans="8:11" x14ac:dyDescent="0.25">
      <c r="H9594">
        <v>114</v>
      </c>
      <c r="I9594">
        <v>815</v>
      </c>
      <c r="J9594">
        <v>108</v>
      </c>
      <c r="K9594" t="b">
        <v>1</v>
      </c>
    </row>
    <row r="9595" spans="8:11" x14ac:dyDescent="0.25">
      <c r="H9595">
        <v>114</v>
      </c>
      <c r="I9595">
        <v>820</v>
      </c>
      <c r="J9595">
        <v>108</v>
      </c>
      <c r="K9595" t="b">
        <v>1</v>
      </c>
    </row>
    <row r="9596" spans="8:11" x14ac:dyDescent="0.25">
      <c r="H9596">
        <v>114</v>
      </c>
      <c r="I9596">
        <v>825</v>
      </c>
      <c r="J9596">
        <v>108</v>
      </c>
      <c r="K9596" t="b">
        <v>1</v>
      </c>
    </row>
    <row r="9597" spans="8:11" x14ac:dyDescent="0.25">
      <c r="H9597">
        <v>114</v>
      </c>
      <c r="I9597">
        <v>830</v>
      </c>
      <c r="J9597">
        <v>108</v>
      </c>
      <c r="K9597" t="b">
        <v>1</v>
      </c>
    </row>
    <row r="9598" spans="8:11" x14ac:dyDescent="0.25">
      <c r="H9598">
        <v>114</v>
      </c>
      <c r="I9598">
        <v>835</v>
      </c>
      <c r="J9598">
        <v>108</v>
      </c>
      <c r="K9598" t="b">
        <v>1</v>
      </c>
    </row>
    <row r="9599" spans="8:11" x14ac:dyDescent="0.25">
      <c r="H9599">
        <v>114</v>
      </c>
      <c r="I9599">
        <v>840</v>
      </c>
      <c r="J9599">
        <v>108</v>
      </c>
      <c r="K9599" t="b">
        <v>1</v>
      </c>
    </row>
    <row r="9600" spans="8:11" x14ac:dyDescent="0.25">
      <c r="H9600">
        <v>114</v>
      </c>
      <c r="I9600">
        <v>845</v>
      </c>
      <c r="J9600">
        <v>108</v>
      </c>
      <c r="K9600" t="b">
        <v>1</v>
      </c>
    </row>
    <row r="9601" spans="8:11" x14ac:dyDescent="0.25">
      <c r="H9601">
        <v>114</v>
      </c>
      <c r="I9601">
        <v>850</v>
      </c>
      <c r="J9601">
        <v>108</v>
      </c>
      <c r="K9601" t="b">
        <v>1</v>
      </c>
    </row>
    <row r="9602" spans="8:11" x14ac:dyDescent="0.25">
      <c r="H9602">
        <v>114</v>
      </c>
      <c r="I9602">
        <v>855</v>
      </c>
      <c r="J9602">
        <v>108</v>
      </c>
      <c r="K9602" t="b">
        <v>1</v>
      </c>
    </row>
    <row r="9603" spans="8:11" x14ac:dyDescent="0.25">
      <c r="H9603">
        <v>114</v>
      </c>
      <c r="I9603">
        <v>860</v>
      </c>
      <c r="J9603">
        <v>108</v>
      </c>
      <c r="K9603" t="b">
        <v>1</v>
      </c>
    </row>
    <row r="9604" spans="8:11" x14ac:dyDescent="0.25">
      <c r="H9604">
        <v>114</v>
      </c>
      <c r="I9604">
        <v>865</v>
      </c>
      <c r="J9604">
        <v>108</v>
      </c>
      <c r="K9604" t="b">
        <v>1</v>
      </c>
    </row>
    <row r="9605" spans="8:11" x14ac:dyDescent="0.25">
      <c r="H9605">
        <v>114</v>
      </c>
      <c r="I9605">
        <v>870</v>
      </c>
      <c r="J9605">
        <v>108</v>
      </c>
      <c r="K9605" t="b">
        <v>1</v>
      </c>
    </row>
    <row r="9606" spans="8:11" x14ac:dyDescent="0.25">
      <c r="H9606">
        <v>114</v>
      </c>
      <c r="I9606">
        <v>875</v>
      </c>
      <c r="J9606">
        <v>108</v>
      </c>
      <c r="K9606" t="b">
        <v>1</v>
      </c>
    </row>
    <row r="9607" spans="8:11" x14ac:dyDescent="0.25">
      <c r="H9607">
        <v>114</v>
      </c>
      <c r="I9607">
        <v>880</v>
      </c>
      <c r="J9607">
        <v>108</v>
      </c>
      <c r="K9607" t="b">
        <v>1</v>
      </c>
    </row>
    <row r="9608" spans="8:11" x14ac:dyDescent="0.25">
      <c r="H9608">
        <v>114</v>
      </c>
      <c r="I9608">
        <v>885</v>
      </c>
      <c r="J9608">
        <v>108</v>
      </c>
      <c r="K9608" t="b">
        <v>1</v>
      </c>
    </row>
    <row r="9609" spans="8:11" x14ac:dyDescent="0.25">
      <c r="H9609">
        <v>114</v>
      </c>
      <c r="I9609">
        <v>890</v>
      </c>
      <c r="J9609">
        <v>108</v>
      </c>
      <c r="K9609" t="b">
        <v>1</v>
      </c>
    </row>
    <row r="9610" spans="8:11" x14ac:dyDescent="0.25">
      <c r="H9610">
        <v>114</v>
      </c>
      <c r="I9610">
        <v>895</v>
      </c>
      <c r="J9610">
        <v>108</v>
      </c>
      <c r="K9610" t="b">
        <v>1</v>
      </c>
    </row>
    <row r="9611" spans="8:11" x14ac:dyDescent="0.25">
      <c r="H9611">
        <v>114</v>
      </c>
      <c r="I9611">
        <v>900</v>
      </c>
      <c r="J9611">
        <v>108</v>
      </c>
      <c r="K9611" t="b">
        <v>1</v>
      </c>
    </row>
    <row r="9612" spans="8:11" x14ac:dyDescent="0.25">
      <c r="H9612">
        <v>114</v>
      </c>
      <c r="I9612">
        <v>905</v>
      </c>
      <c r="J9612">
        <v>108</v>
      </c>
      <c r="K9612" t="b">
        <v>1</v>
      </c>
    </row>
    <row r="9613" spans="8:11" x14ac:dyDescent="0.25">
      <c r="H9613">
        <v>114</v>
      </c>
      <c r="I9613">
        <v>910</v>
      </c>
      <c r="J9613">
        <v>108</v>
      </c>
      <c r="K9613" t="b">
        <v>1</v>
      </c>
    </row>
    <row r="9614" spans="8:11" x14ac:dyDescent="0.25">
      <c r="H9614">
        <v>114</v>
      </c>
      <c r="I9614">
        <v>915</v>
      </c>
      <c r="J9614">
        <v>108</v>
      </c>
      <c r="K9614" t="b">
        <v>1</v>
      </c>
    </row>
    <row r="9615" spans="8:11" x14ac:dyDescent="0.25">
      <c r="H9615">
        <v>114</v>
      </c>
      <c r="I9615">
        <v>920</v>
      </c>
      <c r="J9615">
        <v>108</v>
      </c>
      <c r="K9615" t="b">
        <v>1</v>
      </c>
    </row>
    <row r="9616" spans="8:11" x14ac:dyDescent="0.25">
      <c r="H9616">
        <v>114</v>
      </c>
      <c r="I9616">
        <v>925</v>
      </c>
      <c r="J9616">
        <v>108</v>
      </c>
      <c r="K9616" t="b">
        <v>1</v>
      </c>
    </row>
    <row r="9617" spans="8:11" x14ac:dyDescent="0.25">
      <c r="H9617">
        <v>114</v>
      </c>
      <c r="I9617">
        <v>930</v>
      </c>
      <c r="J9617">
        <v>108</v>
      </c>
      <c r="K9617" t="b">
        <v>1</v>
      </c>
    </row>
    <row r="9618" spans="8:11" x14ac:dyDescent="0.25">
      <c r="H9618">
        <v>114</v>
      </c>
      <c r="I9618">
        <v>935</v>
      </c>
      <c r="J9618">
        <v>108</v>
      </c>
      <c r="K9618" t="b">
        <v>1</v>
      </c>
    </row>
    <row r="9619" spans="8:11" x14ac:dyDescent="0.25">
      <c r="H9619">
        <v>114</v>
      </c>
      <c r="I9619">
        <v>940</v>
      </c>
      <c r="J9619">
        <v>108</v>
      </c>
      <c r="K9619" t="b">
        <v>1</v>
      </c>
    </row>
    <row r="9620" spans="8:11" x14ac:dyDescent="0.25">
      <c r="H9620">
        <v>114</v>
      </c>
      <c r="I9620">
        <v>945</v>
      </c>
      <c r="J9620">
        <v>108</v>
      </c>
      <c r="K9620" t="b">
        <v>1</v>
      </c>
    </row>
    <row r="9621" spans="8:11" x14ac:dyDescent="0.25">
      <c r="H9621">
        <v>114</v>
      </c>
      <c r="I9621">
        <v>950</v>
      </c>
      <c r="J9621">
        <v>108</v>
      </c>
      <c r="K9621" t="b">
        <v>1</v>
      </c>
    </row>
    <row r="9622" spans="8:11" x14ac:dyDescent="0.25">
      <c r="H9622">
        <v>114</v>
      </c>
      <c r="I9622">
        <v>955</v>
      </c>
      <c r="J9622">
        <v>108</v>
      </c>
      <c r="K9622" t="b">
        <v>1</v>
      </c>
    </row>
    <row r="9623" spans="8:11" x14ac:dyDescent="0.25">
      <c r="H9623">
        <v>115</v>
      </c>
      <c r="I9623">
        <v>0</v>
      </c>
      <c r="J9623">
        <v>80</v>
      </c>
      <c r="K9623" t="b">
        <v>1</v>
      </c>
    </row>
    <row r="9624" spans="8:11" x14ac:dyDescent="0.25">
      <c r="H9624">
        <v>115</v>
      </c>
      <c r="I9624">
        <v>30</v>
      </c>
      <c r="J9624">
        <v>80</v>
      </c>
      <c r="K9624" t="b">
        <v>1</v>
      </c>
    </row>
    <row r="9625" spans="8:11" x14ac:dyDescent="0.25">
      <c r="H9625">
        <v>115</v>
      </c>
      <c r="I9625">
        <v>60</v>
      </c>
      <c r="J9625">
        <v>80</v>
      </c>
      <c r="K9625" t="b">
        <v>1</v>
      </c>
    </row>
    <row r="9626" spans="8:11" x14ac:dyDescent="0.25">
      <c r="H9626">
        <v>115</v>
      </c>
      <c r="I9626">
        <v>90</v>
      </c>
      <c r="J9626">
        <v>80</v>
      </c>
      <c r="K9626" t="b">
        <v>1</v>
      </c>
    </row>
    <row r="9627" spans="8:11" x14ac:dyDescent="0.25">
      <c r="H9627">
        <v>115</v>
      </c>
      <c r="I9627">
        <v>120</v>
      </c>
      <c r="J9627">
        <v>80</v>
      </c>
      <c r="K9627" t="b">
        <v>1</v>
      </c>
    </row>
    <row r="9628" spans="8:11" x14ac:dyDescent="0.25">
      <c r="H9628">
        <v>115</v>
      </c>
      <c r="I9628">
        <v>150</v>
      </c>
      <c r="J9628">
        <v>80</v>
      </c>
      <c r="K9628" t="b">
        <v>1</v>
      </c>
    </row>
    <row r="9629" spans="8:11" x14ac:dyDescent="0.25">
      <c r="H9629">
        <v>115</v>
      </c>
      <c r="I9629">
        <v>180</v>
      </c>
      <c r="J9629">
        <v>80</v>
      </c>
      <c r="K9629" t="b">
        <v>1</v>
      </c>
    </row>
    <row r="9630" spans="8:11" x14ac:dyDescent="0.25">
      <c r="H9630">
        <v>115</v>
      </c>
      <c r="I9630">
        <v>210</v>
      </c>
      <c r="J9630">
        <v>80</v>
      </c>
      <c r="K9630" t="b">
        <v>1</v>
      </c>
    </row>
    <row r="9631" spans="8:11" x14ac:dyDescent="0.25">
      <c r="H9631">
        <v>115</v>
      </c>
      <c r="I9631">
        <v>240</v>
      </c>
      <c r="J9631">
        <v>80</v>
      </c>
      <c r="K9631" t="b">
        <v>1</v>
      </c>
    </row>
    <row r="9632" spans="8:11" x14ac:dyDescent="0.25">
      <c r="H9632">
        <v>115</v>
      </c>
      <c r="I9632">
        <v>270</v>
      </c>
      <c r="J9632">
        <v>80</v>
      </c>
      <c r="K9632" t="b">
        <v>1</v>
      </c>
    </row>
    <row r="9633" spans="8:11" x14ac:dyDescent="0.25">
      <c r="H9633">
        <v>115</v>
      </c>
      <c r="I9633">
        <v>300</v>
      </c>
      <c r="J9633">
        <v>80</v>
      </c>
      <c r="K9633" t="b">
        <v>1</v>
      </c>
    </row>
    <row r="9634" spans="8:11" x14ac:dyDescent="0.25">
      <c r="H9634">
        <v>115</v>
      </c>
      <c r="I9634">
        <v>330</v>
      </c>
      <c r="J9634">
        <v>80</v>
      </c>
      <c r="K9634" t="b">
        <v>1</v>
      </c>
    </row>
    <row r="9635" spans="8:11" x14ac:dyDescent="0.25">
      <c r="H9635">
        <v>115</v>
      </c>
      <c r="I9635">
        <v>360</v>
      </c>
      <c r="J9635">
        <v>80</v>
      </c>
      <c r="K9635" t="b">
        <v>1</v>
      </c>
    </row>
    <row r="9636" spans="8:11" x14ac:dyDescent="0.25">
      <c r="H9636">
        <v>115</v>
      </c>
      <c r="I9636">
        <v>390</v>
      </c>
      <c r="J9636">
        <v>80</v>
      </c>
      <c r="K9636" t="b">
        <v>1</v>
      </c>
    </row>
    <row r="9637" spans="8:11" x14ac:dyDescent="0.25">
      <c r="H9637">
        <v>115</v>
      </c>
      <c r="I9637">
        <v>420</v>
      </c>
      <c r="J9637">
        <v>80</v>
      </c>
      <c r="K9637" t="b">
        <v>1</v>
      </c>
    </row>
    <row r="9638" spans="8:11" x14ac:dyDescent="0.25">
      <c r="H9638">
        <v>115</v>
      </c>
      <c r="I9638">
        <v>450</v>
      </c>
      <c r="J9638">
        <v>80</v>
      </c>
      <c r="K9638" t="b">
        <v>1</v>
      </c>
    </row>
    <row r="9639" spans="8:11" x14ac:dyDescent="0.25">
      <c r="H9639">
        <v>115</v>
      </c>
      <c r="I9639">
        <v>480</v>
      </c>
      <c r="J9639">
        <v>80</v>
      </c>
      <c r="K9639" t="b">
        <v>1</v>
      </c>
    </row>
    <row r="9640" spans="8:11" x14ac:dyDescent="0.25">
      <c r="H9640">
        <v>115</v>
      </c>
      <c r="I9640">
        <v>510</v>
      </c>
      <c r="J9640">
        <v>80</v>
      </c>
      <c r="K9640" t="b">
        <v>1</v>
      </c>
    </row>
    <row r="9641" spans="8:11" x14ac:dyDescent="0.25">
      <c r="H9641">
        <v>115</v>
      </c>
      <c r="I9641">
        <v>540</v>
      </c>
      <c r="J9641">
        <v>80</v>
      </c>
      <c r="K9641" t="b">
        <v>1</v>
      </c>
    </row>
    <row r="9642" spans="8:11" x14ac:dyDescent="0.25">
      <c r="H9642">
        <v>115</v>
      </c>
      <c r="I9642">
        <v>570</v>
      </c>
      <c r="J9642">
        <v>80</v>
      </c>
      <c r="K9642" t="b">
        <v>1</v>
      </c>
    </row>
    <row r="9643" spans="8:11" x14ac:dyDescent="0.25">
      <c r="H9643">
        <v>115</v>
      </c>
      <c r="I9643">
        <v>600</v>
      </c>
      <c r="J9643">
        <v>80</v>
      </c>
      <c r="K9643" t="b">
        <v>1</v>
      </c>
    </row>
    <row r="9644" spans="8:11" x14ac:dyDescent="0.25">
      <c r="H9644">
        <v>115</v>
      </c>
      <c r="I9644">
        <v>630</v>
      </c>
      <c r="J9644">
        <v>80</v>
      </c>
      <c r="K9644" t="b">
        <v>1</v>
      </c>
    </row>
    <row r="9645" spans="8:11" x14ac:dyDescent="0.25">
      <c r="H9645">
        <v>115</v>
      </c>
      <c r="I9645">
        <v>660</v>
      </c>
      <c r="J9645">
        <v>80</v>
      </c>
      <c r="K9645" t="b">
        <v>1</v>
      </c>
    </row>
    <row r="9646" spans="8:11" x14ac:dyDescent="0.25">
      <c r="H9646">
        <v>115</v>
      </c>
      <c r="I9646">
        <v>690</v>
      </c>
      <c r="J9646">
        <v>80</v>
      </c>
      <c r="K9646" t="b">
        <v>1</v>
      </c>
    </row>
    <row r="9647" spans="8:11" x14ac:dyDescent="0.25">
      <c r="H9647">
        <v>115</v>
      </c>
      <c r="I9647">
        <v>720</v>
      </c>
      <c r="J9647">
        <v>80</v>
      </c>
      <c r="K9647" t="b">
        <v>1</v>
      </c>
    </row>
    <row r="9648" spans="8:11" x14ac:dyDescent="0.25">
      <c r="H9648">
        <v>115</v>
      </c>
      <c r="I9648">
        <v>750</v>
      </c>
      <c r="J9648">
        <v>80</v>
      </c>
      <c r="K9648" t="b">
        <v>1</v>
      </c>
    </row>
    <row r="9649" spans="8:11" x14ac:dyDescent="0.25">
      <c r="H9649">
        <v>115</v>
      </c>
      <c r="I9649">
        <v>780</v>
      </c>
      <c r="J9649">
        <v>80</v>
      </c>
      <c r="K9649" t="b">
        <v>1</v>
      </c>
    </row>
    <row r="9650" spans="8:11" x14ac:dyDescent="0.25">
      <c r="H9650">
        <v>115</v>
      </c>
      <c r="I9650">
        <v>810</v>
      </c>
      <c r="J9650">
        <v>80</v>
      </c>
      <c r="K9650" t="b">
        <v>1</v>
      </c>
    </row>
    <row r="9651" spans="8:11" x14ac:dyDescent="0.25">
      <c r="H9651">
        <v>115</v>
      </c>
      <c r="I9651">
        <v>840</v>
      </c>
      <c r="J9651">
        <v>80</v>
      </c>
      <c r="K9651" t="b">
        <v>1</v>
      </c>
    </row>
    <row r="9652" spans="8:11" x14ac:dyDescent="0.25">
      <c r="H9652">
        <v>115</v>
      </c>
      <c r="I9652">
        <v>870</v>
      </c>
      <c r="J9652">
        <v>80</v>
      </c>
      <c r="K9652" t="b">
        <v>1</v>
      </c>
    </row>
    <row r="9653" spans="8:11" x14ac:dyDescent="0.25">
      <c r="H9653">
        <v>115</v>
      </c>
      <c r="I9653">
        <v>900</v>
      </c>
      <c r="J9653">
        <v>80</v>
      </c>
      <c r="K9653" t="b">
        <v>1</v>
      </c>
    </row>
    <row r="9654" spans="8:11" x14ac:dyDescent="0.25">
      <c r="H9654">
        <v>115</v>
      </c>
      <c r="I9654">
        <v>930</v>
      </c>
      <c r="J9654">
        <v>80</v>
      </c>
      <c r="K9654" t="b">
        <v>1</v>
      </c>
    </row>
    <row r="9655" spans="8:11" x14ac:dyDescent="0.25">
      <c r="H9655">
        <v>116</v>
      </c>
      <c r="I9655">
        <v>0</v>
      </c>
      <c r="J9655">
        <v>80</v>
      </c>
      <c r="K9655" t="b">
        <v>1</v>
      </c>
    </row>
    <row r="9656" spans="8:11" x14ac:dyDescent="0.25">
      <c r="H9656">
        <v>116</v>
      </c>
      <c r="I9656">
        <v>30</v>
      </c>
      <c r="J9656">
        <v>80</v>
      </c>
      <c r="K9656" t="b">
        <v>1</v>
      </c>
    </row>
    <row r="9657" spans="8:11" x14ac:dyDescent="0.25">
      <c r="H9657">
        <v>116</v>
      </c>
      <c r="I9657">
        <v>60</v>
      </c>
      <c r="J9657">
        <v>80</v>
      </c>
      <c r="K9657" t="b">
        <v>1</v>
      </c>
    </row>
    <row r="9658" spans="8:11" x14ac:dyDescent="0.25">
      <c r="H9658">
        <v>116</v>
      </c>
      <c r="I9658">
        <v>90</v>
      </c>
      <c r="J9658">
        <v>80</v>
      </c>
      <c r="K9658" t="b">
        <v>1</v>
      </c>
    </row>
    <row r="9659" spans="8:11" x14ac:dyDescent="0.25">
      <c r="H9659">
        <v>116</v>
      </c>
      <c r="I9659">
        <v>120</v>
      </c>
      <c r="J9659">
        <v>80</v>
      </c>
      <c r="K9659" t="b">
        <v>1</v>
      </c>
    </row>
    <row r="9660" spans="8:11" x14ac:dyDescent="0.25">
      <c r="H9660">
        <v>116</v>
      </c>
      <c r="I9660">
        <v>150</v>
      </c>
      <c r="J9660">
        <v>80</v>
      </c>
      <c r="K9660" t="b">
        <v>1</v>
      </c>
    </row>
    <row r="9661" spans="8:11" x14ac:dyDescent="0.25">
      <c r="H9661">
        <v>116</v>
      </c>
      <c r="I9661">
        <v>180</v>
      </c>
      <c r="J9661">
        <v>80</v>
      </c>
      <c r="K9661" t="b">
        <v>1</v>
      </c>
    </row>
    <row r="9662" spans="8:11" x14ac:dyDescent="0.25">
      <c r="H9662">
        <v>116</v>
      </c>
      <c r="I9662">
        <v>210</v>
      </c>
      <c r="J9662">
        <v>80</v>
      </c>
      <c r="K9662" t="b">
        <v>1</v>
      </c>
    </row>
    <row r="9663" spans="8:11" x14ac:dyDescent="0.25">
      <c r="H9663">
        <v>116</v>
      </c>
      <c r="I9663">
        <v>240</v>
      </c>
      <c r="J9663">
        <v>80</v>
      </c>
      <c r="K9663" t="b">
        <v>1</v>
      </c>
    </row>
    <row r="9664" spans="8:11" x14ac:dyDescent="0.25">
      <c r="H9664">
        <v>116</v>
      </c>
      <c r="I9664">
        <v>270</v>
      </c>
      <c r="J9664">
        <v>80</v>
      </c>
      <c r="K9664" t="b">
        <v>1</v>
      </c>
    </row>
    <row r="9665" spans="8:11" x14ac:dyDescent="0.25">
      <c r="H9665">
        <v>116</v>
      </c>
      <c r="I9665">
        <v>300</v>
      </c>
      <c r="J9665">
        <v>80</v>
      </c>
      <c r="K9665" t="b">
        <v>1</v>
      </c>
    </row>
    <row r="9666" spans="8:11" x14ac:dyDescent="0.25">
      <c r="H9666">
        <v>116</v>
      </c>
      <c r="I9666">
        <v>330</v>
      </c>
      <c r="J9666">
        <v>80</v>
      </c>
      <c r="K9666" t="b">
        <v>1</v>
      </c>
    </row>
    <row r="9667" spans="8:11" x14ac:dyDescent="0.25">
      <c r="H9667">
        <v>116</v>
      </c>
      <c r="I9667">
        <v>360</v>
      </c>
      <c r="J9667">
        <v>80</v>
      </c>
      <c r="K9667" t="b">
        <v>1</v>
      </c>
    </row>
    <row r="9668" spans="8:11" x14ac:dyDescent="0.25">
      <c r="H9668">
        <v>116</v>
      </c>
      <c r="I9668">
        <v>390</v>
      </c>
      <c r="J9668">
        <v>80</v>
      </c>
      <c r="K9668" t="b">
        <v>1</v>
      </c>
    </row>
    <row r="9669" spans="8:11" x14ac:dyDescent="0.25">
      <c r="H9669">
        <v>116</v>
      </c>
      <c r="I9669">
        <v>420</v>
      </c>
      <c r="J9669">
        <v>80</v>
      </c>
      <c r="K9669" t="b">
        <v>1</v>
      </c>
    </row>
    <row r="9670" spans="8:11" x14ac:dyDescent="0.25">
      <c r="H9670">
        <v>116</v>
      </c>
      <c r="I9670">
        <v>450</v>
      </c>
      <c r="J9670">
        <v>80</v>
      </c>
      <c r="K9670" t="b">
        <v>1</v>
      </c>
    </row>
    <row r="9671" spans="8:11" x14ac:dyDescent="0.25">
      <c r="H9671">
        <v>116</v>
      </c>
      <c r="I9671">
        <v>480</v>
      </c>
      <c r="J9671">
        <v>80</v>
      </c>
      <c r="K9671" t="b">
        <v>1</v>
      </c>
    </row>
    <row r="9672" spans="8:11" x14ac:dyDescent="0.25">
      <c r="H9672">
        <v>116</v>
      </c>
      <c r="I9672">
        <v>510</v>
      </c>
      <c r="J9672">
        <v>80</v>
      </c>
      <c r="K9672" t="b">
        <v>1</v>
      </c>
    </row>
    <row r="9673" spans="8:11" x14ac:dyDescent="0.25">
      <c r="H9673">
        <v>116</v>
      </c>
      <c r="I9673">
        <v>540</v>
      </c>
      <c r="J9673">
        <v>80</v>
      </c>
      <c r="K9673" t="b">
        <v>1</v>
      </c>
    </row>
    <row r="9674" spans="8:11" x14ac:dyDescent="0.25">
      <c r="H9674">
        <v>116</v>
      </c>
      <c r="I9674">
        <v>570</v>
      </c>
      <c r="J9674">
        <v>80</v>
      </c>
      <c r="K9674" t="b">
        <v>1</v>
      </c>
    </row>
    <row r="9675" spans="8:11" x14ac:dyDescent="0.25">
      <c r="H9675">
        <v>116</v>
      </c>
      <c r="I9675">
        <v>600</v>
      </c>
      <c r="J9675">
        <v>80</v>
      </c>
      <c r="K9675" t="b">
        <v>1</v>
      </c>
    </row>
    <row r="9676" spans="8:11" x14ac:dyDescent="0.25">
      <c r="H9676">
        <v>116</v>
      </c>
      <c r="I9676">
        <v>630</v>
      </c>
      <c r="J9676">
        <v>80</v>
      </c>
      <c r="K9676" t="b">
        <v>1</v>
      </c>
    </row>
    <row r="9677" spans="8:11" x14ac:dyDescent="0.25">
      <c r="H9677">
        <v>116</v>
      </c>
      <c r="I9677">
        <v>660</v>
      </c>
      <c r="J9677">
        <v>80</v>
      </c>
      <c r="K9677" t="b">
        <v>1</v>
      </c>
    </row>
    <row r="9678" spans="8:11" x14ac:dyDescent="0.25">
      <c r="H9678">
        <v>116</v>
      </c>
      <c r="I9678">
        <v>690</v>
      </c>
      <c r="J9678">
        <v>80</v>
      </c>
      <c r="K9678" t="b">
        <v>1</v>
      </c>
    </row>
    <row r="9679" spans="8:11" x14ac:dyDescent="0.25">
      <c r="H9679">
        <v>116</v>
      </c>
      <c r="I9679">
        <v>720</v>
      </c>
      <c r="J9679">
        <v>80</v>
      </c>
      <c r="K9679" t="b">
        <v>1</v>
      </c>
    </row>
    <row r="9680" spans="8:11" x14ac:dyDescent="0.25">
      <c r="H9680">
        <v>116</v>
      </c>
      <c r="I9680">
        <v>750</v>
      </c>
      <c r="J9680">
        <v>80</v>
      </c>
      <c r="K9680" t="b">
        <v>1</v>
      </c>
    </row>
    <row r="9681" spans="8:11" x14ac:dyDescent="0.25">
      <c r="H9681">
        <v>116</v>
      </c>
      <c r="I9681">
        <v>780</v>
      </c>
      <c r="J9681">
        <v>80</v>
      </c>
      <c r="K9681" t="b">
        <v>1</v>
      </c>
    </row>
    <row r="9682" spans="8:11" x14ac:dyDescent="0.25">
      <c r="H9682">
        <v>116</v>
      </c>
      <c r="I9682">
        <v>810</v>
      </c>
      <c r="J9682">
        <v>80</v>
      </c>
      <c r="K9682" t="b">
        <v>1</v>
      </c>
    </row>
    <row r="9683" spans="8:11" x14ac:dyDescent="0.25">
      <c r="H9683">
        <v>116</v>
      </c>
      <c r="I9683">
        <v>840</v>
      </c>
      <c r="J9683">
        <v>80</v>
      </c>
      <c r="K9683" t="b">
        <v>1</v>
      </c>
    </row>
    <row r="9684" spans="8:11" x14ac:dyDescent="0.25">
      <c r="H9684">
        <v>116</v>
      </c>
      <c r="I9684">
        <v>870</v>
      </c>
      <c r="J9684">
        <v>80</v>
      </c>
      <c r="K9684" t="b">
        <v>1</v>
      </c>
    </row>
    <row r="9685" spans="8:11" x14ac:dyDescent="0.25">
      <c r="H9685">
        <v>116</v>
      </c>
      <c r="I9685">
        <v>900</v>
      </c>
      <c r="J9685">
        <v>80</v>
      </c>
      <c r="K9685" t="b">
        <v>1</v>
      </c>
    </row>
    <row r="9686" spans="8:11" x14ac:dyDescent="0.25">
      <c r="H9686">
        <v>116</v>
      </c>
      <c r="I9686">
        <v>930</v>
      </c>
      <c r="J9686">
        <v>80</v>
      </c>
      <c r="K9686" t="b">
        <v>1</v>
      </c>
    </row>
    <row r="9687" spans="8:11" x14ac:dyDescent="0.25">
      <c r="H9687">
        <v>117</v>
      </c>
      <c r="I9687">
        <v>0</v>
      </c>
      <c r="J9687">
        <v>39</v>
      </c>
      <c r="K9687" t="b">
        <v>1</v>
      </c>
    </row>
    <row r="9688" spans="8:11" x14ac:dyDescent="0.25">
      <c r="H9688">
        <v>117</v>
      </c>
      <c r="I9688">
        <v>8</v>
      </c>
      <c r="J9688">
        <v>39</v>
      </c>
      <c r="K9688" t="b">
        <v>1</v>
      </c>
    </row>
    <row r="9689" spans="8:11" x14ac:dyDescent="0.25">
      <c r="H9689">
        <v>117</v>
      </c>
      <c r="I9689">
        <v>16</v>
      </c>
      <c r="J9689">
        <v>39</v>
      </c>
      <c r="K9689" t="b">
        <v>1</v>
      </c>
    </row>
    <row r="9690" spans="8:11" x14ac:dyDescent="0.25">
      <c r="H9690">
        <v>117</v>
      </c>
      <c r="I9690">
        <v>24</v>
      </c>
      <c r="J9690">
        <v>39</v>
      </c>
      <c r="K9690" t="b">
        <v>1</v>
      </c>
    </row>
    <row r="9691" spans="8:11" x14ac:dyDescent="0.25">
      <c r="H9691">
        <v>117</v>
      </c>
      <c r="I9691">
        <v>32</v>
      </c>
      <c r="J9691">
        <v>39</v>
      </c>
      <c r="K9691" t="b">
        <v>1</v>
      </c>
    </row>
    <row r="9692" spans="8:11" x14ac:dyDescent="0.25">
      <c r="H9692">
        <v>117</v>
      </c>
      <c r="I9692">
        <v>40</v>
      </c>
      <c r="J9692">
        <v>39</v>
      </c>
      <c r="K9692" t="b">
        <v>1</v>
      </c>
    </row>
    <row r="9693" spans="8:11" x14ac:dyDescent="0.25">
      <c r="H9693">
        <v>117</v>
      </c>
      <c r="I9693">
        <v>48</v>
      </c>
      <c r="J9693">
        <v>39</v>
      </c>
      <c r="K9693" t="b">
        <v>1</v>
      </c>
    </row>
    <row r="9694" spans="8:11" x14ac:dyDescent="0.25">
      <c r="H9694">
        <v>117</v>
      </c>
      <c r="I9694">
        <v>56</v>
      </c>
      <c r="J9694">
        <v>39</v>
      </c>
      <c r="K9694" t="b">
        <v>1</v>
      </c>
    </row>
    <row r="9695" spans="8:11" x14ac:dyDescent="0.25">
      <c r="H9695">
        <v>117</v>
      </c>
      <c r="I9695">
        <v>64</v>
      </c>
      <c r="J9695">
        <v>39</v>
      </c>
      <c r="K9695" t="b">
        <v>1</v>
      </c>
    </row>
    <row r="9696" spans="8:11" x14ac:dyDescent="0.25">
      <c r="H9696">
        <v>117</v>
      </c>
      <c r="I9696">
        <v>72</v>
      </c>
      <c r="J9696">
        <v>39</v>
      </c>
      <c r="K9696" t="b">
        <v>1</v>
      </c>
    </row>
    <row r="9697" spans="8:11" x14ac:dyDescent="0.25">
      <c r="H9697">
        <v>117</v>
      </c>
      <c r="I9697">
        <v>80</v>
      </c>
      <c r="J9697">
        <v>39</v>
      </c>
      <c r="K9697" t="b">
        <v>1</v>
      </c>
    </row>
    <row r="9698" spans="8:11" x14ac:dyDescent="0.25">
      <c r="H9698">
        <v>117</v>
      </c>
      <c r="I9698">
        <v>88</v>
      </c>
      <c r="J9698">
        <v>39</v>
      </c>
      <c r="K9698" t="b">
        <v>1</v>
      </c>
    </row>
    <row r="9699" spans="8:11" x14ac:dyDescent="0.25">
      <c r="H9699">
        <v>117</v>
      </c>
      <c r="I9699">
        <v>96</v>
      </c>
      <c r="J9699">
        <v>39</v>
      </c>
      <c r="K9699" t="b">
        <v>1</v>
      </c>
    </row>
    <row r="9700" spans="8:11" x14ac:dyDescent="0.25">
      <c r="H9700">
        <v>117</v>
      </c>
      <c r="I9700">
        <v>104</v>
      </c>
      <c r="J9700">
        <v>39</v>
      </c>
      <c r="K9700" t="b">
        <v>1</v>
      </c>
    </row>
    <row r="9701" spans="8:11" x14ac:dyDescent="0.25">
      <c r="H9701">
        <v>117</v>
      </c>
      <c r="I9701">
        <v>112</v>
      </c>
      <c r="J9701">
        <v>39</v>
      </c>
      <c r="K9701" t="b">
        <v>1</v>
      </c>
    </row>
    <row r="9702" spans="8:11" x14ac:dyDescent="0.25">
      <c r="H9702">
        <v>117</v>
      </c>
      <c r="I9702">
        <v>120</v>
      </c>
      <c r="J9702">
        <v>39</v>
      </c>
      <c r="K9702" t="b">
        <v>1</v>
      </c>
    </row>
    <row r="9703" spans="8:11" x14ac:dyDescent="0.25">
      <c r="H9703">
        <v>117</v>
      </c>
      <c r="I9703">
        <v>128</v>
      </c>
      <c r="J9703">
        <v>39</v>
      </c>
      <c r="K9703" t="b">
        <v>1</v>
      </c>
    </row>
    <row r="9704" spans="8:11" x14ac:dyDescent="0.25">
      <c r="H9704">
        <v>117</v>
      </c>
      <c r="I9704">
        <v>136</v>
      </c>
      <c r="J9704">
        <v>39</v>
      </c>
      <c r="K9704" t="b">
        <v>1</v>
      </c>
    </row>
    <row r="9705" spans="8:11" x14ac:dyDescent="0.25">
      <c r="H9705">
        <v>117</v>
      </c>
      <c r="I9705">
        <v>144</v>
      </c>
      <c r="J9705">
        <v>39</v>
      </c>
      <c r="K9705" t="b">
        <v>1</v>
      </c>
    </row>
    <row r="9706" spans="8:11" x14ac:dyDescent="0.25">
      <c r="H9706">
        <v>117</v>
      </c>
      <c r="I9706">
        <v>152</v>
      </c>
      <c r="J9706">
        <v>39</v>
      </c>
      <c r="K9706" t="b">
        <v>1</v>
      </c>
    </row>
    <row r="9707" spans="8:11" x14ac:dyDescent="0.25">
      <c r="H9707">
        <v>117</v>
      </c>
      <c r="I9707">
        <v>160</v>
      </c>
      <c r="J9707">
        <v>39</v>
      </c>
      <c r="K9707" t="b">
        <v>1</v>
      </c>
    </row>
    <row r="9708" spans="8:11" x14ac:dyDescent="0.25">
      <c r="H9708">
        <v>117</v>
      </c>
      <c r="I9708">
        <v>168</v>
      </c>
      <c r="J9708">
        <v>39</v>
      </c>
      <c r="K9708" t="b">
        <v>1</v>
      </c>
    </row>
    <row r="9709" spans="8:11" x14ac:dyDescent="0.25">
      <c r="H9709">
        <v>117</v>
      </c>
      <c r="I9709">
        <v>176</v>
      </c>
      <c r="J9709">
        <v>39</v>
      </c>
      <c r="K9709" t="b">
        <v>1</v>
      </c>
    </row>
    <row r="9710" spans="8:11" x14ac:dyDescent="0.25">
      <c r="H9710">
        <v>117</v>
      </c>
      <c r="I9710">
        <v>184</v>
      </c>
      <c r="J9710">
        <v>39</v>
      </c>
      <c r="K9710" t="b">
        <v>1</v>
      </c>
    </row>
    <row r="9711" spans="8:11" x14ac:dyDescent="0.25">
      <c r="H9711">
        <v>117</v>
      </c>
      <c r="I9711">
        <v>192</v>
      </c>
      <c r="J9711">
        <v>39</v>
      </c>
      <c r="K9711" t="b">
        <v>1</v>
      </c>
    </row>
    <row r="9712" spans="8:11" x14ac:dyDescent="0.25">
      <c r="H9712">
        <v>117</v>
      </c>
      <c r="I9712">
        <v>200</v>
      </c>
      <c r="J9712">
        <v>39</v>
      </c>
      <c r="K9712" t="b">
        <v>1</v>
      </c>
    </row>
    <row r="9713" spans="8:11" x14ac:dyDescent="0.25">
      <c r="H9713">
        <v>117</v>
      </c>
      <c r="I9713">
        <v>208</v>
      </c>
      <c r="J9713">
        <v>39</v>
      </c>
      <c r="K9713" t="b">
        <v>1</v>
      </c>
    </row>
    <row r="9714" spans="8:11" x14ac:dyDescent="0.25">
      <c r="H9714">
        <v>117</v>
      </c>
      <c r="I9714">
        <v>216</v>
      </c>
      <c r="J9714">
        <v>39</v>
      </c>
      <c r="K9714" t="b">
        <v>1</v>
      </c>
    </row>
    <row r="9715" spans="8:11" x14ac:dyDescent="0.25">
      <c r="H9715">
        <v>117</v>
      </c>
      <c r="I9715">
        <v>224</v>
      </c>
      <c r="J9715">
        <v>39</v>
      </c>
      <c r="K9715" t="b">
        <v>1</v>
      </c>
    </row>
    <row r="9716" spans="8:11" x14ac:dyDescent="0.25">
      <c r="H9716">
        <v>117</v>
      </c>
      <c r="I9716">
        <v>232</v>
      </c>
      <c r="J9716">
        <v>39</v>
      </c>
      <c r="K9716" t="b">
        <v>1</v>
      </c>
    </row>
    <row r="9717" spans="8:11" x14ac:dyDescent="0.25">
      <c r="H9717">
        <v>117</v>
      </c>
      <c r="I9717">
        <v>240</v>
      </c>
      <c r="J9717">
        <v>39</v>
      </c>
      <c r="K9717" t="b">
        <v>1</v>
      </c>
    </row>
    <row r="9718" spans="8:11" x14ac:dyDescent="0.25">
      <c r="H9718">
        <v>117</v>
      </c>
      <c r="I9718">
        <v>248</v>
      </c>
      <c r="J9718">
        <v>39</v>
      </c>
      <c r="K9718" t="b">
        <v>1</v>
      </c>
    </row>
    <row r="9719" spans="8:11" x14ac:dyDescent="0.25">
      <c r="H9719">
        <v>117</v>
      </c>
      <c r="I9719">
        <v>256</v>
      </c>
      <c r="J9719">
        <v>39</v>
      </c>
      <c r="K9719" t="b">
        <v>1</v>
      </c>
    </row>
    <row r="9720" spans="8:11" x14ac:dyDescent="0.25">
      <c r="H9720">
        <v>117</v>
      </c>
      <c r="I9720">
        <v>264</v>
      </c>
      <c r="J9720">
        <v>39</v>
      </c>
      <c r="K9720" t="b">
        <v>1</v>
      </c>
    </row>
    <row r="9721" spans="8:11" x14ac:dyDescent="0.25">
      <c r="H9721">
        <v>117</v>
      </c>
      <c r="I9721">
        <v>272</v>
      </c>
      <c r="J9721">
        <v>39</v>
      </c>
      <c r="K9721" t="b">
        <v>1</v>
      </c>
    </row>
    <row r="9722" spans="8:11" x14ac:dyDescent="0.25">
      <c r="H9722">
        <v>117</v>
      </c>
      <c r="I9722">
        <v>280</v>
      </c>
      <c r="J9722">
        <v>39</v>
      </c>
      <c r="K9722" t="b">
        <v>1</v>
      </c>
    </row>
    <row r="9723" spans="8:11" x14ac:dyDescent="0.25">
      <c r="H9723">
        <v>117</v>
      </c>
      <c r="I9723">
        <v>288</v>
      </c>
      <c r="J9723">
        <v>39</v>
      </c>
      <c r="K9723" t="b">
        <v>1</v>
      </c>
    </row>
    <row r="9724" spans="8:11" x14ac:dyDescent="0.25">
      <c r="H9724">
        <v>117</v>
      </c>
      <c r="I9724">
        <v>296</v>
      </c>
      <c r="J9724">
        <v>39</v>
      </c>
      <c r="K9724" t="b">
        <v>1</v>
      </c>
    </row>
    <row r="9725" spans="8:11" x14ac:dyDescent="0.25">
      <c r="H9725">
        <v>117</v>
      </c>
      <c r="I9725">
        <v>304</v>
      </c>
      <c r="J9725">
        <v>39</v>
      </c>
      <c r="K9725" t="b">
        <v>1</v>
      </c>
    </row>
    <row r="9726" spans="8:11" x14ac:dyDescent="0.25">
      <c r="H9726">
        <v>117</v>
      </c>
      <c r="I9726">
        <v>312</v>
      </c>
      <c r="J9726">
        <v>39</v>
      </c>
      <c r="K9726" t="b">
        <v>1</v>
      </c>
    </row>
    <row r="9727" spans="8:11" x14ac:dyDescent="0.25">
      <c r="H9727">
        <v>117</v>
      </c>
      <c r="I9727">
        <v>320</v>
      </c>
      <c r="J9727">
        <v>39</v>
      </c>
      <c r="K9727" t="b">
        <v>1</v>
      </c>
    </row>
    <row r="9728" spans="8:11" x14ac:dyDescent="0.25">
      <c r="H9728">
        <v>117</v>
      </c>
      <c r="I9728">
        <v>328</v>
      </c>
      <c r="J9728">
        <v>39</v>
      </c>
      <c r="K9728" t="b">
        <v>1</v>
      </c>
    </row>
    <row r="9729" spans="8:11" x14ac:dyDescent="0.25">
      <c r="H9729">
        <v>117</v>
      </c>
      <c r="I9729">
        <v>336</v>
      </c>
      <c r="J9729">
        <v>39</v>
      </c>
      <c r="K9729" t="b">
        <v>1</v>
      </c>
    </row>
    <row r="9730" spans="8:11" x14ac:dyDescent="0.25">
      <c r="H9730">
        <v>117</v>
      </c>
      <c r="I9730">
        <v>344</v>
      </c>
      <c r="J9730">
        <v>39</v>
      </c>
      <c r="K9730" t="b">
        <v>1</v>
      </c>
    </row>
    <row r="9731" spans="8:11" x14ac:dyDescent="0.25">
      <c r="H9731">
        <v>117</v>
      </c>
      <c r="I9731">
        <v>352</v>
      </c>
      <c r="J9731">
        <v>39</v>
      </c>
      <c r="K9731" t="b">
        <v>1</v>
      </c>
    </row>
    <row r="9732" spans="8:11" x14ac:dyDescent="0.25">
      <c r="H9732">
        <v>117</v>
      </c>
      <c r="I9732">
        <v>360</v>
      </c>
      <c r="J9732">
        <v>39</v>
      </c>
      <c r="K9732" t="b">
        <v>1</v>
      </c>
    </row>
    <row r="9733" spans="8:11" x14ac:dyDescent="0.25">
      <c r="H9733">
        <v>117</v>
      </c>
      <c r="I9733">
        <v>368</v>
      </c>
      <c r="J9733">
        <v>39</v>
      </c>
      <c r="K9733" t="b">
        <v>1</v>
      </c>
    </row>
    <row r="9734" spans="8:11" x14ac:dyDescent="0.25">
      <c r="H9734">
        <v>117</v>
      </c>
      <c r="I9734">
        <v>376</v>
      </c>
      <c r="J9734">
        <v>39</v>
      </c>
      <c r="K9734" t="b">
        <v>1</v>
      </c>
    </row>
    <row r="9735" spans="8:11" x14ac:dyDescent="0.25">
      <c r="H9735">
        <v>117</v>
      </c>
      <c r="I9735">
        <v>384</v>
      </c>
      <c r="J9735">
        <v>39</v>
      </c>
      <c r="K9735" t="b">
        <v>1</v>
      </c>
    </row>
    <row r="9736" spans="8:11" x14ac:dyDescent="0.25">
      <c r="H9736">
        <v>117</v>
      </c>
      <c r="I9736">
        <v>392</v>
      </c>
      <c r="J9736">
        <v>39</v>
      </c>
      <c r="K9736" t="b">
        <v>1</v>
      </c>
    </row>
    <row r="9737" spans="8:11" x14ac:dyDescent="0.25">
      <c r="H9737">
        <v>117</v>
      </c>
      <c r="I9737">
        <v>400</v>
      </c>
      <c r="J9737">
        <v>39</v>
      </c>
      <c r="K9737" t="b">
        <v>1</v>
      </c>
    </row>
    <row r="9738" spans="8:11" x14ac:dyDescent="0.25">
      <c r="H9738">
        <v>117</v>
      </c>
      <c r="I9738">
        <v>408</v>
      </c>
      <c r="J9738">
        <v>39</v>
      </c>
      <c r="K9738" t="b">
        <v>1</v>
      </c>
    </row>
    <row r="9739" spans="8:11" x14ac:dyDescent="0.25">
      <c r="H9739">
        <v>117</v>
      </c>
      <c r="I9739">
        <v>416</v>
      </c>
      <c r="J9739">
        <v>39</v>
      </c>
      <c r="K9739" t="b">
        <v>1</v>
      </c>
    </row>
    <row r="9740" spans="8:11" x14ac:dyDescent="0.25">
      <c r="H9740">
        <v>117</v>
      </c>
      <c r="I9740">
        <v>424</v>
      </c>
      <c r="J9740">
        <v>39</v>
      </c>
      <c r="K9740" t="b">
        <v>1</v>
      </c>
    </row>
    <row r="9741" spans="8:11" x14ac:dyDescent="0.25">
      <c r="H9741">
        <v>117</v>
      </c>
      <c r="I9741">
        <v>432</v>
      </c>
      <c r="J9741">
        <v>39</v>
      </c>
      <c r="K9741" t="b">
        <v>1</v>
      </c>
    </row>
    <row r="9742" spans="8:11" x14ac:dyDescent="0.25">
      <c r="H9742">
        <v>117</v>
      </c>
      <c r="I9742">
        <v>440</v>
      </c>
      <c r="J9742">
        <v>39</v>
      </c>
      <c r="K9742" t="b">
        <v>1</v>
      </c>
    </row>
    <row r="9743" spans="8:11" x14ac:dyDescent="0.25">
      <c r="H9743">
        <v>117</v>
      </c>
      <c r="I9743">
        <v>448</v>
      </c>
      <c r="J9743">
        <v>39</v>
      </c>
      <c r="K9743" t="b">
        <v>1</v>
      </c>
    </row>
    <row r="9744" spans="8:11" x14ac:dyDescent="0.25">
      <c r="H9744">
        <v>117</v>
      </c>
      <c r="I9744">
        <v>456</v>
      </c>
      <c r="J9744">
        <v>39</v>
      </c>
      <c r="K9744" t="b">
        <v>1</v>
      </c>
    </row>
    <row r="9745" spans="8:11" x14ac:dyDescent="0.25">
      <c r="H9745">
        <v>117</v>
      </c>
      <c r="I9745">
        <v>464</v>
      </c>
      <c r="J9745">
        <v>39</v>
      </c>
      <c r="K9745" t="b">
        <v>1</v>
      </c>
    </row>
    <row r="9746" spans="8:11" x14ac:dyDescent="0.25">
      <c r="H9746">
        <v>117</v>
      </c>
      <c r="I9746">
        <v>472</v>
      </c>
      <c r="J9746">
        <v>39</v>
      </c>
      <c r="K9746" t="b">
        <v>1</v>
      </c>
    </row>
    <row r="9747" spans="8:11" x14ac:dyDescent="0.25">
      <c r="H9747">
        <v>117</v>
      </c>
      <c r="I9747">
        <v>480</v>
      </c>
      <c r="J9747">
        <v>39</v>
      </c>
      <c r="K9747" t="b">
        <v>1</v>
      </c>
    </row>
    <row r="9748" spans="8:11" x14ac:dyDescent="0.25">
      <c r="H9748">
        <v>117</v>
      </c>
      <c r="I9748">
        <v>488</v>
      </c>
      <c r="J9748">
        <v>39</v>
      </c>
      <c r="K9748" t="b">
        <v>1</v>
      </c>
    </row>
    <row r="9749" spans="8:11" x14ac:dyDescent="0.25">
      <c r="H9749">
        <v>117</v>
      </c>
      <c r="I9749">
        <v>496</v>
      </c>
      <c r="J9749">
        <v>39</v>
      </c>
      <c r="K9749" t="b">
        <v>1</v>
      </c>
    </row>
    <row r="9750" spans="8:11" x14ac:dyDescent="0.25">
      <c r="H9750">
        <v>117</v>
      </c>
      <c r="I9750">
        <v>504</v>
      </c>
      <c r="J9750">
        <v>39</v>
      </c>
      <c r="K9750" t="b">
        <v>1</v>
      </c>
    </row>
    <row r="9751" spans="8:11" x14ac:dyDescent="0.25">
      <c r="H9751">
        <v>117</v>
      </c>
      <c r="I9751">
        <v>512</v>
      </c>
      <c r="J9751">
        <v>39</v>
      </c>
      <c r="K9751" t="b">
        <v>1</v>
      </c>
    </row>
    <row r="9752" spans="8:11" x14ac:dyDescent="0.25">
      <c r="H9752">
        <v>117</v>
      </c>
      <c r="I9752">
        <v>520</v>
      </c>
      <c r="J9752">
        <v>39</v>
      </c>
      <c r="K9752" t="b">
        <v>1</v>
      </c>
    </row>
    <row r="9753" spans="8:11" x14ac:dyDescent="0.25">
      <c r="H9753">
        <v>117</v>
      </c>
      <c r="I9753">
        <v>528</v>
      </c>
      <c r="J9753">
        <v>39</v>
      </c>
      <c r="K9753" t="b">
        <v>1</v>
      </c>
    </row>
    <row r="9754" spans="8:11" x14ac:dyDescent="0.25">
      <c r="H9754">
        <v>117</v>
      </c>
      <c r="I9754">
        <v>536</v>
      </c>
      <c r="J9754">
        <v>39</v>
      </c>
      <c r="K9754" t="b">
        <v>1</v>
      </c>
    </row>
    <row r="9755" spans="8:11" x14ac:dyDescent="0.25">
      <c r="H9755">
        <v>117</v>
      </c>
      <c r="I9755">
        <v>544</v>
      </c>
      <c r="J9755">
        <v>39</v>
      </c>
      <c r="K9755" t="b">
        <v>1</v>
      </c>
    </row>
    <row r="9756" spans="8:11" x14ac:dyDescent="0.25">
      <c r="H9756">
        <v>117</v>
      </c>
      <c r="I9756">
        <v>552</v>
      </c>
      <c r="J9756">
        <v>39</v>
      </c>
      <c r="K9756" t="b">
        <v>1</v>
      </c>
    </row>
    <row r="9757" spans="8:11" x14ac:dyDescent="0.25">
      <c r="H9757">
        <v>117</v>
      </c>
      <c r="I9757">
        <v>560</v>
      </c>
      <c r="J9757">
        <v>39</v>
      </c>
      <c r="K9757" t="b">
        <v>1</v>
      </c>
    </row>
    <row r="9758" spans="8:11" x14ac:dyDescent="0.25">
      <c r="H9758">
        <v>117</v>
      </c>
      <c r="I9758">
        <v>568</v>
      </c>
      <c r="J9758">
        <v>39</v>
      </c>
      <c r="K9758" t="b">
        <v>1</v>
      </c>
    </row>
    <row r="9759" spans="8:11" x14ac:dyDescent="0.25">
      <c r="H9759">
        <v>117</v>
      </c>
      <c r="I9759">
        <v>576</v>
      </c>
      <c r="J9759">
        <v>39</v>
      </c>
      <c r="K9759" t="b">
        <v>1</v>
      </c>
    </row>
    <row r="9760" spans="8:11" x14ac:dyDescent="0.25">
      <c r="H9760">
        <v>117</v>
      </c>
      <c r="I9760">
        <v>584</v>
      </c>
      <c r="J9760">
        <v>39</v>
      </c>
      <c r="K9760" t="b">
        <v>1</v>
      </c>
    </row>
    <row r="9761" spans="8:11" x14ac:dyDescent="0.25">
      <c r="H9761">
        <v>117</v>
      </c>
      <c r="I9761">
        <v>592</v>
      </c>
      <c r="J9761">
        <v>39</v>
      </c>
      <c r="K9761" t="b">
        <v>1</v>
      </c>
    </row>
    <row r="9762" spans="8:11" x14ac:dyDescent="0.25">
      <c r="H9762">
        <v>117</v>
      </c>
      <c r="I9762">
        <v>600</v>
      </c>
      <c r="J9762">
        <v>39</v>
      </c>
      <c r="K9762" t="b">
        <v>1</v>
      </c>
    </row>
    <row r="9763" spans="8:11" x14ac:dyDescent="0.25">
      <c r="H9763">
        <v>117</v>
      </c>
      <c r="I9763">
        <v>608</v>
      </c>
      <c r="J9763">
        <v>39</v>
      </c>
      <c r="K9763" t="b">
        <v>1</v>
      </c>
    </row>
    <row r="9764" spans="8:11" x14ac:dyDescent="0.25">
      <c r="H9764">
        <v>117</v>
      </c>
      <c r="I9764">
        <v>616</v>
      </c>
      <c r="J9764">
        <v>39</v>
      </c>
      <c r="K9764" t="b">
        <v>1</v>
      </c>
    </row>
    <row r="9765" spans="8:11" x14ac:dyDescent="0.25">
      <c r="H9765">
        <v>117</v>
      </c>
      <c r="I9765">
        <v>624</v>
      </c>
      <c r="J9765">
        <v>39</v>
      </c>
      <c r="K9765" t="b">
        <v>1</v>
      </c>
    </row>
    <row r="9766" spans="8:11" x14ac:dyDescent="0.25">
      <c r="H9766">
        <v>117</v>
      </c>
      <c r="I9766">
        <v>632</v>
      </c>
      <c r="J9766">
        <v>39</v>
      </c>
      <c r="K9766" t="b">
        <v>1</v>
      </c>
    </row>
    <row r="9767" spans="8:11" x14ac:dyDescent="0.25">
      <c r="H9767">
        <v>117</v>
      </c>
      <c r="I9767">
        <v>640</v>
      </c>
      <c r="J9767">
        <v>39</v>
      </c>
      <c r="K9767" t="b">
        <v>1</v>
      </c>
    </row>
    <row r="9768" spans="8:11" x14ac:dyDescent="0.25">
      <c r="H9768">
        <v>117</v>
      </c>
      <c r="I9768">
        <v>648</v>
      </c>
      <c r="J9768">
        <v>39</v>
      </c>
      <c r="K9768" t="b">
        <v>1</v>
      </c>
    </row>
    <row r="9769" spans="8:11" x14ac:dyDescent="0.25">
      <c r="H9769">
        <v>117</v>
      </c>
      <c r="I9769">
        <v>656</v>
      </c>
      <c r="J9769">
        <v>39</v>
      </c>
      <c r="K9769" t="b">
        <v>1</v>
      </c>
    </row>
    <row r="9770" spans="8:11" x14ac:dyDescent="0.25">
      <c r="H9770">
        <v>117</v>
      </c>
      <c r="I9770">
        <v>664</v>
      </c>
      <c r="J9770">
        <v>39</v>
      </c>
      <c r="K9770" t="b">
        <v>1</v>
      </c>
    </row>
    <row r="9771" spans="8:11" x14ac:dyDescent="0.25">
      <c r="H9771">
        <v>117</v>
      </c>
      <c r="I9771">
        <v>672</v>
      </c>
      <c r="J9771">
        <v>39</v>
      </c>
      <c r="K9771" t="b">
        <v>1</v>
      </c>
    </row>
    <row r="9772" spans="8:11" x14ac:dyDescent="0.25">
      <c r="H9772">
        <v>117</v>
      </c>
      <c r="I9772">
        <v>680</v>
      </c>
      <c r="J9772">
        <v>39</v>
      </c>
      <c r="K9772" t="b">
        <v>1</v>
      </c>
    </row>
    <row r="9773" spans="8:11" x14ac:dyDescent="0.25">
      <c r="H9773">
        <v>117</v>
      </c>
      <c r="I9773">
        <v>688</v>
      </c>
      <c r="J9773">
        <v>39</v>
      </c>
      <c r="K9773" t="b">
        <v>1</v>
      </c>
    </row>
    <row r="9774" spans="8:11" x14ac:dyDescent="0.25">
      <c r="H9774">
        <v>117</v>
      </c>
      <c r="I9774">
        <v>696</v>
      </c>
      <c r="J9774">
        <v>39</v>
      </c>
      <c r="K9774" t="b">
        <v>1</v>
      </c>
    </row>
    <row r="9775" spans="8:11" x14ac:dyDescent="0.25">
      <c r="H9775">
        <v>117</v>
      </c>
      <c r="I9775">
        <v>704</v>
      </c>
      <c r="J9775">
        <v>39</v>
      </c>
      <c r="K9775" t="b">
        <v>1</v>
      </c>
    </row>
    <row r="9776" spans="8:11" x14ac:dyDescent="0.25">
      <c r="H9776">
        <v>117</v>
      </c>
      <c r="I9776">
        <v>712</v>
      </c>
      <c r="J9776">
        <v>39</v>
      </c>
      <c r="K9776" t="b">
        <v>1</v>
      </c>
    </row>
    <row r="9777" spans="8:11" x14ac:dyDescent="0.25">
      <c r="H9777">
        <v>117</v>
      </c>
      <c r="I9777">
        <v>720</v>
      </c>
      <c r="J9777">
        <v>39</v>
      </c>
      <c r="K9777" t="b">
        <v>1</v>
      </c>
    </row>
    <row r="9778" spans="8:11" x14ac:dyDescent="0.25">
      <c r="H9778">
        <v>117</v>
      </c>
      <c r="I9778">
        <v>728</v>
      </c>
      <c r="J9778">
        <v>39</v>
      </c>
      <c r="K9778" t="b">
        <v>1</v>
      </c>
    </row>
    <row r="9779" spans="8:11" x14ac:dyDescent="0.25">
      <c r="H9779">
        <v>117</v>
      </c>
      <c r="I9779">
        <v>736</v>
      </c>
      <c r="J9779">
        <v>39</v>
      </c>
      <c r="K9779" t="b">
        <v>1</v>
      </c>
    </row>
    <row r="9780" spans="8:11" x14ac:dyDescent="0.25">
      <c r="H9780">
        <v>117</v>
      </c>
      <c r="I9780">
        <v>744</v>
      </c>
      <c r="J9780">
        <v>39</v>
      </c>
      <c r="K9780" t="b">
        <v>1</v>
      </c>
    </row>
    <row r="9781" spans="8:11" x14ac:dyDescent="0.25">
      <c r="H9781">
        <v>117</v>
      </c>
      <c r="I9781">
        <v>752</v>
      </c>
      <c r="J9781">
        <v>39</v>
      </c>
      <c r="K9781" t="b">
        <v>1</v>
      </c>
    </row>
    <row r="9782" spans="8:11" x14ac:dyDescent="0.25">
      <c r="H9782">
        <v>117</v>
      </c>
      <c r="I9782">
        <v>760</v>
      </c>
      <c r="J9782">
        <v>39</v>
      </c>
      <c r="K9782" t="b">
        <v>1</v>
      </c>
    </row>
    <row r="9783" spans="8:11" x14ac:dyDescent="0.25">
      <c r="H9783">
        <v>117</v>
      </c>
      <c r="I9783">
        <v>768</v>
      </c>
      <c r="J9783">
        <v>39</v>
      </c>
      <c r="K9783" t="b">
        <v>1</v>
      </c>
    </row>
    <row r="9784" spans="8:11" x14ac:dyDescent="0.25">
      <c r="H9784">
        <v>117</v>
      </c>
      <c r="I9784">
        <v>776</v>
      </c>
      <c r="J9784">
        <v>39</v>
      </c>
      <c r="K9784" t="b">
        <v>1</v>
      </c>
    </row>
    <row r="9785" spans="8:11" x14ac:dyDescent="0.25">
      <c r="H9785">
        <v>117</v>
      </c>
      <c r="I9785">
        <v>784</v>
      </c>
      <c r="J9785">
        <v>39</v>
      </c>
      <c r="K9785" t="b">
        <v>1</v>
      </c>
    </row>
    <row r="9786" spans="8:11" x14ac:dyDescent="0.25">
      <c r="H9786">
        <v>117</v>
      </c>
      <c r="I9786">
        <v>792</v>
      </c>
      <c r="J9786">
        <v>39</v>
      </c>
      <c r="K9786" t="b">
        <v>1</v>
      </c>
    </row>
    <row r="9787" spans="8:11" x14ac:dyDescent="0.25">
      <c r="H9787">
        <v>117</v>
      </c>
      <c r="I9787">
        <v>800</v>
      </c>
      <c r="J9787">
        <v>39</v>
      </c>
      <c r="K9787" t="b">
        <v>1</v>
      </c>
    </row>
    <row r="9788" spans="8:11" x14ac:dyDescent="0.25">
      <c r="H9788">
        <v>117</v>
      </c>
      <c r="I9788">
        <v>808</v>
      </c>
      <c r="J9788">
        <v>39</v>
      </c>
      <c r="K9788" t="b">
        <v>1</v>
      </c>
    </row>
    <row r="9789" spans="8:11" x14ac:dyDescent="0.25">
      <c r="H9789">
        <v>117</v>
      </c>
      <c r="I9789">
        <v>816</v>
      </c>
      <c r="J9789">
        <v>39</v>
      </c>
      <c r="K9789" t="b">
        <v>1</v>
      </c>
    </row>
    <row r="9790" spans="8:11" x14ac:dyDescent="0.25">
      <c r="H9790">
        <v>117</v>
      </c>
      <c r="I9790">
        <v>824</v>
      </c>
      <c r="J9790">
        <v>39</v>
      </c>
      <c r="K9790" t="b">
        <v>1</v>
      </c>
    </row>
    <row r="9791" spans="8:11" x14ac:dyDescent="0.25">
      <c r="H9791">
        <v>117</v>
      </c>
      <c r="I9791">
        <v>832</v>
      </c>
      <c r="J9791">
        <v>39</v>
      </c>
      <c r="K9791" t="b">
        <v>1</v>
      </c>
    </row>
    <row r="9792" spans="8:11" x14ac:dyDescent="0.25">
      <c r="H9792">
        <v>117</v>
      </c>
      <c r="I9792">
        <v>840</v>
      </c>
      <c r="J9792">
        <v>39</v>
      </c>
      <c r="K9792" t="b">
        <v>1</v>
      </c>
    </row>
    <row r="9793" spans="8:11" x14ac:dyDescent="0.25">
      <c r="H9793">
        <v>117</v>
      </c>
      <c r="I9793">
        <v>848</v>
      </c>
      <c r="J9793">
        <v>39</v>
      </c>
      <c r="K9793" t="b">
        <v>1</v>
      </c>
    </row>
    <row r="9794" spans="8:11" x14ac:dyDescent="0.25">
      <c r="H9794">
        <v>117</v>
      </c>
      <c r="I9794">
        <v>856</v>
      </c>
      <c r="J9794">
        <v>39</v>
      </c>
      <c r="K9794" t="b">
        <v>1</v>
      </c>
    </row>
    <row r="9795" spans="8:11" x14ac:dyDescent="0.25">
      <c r="H9795">
        <v>117</v>
      </c>
      <c r="I9795">
        <v>864</v>
      </c>
      <c r="J9795">
        <v>39</v>
      </c>
      <c r="K9795" t="b">
        <v>1</v>
      </c>
    </row>
    <row r="9796" spans="8:11" x14ac:dyDescent="0.25">
      <c r="H9796">
        <v>117</v>
      </c>
      <c r="I9796">
        <v>872</v>
      </c>
      <c r="J9796">
        <v>39</v>
      </c>
      <c r="K9796" t="b">
        <v>1</v>
      </c>
    </row>
    <row r="9797" spans="8:11" x14ac:dyDescent="0.25">
      <c r="H9797">
        <v>117</v>
      </c>
      <c r="I9797">
        <v>880</v>
      </c>
      <c r="J9797">
        <v>39</v>
      </c>
      <c r="K9797" t="b">
        <v>1</v>
      </c>
    </row>
    <row r="9798" spans="8:11" x14ac:dyDescent="0.25">
      <c r="H9798">
        <v>117</v>
      </c>
      <c r="I9798">
        <v>888</v>
      </c>
      <c r="J9798">
        <v>39</v>
      </c>
      <c r="K9798" t="b">
        <v>1</v>
      </c>
    </row>
    <row r="9799" spans="8:11" x14ac:dyDescent="0.25">
      <c r="H9799">
        <v>117</v>
      </c>
      <c r="I9799">
        <v>896</v>
      </c>
      <c r="J9799">
        <v>39</v>
      </c>
      <c r="K9799" t="b">
        <v>1</v>
      </c>
    </row>
    <row r="9800" spans="8:11" x14ac:dyDescent="0.25">
      <c r="H9800">
        <v>117</v>
      </c>
      <c r="I9800">
        <v>904</v>
      </c>
      <c r="J9800">
        <v>39</v>
      </c>
      <c r="K9800" t="b">
        <v>1</v>
      </c>
    </row>
    <row r="9801" spans="8:11" x14ac:dyDescent="0.25">
      <c r="H9801">
        <v>117</v>
      </c>
      <c r="I9801">
        <v>912</v>
      </c>
      <c r="J9801">
        <v>39</v>
      </c>
      <c r="K9801" t="b">
        <v>1</v>
      </c>
    </row>
    <row r="9802" spans="8:11" x14ac:dyDescent="0.25">
      <c r="H9802">
        <v>117</v>
      </c>
      <c r="I9802">
        <v>920</v>
      </c>
      <c r="J9802">
        <v>39</v>
      </c>
      <c r="K9802" t="b">
        <v>1</v>
      </c>
    </row>
    <row r="9803" spans="8:11" x14ac:dyDescent="0.25">
      <c r="H9803">
        <v>117</v>
      </c>
      <c r="I9803">
        <v>928</v>
      </c>
      <c r="J9803">
        <v>39</v>
      </c>
      <c r="K9803" t="b">
        <v>1</v>
      </c>
    </row>
    <row r="9804" spans="8:11" x14ac:dyDescent="0.25">
      <c r="H9804">
        <v>117</v>
      </c>
      <c r="I9804">
        <v>936</v>
      </c>
      <c r="J9804">
        <v>39</v>
      </c>
      <c r="K9804" t="b">
        <v>1</v>
      </c>
    </row>
    <row r="9805" spans="8:11" x14ac:dyDescent="0.25">
      <c r="H9805">
        <v>117</v>
      </c>
      <c r="I9805">
        <v>944</v>
      </c>
      <c r="J9805">
        <v>39</v>
      </c>
      <c r="K9805" t="b">
        <v>1</v>
      </c>
    </row>
    <row r="9806" spans="8:11" x14ac:dyDescent="0.25">
      <c r="H9806">
        <v>117</v>
      </c>
      <c r="I9806">
        <v>952</v>
      </c>
      <c r="J9806">
        <v>39</v>
      </c>
      <c r="K9806" t="b">
        <v>1</v>
      </c>
    </row>
    <row r="9807" spans="8:11" x14ac:dyDescent="0.25">
      <c r="H9807">
        <v>118</v>
      </c>
      <c r="I9807">
        <v>0</v>
      </c>
      <c r="J9807">
        <v>39</v>
      </c>
      <c r="K9807" t="b">
        <v>1</v>
      </c>
    </row>
    <row r="9808" spans="8:11" x14ac:dyDescent="0.25">
      <c r="H9808">
        <v>118</v>
      </c>
      <c r="I9808">
        <v>8</v>
      </c>
      <c r="J9808">
        <v>39</v>
      </c>
      <c r="K9808" t="b">
        <v>1</v>
      </c>
    </row>
    <row r="9809" spans="8:11" x14ac:dyDescent="0.25">
      <c r="H9809">
        <v>118</v>
      </c>
      <c r="I9809">
        <v>16</v>
      </c>
      <c r="J9809">
        <v>39</v>
      </c>
      <c r="K9809" t="b">
        <v>1</v>
      </c>
    </row>
    <row r="9810" spans="8:11" x14ac:dyDescent="0.25">
      <c r="H9810">
        <v>118</v>
      </c>
      <c r="I9810">
        <v>24</v>
      </c>
      <c r="J9810">
        <v>39</v>
      </c>
      <c r="K9810" t="b">
        <v>1</v>
      </c>
    </row>
    <row r="9811" spans="8:11" x14ac:dyDescent="0.25">
      <c r="H9811">
        <v>118</v>
      </c>
      <c r="I9811">
        <v>32</v>
      </c>
      <c r="J9811">
        <v>39</v>
      </c>
      <c r="K9811" t="b">
        <v>1</v>
      </c>
    </row>
    <row r="9812" spans="8:11" x14ac:dyDescent="0.25">
      <c r="H9812">
        <v>118</v>
      </c>
      <c r="I9812">
        <v>40</v>
      </c>
      <c r="J9812">
        <v>39</v>
      </c>
      <c r="K9812" t="b">
        <v>1</v>
      </c>
    </row>
    <row r="9813" spans="8:11" x14ac:dyDescent="0.25">
      <c r="H9813">
        <v>118</v>
      </c>
      <c r="I9813">
        <v>48</v>
      </c>
      <c r="J9813">
        <v>39</v>
      </c>
      <c r="K9813" t="b">
        <v>1</v>
      </c>
    </row>
    <row r="9814" spans="8:11" x14ac:dyDescent="0.25">
      <c r="H9814">
        <v>118</v>
      </c>
      <c r="I9814">
        <v>56</v>
      </c>
      <c r="J9814">
        <v>39</v>
      </c>
      <c r="K9814" t="b">
        <v>1</v>
      </c>
    </row>
    <row r="9815" spans="8:11" x14ac:dyDescent="0.25">
      <c r="H9815">
        <v>118</v>
      </c>
      <c r="I9815">
        <v>64</v>
      </c>
      <c r="J9815">
        <v>39</v>
      </c>
      <c r="K9815" t="b">
        <v>1</v>
      </c>
    </row>
    <row r="9816" spans="8:11" x14ac:dyDescent="0.25">
      <c r="H9816">
        <v>118</v>
      </c>
      <c r="I9816">
        <v>72</v>
      </c>
      <c r="J9816">
        <v>39</v>
      </c>
      <c r="K9816" t="b">
        <v>1</v>
      </c>
    </row>
    <row r="9817" spans="8:11" x14ac:dyDescent="0.25">
      <c r="H9817">
        <v>118</v>
      </c>
      <c r="I9817">
        <v>80</v>
      </c>
      <c r="J9817">
        <v>39</v>
      </c>
      <c r="K9817" t="b">
        <v>1</v>
      </c>
    </row>
    <row r="9818" spans="8:11" x14ac:dyDescent="0.25">
      <c r="H9818">
        <v>118</v>
      </c>
      <c r="I9818">
        <v>88</v>
      </c>
      <c r="J9818">
        <v>39</v>
      </c>
      <c r="K9818" t="b">
        <v>1</v>
      </c>
    </row>
    <row r="9819" spans="8:11" x14ac:dyDescent="0.25">
      <c r="H9819">
        <v>118</v>
      </c>
      <c r="I9819">
        <v>96</v>
      </c>
      <c r="J9819">
        <v>39</v>
      </c>
      <c r="K9819" t="b">
        <v>1</v>
      </c>
    </row>
    <row r="9820" spans="8:11" x14ac:dyDescent="0.25">
      <c r="H9820">
        <v>118</v>
      </c>
      <c r="I9820">
        <v>104</v>
      </c>
      <c r="J9820">
        <v>39</v>
      </c>
      <c r="K9820" t="b">
        <v>1</v>
      </c>
    </row>
    <row r="9821" spans="8:11" x14ac:dyDescent="0.25">
      <c r="H9821">
        <v>118</v>
      </c>
      <c r="I9821">
        <v>112</v>
      </c>
      <c r="J9821">
        <v>39</v>
      </c>
      <c r="K9821" t="b">
        <v>1</v>
      </c>
    </row>
    <row r="9822" spans="8:11" x14ac:dyDescent="0.25">
      <c r="H9822">
        <v>118</v>
      </c>
      <c r="I9822">
        <v>120</v>
      </c>
      <c r="J9822">
        <v>39</v>
      </c>
      <c r="K9822" t="b">
        <v>1</v>
      </c>
    </row>
    <row r="9823" spans="8:11" x14ac:dyDescent="0.25">
      <c r="H9823">
        <v>118</v>
      </c>
      <c r="I9823">
        <v>128</v>
      </c>
      <c r="J9823">
        <v>39</v>
      </c>
      <c r="K9823" t="b">
        <v>1</v>
      </c>
    </row>
    <row r="9824" spans="8:11" x14ac:dyDescent="0.25">
      <c r="H9824">
        <v>118</v>
      </c>
      <c r="I9824">
        <v>136</v>
      </c>
      <c r="J9824">
        <v>39</v>
      </c>
      <c r="K9824" t="b">
        <v>1</v>
      </c>
    </row>
    <row r="9825" spans="8:11" x14ac:dyDescent="0.25">
      <c r="H9825">
        <v>118</v>
      </c>
      <c r="I9825">
        <v>144</v>
      </c>
      <c r="J9825">
        <v>39</v>
      </c>
      <c r="K9825" t="b">
        <v>1</v>
      </c>
    </row>
    <row r="9826" spans="8:11" x14ac:dyDescent="0.25">
      <c r="H9826">
        <v>118</v>
      </c>
      <c r="I9826">
        <v>152</v>
      </c>
      <c r="J9826">
        <v>39</v>
      </c>
      <c r="K9826" t="b">
        <v>1</v>
      </c>
    </row>
    <row r="9827" spans="8:11" x14ac:dyDescent="0.25">
      <c r="H9827">
        <v>118</v>
      </c>
      <c r="I9827">
        <v>160</v>
      </c>
      <c r="J9827">
        <v>39</v>
      </c>
      <c r="K9827" t="b">
        <v>1</v>
      </c>
    </row>
    <row r="9828" spans="8:11" x14ac:dyDescent="0.25">
      <c r="H9828">
        <v>118</v>
      </c>
      <c r="I9828">
        <v>168</v>
      </c>
      <c r="J9828">
        <v>39</v>
      </c>
      <c r="K9828" t="b">
        <v>1</v>
      </c>
    </row>
    <row r="9829" spans="8:11" x14ac:dyDescent="0.25">
      <c r="H9829">
        <v>118</v>
      </c>
      <c r="I9829">
        <v>176</v>
      </c>
      <c r="J9829">
        <v>39</v>
      </c>
      <c r="K9829" t="b">
        <v>1</v>
      </c>
    </row>
    <row r="9830" spans="8:11" x14ac:dyDescent="0.25">
      <c r="H9830">
        <v>118</v>
      </c>
      <c r="I9830">
        <v>184</v>
      </c>
      <c r="J9830">
        <v>39</v>
      </c>
      <c r="K9830" t="b">
        <v>1</v>
      </c>
    </row>
    <row r="9831" spans="8:11" x14ac:dyDescent="0.25">
      <c r="H9831">
        <v>118</v>
      </c>
      <c r="I9831">
        <v>192</v>
      </c>
      <c r="J9831">
        <v>39</v>
      </c>
      <c r="K9831" t="b">
        <v>1</v>
      </c>
    </row>
    <row r="9832" spans="8:11" x14ac:dyDescent="0.25">
      <c r="H9832">
        <v>118</v>
      </c>
      <c r="I9832">
        <v>200</v>
      </c>
      <c r="J9832">
        <v>39</v>
      </c>
      <c r="K9832" t="b">
        <v>1</v>
      </c>
    </row>
    <row r="9833" spans="8:11" x14ac:dyDescent="0.25">
      <c r="H9833">
        <v>118</v>
      </c>
      <c r="I9833">
        <v>208</v>
      </c>
      <c r="J9833">
        <v>39</v>
      </c>
      <c r="K9833" t="b">
        <v>1</v>
      </c>
    </row>
    <row r="9834" spans="8:11" x14ac:dyDescent="0.25">
      <c r="H9834">
        <v>118</v>
      </c>
      <c r="I9834">
        <v>216</v>
      </c>
      <c r="J9834">
        <v>39</v>
      </c>
      <c r="K9834" t="b">
        <v>1</v>
      </c>
    </row>
    <row r="9835" spans="8:11" x14ac:dyDescent="0.25">
      <c r="H9835">
        <v>118</v>
      </c>
      <c r="I9835">
        <v>224</v>
      </c>
      <c r="J9835">
        <v>39</v>
      </c>
      <c r="K9835" t="b">
        <v>1</v>
      </c>
    </row>
    <row r="9836" spans="8:11" x14ac:dyDescent="0.25">
      <c r="H9836">
        <v>118</v>
      </c>
      <c r="I9836">
        <v>232</v>
      </c>
      <c r="J9836">
        <v>39</v>
      </c>
      <c r="K9836" t="b">
        <v>1</v>
      </c>
    </row>
    <row r="9837" spans="8:11" x14ac:dyDescent="0.25">
      <c r="H9837">
        <v>118</v>
      </c>
      <c r="I9837">
        <v>240</v>
      </c>
      <c r="J9837">
        <v>39</v>
      </c>
      <c r="K9837" t="b">
        <v>1</v>
      </c>
    </row>
    <row r="9838" spans="8:11" x14ac:dyDescent="0.25">
      <c r="H9838">
        <v>118</v>
      </c>
      <c r="I9838">
        <v>248</v>
      </c>
      <c r="J9838">
        <v>39</v>
      </c>
      <c r="K9838" t="b">
        <v>1</v>
      </c>
    </row>
    <row r="9839" spans="8:11" x14ac:dyDescent="0.25">
      <c r="H9839">
        <v>118</v>
      </c>
      <c r="I9839">
        <v>256</v>
      </c>
      <c r="J9839">
        <v>39</v>
      </c>
      <c r="K9839" t="b">
        <v>1</v>
      </c>
    </row>
    <row r="9840" spans="8:11" x14ac:dyDescent="0.25">
      <c r="H9840">
        <v>118</v>
      </c>
      <c r="I9840">
        <v>264</v>
      </c>
      <c r="J9840">
        <v>39</v>
      </c>
      <c r="K9840" t="b">
        <v>1</v>
      </c>
    </row>
    <row r="9841" spans="8:11" x14ac:dyDescent="0.25">
      <c r="H9841">
        <v>118</v>
      </c>
      <c r="I9841">
        <v>272</v>
      </c>
      <c r="J9841">
        <v>39</v>
      </c>
      <c r="K9841" t="b">
        <v>1</v>
      </c>
    </row>
    <row r="9842" spans="8:11" x14ac:dyDescent="0.25">
      <c r="H9842">
        <v>118</v>
      </c>
      <c r="I9842">
        <v>280</v>
      </c>
      <c r="J9842">
        <v>39</v>
      </c>
      <c r="K9842" t="b">
        <v>1</v>
      </c>
    </row>
    <row r="9843" spans="8:11" x14ac:dyDescent="0.25">
      <c r="H9843">
        <v>118</v>
      </c>
      <c r="I9843">
        <v>288</v>
      </c>
      <c r="J9843">
        <v>39</v>
      </c>
      <c r="K9843" t="b">
        <v>1</v>
      </c>
    </row>
    <row r="9844" spans="8:11" x14ac:dyDescent="0.25">
      <c r="H9844">
        <v>118</v>
      </c>
      <c r="I9844">
        <v>296</v>
      </c>
      <c r="J9844">
        <v>39</v>
      </c>
      <c r="K9844" t="b">
        <v>1</v>
      </c>
    </row>
    <row r="9845" spans="8:11" x14ac:dyDescent="0.25">
      <c r="H9845">
        <v>118</v>
      </c>
      <c r="I9845">
        <v>304</v>
      </c>
      <c r="J9845">
        <v>39</v>
      </c>
      <c r="K9845" t="b">
        <v>1</v>
      </c>
    </row>
    <row r="9846" spans="8:11" x14ac:dyDescent="0.25">
      <c r="H9846">
        <v>118</v>
      </c>
      <c r="I9846">
        <v>312</v>
      </c>
      <c r="J9846">
        <v>39</v>
      </c>
      <c r="K9846" t="b">
        <v>1</v>
      </c>
    </row>
    <row r="9847" spans="8:11" x14ac:dyDescent="0.25">
      <c r="H9847">
        <v>118</v>
      </c>
      <c r="I9847">
        <v>320</v>
      </c>
      <c r="J9847">
        <v>39</v>
      </c>
      <c r="K9847" t="b">
        <v>1</v>
      </c>
    </row>
    <row r="9848" spans="8:11" x14ac:dyDescent="0.25">
      <c r="H9848">
        <v>118</v>
      </c>
      <c r="I9848">
        <v>328</v>
      </c>
      <c r="J9848">
        <v>39</v>
      </c>
      <c r="K9848" t="b">
        <v>1</v>
      </c>
    </row>
    <row r="9849" spans="8:11" x14ac:dyDescent="0.25">
      <c r="H9849">
        <v>118</v>
      </c>
      <c r="I9849">
        <v>336</v>
      </c>
      <c r="J9849">
        <v>39</v>
      </c>
      <c r="K9849" t="b">
        <v>1</v>
      </c>
    </row>
    <row r="9850" spans="8:11" x14ac:dyDescent="0.25">
      <c r="H9850">
        <v>118</v>
      </c>
      <c r="I9850">
        <v>344</v>
      </c>
      <c r="J9850">
        <v>39</v>
      </c>
      <c r="K9850" t="b">
        <v>1</v>
      </c>
    </row>
    <row r="9851" spans="8:11" x14ac:dyDescent="0.25">
      <c r="H9851">
        <v>118</v>
      </c>
      <c r="I9851">
        <v>352</v>
      </c>
      <c r="J9851">
        <v>39</v>
      </c>
      <c r="K9851" t="b">
        <v>1</v>
      </c>
    </row>
    <row r="9852" spans="8:11" x14ac:dyDescent="0.25">
      <c r="H9852">
        <v>118</v>
      </c>
      <c r="I9852">
        <v>360</v>
      </c>
      <c r="J9852">
        <v>39</v>
      </c>
      <c r="K9852" t="b">
        <v>1</v>
      </c>
    </row>
    <row r="9853" spans="8:11" x14ac:dyDescent="0.25">
      <c r="H9853">
        <v>118</v>
      </c>
      <c r="I9853">
        <v>368</v>
      </c>
      <c r="J9853">
        <v>39</v>
      </c>
      <c r="K9853" t="b">
        <v>1</v>
      </c>
    </row>
    <row r="9854" spans="8:11" x14ac:dyDescent="0.25">
      <c r="H9854">
        <v>118</v>
      </c>
      <c r="I9854">
        <v>376</v>
      </c>
      <c r="J9854">
        <v>39</v>
      </c>
      <c r="K9854" t="b">
        <v>1</v>
      </c>
    </row>
    <row r="9855" spans="8:11" x14ac:dyDescent="0.25">
      <c r="H9855">
        <v>118</v>
      </c>
      <c r="I9855">
        <v>384</v>
      </c>
      <c r="J9855">
        <v>39</v>
      </c>
      <c r="K9855" t="b">
        <v>1</v>
      </c>
    </row>
    <row r="9856" spans="8:11" x14ac:dyDescent="0.25">
      <c r="H9856">
        <v>118</v>
      </c>
      <c r="I9856">
        <v>392</v>
      </c>
      <c r="J9856">
        <v>39</v>
      </c>
      <c r="K9856" t="b">
        <v>1</v>
      </c>
    </row>
    <row r="9857" spans="8:11" x14ac:dyDescent="0.25">
      <c r="H9857">
        <v>118</v>
      </c>
      <c r="I9857">
        <v>400</v>
      </c>
      <c r="J9857">
        <v>39</v>
      </c>
      <c r="K9857" t="b">
        <v>1</v>
      </c>
    </row>
    <row r="9858" spans="8:11" x14ac:dyDescent="0.25">
      <c r="H9858">
        <v>118</v>
      </c>
      <c r="I9858">
        <v>408</v>
      </c>
      <c r="J9858">
        <v>39</v>
      </c>
      <c r="K9858" t="b">
        <v>1</v>
      </c>
    </row>
    <row r="9859" spans="8:11" x14ac:dyDescent="0.25">
      <c r="H9859">
        <v>118</v>
      </c>
      <c r="I9859">
        <v>416</v>
      </c>
      <c r="J9859">
        <v>39</v>
      </c>
      <c r="K9859" t="b">
        <v>1</v>
      </c>
    </row>
    <row r="9860" spans="8:11" x14ac:dyDescent="0.25">
      <c r="H9860">
        <v>118</v>
      </c>
      <c r="I9860">
        <v>424</v>
      </c>
      <c r="J9860">
        <v>39</v>
      </c>
      <c r="K9860" t="b">
        <v>1</v>
      </c>
    </row>
    <row r="9861" spans="8:11" x14ac:dyDescent="0.25">
      <c r="H9861">
        <v>118</v>
      </c>
      <c r="I9861">
        <v>432</v>
      </c>
      <c r="J9861">
        <v>39</v>
      </c>
      <c r="K9861" t="b">
        <v>1</v>
      </c>
    </row>
    <row r="9862" spans="8:11" x14ac:dyDescent="0.25">
      <c r="H9862">
        <v>118</v>
      </c>
      <c r="I9862">
        <v>440</v>
      </c>
      <c r="J9862">
        <v>39</v>
      </c>
      <c r="K9862" t="b">
        <v>1</v>
      </c>
    </row>
    <row r="9863" spans="8:11" x14ac:dyDescent="0.25">
      <c r="H9863">
        <v>118</v>
      </c>
      <c r="I9863">
        <v>448</v>
      </c>
      <c r="J9863">
        <v>39</v>
      </c>
      <c r="K9863" t="b">
        <v>1</v>
      </c>
    </row>
    <row r="9864" spans="8:11" x14ac:dyDescent="0.25">
      <c r="H9864">
        <v>118</v>
      </c>
      <c r="I9864">
        <v>456</v>
      </c>
      <c r="J9864">
        <v>39</v>
      </c>
      <c r="K9864" t="b">
        <v>1</v>
      </c>
    </row>
    <row r="9865" spans="8:11" x14ac:dyDescent="0.25">
      <c r="H9865">
        <v>118</v>
      </c>
      <c r="I9865">
        <v>464</v>
      </c>
      <c r="J9865">
        <v>39</v>
      </c>
      <c r="K9865" t="b">
        <v>1</v>
      </c>
    </row>
    <row r="9866" spans="8:11" x14ac:dyDescent="0.25">
      <c r="H9866">
        <v>118</v>
      </c>
      <c r="I9866">
        <v>472</v>
      </c>
      <c r="J9866">
        <v>39</v>
      </c>
      <c r="K9866" t="b">
        <v>1</v>
      </c>
    </row>
    <row r="9867" spans="8:11" x14ac:dyDescent="0.25">
      <c r="H9867">
        <v>118</v>
      </c>
      <c r="I9867">
        <v>480</v>
      </c>
      <c r="J9867">
        <v>39</v>
      </c>
      <c r="K9867" t="b">
        <v>1</v>
      </c>
    </row>
    <row r="9868" spans="8:11" x14ac:dyDescent="0.25">
      <c r="H9868">
        <v>118</v>
      </c>
      <c r="I9868">
        <v>488</v>
      </c>
      <c r="J9868">
        <v>39</v>
      </c>
      <c r="K9868" t="b">
        <v>1</v>
      </c>
    </row>
    <row r="9869" spans="8:11" x14ac:dyDescent="0.25">
      <c r="H9869">
        <v>118</v>
      </c>
      <c r="I9869">
        <v>496</v>
      </c>
      <c r="J9869">
        <v>39</v>
      </c>
      <c r="K9869" t="b">
        <v>1</v>
      </c>
    </row>
    <row r="9870" spans="8:11" x14ac:dyDescent="0.25">
      <c r="H9870">
        <v>118</v>
      </c>
      <c r="I9870">
        <v>504</v>
      </c>
      <c r="J9870">
        <v>39</v>
      </c>
      <c r="K9870" t="b">
        <v>1</v>
      </c>
    </row>
    <row r="9871" spans="8:11" x14ac:dyDescent="0.25">
      <c r="H9871">
        <v>118</v>
      </c>
      <c r="I9871">
        <v>512</v>
      </c>
      <c r="J9871">
        <v>39</v>
      </c>
      <c r="K9871" t="b">
        <v>1</v>
      </c>
    </row>
    <row r="9872" spans="8:11" x14ac:dyDescent="0.25">
      <c r="H9872">
        <v>118</v>
      </c>
      <c r="I9872">
        <v>520</v>
      </c>
      <c r="J9872">
        <v>39</v>
      </c>
      <c r="K9872" t="b">
        <v>1</v>
      </c>
    </row>
    <row r="9873" spans="8:11" x14ac:dyDescent="0.25">
      <c r="H9873">
        <v>118</v>
      </c>
      <c r="I9873">
        <v>528</v>
      </c>
      <c r="J9873">
        <v>39</v>
      </c>
      <c r="K9873" t="b">
        <v>1</v>
      </c>
    </row>
    <row r="9874" spans="8:11" x14ac:dyDescent="0.25">
      <c r="H9874">
        <v>118</v>
      </c>
      <c r="I9874">
        <v>536</v>
      </c>
      <c r="J9874">
        <v>39</v>
      </c>
      <c r="K9874" t="b">
        <v>1</v>
      </c>
    </row>
    <row r="9875" spans="8:11" x14ac:dyDescent="0.25">
      <c r="H9875">
        <v>118</v>
      </c>
      <c r="I9875">
        <v>544</v>
      </c>
      <c r="J9875">
        <v>39</v>
      </c>
      <c r="K9875" t="b">
        <v>1</v>
      </c>
    </row>
    <row r="9876" spans="8:11" x14ac:dyDescent="0.25">
      <c r="H9876">
        <v>118</v>
      </c>
      <c r="I9876">
        <v>552</v>
      </c>
      <c r="J9876">
        <v>39</v>
      </c>
      <c r="K9876" t="b">
        <v>1</v>
      </c>
    </row>
    <row r="9877" spans="8:11" x14ac:dyDescent="0.25">
      <c r="H9877">
        <v>118</v>
      </c>
      <c r="I9877">
        <v>560</v>
      </c>
      <c r="J9877">
        <v>39</v>
      </c>
      <c r="K9877" t="b">
        <v>1</v>
      </c>
    </row>
    <row r="9878" spans="8:11" x14ac:dyDescent="0.25">
      <c r="H9878">
        <v>118</v>
      </c>
      <c r="I9878">
        <v>568</v>
      </c>
      <c r="J9878">
        <v>39</v>
      </c>
      <c r="K9878" t="b">
        <v>1</v>
      </c>
    </row>
    <row r="9879" spans="8:11" x14ac:dyDescent="0.25">
      <c r="H9879">
        <v>118</v>
      </c>
      <c r="I9879">
        <v>576</v>
      </c>
      <c r="J9879">
        <v>39</v>
      </c>
      <c r="K9879" t="b">
        <v>1</v>
      </c>
    </row>
    <row r="9880" spans="8:11" x14ac:dyDescent="0.25">
      <c r="H9880">
        <v>118</v>
      </c>
      <c r="I9880">
        <v>584</v>
      </c>
      <c r="J9880">
        <v>39</v>
      </c>
      <c r="K9880" t="b">
        <v>1</v>
      </c>
    </row>
    <row r="9881" spans="8:11" x14ac:dyDescent="0.25">
      <c r="H9881">
        <v>118</v>
      </c>
      <c r="I9881">
        <v>592</v>
      </c>
      <c r="J9881">
        <v>39</v>
      </c>
      <c r="K9881" t="b">
        <v>1</v>
      </c>
    </row>
    <row r="9882" spans="8:11" x14ac:dyDescent="0.25">
      <c r="H9882">
        <v>118</v>
      </c>
      <c r="I9882">
        <v>600</v>
      </c>
      <c r="J9882">
        <v>39</v>
      </c>
      <c r="K9882" t="b">
        <v>1</v>
      </c>
    </row>
    <row r="9883" spans="8:11" x14ac:dyDescent="0.25">
      <c r="H9883">
        <v>118</v>
      </c>
      <c r="I9883">
        <v>608</v>
      </c>
      <c r="J9883">
        <v>39</v>
      </c>
      <c r="K9883" t="b">
        <v>1</v>
      </c>
    </row>
    <row r="9884" spans="8:11" x14ac:dyDescent="0.25">
      <c r="H9884">
        <v>118</v>
      </c>
      <c r="I9884">
        <v>616</v>
      </c>
      <c r="J9884">
        <v>39</v>
      </c>
      <c r="K9884" t="b">
        <v>1</v>
      </c>
    </row>
    <row r="9885" spans="8:11" x14ac:dyDescent="0.25">
      <c r="H9885">
        <v>118</v>
      </c>
      <c r="I9885">
        <v>624</v>
      </c>
      <c r="J9885">
        <v>39</v>
      </c>
      <c r="K9885" t="b">
        <v>1</v>
      </c>
    </row>
    <row r="9886" spans="8:11" x14ac:dyDescent="0.25">
      <c r="H9886">
        <v>118</v>
      </c>
      <c r="I9886">
        <v>632</v>
      </c>
      <c r="J9886">
        <v>39</v>
      </c>
      <c r="K9886" t="b">
        <v>1</v>
      </c>
    </row>
    <row r="9887" spans="8:11" x14ac:dyDescent="0.25">
      <c r="H9887">
        <v>118</v>
      </c>
      <c r="I9887">
        <v>640</v>
      </c>
      <c r="J9887">
        <v>39</v>
      </c>
      <c r="K9887" t="b">
        <v>1</v>
      </c>
    </row>
    <row r="9888" spans="8:11" x14ac:dyDescent="0.25">
      <c r="H9888">
        <v>118</v>
      </c>
      <c r="I9888">
        <v>648</v>
      </c>
      <c r="J9888">
        <v>39</v>
      </c>
      <c r="K9888" t="b">
        <v>1</v>
      </c>
    </row>
    <row r="9889" spans="8:11" x14ac:dyDescent="0.25">
      <c r="H9889">
        <v>118</v>
      </c>
      <c r="I9889">
        <v>656</v>
      </c>
      <c r="J9889">
        <v>39</v>
      </c>
      <c r="K9889" t="b">
        <v>1</v>
      </c>
    </row>
    <row r="9890" spans="8:11" x14ac:dyDescent="0.25">
      <c r="H9890">
        <v>118</v>
      </c>
      <c r="I9890">
        <v>664</v>
      </c>
      <c r="J9890">
        <v>39</v>
      </c>
      <c r="K9890" t="b">
        <v>1</v>
      </c>
    </row>
    <row r="9891" spans="8:11" x14ac:dyDescent="0.25">
      <c r="H9891">
        <v>118</v>
      </c>
      <c r="I9891">
        <v>672</v>
      </c>
      <c r="J9891">
        <v>39</v>
      </c>
      <c r="K9891" t="b">
        <v>1</v>
      </c>
    </row>
    <row r="9892" spans="8:11" x14ac:dyDescent="0.25">
      <c r="H9892">
        <v>118</v>
      </c>
      <c r="I9892">
        <v>680</v>
      </c>
      <c r="J9892">
        <v>39</v>
      </c>
      <c r="K9892" t="b">
        <v>1</v>
      </c>
    </row>
    <row r="9893" spans="8:11" x14ac:dyDescent="0.25">
      <c r="H9893">
        <v>118</v>
      </c>
      <c r="I9893">
        <v>688</v>
      </c>
      <c r="J9893">
        <v>39</v>
      </c>
      <c r="K9893" t="b">
        <v>1</v>
      </c>
    </row>
    <row r="9894" spans="8:11" x14ac:dyDescent="0.25">
      <c r="H9894">
        <v>118</v>
      </c>
      <c r="I9894">
        <v>696</v>
      </c>
      <c r="J9894">
        <v>39</v>
      </c>
      <c r="K9894" t="b">
        <v>1</v>
      </c>
    </row>
    <row r="9895" spans="8:11" x14ac:dyDescent="0.25">
      <c r="H9895">
        <v>118</v>
      </c>
      <c r="I9895">
        <v>704</v>
      </c>
      <c r="J9895">
        <v>39</v>
      </c>
      <c r="K9895" t="b">
        <v>1</v>
      </c>
    </row>
    <row r="9896" spans="8:11" x14ac:dyDescent="0.25">
      <c r="H9896">
        <v>118</v>
      </c>
      <c r="I9896">
        <v>712</v>
      </c>
      <c r="J9896">
        <v>39</v>
      </c>
      <c r="K9896" t="b">
        <v>1</v>
      </c>
    </row>
    <row r="9897" spans="8:11" x14ac:dyDescent="0.25">
      <c r="H9897">
        <v>118</v>
      </c>
      <c r="I9897">
        <v>720</v>
      </c>
      <c r="J9897">
        <v>39</v>
      </c>
      <c r="K9897" t="b">
        <v>1</v>
      </c>
    </row>
    <row r="9898" spans="8:11" x14ac:dyDescent="0.25">
      <c r="H9898">
        <v>118</v>
      </c>
      <c r="I9898">
        <v>728</v>
      </c>
      <c r="J9898">
        <v>39</v>
      </c>
      <c r="K9898" t="b">
        <v>1</v>
      </c>
    </row>
    <row r="9899" spans="8:11" x14ac:dyDescent="0.25">
      <c r="H9899">
        <v>118</v>
      </c>
      <c r="I9899">
        <v>736</v>
      </c>
      <c r="J9899">
        <v>39</v>
      </c>
      <c r="K9899" t="b">
        <v>1</v>
      </c>
    </row>
    <row r="9900" spans="8:11" x14ac:dyDescent="0.25">
      <c r="H9900">
        <v>118</v>
      </c>
      <c r="I9900">
        <v>744</v>
      </c>
      <c r="J9900">
        <v>39</v>
      </c>
      <c r="K9900" t="b">
        <v>1</v>
      </c>
    </row>
    <row r="9901" spans="8:11" x14ac:dyDescent="0.25">
      <c r="H9901">
        <v>118</v>
      </c>
      <c r="I9901">
        <v>752</v>
      </c>
      <c r="J9901">
        <v>39</v>
      </c>
      <c r="K9901" t="b">
        <v>1</v>
      </c>
    </row>
    <row r="9902" spans="8:11" x14ac:dyDescent="0.25">
      <c r="H9902">
        <v>118</v>
      </c>
      <c r="I9902">
        <v>760</v>
      </c>
      <c r="J9902">
        <v>39</v>
      </c>
      <c r="K9902" t="b">
        <v>1</v>
      </c>
    </row>
    <row r="9903" spans="8:11" x14ac:dyDescent="0.25">
      <c r="H9903">
        <v>118</v>
      </c>
      <c r="I9903">
        <v>768</v>
      </c>
      <c r="J9903">
        <v>39</v>
      </c>
      <c r="K9903" t="b">
        <v>1</v>
      </c>
    </row>
    <row r="9904" spans="8:11" x14ac:dyDescent="0.25">
      <c r="H9904">
        <v>118</v>
      </c>
      <c r="I9904">
        <v>776</v>
      </c>
      <c r="J9904">
        <v>39</v>
      </c>
      <c r="K9904" t="b">
        <v>1</v>
      </c>
    </row>
    <row r="9905" spans="8:11" x14ac:dyDescent="0.25">
      <c r="H9905">
        <v>118</v>
      </c>
      <c r="I9905">
        <v>784</v>
      </c>
      <c r="J9905">
        <v>39</v>
      </c>
      <c r="K9905" t="b">
        <v>1</v>
      </c>
    </row>
    <row r="9906" spans="8:11" x14ac:dyDescent="0.25">
      <c r="H9906">
        <v>118</v>
      </c>
      <c r="I9906">
        <v>792</v>
      </c>
      <c r="J9906">
        <v>39</v>
      </c>
      <c r="K9906" t="b">
        <v>1</v>
      </c>
    </row>
    <row r="9907" spans="8:11" x14ac:dyDescent="0.25">
      <c r="H9907">
        <v>118</v>
      </c>
      <c r="I9907">
        <v>800</v>
      </c>
      <c r="J9907">
        <v>39</v>
      </c>
      <c r="K9907" t="b">
        <v>1</v>
      </c>
    </row>
    <row r="9908" spans="8:11" x14ac:dyDescent="0.25">
      <c r="H9908">
        <v>118</v>
      </c>
      <c r="I9908">
        <v>808</v>
      </c>
      <c r="J9908">
        <v>39</v>
      </c>
      <c r="K9908" t="b">
        <v>1</v>
      </c>
    </row>
    <row r="9909" spans="8:11" x14ac:dyDescent="0.25">
      <c r="H9909">
        <v>118</v>
      </c>
      <c r="I9909">
        <v>816</v>
      </c>
      <c r="J9909">
        <v>39</v>
      </c>
      <c r="K9909" t="b">
        <v>1</v>
      </c>
    </row>
    <row r="9910" spans="8:11" x14ac:dyDescent="0.25">
      <c r="H9910">
        <v>118</v>
      </c>
      <c r="I9910">
        <v>824</v>
      </c>
      <c r="J9910">
        <v>39</v>
      </c>
      <c r="K9910" t="b">
        <v>1</v>
      </c>
    </row>
    <row r="9911" spans="8:11" x14ac:dyDescent="0.25">
      <c r="H9911">
        <v>118</v>
      </c>
      <c r="I9911">
        <v>832</v>
      </c>
      <c r="J9911">
        <v>39</v>
      </c>
      <c r="K9911" t="b">
        <v>1</v>
      </c>
    </row>
    <row r="9912" spans="8:11" x14ac:dyDescent="0.25">
      <c r="H9912">
        <v>118</v>
      </c>
      <c r="I9912">
        <v>840</v>
      </c>
      <c r="J9912">
        <v>39</v>
      </c>
      <c r="K9912" t="b">
        <v>1</v>
      </c>
    </row>
    <row r="9913" spans="8:11" x14ac:dyDescent="0.25">
      <c r="H9913">
        <v>118</v>
      </c>
      <c r="I9913">
        <v>848</v>
      </c>
      <c r="J9913">
        <v>39</v>
      </c>
      <c r="K9913" t="b">
        <v>1</v>
      </c>
    </row>
    <row r="9914" spans="8:11" x14ac:dyDescent="0.25">
      <c r="H9914">
        <v>118</v>
      </c>
      <c r="I9914">
        <v>856</v>
      </c>
      <c r="J9914">
        <v>39</v>
      </c>
      <c r="K9914" t="b">
        <v>1</v>
      </c>
    </row>
    <row r="9915" spans="8:11" x14ac:dyDescent="0.25">
      <c r="H9915">
        <v>118</v>
      </c>
      <c r="I9915">
        <v>864</v>
      </c>
      <c r="J9915">
        <v>39</v>
      </c>
      <c r="K9915" t="b">
        <v>1</v>
      </c>
    </row>
    <row r="9916" spans="8:11" x14ac:dyDescent="0.25">
      <c r="H9916">
        <v>118</v>
      </c>
      <c r="I9916">
        <v>872</v>
      </c>
      <c r="J9916">
        <v>39</v>
      </c>
      <c r="K9916" t="b">
        <v>1</v>
      </c>
    </row>
    <row r="9917" spans="8:11" x14ac:dyDescent="0.25">
      <c r="H9917">
        <v>118</v>
      </c>
      <c r="I9917">
        <v>880</v>
      </c>
      <c r="J9917">
        <v>39</v>
      </c>
      <c r="K9917" t="b">
        <v>1</v>
      </c>
    </row>
    <row r="9918" spans="8:11" x14ac:dyDescent="0.25">
      <c r="H9918">
        <v>118</v>
      </c>
      <c r="I9918">
        <v>888</v>
      </c>
      <c r="J9918">
        <v>39</v>
      </c>
      <c r="K9918" t="b">
        <v>1</v>
      </c>
    </row>
    <row r="9919" spans="8:11" x14ac:dyDescent="0.25">
      <c r="H9919">
        <v>118</v>
      </c>
      <c r="I9919">
        <v>896</v>
      </c>
      <c r="J9919">
        <v>39</v>
      </c>
      <c r="K9919" t="b">
        <v>1</v>
      </c>
    </row>
    <row r="9920" spans="8:11" x14ac:dyDescent="0.25">
      <c r="H9920">
        <v>118</v>
      </c>
      <c r="I9920">
        <v>904</v>
      </c>
      <c r="J9920">
        <v>39</v>
      </c>
      <c r="K9920" t="b">
        <v>1</v>
      </c>
    </row>
    <row r="9921" spans="8:11" x14ac:dyDescent="0.25">
      <c r="H9921">
        <v>118</v>
      </c>
      <c r="I9921">
        <v>912</v>
      </c>
      <c r="J9921">
        <v>39</v>
      </c>
      <c r="K9921" t="b">
        <v>1</v>
      </c>
    </row>
    <row r="9922" spans="8:11" x14ac:dyDescent="0.25">
      <c r="H9922">
        <v>118</v>
      </c>
      <c r="I9922">
        <v>920</v>
      </c>
      <c r="J9922">
        <v>39</v>
      </c>
      <c r="K9922" t="b">
        <v>1</v>
      </c>
    </row>
    <row r="9923" spans="8:11" x14ac:dyDescent="0.25">
      <c r="H9923">
        <v>118</v>
      </c>
      <c r="I9923">
        <v>928</v>
      </c>
      <c r="J9923">
        <v>39</v>
      </c>
      <c r="K9923" t="b">
        <v>1</v>
      </c>
    </row>
    <row r="9924" spans="8:11" x14ac:dyDescent="0.25">
      <c r="H9924">
        <v>118</v>
      </c>
      <c r="I9924">
        <v>936</v>
      </c>
      <c r="J9924">
        <v>39</v>
      </c>
      <c r="K9924" t="b">
        <v>1</v>
      </c>
    </row>
    <row r="9925" spans="8:11" x14ac:dyDescent="0.25">
      <c r="H9925">
        <v>118</v>
      </c>
      <c r="I9925">
        <v>944</v>
      </c>
      <c r="J9925">
        <v>39</v>
      </c>
      <c r="K9925" t="b">
        <v>1</v>
      </c>
    </row>
    <row r="9926" spans="8:11" x14ac:dyDescent="0.25">
      <c r="H9926">
        <v>118</v>
      </c>
      <c r="I9926">
        <v>952</v>
      </c>
      <c r="J9926">
        <v>39</v>
      </c>
      <c r="K9926" t="b">
        <v>1</v>
      </c>
    </row>
    <row r="9927" spans="8:11" x14ac:dyDescent="0.25">
      <c r="H9927">
        <v>119</v>
      </c>
      <c r="I9927">
        <v>0</v>
      </c>
      <c r="J9927">
        <v>50</v>
      </c>
      <c r="K9927" t="b">
        <v>1</v>
      </c>
    </row>
    <row r="9928" spans="8:11" x14ac:dyDescent="0.25">
      <c r="H9928">
        <v>119</v>
      </c>
      <c r="I9928">
        <v>100</v>
      </c>
      <c r="J9928">
        <v>50</v>
      </c>
      <c r="K9928" t="b">
        <v>1</v>
      </c>
    </row>
    <row r="9929" spans="8:11" x14ac:dyDescent="0.25">
      <c r="H9929">
        <v>119</v>
      </c>
      <c r="I9929">
        <v>200</v>
      </c>
      <c r="J9929">
        <v>50</v>
      </c>
      <c r="K9929" t="b">
        <v>1</v>
      </c>
    </row>
    <row r="9930" spans="8:11" x14ac:dyDescent="0.25">
      <c r="H9930">
        <v>119</v>
      </c>
      <c r="I9930">
        <v>300</v>
      </c>
      <c r="J9930">
        <v>50</v>
      </c>
      <c r="K9930" t="b">
        <v>1</v>
      </c>
    </row>
    <row r="9931" spans="8:11" x14ac:dyDescent="0.25">
      <c r="H9931">
        <v>119</v>
      </c>
      <c r="I9931">
        <v>400</v>
      </c>
      <c r="J9931">
        <v>50</v>
      </c>
      <c r="K9931" t="b">
        <v>1</v>
      </c>
    </row>
    <row r="9932" spans="8:11" x14ac:dyDescent="0.25">
      <c r="H9932">
        <v>119</v>
      </c>
      <c r="I9932">
        <v>500</v>
      </c>
      <c r="J9932">
        <v>50</v>
      </c>
      <c r="K9932" t="b">
        <v>1</v>
      </c>
    </row>
    <row r="9933" spans="8:11" x14ac:dyDescent="0.25">
      <c r="H9933">
        <v>119</v>
      </c>
      <c r="I9933">
        <v>600</v>
      </c>
      <c r="J9933">
        <v>50</v>
      </c>
      <c r="K9933" t="b">
        <v>1</v>
      </c>
    </row>
    <row r="9934" spans="8:11" x14ac:dyDescent="0.25">
      <c r="H9934">
        <v>119</v>
      </c>
      <c r="I9934">
        <v>700</v>
      </c>
      <c r="J9934">
        <v>50</v>
      </c>
      <c r="K9934" t="b">
        <v>1</v>
      </c>
    </row>
    <row r="9935" spans="8:11" x14ac:dyDescent="0.25">
      <c r="H9935">
        <v>119</v>
      </c>
      <c r="I9935">
        <v>800</v>
      </c>
      <c r="J9935">
        <v>50</v>
      </c>
      <c r="K9935" t="b">
        <v>1</v>
      </c>
    </row>
    <row r="9936" spans="8:11" x14ac:dyDescent="0.25">
      <c r="H9936">
        <v>120</v>
      </c>
      <c r="I9936">
        <v>0</v>
      </c>
      <c r="J9936">
        <v>50</v>
      </c>
      <c r="K9936" t="b">
        <v>1</v>
      </c>
    </row>
    <row r="9937" spans="8:11" x14ac:dyDescent="0.25">
      <c r="H9937">
        <v>120</v>
      </c>
      <c r="I9937">
        <v>100</v>
      </c>
      <c r="J9937">
        <v>50</v>
      </c>
      <c r="K9937" t="b">
        <v>1</v>
      </c>
    </row>
    <row r="9938" spans="8:11" x14ac:dyDescent="0.25">
      <c r="H9938">
        <v>120</v>
      </c>
      <c r="I9938">
        <v>200</v>
      </c>
      <c r="J9938">
        <v>50</v>
      </c>
      <c r="K9938" t="b">
        <v>1</v>
      </c>
    </row>
    <row r="9939" spans="8:11" x14ac:dyDescent="0.25">
      <c r="H9939">
        <v>120</v>
      </c>
      <c r="I9939">
        <v>300</v>
      </c>
      <c r="J9939">
        <v>50</v>
      </c>
      <c r="K9939" t="b">
        <v>1</v>
      </c>
    </row>
    <row r="9940" spans="8:11" x14ac:dyDescent="0.25">
      <c r="H9940">
        <v>120</v>
      </c>
      <c r="I9940">
        <v>400</v>
      </c>
      <c r="J9940">
        <v>50</v>
      </c>
      <c r="K9940" t="b">
        <v>1</v>
      </c>
    </row>
    <row r="9941" spans="8:11" x14ac:dyDescent="0.25">
      <c r="H9941">
        <v>120</v>
      </c>
      <c r="I9941">
        <v>500</v>
      </c>
      <c r="J9941">
        <v>50</v>
      </c>
      <c r="K9941" t="b">
        <v>1</v>
      </c>
    </row>
    <row r="9942" spans="8:11" x14ac:dyDescent="0.25">
      <c r="H9942">
        <v>120</v>
      </c>
      <c r="I9942">
        <v>600</v>
      </c>
      <c r="J9942">
        <v>50</v>
      </c>
      <c r="K9942" t="b">
        <v>1</v>
      </c>
    </row>
    <row r="9943" spans="8:11" x14ac:dyDescent="0.25">
      <c r="H9943">
        <v>120</v>
      </c>
      <c r="I9943">
        <v>700</v>
      </c>
      <c r="J9943">
        <v>50</v>
      </c>
      <c r="K9943" t="b">
        <v>1</v>
      </c>
    </row>
    <row r="9944" spans="8:11" x14ac:dyDescent="0.25">
      <c r="H9944">
        <v>120</v>
      </c>
      <c r="I9944">
        <v>800</v>
      </c>
      <c r="J9944">
        <v>50</v>
      </c>
      <c r="K9944" t="b">
        <v>1</v>
      </c>
    </row>
    <row r="9945" spans="8:11" x14ac:dyDescent="0.25">
      <c r="H9945">
        <v>121</v>
      </c>
      <c r="I9945">
        <v>0</v>
      </c>
      <c r="J9945">
        <v>80</v>
      </c>
      <c r="K9945" t="b">
        <v>1</v>
      </c>
    </row>
    <row r="9946" spans="8:11" x14ac:dyDescent="0.25">
      <c r="H9946">
        <v>121</v>
      </c>
      <c r="I9946">
        <v>30</v>
      </c>
      <c r="J9946">
        <v>80</v>
      </c>
      <c r="K9946" t="b">
        <v>1</v>
      </c>
    </row>
    <row r="9947" spans="8:11" x14ac:dyDescent="0.25">
      <c r="H9947">
        <v>121</v>
      </c>
      <c r="I9947">
        <v>60</v>
      </c>
      <c r="J9947">
        <v>80</v>
      </c>
      <c r="K9947" t="b">
        <v>1</v>
      </c>
    </row>
    <row r="9948" spans="8:11" x14ac:dyDescent="0.25">
      <c r="H9948">
        <v>121</v>
      </c>
      <c r="I9948">
        <v>90</v>
      </c>
      <c r="J9948">
        <v>80</v>
      </c>
      <c r="K9948" t="b">
        <v>1</v>
      </c>
    </row>
    <row r="9949" spans="8:11" x14ac:dyDescent="0.25">
      <c r="H9949">
        <v>121</v>
      </c>
      <c r="I9949">
        <v>120</v>
      </c>
      <c r="J9949">
        <v>80</v>
      </c>
      <c r="K9949" t="b">
        <v>1</v>
      </c>
    </row>
    <row r="9950" spans="8:11" x14ac:dyDescent="0.25">
      <c r="H9950">
        <v>121</v>
      </c>
      <c r="I9950">
        <v>150</v>
      </c>
      <c r="J9950">
        <v>80</v>
      </c>
      <c r="K9950" t="b">
        <v>1</v>
      </c>
    </row>
    <row r="9951" spans="8:11" x14ac:dyDescent="0.25">
      <c r="H9951">
        <v>121</v>
      </c>
      <c r="I9951">
        <v>180</v>
      </c>
      <c r="J9951">
        <v>80</v>
      </c>
      <c r="K9951" t="b">
        <v>1</v>
      </c>
    </row>
    <row r="9952" spans="8:11" x14ac:dyDescent="0.25">
      <c r="H9952">
        <v>121</v>
      </c>
      <c r="I9952">
        <v>210</v>
      </c>
      <c r="J9952">
        <v>80</v>
      </c>
      <c r="K9952" t="b">
        <v>1</v>
      </c>
    </row>
    <row r="9953" spans="8:11" x14ac:dyDescent="0.25">
      <c r="H9953">
        <v>121</v>
      </c>
      <c r="I9953">
        <v>240</v>
      </c>
      <c r="J9953">
        <v>80</v>
      </c>
      <c r="K9953" t="b">
        <v>1</v>
      </c>
    </row>
    <row r="9954" spans="8:11" x14ac:dyDescent="0.25">
      <c r="H9954">
        <v>121</v>
      </c>
      <c r="I9954">
        <v>270</v>
      </c>
      <c r="J9954">
        <v>80</v>
      </c>
      <c r="K9954" t="b">
        <v>1</v>
      </c>
    </row>
    <row r="9955" spans="8:11" x14ac:dyDescent="0.25">
      <c r="H9955">
        <v>121</v>
      </c>
      <c r="I9955">
        <v>300</v>
      </c>
      <c r="J9955">
        <v>80</v>
      </c>
      <c r="K9955" t="b">
        <v>1</v>
      </c>
    </row>
    <row r="9956" spans="8:11" x14ac:dyDescent="0.25">
      <c r="H9956">
        <v>121</v>
      </c>
      <c r="I9956">
        <v>330</v>
      </c>
      <c r="J9956">
        <v>80</v>
      </c>
      <c r="K9956" t="b">
        <v>1</v>
      </c>
    </row>
    <row r="9957" spans="8:11" x14ac:dyDescent="0.25">
      <c r="H9957">
        <v>121</v>
      </c>
      <c r="I9957">
        <v>360</v>
      </c>
      <c r="J9957">
        <v>80</v>
      </c>
      <c r="K9957" t="b">
        <v>1</v>
      </c>
    </row>
    <row r="9958" spans="8:11" x14ac:dyDescent="0.25">
      <c r="H9958">
        <v>121</v>
      </c>
      <c r="I9958">
        <v>390</v>
      </c>
      <c r="J9958">
        <v>80</v>
      </c>
      <c r="K9958" t="b">
        <v>1</v>
      </c>
    </row>
    <row r="9959" spans="8:11" x14ac:dyDescent="0.25">
      <c r="H9959">
        <v>121</v>
      </c>
      <c r="I9959">
        <v>420</v>
      </c>
      <c r="J9959">
        <v>80</v>
      </c>
      <c r="K9959" t="b">
        <v>1</v>
      </c>
    </row>
    <row r="9960" spans="8:11" x14ac:dyDescent="0.25">
      <c r="H9960">
        <v>121</v>
      </c>
      <c r="I9960">
        <v>450</v>
      </c>
      <c r="J9960">
        <v>80</v>
      </c>
      <c r="K9960" t="b">
        <v>1</v>
      </c>
    </row>
    <row r="9961" spans="8:11" x14ac:dyDescent="0.25">
      <c r="H9961">
        <v>121</v>
      </c>
      <c r="I9961">
        <v>480</v>
      </c>
      <c r="J9961">
        <v>80</v>
      </c>
      <c r="K9961" t="b">
        <v>1</v>
      </c>
    </row>
    <row r="9962" spans="8:11" x14ac:dyDescent="0.25">
      <c r="H9962">
        <v>121</v>
      </c>
      <c r="I9962">
        <v>510</v>
      </c>
      <c r="J9962">
        <v>80</v>
      </c>
      <c r="K9962" t="b">
        <v>1</v>
      </c>
    </row>
    <row r="9963" spans="8:11" x14ac:dyDescent="0.25">
      <c r="H9963">
        <v>121</v>
      </c>
      <c r="I9963">
        <v>540</v>
      </c>
      <c r="J9963">
        <v>80</v>
      </c>
      <c r="K9963" t="b">
        <v>1</v>
      </c>
    </row>
    <row r="9964" spans="8:11" x14ac:dyDescent="0.25">
      <c r="H9964">
        <v>121</v>
      </c>
      <c r="I9964">
        <v>570</v>
      </c>
      <c r="J9964">
        <v>80</v>
      </c>
      <c r="K9964" t="b">
        <v>1</v>
      </c>
    </row>
    <row r="9965" spans="8:11" x14ac:dyDescent="0.25">
      <c r="H9965">
        <v>121</v>
      </c>
      <c r="I9965">
        <v>600</v>
      </c>
      <c r="J9965">
        <v>80</v>
      </c>
      <c r="K9965" t="b">
        <v>1</v>
      </c>
    </row>
    <row r="9966" spans="8:11" x14ac:dyDescent="0.25">
      <c r="H9966">
        <v>121</v>
      </c>
      <c r="I9966">
        <v>630</v>
      </c>
      <c r="J9966">
        <v>80</v>
      </c>
      <c r="K9966" t="b">
        <v>1</v>
      </c>
    </row>
    <row r="9967" spans="8:11" x14ac:dyDescent="0.25">
      <c r="H9967">
        <v>121</v>
      </c>
      <c r="I9967">
        <v>660</v>
      </c>
      <c r="J9967">
        <v>80</v>
      </c>
      <c r="K9967" t="b">
        <v>1</v>
      </c>
    </row>
    <row r="9968" spans="8:11" x14ac:dyDescent="0.25">
      <c r="H9968">
        <v>121</v>
      </c>
      <c r="I9968">
        <v>690</v>
      </c>
      <c r="J9968">
        <v>80</v>
      </c>
      <c r="K9968" t="b">
        <v>1</v>
      </c>
    </row>
    <row r="9969" spans="8:11" x14ac:dyDescent="0.25">
      <c r="H9969">
        <v>121</v>
      </c>
      <c r="I9969">
        <v>720</v>
      </c>
      <c r="J9969">
        <v>80</v>
      </c>
      <c r="K9969" t="b">
        <v>1</v>
      </c>
    </row>
    <row r="9970" spans="8:11" x14ac:dyDescent="0.25">
      <c r="H9970">
        <v>121</v>
      </c>
      <c r="I9970">
        <v>750</v>
      </c>
      <c r="J9970">
        <v>80</v>
      </c>
      <c r="K9970" t="b">
        <v>1</v>
      </c>
    </row>
    <row r="9971" spans="8:11" x14ac:dyDescent="0.25">
      <c r="H9971">
        <v>121</v>
      </c>
      <c r="I9971">
        <v>780</v>
      </c>
      <c r="J9971">
        <v>80</v>
      </c>
      <c r="K9971" t="b">
        <v>1</v>
      </c>
    </row>
    <row r="9972" spans="8:11" x14ac:dyDescent="0.25">
      <c r="H9972">
        <v>121</v>
      </c>
      <c r="I9972">
        <v>810</v>
      </c>
      <c r="J9972">
        <v>80</v>
      </c>
      <c r="K9972" t="b">
        <v>1</v>
      </c>
    </row>
    <row r="9973" spans="8:11" x14ac:dyDescent="0.25">
      <c r="H9973">
        <v>121</v>
      </c>
      <c r="I9973">
        <v>840</v>
      </c>
      <c r="J9973">
        <v>80</v>
      </c>
      <c r="K9973" t="b">
        <v>1</v>
      </c>
    </row>
    <row r="9974" spans="8:11" x14ac:dyDescent="0.25">
      <c r="H9974">
        <v>121</v>
      </c>
      <c r="I9974">
        <v>870</v>
      </c>
      <c r="J9974">
        <v>80</v>
      </c>
      <c r="K9974" t="b">
        <v>1</v>
      </c>
    </row>
    <row r="9975" spans="8:11" x14ac:dyDescent="0.25">
      <c r="H9975">
        <v>121</v>
      </c>
      <c r="I9975">
        <v>900</v>
      </c>
      <c r="J9975">
        <v>80</v>
      </c>
      <c r="K9975" t="b">
        <v>1</v>
      </c>
    </row>
    <row r="9976" spans="8:11" x14ac:dyDescent="0.25">
      <c r="H9976">
        <v>121</v>
      </c>
      <c r="I9976">
        <v>930</v>
      </c>
      <c r="J9976">
        <v>80</v>
      </c>
      <c r="K9976" t="b">
        <v>1</v>
      </c>
    </row>
    <row r="9977" spans="8:11" x14ac:dyDescent="0.25">
      <c r="H9977">
        <v>122</v>
      </c>
      <c r="I9977">
        <v>0</v>
      </c>
      <c r="J9977">
        <v>80</v>
      </c>
      <c r="K9977" t="b">
        <v>1</v>
      </c>
    </row>
    <row r="9978" spans="8:11" x14ac:dyDescent="0.25">
      <c r="H9978">
        <v>122</v>
      </c>
      <c r="I9978">
        <v>30</v>
      </c>
      <c r="J9978">
        <v>80</v>
      </c>
      <c r="K9978" t="b">
        <v>1</v>
      </c>
    </row>
    <row r="9979" spans="8:11" x14ac:dyDescent="0.25">
      <c r="H9979">
        <v>122</v>
      </c>
      <c r="I9979">
        <v>60</v>
      </c>
      <c r="J9979">
        <v>80</v>
      </c>
      <c r="K9979" t="b">
        <v>1</v>
      </c>
    </row>
    <row r="9980" spans="8:11" x14ac:dyDescent="0.25">
      <c r="H9980">
        <v>122</v>
      </c>
      <c r="I9980">
        <v>90</v>
      </c>
      <c r="J9980">
        <v>80</v>
      </c>
      <c r="K9980" t="b">
        <v>1</v>
      </c>
    </row>
    <row r="9981" spans="8:11" x14ac:dyDescent="0.25">
      <c r="H9981">
        <v>122</v>
      </c>
      <c r="I9981">
        <v>120</v>
      </c>
      <c r="J9981">
        <v>80</v>
      </c>
      <c r="K9981" t="b">
        <v>1</v>
      </c>
    </row>
    <row r="9982" spans="8:11" x14ac:dyDescent="0.25">
      <c r="H9982">
        <v>122</v>
      </c>
      <c r="I9982">
        <v>150</v>
      </c>
      <c r="J9982">
        <v>80</v>
      </c>
      <c r="K9982" t="b">
        <v>1</v>
      </c>
    </row>
    <row r="9983" spans="8:11" x14ac:dyDescent="0.25">
      <c r="H9983">
        <v>122</v>
      </c>
      <c r="I9983">
        <v>180</v>
      </c>
      <c r="J9983">
        <v>80</v>
      </c>
      <c r="K9983" t="b">
        <v>1</v>
      </c>
    </row>
    <row r="9984" spans="8:11" x14ac:dyDescent="0.25">
      <c r="H9984">
        <v>122</v>
      </c>
      <c r="I9984">
        <v>210</v>
      </c>
      <c r="J9984">
        <v>80</v>
      </c>
      <c r="K9984" t="b">
        <v>1</v>
      </c>
    </row>
    <row r="9985" spans="8:11" x14ac:dyDescent="0.25">
      <c r="H9985">
        <v>122</v>
      </c>
      <c r="I9985">
        <v>240</v>
      </c>
      <c r="J9985">
        <v>80</v>
      </c>
      <c r="K9985" t="b">
        <v>1</v>
      </c>
    </row>
    <row r="9986" spans="8:11" x14ac:dyDescent="0.25">
      <c r="H9986">
        <v>122</v>
      </c>
      <c r="I9986">
        <v>270</v>
      </c>
      <c r="J9986">
        <v>80</v>
      </c>
      <c r="K9986" t="b">
        <v>1</v>
      </c>
    </row>
    <row r="9987" spans="8:11" x14ac:dyDescent="0.25">
      <c r="H9987">
        <v>122</v>
      </c>
      <c r="I9987">
        <v>300</v>
      </c>
      <c r="J9987">
        <v>80</v>
      </c>
      <c r="K9987" t="b">
        <v>1</v>
      </c>
    </row>
    <row r="9988" spans="8:11" x14ac:dyDescent="0.25">
      <c r="H9988">
        <v>122</v>
      </c>
      <c r="I9988">
        <v>330</v>
      </c>
      <c r="J9988">
        <v>80</v>
      </c>
      <c r="K9988" t="b">
        <v>1</v>
      </c>
    </row>
    <row r="9989" spans="8:11" x14ac:dyDescent="0.25">
      <c r="H9989">
        <v>122</v>
      </c>
      <c r="I9989">
        <v>360</v>
      </c>
      <c r="J9989">
        <v>80</v>
      </c>
      <c r="K9989" t="b">
        <v>1</v>
      </c>
    </row>
    <row r="9990" spans="8:11" x14ac:dyDescent="0.25">
      <c r="H9990">
        <v>122</v>
      </c>
      <c r="I9990">
        <v>390</v>
      </c>
      <c r="J9990">
        <v>80</v>
      </c>
      <c r="K9990" t="b">
        <v>1</v>
      </c>
    </row>
    <row r="9991" spans="8:11" x14ac:dyDescent="0.25">
      <c r="H9991">
        <v>122</v>
      </c>
      <c r="I9991">
        <v>420</v>
      </c>
      <c r="J9991">
        <v>80</v>
      </c>
      <c r="K9991" t="b">
        <v>1</v>
      </c>
    </row>
    <row r="9992" spans="8:11" x14ac:dyDescent="0.25">
      <c r="H9992">
        <v>122</v>
      </c>
      <c r="I9992">
        <v>450</v>
      </c>
      <c r="J9992">
        <v>80</v>
      </c>
      <c r="K9992" t="b">
        <v>1</v>
      </c>
    </row>
    <row r="9993" spans="8:11" x14ac:dyDescent="0.25">
      <c r="H9993">
        <v>122</v>
      </c>
      <c r="I9993">
        <v>480</v>
      </c>
      <c r="J9993">
        <v>80</v>
      </c>
      <c r="K9993" t="b">
        <v>1</v>
      </c>
    </row>
    <row r="9994" spans="8:11" x14ac:dyDescent="0.25">
      <c r="H9994">
        <v>122</v>
      </c>
      <c r="I9994">
        <v>510</v>
      </c>
      <c r="J9994">
        <v>80</v>
      </c>
      <c r="K9994" t="b">
        <v>1</v>
      </c>
    </row>
    <row r="9995" spans="8:11" x14ac:dyDescent="0.25">
      <c r="H9995">
        <v>122</v>
      </c>
      <c r="I9995">
        <v>540</v>
      </c>
      <c r="J9995">
        <v>80</v>
      </c>
      <c r="K9995" t="b">
        <v>1</v>
      </c>
    </row>
    <row r="9996" spans="8:11" x14ac:dyDescent="0.25">
      <c r="H9996">
        <v>122</v>
      </c>
      <c r="I9996">
        <v>570</v>
      </c>
      <c r="J9996">
        <v>80</v>
      </c>
      <c r="K9996" t="b">
        <v>1</v>
      </c>
    </row>
    <row r="9997" spans="8:11" x14ac:dyDescent="0.25">
      <c r="H9997">
        <v>122</v>
      </c>
      <c r="I9997">
        <v>600</v>
      </c>
      <c r="J9997">
        <v>80</v>
      </c>
      <c r="K9997" t="b">
        <v>1</v>
      </c>
    </row>
    <row r="9998" spans="8:11" x14ac:dyDescent="0.25">
      <c r="H9998">
        <v>122</v>
      </c>
      <c r="I9998">
        <v>630</v>
      </c>
      <c r="J9998">
        <v>80</v>
      </c>
      <c r="K9998" t="b">
        <v>1</v>
      </c>
    </row>
    <row r="9999" spans="8:11" x14ac:dyDescent="0.25">
      <c r="H9999">
        <v>122</v>
      </c>
      <c r="I9999">
        <v>660</v>
      </c>
      <c r="J9999">
        <v>80</v>
      </c>
      <c r="K9999" t="b">
        <v>1</v>
      </c>
    </row>
    <row r="10000" spans="8:11" x14ac:dyDescent="0.25">
      <c r="H10000">
        <v>122</v>
      </c>
      <c r="I10000">
        <v>690</v>
      </c>
      <c r="J10000">
        <v>80</v>
      </c>
      <c r="K10000" t="b">
        <v>1</v>
      </c>
    </row>
    <row r="10001" spans="8:11" x14ac:dyDescent="0.25">
      <c r="H10001">
        <v>122</v>
      </c>
      <c r="I10001">
        <v>720</v>
      </c>
      <c r="J10001">
        <v>80</v>
      </c>
      <c r="K10001" t="b">
        <v>1</v>
      </c>
    </row>
    <row r="10002" spans="8:11" x14ac:dyDescent="0.25">
      <c r="H10002">
        <v>122</v>
      </c>
      <c r="I10002">
        <v>750</v>
      </c>
      <c r="J10002">
        <v>80</v>
      </c>
      <c r="K10002" t="b">
        <v>1</v>
      </c>
    </row>
    <row r="10003" spans="8:11" x14ac:dyDescent="0.25">
      <c r="H10003">
        <v>122</v>
      </c>
      <c r="I10003">
        <v>780</v>
      </c>
      <c r="J10003">
        <v>80</v>
      </c>
      <c r="K10003" t="b">
        <v>1</v>
      </c>
    </row>
    <row r="10004" spans="8:11" x14ac:dyDescent="0.25">
      <c r="H10004">
        <v>122</v>
      </c>
      <c r="I10004">
        <v>810</v>
      </c>
      <c r="J10004">
        <v>80</v>
      </c>
      <c r="K10004" t="b">
        <v>1</v>
      </c>
    </row>
    <row r="10005" spans="8:11" x14ac:dyDescent="0.25">
      <c r="H10005">
        <v>122</v>
      </c>
      <c r="I10005">
        <v>840</v>
      </c>
      <c r="J10005">
        <v>80</v>
      </c>
      <c r="K10005" t="b">
        <v>1</v>
      </c>
    </row>
    <row r="10006" spans="8:11" x14ac:dyDescent="0.25">
      <c r="H10006">
        <v>122</v>
      </c>
      <c r="I10006">
        <v>870</v>
      </c>
      <c r="J10006">
        <v>80</v>
      </c>
      <c r="K10006" t="b">
        <v>1</v>
      </c>
    </row>
    <row r="10007" spans="8:11" x14ac:dyDescent="0.25">
      <c r="H10007">
        <v>122</v>
      </c>
      <c r="I10007">
        <v>900</v>
      </c>
      <c r="J10007">
        <v>80</v>
      </c>
      <c r="K10007" t="b">
        <v>1</v>
      </c>
    </row>
    <row r="10008" spans="8:11" x14ac:dyDescent="0.25">
      <c r="H10008">
        <v>122</v>
      </c>
      <c r="I10008">
        <v>930</v>
      </c>
      <c r="J10008">
        <v>80</v>
      </c>
      <c r="K10008" t="b">
        <v>1</v>
      </c>
    </row>
    <row r="10009" spans="8:11" x14ac:dyDescent="0.25">
      <c r="H10009">
        <v>123</v>
      </c>
      <c r="I10009">
        <v>0</v>
      </c>
      <c r="J10009">
        <v>108</v>
      </c>
      <c r="K10009" t="b">
        <v>1</v>
      </c>
    </row>
    <row r="10010" spans="8:11" x14ac:dyDescent="0.25">
      <c r="H10010">
        <v>123</v>
      </c>
      <c r="I10010">
        <v>7</v>
      </c>
      <c r="J10010">
        <v>108</v>
      </c>
      <c r="K10010" t="b">
        <v>1</v>
      </c>
    </row>
    <row r="10011" spans="8:11" x14ac:dyDescent="0.25">
      <c r="H10011">
        <v>123</v>
      </c>
      <c r="I10011">
        <v>14</v>
      </c>
      <c r="J10011">
        <v>108</v>
      </c>
      <c r="K10011" t="b">
        <v>1</v>
      </c>
    </row>
    <row r="10012" spans="8:11" x14ac:dyDescent="0.25">
      <c r="H10012">
        <v>123</v>
      </c>
      <c r="I10012">
        <v>21</v>
      </c>
      <c r="J10012">
        <v>108</v>
      </c>
      <c r="K10012" t="b">
        <v>1</v>
      </c>
    </row>
    <row r="10013" spans="8:11" x14ac:dyDescent="0.25">
      <c r="H10013">
        <v>123</v>
      </c>
      <c r="I10013">
        <v>28</v>
      </c>
      <c r="J10013">
        <v>108</v>
      </c>
      <c r="K10013" t="b">
        <v>1</v>
      </c>
    </row>
    <row r="10014" spans="8:11" x14ac:dyDescent="0.25">
      <c r="H10014">
        <v>123</v>
      </c>
      <c r="I10014">
        <v>35</v>
      </c>
      <c r="J10014">
        <v>108</v>
      </c>
      <c r="K10014" t="b">
        <v>1</v>
      </c>
    </row>
    <row r="10015" spans="8:11" x14ac:dyDescent="0.25">
      <c r="H10015">
        <v>123</v>
      </c>
      <c r="I10015">
        <v>42</v>
      </c>
      <c r="J10015">
        <v>108</v>
      </c>
      <c r="K10015" t="b">
        <v>1</v>
      </c>
    </row>
    <row r="10016" spans="8:11" x14ac:dyDescent="0.25">
      <c r="H10016">
        <v>123</v>
      </c>
      <c r="I10016">
        <v>49</v>
      </c>
      <c r="J10016">
        <v>108</v>
      </c>
      <c r="K10016" t="b">
        <v>1</v>
      </c>
    </row>
    <row r="10017" spans="8:11" x14ac:dyDescent="0.25">
      <c r="H10017">
        <v>123</v>
      </c>
      <c r="I10017">
        <v>56</v>
      </c>
      <c r="J10017">
        <v>108</v>
      </c>
      <c r="K10017" t="b">
        <v>1</v>
      </c>
    </row>
    <row r="10018" spans="8:11" x14ac:dyDescent="0.25">
      <c r="H10018">
        <v>123</v>
      </c>
      <c r="I10018">
        <v>63</v>
      </c>
      <c r="J10018">
        <v>108</v>
      </c>
      <c r="K10018" t="b">
        <v>1</v>
      </c>
    </row>
    <row r="10019" spans="8:11" x14ac:dyDescent="0.25">
      <c r="H10019">
        <v>123</v>
      </c>
      <c r="I10019">
        <v>70</v>
      </c>
      <c r="J10019">
        <v>108</v>
      </c>
      <c r="K10019" t="b">
        <v>1</v>
      </c>
    </row>
    <row r="10020" spans="8:11" x14ac:dyDescent="0.25">
      <c r="H10020">
        <v>123</v>
      </c>
      <c r="I10020">
        <v>77</v>
      </c>
      <c r="J10020">
        <v>108</v>
      </c>
      <c r="K10020" t="b">
        <v>1</v>
      </c>
    </row>
    <row r="10021" spans="8:11" x14ac:dyDescent="0.25">
      <c r="H10021">
        <v>123</v>
      </c>
      <c r="I10021">
        <v>84</v>
      </c>
      <c r="J10021">
        <v>108</v>
      </c>
      <c r="K10021" t="b">
        <v>1</v>
      </c>
    </row>
    <row r="10022" spans="8:11" x14ac:dyDescent="0.25">
      <c r="H10022">
        <v>123</v>
      </c>
      <c r="I10022">
        <v>91</v>
      </c>
      <c r="J10022">
        <v>108</v>
      </c>
      <c r="K10022" t="b">
        <v>1</v>
      </c>
    </row>
    <row r="10023" spans="8:11" x14ac:dyDescent="0.25">
      <c r="H10023">
        <v>123</v>
      </c>
      <c r="I10023">
        <v>98</v>
      </c>
      <c r="J10023">
        <v>108</v>
      </c>
      <c r="K10023" t="b">
        <v>1</v>
      </c>
    </row>
    <row r="10024" spans="8:11" x14ac:dyDescent="0.25">
      <c r="H10024">
        <v>123</v>
      </c>
      <c r="I10024">
        <v>105</v>
      </c>
      <c r="J10024">
        <v>108</v>
      </c>
      <c r="K10024" t="b">
        <v>1</v>
      </c>
    </row>
    <row r="10025" spans="8:11" x14ac:dyDescent="0.25">
      <c r="H10025">
        <v>123</v>
      </c>
      <c r="I10025">
        <v>112</v>
      </c>
      <c r="J10025">
        <v>108</v>
      </c>
      <c r="K10025" t="b">
        <v>1</v>
      </c>
    </row>
    <row r="10026" spans="8:11" x14ac:dyDescent="0.25">
      <c r="H10026">
        <v>123</v>
      </c>
      <c r="I10026">
        <v>119</v>
      </c>
      <c r="J10026">
        <v>108</v>
      </c>
      <c r="K10026" t="b">
        <v>1</v>
      </c>
    </row>
    <row r="10027" spans="8:11" x14ac:dyDescent="0.25">
      <c r="H10027">
        <v>123</v>
      </c>
      <c r="I10027">
        <v>126</v>
      </c>
      <c r="J10027">
        <v>108</v>
      </c>
      <c r="K10027" t="b">
        <v>1</v>
      </c>
    </row>
    <row r="10028" spans="8:11" x14ac:dyDescent="0.25">
      <c r="H10028">
        <v>123</v>
      </c>
      <c r="I10028">
        <v>133</v>
      </c>
      <c r="J10028">
        <v>108</v>
      </c>
      <c r="K10028" t="b">
        <v>1</v>
      </c>
    </row>
    <row r="10029" spans="8:11" x14ac:dyDescent="0.25">
      <c r="H10029">
        <v>123</v>
      </c>
      <c r="I10029">
        <v>140</v>
      </c>
      <c r="J10029">
        <v>108</v>
      </c>
      <c r="K10029" t="b">
        <v>1</v>
      </c>
    </row>
    <row r="10030" spans="8:11" x14ac:dyDescent="0.25">
      <c r="H10030">
        <v>123</v>
      </c>
      <c r="I10030">
        <v>147</v>
      </c>
      <c r="J10030">
        <v>108</v>
      </c>
      <c r="K10030" t="b">
        <v>1</v>
      </c>
    </row>
    <row r="10031" spans="8:11" x14ac:dyDescent="0.25">
      <c r="H10031">
        <v>123</v>
      </c>
      <c r="I10031">
        <v>154</v>
      </c>
      <c r="J10031">
        <v>108</v>
      </c>
      <c r="K10031" t="b">
        <v>1</v>
      </c>
    </row>
    <row r="10032" spans="8:11" x14ac:dyDescent="0.25">
      <c r="H10032">
        <v>123</v>
      </c>
      <c r="I10032">
        <v>161</v>
      </c>
      <c r="J10032">
        <v>108</v>
      </c>
      <c r="K10032" t="b">
        <v>1</v>
      </c>
    </row>
    <row r="10033" spans="8:11" x14ac:dyDescent="0.25">
      <c r="H10033">
        <v>123</v>
      </c>
      <c r="I10033">
        <v>168</v>
      </c>
      <c r="J10033">
        <v>108</v>
      </c>
      <c r="K10033" t="b">
        <v>1</v>
      </c>
    </row>
    <row r="10034" spans="8:11" x14ac:dyDescent="0.25">
      <c r="H10034">
        <v>123</v>
      </c>
      <c r="I10034">
        <v>175</v>
      </c>
      <c r="J10034">
        <v>108</v>
      </c>
      <c r="K10034" t="b">
        <v>1</v>
      </c>
    </row>
    <row r="10035" spans="8:11" x14ac:dyDescent="0.25">
      <c r="H10035">
        <v>123</v>
      </c>
      <c r="I10035">
        <v>182</v>
      </c>
      <c r="J10035">
        <v>108</v>
      </c>
      <c r="K10035" t="b">
        <v>1</v>
      </c>
    </row>
    <row r="10036" spans="8:11" x14ac:dyDescent="0.25">
      <c r="H10036">
        <v>123</v>
      </c>
      <c r="I10036">
        <v>189</v>
      </c>
      <c r="J10036">
        <v>108</v>
      </c>
      <c r="K10036" t="b">
        <v>1</v>
      </c>
    </row>
    <row r="10037" spans="8:11" x14ac:dyDescent="0.25">
      <c r="H10037">
        <v>123</v>
      </c>
      <c r="I10037">
        <v>196</v>
      </c>
      <c r="J10037">
        <v>108</v>
      </c>
      <c r="K10037" t="b">
        <v>1</v>
      </c>
    </row>
    <row r="10038" spans="8:11" x14ac:dyDescent="0.25">
      <c r="H10038">
        <v>123</v>
      </c>
      <c r="I10038">
        <v>203</v>
      </c>
      <c r="J10038">
        <v>108</v>
      </c>
      <c r="K10038" t="b">
        <v>1</v>
      </c>
    </row>
    <row r="10039" spans="8:11" x14ac:dyDescent="0.25">
      <c r="H10039">
        <v>123</v>
      </c>
      <c r="I10039">
        <v>210</v>
      </c>
      <c r="J10039">
        <v>108</v>
      </c>
      <c r="K10039" t="b">
        <v>1</v>
      </c>
    </row>
    <row r="10040" spans="8:11" x14ac:dyDescent="0.25">
      <c r="H10040">
        <v>123</v>
      </c>
      <c r="I10040">
        <v>217</v>
      </c>
      <c r="J10040">
        <v>108</v>
      </c>
      <c r="K10040" t="b">
        <v>1</v>
      </c>
    </row>
    <row r="10041" spans="8:11" x14ac:dyDescent="0.25">
      <c r="H10041">
        <v>123</v>
      </c>
      <c r="I10041">
        <v>224</v>
      </c>
      <c r="J10041">
        <v>108</v>
      </c>
      <c r="K10041" t="b">
        <v>1</v>
      </c>
    </row>
    <row r="10042" spans="8:11" x14ac:dyDescent="0.25">
      <c r="H10042">
        <v>123</v>
      </c>
      <c r="I10042">
        <v>231</v>
      </c>
      <c r="J10042">
        <v>108</v>
      </c>
      <c r="K10042" t="b">
        <v>1</v>
      </c>
    </row>
    <row r="10043" spans="8:11" x14ac:dyDescent="0.25">
      <c r="H10043">
        <v>123</v>
      </c>
      <c r="I10043">
        <v>238</v>
      </c>
      <c r="J10043">
        <v>108</v>
      </c>
      <c r="K10043" t="b">
        <v>1</v>
      </c>
    </row>
    <row r="10044" spans="8:11" x14ac:dyDescent="0.25">
      <c r="H10044">
        <v>123</v>
      </c>
      <c r="I10044">
        <v>245</v>
      </c>
      <c r="J10044">
        <v>108</v>
      </c>
      <c r="K10044" t="b">
        <v>1</v>
      </c>
    </row>
    <row r="10045" spans="8:11" x14ac:dyDescent="0.25">
      <c r="H10045">
        <v>123</v>
      </c>
      <c r="I10045">
        <v>252</v>
      </c>
      <c r="J10045">
        <v>108</v>
      </c>
      <c r="K10045" t="b">
        <v>1</v>
      </c>
    </row>
    <row r="10046" spans="8:11" x14ac:dyDescent="0.25">
      <c r="H10046">
        <v>123</v>
      </c>
      <c r="I10046">
        <v>259</v>
      </c>
      <c r="J10046">
        <v>108</v>
      </c>
      <c r="K10046" t="b">
        <v>1</v>
      </c>
    </row>
    <row r="10047" spans="8:11" x14ac:dyDescent="0.25">
      <c r="H10047">
        <v>123</v>
      </c>
      <c r="I10047">
        <v>266</v>
      </c>
      <c r="J10047">
        <v>108</v>
      </c>
      <c r="K10047" t="b">
        <v>1</v>
      </c>
    </row>
    <row r="10048" spans="8:11" x14ac:dyDescent="0.25">
      <c r="H10048">
        <v>123</v>
      </c>
      <c r="I10048">
        <v>273</v>
      </c>
      <c r="J10048">
        <v>108</v>
      </c>
      <c r="K10048" t="b">
        <v>1</v>
      </c>
    </row>
    <row r="10049" spans="8:11" x14ac:dyDescent="0.25">
      <c r="H10049">
        <v>123</v>
      </c>
      <c r="I10049">
        <v>280</v>
      </c>
      <c r="J10049">
        <v>108</v>
      </c>
      <c r="K10049" t="b">
        <v>1</v>
      </c>
    </row>
    <row r="10050" spans="8:11" x14ac:dyDescent="0.25">
      <c r="H10050">
        <v>123</v>
      </c>
      <c r="I10050">
        <v>287</v>
      </c>
      <c r="J10050">
        <v>108</v>
      </c>
      <c r="K10050" t="b">
        <v>1</v>
      </c>
    </row>
    <row r="10051" spans="8:11" x14ac:dyDescent="0.25">
      <c r="H10051">
        <v>123</v>
      </c>
      <c r="I10051">
        <v>294</v>
      </c>
      <c r="J10051">
        <v>108</v>
      </c>
      <c r="K10051" t="b">
        <v>1</v>
      </c>
    </row>
    <row r="10052" spans="8:11" x14ac:dyDescent="0.25">
      <c r="H10052">
        <v>123</v>
      </c>
      <c r="I10052">
        <v>301</v>
      </c>
      <c r="J10052">
        <v>108</v>
      </c>
      <c r="K10052" t="b">
        <v>1</v>
      </c>
    </row>
    <row r="10053" spans="8:11" x14ac:dyDescent="0.25">
      <c r="H10053">
        <v>123</v>
      </c>
      <c r="I10053">
        <v>308</v>
      </c>
      <c r="J10053">
        <v>108</v>
      </c>
      <c r="K10053" t="b">
        <v>1</v>
      </c>
    </row>
    <row r="10054" spans="8:11" x14ac:dyDescent="0.25">
      <c r="H10054">
        <v>123</v>
      </c>
      <c r="I10054">
        <v>315</v>
      </c>
      <c r="J10054">
        <v>108</v>
      </c>
      <c r="K10054" t="b">
        <v>1</v>
      </c>
    </row>
    <row r="10055" spans="8:11" x14ac:dyDescent="0.25">
      <c r="H10055">
        <v>123</v>
      </c>
      <c r="I10055">
        <v>322</v>
      </c>
      <c r="J10055">
        <v>108</v>
      </c>
      <c r="K10055" t="b">
        <v>1</v>
      </c>
    </row>
    <row r="10056" spans="8:11" x14ac:dyDescent="0.25">
      <c r="H10056">
        <v>123</v>
      </c>
      <c r="I10056">
        <v>329</v>
      </c>
      <c r="J10056">
        <v>108</v>
      </c>
      <c r="K10056" t="b">
        <v>1</v>
      </c>
    </row>
    <row r="10057" spans="8:11" x14ac:dyDescent="0.25">
      <c r="H10057">
        <v>123</v>
      </c>
      <c r="I10057">
        <v>336</v>
      </c>
      <c r="J10057">
        <v>108</v>
      </c>
      <c r="K10057" t="b">
        <v>1</v>
      </c>
    </row>
    <row r="10058" spans="8:11" x14ac:dyDescent="0.25">
      <c r="H10058">
        <v>123</v>
      </c>
      <c r="I10058">
        <v>343</v>
      </c>
      <c r="J10058">
        <v>108</v>
      </c>
      <c r="K10058" t="b">
        <v>1</v>
      </c>
    </row>
    <row r="10059" spans="8:11" x14ac:dyDescent="0.25">
      <c r="H10059">
        <v>123</v>
      </c>
      <c r="I10059">
        <v>350</v>
      </c>
      <c r="J10059">
        <v>108</v>
      </c>
      <c r="K10059" t="b">
        <v>1</v>
      </c>
    </row>
    <row r="10060" spans="8:11" x14ac:dyDescent="0.25">
      <c r="H10060">
        <v>123</v>
      </c>
      <c r="I10060">
        <v>357</v>
      </c>
      <c r="J10060">
        <v>108</v>
      </c>
      <c r="K10060" t="b">
        <v>1</v>
      </c>
    </row>
    <row r="10061" spans="8:11" x14ac:dyDescent="0.25">
      <c r="H10061">
        <v>123</v>
      </c>
      <c r="I10061">
        <v>364</v>
      </c>
      <c r="J10061">
        <v>108</v>
      </c>
      <c r="K10061" t="b">
        <v>1</v>
      </c>
    </row>
    <row r="10062" spans="8:11" x14ac:dyDescent="0.25">
      <c r="H10062">
        <v>123</v>
      </c>
      <c r="I10062">
        <v>371</v>
      </c>
      <c r="J10062">
        <v>108</v>
      </c>
      <c r="K10062" t="b">
        <v>1</v>
      </c>
    </row>
    <row r="10063" spans="8:11" x14ac:dyDescent="0.25">
      <c r="H10063">
        <v>123</v>
      </c>
      <c r="I10063">
        <v>378</v>
      </c>
      <c r="J10063">
        <v>108</v>
      </c>
      <c r="K10063" t="b">
        <v>1</v>
      </c>
    </row>
    <row r="10064" spans="8:11" x14ac:dyDescent="0.25">
      <c r="H10064">
        <v>123</v>
      </c>
      <c r="I10064">
        <v>385</v>
      </c>
      <c r="J10064">
        <v>108</v>
      </c>
      <c r="K10064" t="b">
        <v>1</v>
      </c>
    </row>
    <row r="10065" spans="8:11" x14ac:dyDescent="0.25">
      <c r="H10065">
        <v>123</v>
      </c>
      <c r="I10065">
        <v>392</v>
      </c>
      <c r="J10065">
        <v>108</v>
      </c>
      <c r="K10065" t="b">
        <v>1</v>
      </c>
    </row>
    <row r="10066" spans="8:11" x14ac:dyDescent="0.25">
      <c r="H10066">
        <v>123</v>
      </c>
      <c r="I10066">
        <v>399</v>
      </c>
      <c r="J10066">
        <v>108</v>
      </c>
      <c r="K10066" t="b">
        <v>1</v>
      </c>
    </row>
    <row r="10067" spans="8:11" x14ac:dyDescent="0.25">
      <c r="H10067">
        <v>123</v>
      </c>
      <c r="I10067">
        <v>406</v>
      </c>
      <c r="J10067">
        <v>108</v>
      </c>
      <c r="K10067" t="b">
        <v>1</v>
      </c>
    </row>
    <row r="10068" spans="8:11" x14ac:dyDescent="0.25">
      <c r="H10068">
        <v>123</v>
      </c>
      <c r="I10068">
        <v>413</v>
      </c>
      <c r="J10068">
        <v>108</v>
      </c>
      <c r="K10068" t="b">
        <v>1</v>
      </c>
    </row>
    <row r="10069" spans="8:11" x14ac:dyDescent="0.25">
      <c r="H10069">
        <v>123</v>
      </c>
      <c r="I10069">
        <v>420</v>
      </c>
      <c r="J10069">
        <v>108</v>
      </c>
      <c r="K10069" t="b">
        <v>1</v>
      </c>
    </row>
    <row r="10070" spans="8:11" x14ac:dyDescent="0.25">
      <c r="H10070">
        <v>123</v>
      </c>
      <c r="I10070">
        <v>427</v>
      </c>
      <c r="J10070">
        <v>108</v>
      </c>
      <c r="K10070" t="b">
        <v>1</v>
      </c>
    </row>
    <row r="10071" spans="8:11" x14ac:dyDescent="0.25">
      <c r="H10071">
        <v>123</v>
      </c>
      <c r="I10071">
        <v>434</v>
      </c>
      <c r="J10071">
        <v>108</v>
      </c>
      <c r="K10071" t="b">
        <v>1</v>
      </c>
    </row>
    <row r="10072" spans="8:11" x14ac:dyDescent="0.25">
      <c r="H10072">
        <v>123</v>
      </c>
      <c r="I10072">
        <v>441</v>
      </c>
      <c r="J10072">
        <v>108</v>
      </c>
      <c r="K10072" t="b">
        <v>1</v>
      </c>
    </row>
    <row r="10073" spans="8:11" x14ac:dyDescent="0.25">
      <c r="H10073">
        <v>123</v>
      </c>
      <c r="I10073">
        <v>448</v>
      </c>
      <c r="J10073">
        <v>108</v>
      </c>
      <c r="K10073" t="b">
        <v>1</v>
      </c>
    </row>
    <row r="10074" spans="8:11" x14ac:dyDescent="0.25">
      <c r="H10074">
        <v>123</v>
      </c>
      <c r="I10074">
        <v>455</v>
      </c>
      <c r="J10074">
        <v>108</v>
      </c>
      <c r="K10074" t="b">
        <v>1</v>
      </c>
    </row>
    <row r="10075" spans="8:11" x14ac:dyDescent="0.25">
      <c r="H10075">
        <v>123</v>
      </c>
      <c r="I10075">
        <v>462</v>
      </c>
      <c r="J10075">
        <v>108</v>
      </c>
      <c r="K10075" t="b">
        <v>1</v>
      </c>
    </row>
    <row r="10076" spans="8:11" x14ac:dyDescent="0.25">
      <c r="H10076">
        <v>123</v>
      </c>
      <c r="I10076">
        <v>469</v>
      </c>
      <c r="J10076">
        <v>108</v>
      </c>
      <c r="K10076" t="b">
        <v>1</v>
      </c>
    </row>
    <row r="10077" spans="8:11" x14ac:dyDescent="0.25">
      <c r="H10077">
        <v>123</v>
      </c>
      <c r="I10077">
        <v>476</v>
      </c>
      <c r="J10077">
        <v>108</v>
      </c>
      <c r="K10077" t="b">
        <v>1</v>
      </c>
    </row>
    <row r="10078" spans="8:11" x14ac:dyDescent="0.25">
      <c r="H10078">
        <v>123</v>
      </c>
      <c r="I10078">
        <v>483</v>
      </c>
      <c r="J10078">
        <v>108</v>
      </c>
      <c r="K10078" t="b">
        <v>1</v>
      </c>
    </row>
    <row r="10079" spans="8:11" x14ac:dyDescent="0.25">
      <c r="H10079">
        <v>123</v>
      </c>
      <c r="I10079">
        <v>490</v>
      </c>
      <c r="J10079">
        <v>108</v>
      </c>
      <c r="K10079" t="b">
        <v>1</v>
      </c>
    </row>
    <row r="10080" spans="8:11" x14ac:dyDescent="0.25">
      <c r="H10080">
        <v>123</v>
      </c>
      <c r="I10080">
        <v>497</v>
      </c>
      <c r="J10080">
        <v>108</v>
      </c>
      <c r="K10080" t="b">
        <v>1</v>
      </c>
    </row>
    <row r="10081" spans="8:11" x14ac:dyDescent="0.25">
      <c r="H10081">
        <v>123</v>
      </c>
      <c r="I10081">
        <v>504</v>
      </c>
      <c r="J10081">
        <v>108</v>
      </c>
      <c r="K10081" t="b">
        <v>1</v>
      </c>
    </row>
    <row r="10082" spans="8:11" x14ac:dyDescent="0.25">
      <c r="H10082">
        <v>123</v>
      </c>
      <c r="I10082">
        <v>511</v>
      </c>
      <c r="J10082">
        <v>108</v>
      </c>
      <c r="K10082" t="b">
        <v>1</v>
      </c>
    </row>
    <row r="10083" spans="8:11" x14ac:dyDescent="0.25">
      <c r="H10083">
        <v>123</v>
      </c>
      <c r="I10083">
        <v>518</v>
      </c>
      <c r="J10083">
        <v>108</v>
      </c>
      <c r="K10083" t="b">
        <v>1</v>
      </c>
    </row>
    <row r="10084" spans="8:11" x14ac:dyDescent="0.25">
      <c r="H10084">
        <v>123</v>
      </c>
      <c r="I10084">
        <v>525</v>
      </c>
      <c r="J10084">
        <v>108</v>
      </c>
      <c r="K10084" t="b">
        <v>1</v>
      </c>
    </row>
    <row r="10085" spans="8:11" x14ac:dyDescent="0.25">
      <c r="H10085">
        <v>123</v>
      </c>
      <c r="I10085">
        <v>532</v>
      </c>
      <c r="J10085">
        <v>108</v>
      </c>
      <c r="K10085" t="b">
        <v>1</v>
      </c>
    </row>
    <row r="10086" spans="8:11" x14ac:dyDescent="0.25">
      <c r="H10086">
        <v>123</v>
      </c>
      <c r="I10086">
        <v>539</v>
      </c>
      <c r="J10086">
        <v>108</v>
      </c>
      <c r="K10086" t="b">
        <v>1</v>
      </c>
    </row>
    <row r="10087" spans="8:11" x14ac:dyDescent="0.25">
      <c r="H10087">
        <v>123</v>
      </c>
      <c r="I10087">
        <v>546</v>
      </c>
      <c r="J10087">
        <v>108</v>
      </c>
      <c r="K10087" t="b">
        <v>1</v>
      </c>
    </row>
    <row r="10088" spans="8:11" x14ac:dyDescent="0.25">
      <c r="H10088">
        <v>123</v>
      </c>
      <c r="I10088">
        <v>553</v>
      </c>
      <c r="J10088">
        <v>108</v>
      </c>
      <c r="K10088" t="b">
        <v>1</v>
      </c>
    </row>
    <row r="10089" spans="8:11" x14ac:dyDescent="0.25">
      <c r="H10089">
        <v>123</v>
      </c>
      <c r="I10089">
        <v>560</v>
      </c>
      <c r="J10089">
        <v>108</v>
      </c>
      <c r="K10089" t="b">
        <v>1</v>
      </c>
    </row>
    <row r="10090" spans="8:11" x14ac:dyDescent="0.25">
      <c r="H10090">
        <v>123</v>
      </c>
      <c r="I10090">
        <v>567</v>
      </c>
      <c r="J10090">
        <v>108</v>
      </c>
      <c r="K10090" t="b">
        <v>1</v>
      </c>
    </row>
    <row r="10091" spans="8:11" x14ac:dyDescent="0.25">
      <c r="H10091">
        <v>123</v>
      </c>
      <c r="I10091">
        <v>574</v>
      </c>
      <c r="J10091">
        <v>108</v>
      </c>
      <c r="K10091" t="b">
        <v>1</v>
      </c>
    </row>
    <row r="10092" spans="8:11" x14ac:dyDescent="0.25">
      <c r="H10092">
        <v>123</v>
      </c>
      <c r="I10092">
        <v>581</v>
      </c>
      <c r="J10092">
        <v>108</v>
      </c>
      <c r="K10092" t="b">
        <v>1</v>
      </c>
    </row>
    <row r="10093" spans="8:11" x14ac:dyDescent="0.25">
      <c r="H10093">
        <v>123</v>
      </c>
      <c r="I10093">
        <v>588</v>
      </c>
      <c r="J10093">
        <v>108</v>
      </c>
      <c r="K10093" t="b">
        <v>1</v>
      </c>
    </row>
    <row r="10094" spans="8:11" x14ac:dyDescent="0.25">
      <c r="H10094">
        <v>123</v>
      </c>
      <c r="I10094">
        <v>595</v>
      </c>
      <c r="J10094">
        <v>108</v>
      </c>
      <c r="K10094" t="b">
        <v>1</v>
      </c>
    </row>
    <row r="10095" spans="8:11" x14ac:dyDescent="0.25">
      <c r="H10095">
        <v>123</v>
      </c>
      <c r="I10095">
        <v>602</v>
      </c>
      <c r="J10095">
        <v>108</v>
      </c>
      <c r="K10095" t="b">
        <v>1</v>
      </c>
    </row>
    <row r="10096" spans="8:11" x14ac:dyDescent="0.25">
      <c r="H10096">
        <v>123</v>
      </c>
      <c r="I10096">
        <v>609</v>
      </c>
      <c r="J10096">
        <v>108</v>
      </c>
      <c r="K10096" t="b">
        <v>1</v>
      </c>
    </row>
    <row r="10097" spans="8:11" x14ac:dyDescent="0.25">
      <c r="H10097">
        <v>123</v>
      </c>
      <c r="I10097">
        <v>616</v>
      </c>
      <c r="J10097">
        <v>108</v>
      </c>
      <c r="K10097" t="b">
        <v>1</v>
      </c>
    </row>
    <row r="10098" spans="8:11" x14ac:dyDescent="0.25">
      <c r="H10098">
        <v>123</v>
      </c>
      <c r="I10098">
        <v>623</v>
      </c>
      <c r="J10098">
        <v>108</v>
      </c>
      <c r="K10098" t="b">
        <v>1</v>
      </c>
    </row>
    <row r="10099" spans="8:11" x14ac:dyDescent="0.25">
      <c r="H10099">
        <v>123</v>
      </c>
      <c r="I10099">
        <v>630</v>
      </c>
      <c r="J10099">
        <v>108</v>
      </c>
      <c r="K10099" t="b">
        <v>1</v>
      </c>
    </row>
    <row r="10100" spans="8:11" x14ac:dyDescent="0.25">
      <c r="H10100">
        <v>123</v>
      </c>
      <c r="I10100">
        <v>637</v>
      </c>
      <c r="J10100">
        <v>108</v>
      </c>
      <c r="K10100" t="b">
        <v>1</v>
      </c>
    </row>
    <row r="10101" spans="8:11" x14ac:dyDescent="0.25">
      <c r="H10101">
        <v>123</v>
      </c>
      <c r="I10101">
        <v>644</v>
      </c>
      <c r="J10101">
        <v>108</v>
      </c>
      <c r="K10101" t="b">
        <v>1</v>
      </c>
    </row>
    <row r="10102" spans="8:11" x14ac:dyDescent="0.25">
      <c r="H10102">
        <v>123</v>
      </c>
      <c r="I10102">
        <v>651</v>
      </c>
      <c r="J10102">
        <v>108</v>
      </c>
      <c r="K10102" t="b">
        <v>1</v>
      </c>
    </row>
    <row r="10103" spans="8:11" x14ac:dyDescent="0.25">
      <c r="H10103">
        <v>123</v>
      </c>
      <c r="I10103">
        <v>658</v>
      </c>
      <c r="J10103">
        <v>108</v>
      </c>
      <c r="K10103" t="b">
        <v>1</v>
      </c>
    </row>
    <row r="10104" spans="8:11" x14ac:dyDescent="0.25">
      <c r="H10104">
        <v>123</v>
      </c>
      <c r="I10104">
        <v>665</v>
      </c>
      <c r="J10104">
        <v>108</v>
      </c>
      <c r="K10104" t="b">
        <v>1</v>
      </c>
    </row>
    <row r="10105" spans="8:11" x14ac:dyDescent="0.25">
      <c r="H10105">
        <v>123</v>
      </c>
      <c r="I10105">
        <v>672</v>
      </c>
      <c r="J10105">
        <v>108</v>
      </c>
      <c r="K10105" t="b">
        <v>1</v>
      </c>
    </row>
    <row r="10106" spans="8:11" x14ac:dyDescent="0.25">
      <c r="H10106">
        <v>123</v>
      </c>
      <c r="I10106">
        <v>679</v>
      </c>
      <c r="J10106">
        <v>108</v>
      </c>
      <c r="K10106" t="b">
        <v>1</v>
      </c>
    </row>
    <row r="10107" spans="8:11" x14ac:dyDescent="0.25">
      <c r="H10107">
        <v>123</v>
      </c>
      <c r="I10107">
        <v>686</v>
      </c>
      <c r="J10107">
        <v>108</v>
      </c>
      <c r="K10107" t="b">
        <v>1</v>
      </c>
    </row>
    <row r="10108" spans="8:11" x14ac:dyDescent="0.25">
      <c r="H10108">
        <v>123</v>
      </c>
      <c r="I10108">
        <v>693</v>
      </c>
      <c r="J10108">
        <v>108</v>
      </c>
      <c r="K10108" t="b">
        <v>1</v>
      </c>
    </row>
    <row r="10109" spans="8:11" x14ac:dyDescent="0.25">
      <c r="H10109">
        <v>123</v>
      </c>
      <c r="I10109">
        <v>700</v>
      </c>
      <c r="J10109">
        <v>108</v>
      </c>
      <c r="K10109" t="b">
        <v>1</v>
      </c>
    </row>
    <row r="10110" spans="8:11" x14ac:dyDescent="0.25">
      <c r="H10110">
        <v>123</v>
      </c>
      <c r="I10110">
        <v>707</v>
      </c>
      <c r="J10110">
        <v>108</v>
      </c>
      <c r="K10110" t="b">
        <v>1</v>
      </c>
    </row>
    <row r="10111" spans="8:11" x14ac:dyDescent="0.25">
      <c r="H10111">
        <v>123</v>
      </c>
      <c r="I10111">
        <v>714</v>
      </c>
      <c r="J10111">
        <v>108</v>
      </c>
      <c r="K10111" t="b">
        <v>1</v>
      </c>
    </row>
    <row r="10112" spans="8:11" x14ac:dyDescent="0.25">
      <c r="H10112">
        <v>123</v>
      </c>
      <c r="I10112">
        <v>721</v>
      </c>
      <c r="J10112">
        <v>108</v>
      </c>
      <c r="K10112" t="b">
        <v>1</v>
      </c>
    </row>
    <row r="10113" spans="8:11" x14ac:dyDescent="0.25">
      <c r="H10113">
        <v>123</v>
      </c>
      <c r="I10113">
        <v>728</v>
      </c>
      <c r="J10113">
        <v>108</v>
      </c>
      <c r="K10113" t="b">
        <v>1</v>
      </c>
    </row>
    <row r="10114" spans="8:11" x14ac:dyDescent="0.25">
      <c r="H10114">
        <v>123</v>
      </c>
      <c r="I10114">
        <v>735</v>
      </c>
      <c r="J10114">
        <v>108</v>
      </c>
      <c r="K10114" t="b">
        <v>1</v>
      </c>
    </row>
    <row r="10115" spans="8:11" x14ac:dyDescent="0.25">
      <c r="H10115">
        <v>123</v>
      </c>
      <c r="I10115">
        <v>742</v>
      </c>
      <c r="J10115">
        <v>108</v>
      </c>
      <c r="K10115" t="b">
        <v>1</v>
      </c>
    </row>
    <row r="10116" spans="8:11" x14ac:dyDescent="0.25">
      <c r="H10116">
        <v>123</v>
      </c>
      <c r="I10116">
        <v>749</v>
      </c>
      <c r="J10116">
        <v>108</v>
      </c>
      <c r="K10116" t="b">
        <v>1</v>
      </c>
    </row>
    <row r="10117" spans="8:11" x14ac:dyDescent="0.25">
      <c r="H10117">
        <v>123</v>
      </c>
      <c r="I10117">
        <v>756</v>
      </c>
      <c r="J10117">
        <v>108</v>
      </c>
      <c r="K10117" t="b">
        <v>1</v>
      </c>
    </row>
    <row r="10118" spans="8:11" x14ac:dyDescent="0.25">
      <c r="H10118">
        <v>123</v>
      </c>
      <c r="I10118">
        <v>763</v>
      </c>
      <c r="J10118">
        <v>108</v>
      </c>
      <c r="K10118" t="b">
        <v>1</v>
      </c>
    </row>
    <row r="10119" spans="8:11" x14ac:dyDescent="0.25">
      <c r="H10119">
        <v>123</v>
      </c>
      <c r="I10119">
        <v>770</v>
      </c>
      <c r="J10119">
        <v>108</v>
      </c>
      <c r="K10119" t="b">
        <v>1</v>
      </c>
    </row>
    <row r="10120" spans="8:11" x14ac:dyDescent="0.25">
      <c r="H10120">
        <v>123</v>
      </c>
      <c r="I10120">
        <v>777</v>
      </c>
      <c r="J10120">
        <v>108</v>
      </c>
      <c r="K10120" t="b">
        <v>1</v>
      </c>
    </row>
    <row r="10121" spans="8:11" x14ac:dyDescent="0.25">
      <c r="H10121">
        <v>123</v>
      </c>
      <c r="I10121">
        <v>784</v>
      </c>
      <c r="J10121">
        <v>108</v>
      </c>
      <c r="K10121" t="b">
        <v>1</v>
      </c>
    </row>
    <row r="10122" spans="8:11" x14ac:dyDescent="0.25">
      <c r="H10122">
        <v>123</v>
      </c>
      <c r="I10122">
        <v>791</v>
      </c>
      <c r="J10122">
        <v>108</v>
      </c>
      <c r="K10122" t="b">
        <v>1</v>
      </c>
    </row>
    <row r="10123" spans="8:11" x14ac:dyDescent="0.25">
      <c r="H10123">
        <v>123</v>
      </c>
      <c r="I10123">
        <v>798</v>
      </c>
      <c r="J10123">
        <v>108</v>
      </c>
      <c r="K10123" t="b">
        <v>1</v>
      </c>
    </row>
    <row r="10124" spans="8:11" x14ac:dyDescent="0.25">
      <c r="H10124">
        <v>123</v>
      </c>
      <c r="I10124">
        <v>805</v>
      </c>
      <c r="J10124">
        <v>108</v>
      </c>
      <c r="K10124" t="b">
        <v>1</v>
      </c>
    </row>
    <row r="10125" spans="8:11" x14ac:dyDescent="0.25">
      <c r="H10125">
        <v>123</v>
      </c>
      <c r="I10125">
        <v>812</v>
      </c>
      <c r="J10125">
        <v>108</v>
      </c>
      <c r="K10125" t="b">
        <v>1</v>
      </c>
    </row>
    <row r="10126" spans="8:11" x14ac:dyDescent="0.25">
      <c r="H10126">
        <v>123</v>
      </c>
      <c r="I10126">
        <v>819</v>
      </c>
      <c r="J10126">
        <v>108</v>
      </c>
      <c r="K10126" t="b">
        <v>1</v>
      </c>
    </row>
    <row r="10127" spans="8:11" x14ac:dyDescent="0.25">
      <c r="H10127">
        <v>123</v>
      </c>
      <c r="I10127">
        <v>826</v>
      </c>
      <c r="J10127">
        <v>108</v>
      </c>
      <c r="K10127" t="b">
        <v>1</v>
      </c>
    </row>
    <row r="10128" spans="8:11" x14ac:dyDescent="0.25">
      <c r="H10128">
        <v>123</v>
      </c>
      <c r="I10128">
        <v>833</v>
      </c>
      <c r="J10128">
        <v>108</v>
      </c>
      <c r="K10128" t="b">
        <v>1</v>
      </c>
    </row>
    <row r="10129" spans="8:11" x14ac:dyDescent="0.25">
      <c r="H10129">
        <v>123</v>
      </c>
      <c r="I10129">
        <v>840</v>
      </c>
      <c r="J10129">
        <v>108</v>
      </c>
      <c r="K10129" t="b">
        <v>1</v>
      </c>
    </row>
    <row r="10130" spans="8:11" x14ac:dyDescent="0.25">
      <c r="H10130">
        <v>123</v>
      </c>
      <c r="I10130">
        <v>847</v>
      </c>
      <c r="J10130">
        <v>108</v>
      </c>
      <c r="K10130" t="b">
        <v>1</v>
      </c>
    </row>
    <row r="10131" spans="8:11" x14ac:dyDescent="0.25">
      <c r="H10131">
        <v>123</v>
      </c>
      <c r="I10131">
        <v>854</v>
      </c>
      <c r="J10131">
        <v>108</v>
      </c>
      <c r="K10131" t="b">
        <v>1</v>
      </c>
    </row>
    <row r="10132" spans="8:11" x14ac:dyDescent="0.25">
      <c r="H10132">
        <v>123</v>
      </c>
      <c r="I10132">
        <v>861</v>
      </c>
      <c r="J10132">
        <v>108</v>
      </c>
      <c r="K10132" t="b">
        <v>1</v>
      </c>
    </row>
    <row r="10133" spans="8:11" x14ac:dyDescent="0.25">
      <c r="H10133">
        <v>123</v>
      </c>
      <c r="I10133">
        <v>868</v>
      </c>
      <c r="J10133">
        <v>108</v>
      </c>
      <c r="K10133" t="b">
        <v>1</v>
      </c>
    </row>
    <row r="10134" spans="8:11" x14ac:dyDescent="0.25">
      <c r="H10134">
        <v>123</v>
      </c>
      <c r="I10134">
        <v>875</v>
      </c>
      <c r="J10134">
        <v>108</v>
      </c>
      <c r="K10134" t="b">
        <v>1</v>
      </c>
    </row>
    <row r="10135" spans="8:11" x14ac:dyDescent="0.25">
      <c r="H10135">
        <v>123</v>
      </c>
      <c r="I10135">
        <v>882</v>
      </c>
      <c r="J10135">
        <v>108</v>
      </c>
      <c r="K10135" t="b">
        <v>1</v>
      </c>
    </row>
    <row r="10136" spans="8:11" x14ac:dyDescent="0.25">
      <c r="H10136">
        <v>123</v>
      </c>
      <c r="I10136">
        <v>889</v>
      </c>
      <c r="J10136">
        <v>108</v>
      </c>
      <c r="K10136" t="b">
        <v>1</v>
      </c>
    </row>
    <row r="10137" spans="8:11" x14ac:dyDescent="0.25">
      <c r="H10137">
        <v>123</v>
      </c>
      <c r="I10137">
        <v>896</v>
      </c>
      <c r="J10137">
        <v>108</v>
      </c>
      <c r="K10137" t="b">
        <v>1</v>
      </c>
    </row>
    <row r="10138" spans="8:11" x14ac:dyDescent="0.25">
      <c r="H10138">
        <v>123</v>
      </c>
      <c r="I10138">
        <v>903</v>
      </c>
      <c r="J10138">
        <v>108</v>
      </c>
      <c r="K10138" t="b">
        <v>1</v>
      </c>
    </row>
    <row r="10139" spans="8:11" x14ac:dyDescent="0.25">
      <c r="H10139">
        <v>123</v>
      </c>
      <c r="I10139">
        <v>910</v>
      </c>
      <c r="J10139">
        <v>108</v>
      </c>
      <c r="K10139" t="b">
        <v>1</v>
      </c>
    </row>
    <row r="10140" spans="8:11" x14ac:dyDescent="0.25">
      <c r="H10140">
        <v>123</v>
      </c>
      <c r="I10140">
        <v>917</v>
      </c>
      <c r="J10140">
        <v>108</v>
      </c>
      <c r="K10140" t="b">
        <v>1</v>
      </c>
    </row>
    <row r="10141" spans="8:11" x14ac:dyDescent="0.25">
      <c r="H10141">
        <v>123</v>
      </c>
      <c r="I10141">
        <v>924</v>
      </c>
      <c r="J10141">
        <v>108</v>
      </c>
      <c r="K10141" t="b">
        <v>1</v>
      </c>
    </row>
    <row r="10142" spans="8:11" x14ac:dyDescent="0.25">
      <c r="H10142">
        <v>123</v>
      </c>
      <c r="I10142">
        <v>931</v>
      </c>
      <c r="J10142">
        <v>108</v>
      </c>
      <c r="K10142" t="b">
        <v>1</v>
      </c>
    </row>
    <row r="10143" spans="8:11" x14ac:dyDescent="0.25">
      <c r="H10143">
        <v>123</v>
      </c>
      <c r="I10143">
        <v>938</v>
      </c>
      <c r="J10143">
        <v>108</v>
      </c>
      <c r="K10143" t="b">
        <v>1</v>
      </c>
    </row>
    <row r="10144" spans="8:11" x14ac:dyDescent="0.25">
      <c r="H10144">
        <v>123</v>
      </c>
      <c r="I10144">
        <v>945</v>
      </c>
      <c r="J10144">
        <v>108</v>
      </c>
      <c r="K10144" t="b">
        <v>1</v>
      </c>
    </row>
    <row r="10145" spans="8:11" x14ac:dyDescent="0.25">
      <c r="H10145">
        <v>123</v>
      </c>
      <c r="I10145">
        <v>952</v>
      </c>
      <c r="J10145">
        <v>108</v>
      </c>
      <c r="K10145" t="b">
        <v>1</v>
      </c>
    </row>
    <row r="10146" spans="8:11" x14ac:dyDescent="0.25">
      <c r="H10146">
        <v>124</v>
      </c>
      <c r="I10146">
        <v>0</v>
      </c>
      <c r="J10146">
        <v>108</v>
      </c>
      <c r="K10146" t="b">
        <v>1</v>
      </c>
    </row>
    <row r="10147" spans="8:11" x14ac:dyDescent="0.25">
      <c r="H10147">
        <v>124</v>
      </c>
      <c r="I10147">
        <v>7</v>
      </c>
      <c r="J10147">
        <v>108</v>
      </c>
      <c r="K10147" t="b">
        <v>1</v>
      </c>
    </row>
    <row r="10148" spans="8:11" x14ac:dyDescent="0.25">
      <c r="H10148">
        <v>124</v>
      </c>
      <c r="I10148">
        <v>14</v>
      </c>
      <c r="J10148">
        <v>108</v>
      </c>
      <c r="K10148" t="b">
        <v>1</v>
      </c>
    </row>
    <row r="10149" spans="8:11" x14ac:dyDescent="0.25">
      <c r="H10149">
        <v>124</v>
      </c>
      <c r="I10149">
        <v>21</v>
      </c>
      <c r="J10149">
        <v>108</v>
      </c>
      <c r="K10149" t="b">
        <v>1</v>
      </c>
    </row>
    <row r="10150" spans="8:11" x14ac:dyDescent="0.25">
      <c r="H10150">
        <v>124</v>
      </c>
      <c r="I10150">
        <v>28</v>
      </c>
      <c r="J10150">
        <v>108</v>
      </c>
      <c r="K10150" t="b">
        <v>1</v>
      </c>
    </row>
    <row r="10151" spans="8:11" x14ac:dyDescent="0.25">
      <c r="H10151">
        <v>124</v>
      </c>
      <c r="I10151">
        <v>35</v>
      </c>
      <c r="J10151">
        <v>108</v>
      </c>
      <c r="K10151" t="b">
        <v>1</v>
      </c>
    </row>
    <row r="10152" spans="8:11" x14ac:dyDescent="0.25">
      <c r="H10152">
        <v>124</v>
      </c>
      <c r="I10152">
        <v>42</v>
      </c>
      <c r="J10152">
        <v>108</v>
      </c>
      <c r="K10152" t="b">
        <v>1</v>
      </c>
    </row>
    <row r="10153" spans="8:11" x14ac:dyDescent="0.25">
      <c r="H10153">
        <v>124</v>
      </c>
      <c r="I10153">
        <v>49</v>
      </c>
      <c r="J10153">
        <v>108</v>
      </c>
      <c r="K10153" t="b">
        <v>1</v>
      </c>
    </row>
    <row r="10154" spans="8:11" x14ac:dyDescent="0.25">
      <c r="H10154">
        <v>124</v>
      </c>
      <c r="I10154">
        <v>56</v>
      </c>
      <c r="J10154">
        <v>108</v>
      </c>
      <c r="K10154" t="b">
        <v>1</v>
      </c>
    </row>
    <row r="10155" spans="8:11" x14ac:dyDescent="0.25">
      <c r="H10155">
        <v>124</v>
      </c>
      <c r="I10155">
        <v>63</v>
      </c>
      <c r="J10155">
        <v>108</v>
      </c>
      <c r="K10155" t="b">
        <v>1</v>
      </c>
    </row>
    <row r="10156" spans="8:11" x14ac:dyDescent="0.25">
      <c r="H10156">
        <v>124</v>
      </c>
      <c r="I10156">
        <v>70</v>
      </c>
      <c r="J10156">
        <v>108</v>
      </c>
      <c r="K10156" t="b">
        <v>1</v>
      </c>
    </row>
    <row r="10157" spans="8:11" x14ac:dyDescent="0.25">
      <c r="H10157">
        <v>124</v>
      </c>
      <c r="I10157">
        <v>77</v>
      </c>
      <c r="J10157">
        <v>108</v>
      </c>
      <c r="K10157" t="b">
        <v>1</v>
      </c>
    </row>
    <row r="10158" spans="8:11" x14ac:dyDescent="0.25">
      <c r="H10158">
        <v>124</v>
      </c>
      <c r="I10158">
        <v>84</v>
      </c>
      <c r="J10158">
        <v>108</v>
      </c>
      <c r="K10158" t="b">
        <v>1</v>
      </c>
    </row>
    <row r="10159" spans="8:11" x14ac:dyDescent="0.25">
      <c r="H10159">
        <v>124</v>
      </c>
      <c r="I10159">
        <v>91</v>
      </c>
      <c r="J10159">
        <v>108</v>
      </c>
      <c r="K10159" t="b">
        <v>1</v>
      </c>
    </row>
    <row r="10160" spans="8:11" x14ac:dyDescent="0.25">
      <c r="H10160">
        <v>124</v>
      </c>
      <c r="I10160">
        <v>98</v>
      </c>
      <c r="J10160">
        <v>108</v>
      </c>
      <c r="K10160" t="b">
        <v>1</v>
      </c>
    </row>
    <row r="10161" spans="8:11" x14ac:dyDescent="0.25">
      <c r="H10161">
        <v>124</v>
      </c>
      <c r="I10161">
        <v>105</v>
      </c>
      <c r="J10161">
        <v>108</v>
      </c>
      <c r="K10161" t="b">
        <v>1</v>
      </c>
    </row>
    <row r="10162" spans="8:11" x14ac:dyDescent="0.25">
      <c r="H10162">
        <v>124</v>
      </c>
      <c r="I10162">
        <v>112</v>
      </c>
      <c r="J10162">
        <v>108</v>
      </c>
      <c r="K10162" t="b">
        <v>1</v>
      </c>
    </row>
    <row r="10163" spans="8:11" x14ac:dyDescent="0.25">
      <c r="H10163">
        <v>124</v>
      </c>
      <c r="I10163">
        <v>119</v>
      </c>
      <c r="J10163">
        <v>108</v>
      </c>
      <c r="K10163" t="b">
        <v>1</v>
      </c>
    </row>
    <row r="10164" spans="8:11" x14ac:dyDescent="0.25">
      <c r="H10164">
        <v>124</v>
      </c>
      <c r="I10164">
        <v>126</v>
      </c>
      <c r="J10164">
        <v>108</v>
      </c>
      <c r="K10164" t="b">
        <v>1</v>
      </c>
    </row>
    <row r="10165" spans="8:11" x14ac:dyDescent="0.25">
      <c r="H10165">
        <v>124</v>
      </c>
      <c r="I10165">
        <v>133</v>
      </c>
      <c r="J10165">
        <v>108</v>
      </c>
      <c r="K10165" t="b">
        <v>1</v>
      </c>
    </row>
    <row r="10166" spans="8:11" x14ac:dyDescent="0.25">
      <c r="H10166">
        <v>124</v>
      </c>
      <c r="I10166">
        <v>140</v>
      </c>
      <c r="J10166">
        <v>108</v>
      </c>
      <c r="K10166" t="b">
        <v>1</v>
      </c>
    </row>
    <row r="10167" spans="8:11" x14ac:dyDescent="0.25">
      <c r="H10167">
        <v>124</v>
      </c>
      <c r="I10167">
        <v>147</v>
      </c>
      <c r="J10167">
        <v>108</v>
      </c>
      <c r="K10167" t="b">
        <v>1</v>
      </c>
    </row>
    <row r="10168" spans="8:11" x14ac:dyDescent="0.25">
      <c r="H10168">
        <v>124</v>
      </c>
      <c r="I10168">
        <v>154</v>
      </c>
      <c r="J10168">
        <v>108</v>
      </c>
      <c r="K10168" t="b">
        <v>1</v>
      </c>
    </row>
    <row r="10169" spans="8:11" x14ac:dyDescent="0.25">
      <c r="H10169">
        <v>124</v>
      </c>
      <c r="I10169">
        <v>161</v>
      </c>
      <c r="J10169">
        <v>108</v>
      </c>
      <c r="K10169" t="b">
        <v>1</v>
      </c>
    </row>
    <row r="10170" spans="8:11" x14ac:dyDescent="0.25">
      <c r="H10170">
        <v>124</v>
      </c>
      <c r="I10170">
        <v>168</v>
      </c>
      <c r="J10170">
        <v>108</v>
      </c>
      <c r="K10170" t="b">
        <v>1</v>
      </c>
    </row>
    <row r="10171" spans="8:11" x14ac:dyDescent="0.25">
      <c r="H10171">
        <v>124</v>
      </c>
      <c r="I10171">
        <v>175</v>
      </c>
      <c r="J10171">
        <v>108</v>
      </c>
      <c r="K10171" t="b">
        <v>1</v>
      </c>
    </row>
    <row r="10172" spans="8:11" x14ac:dyDescent="0.25">
      <c r="H10172">
        <v>124</v>
      </c>
      <c r="I10172">
        <v>182</v>
      </c>
      <c r="J10172">
        <v>108</v>
      </c>
      <c r="K10172" t="b">
        <v>1</v>
      </c>
    </row>
    <row r="10173" spans="8:11" x14ac:dyDescent="0.25">
      <c r="H10173">
        <v>124</v>
      </c>
      <c r="I10173">
        <v>189</v>
      </c>
      <c r="J10173">
        <v>108</v>
      </c>
      <c r="K10173" t="b">
        <v>1</v>
      </c>
    </row>
    <row r="10174" spans="8:11" x14ac:dyDescent="0.25">
      <c r="H10174">
        <v>124</v>
      </c>
      <c r="I10174">
        <v>196</v>
      </c>
      <c r="J10174">
        <v>108</v>
      </c>
      <c r="K10174" t="b">
        <v>1</v>
      </c>
    </row>
    <row r="10175" spans="8:11" x14ac:dyDescent="0.25">
      <c r="H10175">
        <v>124</v>
      </c>
      <c r="I10175">
        <v>203</v>
      </c>
      <c r="J10175">
        <v>108</v>
      </c>
      <c r="K10175" t="b">
        <v>1</v>
      </c>
    </row>
    <row r="10176" spans="8:11" x14ac:dyDescent="0.25">
      <c r="H10176">
        <v>124</v>
      </c>
      <c r="I10176">
        <v>210</v>
      </c>
      <c r="J10176">
        <v>108</v>
      </c>
      <c r="K10176" t="b">
        <v>1</v>
      </c>
    </row>
    <row r="10177" spans="8:11" x14ac:dyDescent="0.25">
      <c r="H10177">
        <v>124</v>
      </c>
      <c r="I10177">
        <v>217</v>
      </c>
      <c r="J10177">
        <v>108</v>
      </c>
      <c r="K10177" t="b">
        <v>1</v>
      </c>
    </row>
    <row r="10178" spans="8:11" x14ac:dyDescent="0.25">
      <c r="H10178">
        <v>124</v>
      </c>
      <c r="I10178">
        <v>224</v>
      </c>
      <c r="J10178">
        <v>108</v>
      </c>
      <c r="K10178" t="b">
        <v>1</v>
      </c>
    </row>
    <row r="10179" spans="8:11" x14ac:dyDescent="0.25">
      <c r="H10179">
        <v>124</v>
      </c>
      <c r="I10179">
        <v>231</v>
      </c>
      <c r="J10179">
        <v>108</v>
      </c>
      <c r="K10179" t="b">
        <v>1</v>
      </c>
    </row>
    <row r="10180" spans="8:11" x14ac:dyDescent="0.25">
      <c r="H10180">
        <v>124</v>
      </c>
      <c r="I10180">
        <v>238</v>
      </c>
      <c r="J10180">
        <v>108</v>
      </c>
      <c r="K10180" t="b">
        <v>1</v>
      </c>
    </row>
    <row r="10181" spans="8:11" x14ac:dyDescent="0.25">
      <c r="H10181">
        <v>124</v>
      </c>
      <c r="I10181">
        <v>245</v>
      </c>
      <c r="J10181">
        <v>108</v>
      </c>
      <c r="K10181" t="b">
        <v>1</v>
      </c>
    </row>
    <row r="10182" spans="8:11" x14ac:dyDescent="0.25">
      <c r="H10182">
        <v>124</v>
      </c>
      <c r="I10182">
        <v>252</v>
      </c>
      <c r="J10182">
        <v>108</v>
      </c>
      <c r="K10182" t="b">
        <v>1</v>
      </c>
    </row>
    <row r="10183" spans="8:11" x14ac:dyDescent="0.25">
      <c r="H10183">
        <v>124</v>
      </c>
      <c r="I10183">
        <v>259</v>
      </c>
      <c r="J10183">
        <v>108</v>
      </c>
      <c r="K10183" t="b">
        <v>1</v>
      </c>
    </row>
    <row r="10184" spans="8:11" x14ac:dyDescent="0.25">
      <c r="H10184">
        <v>124</v>
      </c>
      <c r="I10184">
        <v>266</v>
      </c>
      <c r="J10184">
        <v>108</v>
      </c>
      <c r="K10184" t="b">
        <v>1</v>
      </c>
    </row>
    <row r="10185" spans="8:11" x14ac:dyDescent="0.25">
      <c r="H10185">
        <v>124</v>
      </c>
      <c r="I10185">
        <v>273</v>
      </c>
      <c r="J10185">
        <v>108</v>
      </c>
      <c r="K10185" t="b">
        <v>1</v>
      </c>
    </row>
    <row r="10186" spans="8:11" x14ac:dyDescent="0.25">
      <c r="H10186">
        <v>124</v>
      </c>
      <c r="I10186">
        <v>280</v>
      </c>
      <c r="J10186">
        <v>108</v>
      </c>
      <c r="K10186" t="b">
        <v>1</v>
      </c>
    </row>
    <row r="10187" spans="8:11" x14ac:dyDescent="0.25">
      <c r="H10187">
        <v>124</v>
      </c>
      <c r="I10187">
        <v>287</v>
      </c>
      <c r="J10187">
        <v>108</v>
      </c>
      <c r="K10187" t="b">
        <v>1</v>
      </c>
    </row>
    <row r="10188" spans="8:11" x14ac:dyDescent="0.25">
      <c r="H10188">
        <v>124</v>
      </c>
      <c r="I10188">
        <v>294</v>
      </c>
      <c r="J10188">
        <v>108</v>
      </c>
      <c r="K10188" t="b">
        <v>1</v>
      </c>
    </row>
    <row r="10189" spans="8:11" x14ac:dyDescent="0.25">
      <c r="H10189">
        <v>124</v>
      </c>
      <c r="I10189">
        <v>301</v>
      </c>
      <c r="J10189">
        <v>108</v>
      </c>
      <c r="K10189" t="b">
        <v>1</v>
      </c>
    </row>
    <row r="10190" spans="8:11" x14ac:dyDescent="0.25">
      <c r="H10190">
        <v>124</v>
      </c>
      <c r="I10190">
        <v>308</v>
      </c>
      <c r="J10190">
        <v>108</v>
      </c>
      <c r="K10190" t="b">
        <v>1</v>
      </c>
    </row>
    <row r="10191" spans="8:11" x14ac:dyDescent="0.25">
      <c r="H10191">
        <v>124</v>
      </c>
      <c r="I10191">
        <v>315</v>
      </c>
      <c r="J10191">
        <v>108</v>
      </c>
      <c r="K10191" t="b">
        <v>1</v>
      </c>
    </row>
    <row r="10192" spans="8:11" x14ac:dyDescent="0.25">
      <c r="H10192">
        <v>124</v>
      </c>
      <c r="I10192">
        <v>322</v>
      </c>
      <c r="J10192">
        <v>108</v>
      </c>
      <c r="K10192" t="b">
        <v>1</v>
      </c>
    </row>
    <row r="10193" spans="8:11" x14ac:dyDescent="0.25">
      <c r="H10193">
        <v>124</v>
      </c>
      <c r="I10193">
        <v>329</v>
      </c>
      <c r="J10193">
        <v>108</v>
      </c>
      <c r="K10193" t="b">
        <v>1</v>
      </c>
    </row>
    <row r="10194" spans="8:11" x14ac:dyDescent="0.25">
      <c r="H10194">
        <v>124</v>
      </c>
      <c r="I10194">
        <v>336</v>
      </c>
      <c r="J10194">
        <v>108</v>
      </c>
      <c r="K10194" t="b">
        <v>1</v>
      </c>
    </row>
    <row r="10195" spans="8:11" x14ac:dyDescent="0.25">
      <c r="H10195">
        <v>124</v>
      </c>
      <c r="I10195">
        <v>343</v>
      </c>
      <c r="J10195">
        <v>108</v>
      </c>
      <c r="K10195" t="b">
        <v>1</v>
      </c>
    </row>
    <row r="10196" spans="8:11" x14ac:dyDescent="0.25">
      <c r="H10196">
        <v>124</v>
      </c>
      <c r="I10196">
        <v>350</v>
      </c>
      <c r="J10196">
        <v>108</v>
      </c>
      <c r="K10196" t="b">
        <v>1</v>
      </c>
    </row>
    <row r="10197" spans="8:11" x14ac:dyDescent="0.25">
      <c r="H10197">
        <v>124</v>
      </c>
      <c r="I10197">
        <v>357</v>
      </c>
      <c r="J10197">
        <v>108</v>
      </c>
      <c r="K10197" t="b">
        <v>1</v>
      </c>
    </row>
    <row r="10198" spans="8:11" x14ac:dyDescent="0.25">
      <c r="H10198">
        <v>124</v>
      </c>
      <c r="I10198">
        <v>364</v>
      </c>
      <c r="J10198">
        <v>108</v>
      </c>
      <c r="K10198" t="b">
        <v>1</v>
      </c>
    </row>
    <row r="10199" spans="8:11" x14ac:dyDescent="0.25">
      <c r="H10199">
        <v>124</v>
      </c>
      <c r="I10199">
        <v>371</v>
      </c>
      <c r="J10199">
        <v>108</v>
      </c>
      <c r="K10199" t="b">
        <v>1</v>
      </c>
    </row>
    <row r="10200" spans="8:11" x14ac:dyDescent="0.25">
      <c r="H10200">
        <v>124</v>
      </c>
      <c r="I10200">
        <v>378</v>
      </c>
      <c r="J10200">
        <v>108</v>
      </c>
      <c r="K10200" t="b">
        <v>1</v>
      </c>
    </row>
    <row r="10201" spans="8:11" x14ac:dyDescent="0.25">
      <c r="H10201">
        <v>124</v>
      </c>
      <c r="I10201">
        <v>385</v>
      </c>
      <c r="J10201">
        <v>108</v>
      </c>
      <c r="K10201" t="b">
        <v>1</v>
      </c>
    </row>
    <row r="10202" spans="8:11" x14ac:dyDescent="0.25">
      <c r="H10202">
        <v>124</v>
      </c>
      <c r="I10202">
        <v>392</v>
      </c>
      <c r="J10202">
        <v>108</v>
      </c>
      <c r="K10202" t="b">
        <v>1</v>
      </c>
    </row>
    <row r="10203" spans="8:11" x14ac:dyDescent="0.25">
      <c r="H10203">
        <v>124</v>
      </c>
      <c r="I10203">
        <v>399</v>
      </c>
      <c r="J10203">
        <v>108</v>
      </c>
      <c r="K10203" t="b">
        <v>1</v>
      </c>
    </row>
    <row r="10204" spans="8:11" x14ac:dyDescent="0.25">
      <c r="H10204">
        <v>124</v>
      </c>
      <c r="I10204">
        <v>406</v>
      </c>
      <c r="J10204">
        <v>108</v>
      </c>
      <c r="K10204" t="b">
        <v>1</v>
      </c>
    </row>
    <row r="10205" spans="8:11" x14ac:dyDescent="0.25">
      <c r="H10205">
        <v>124</v>
      </c>
      <c r="I10205">
        <v>413</v>
      </c>
      <c r="J10205">
        <v>108</v>
      </c>
      <c r="K10205" t="b">
        <v>1</v>
      </c>
    </row>
    <row r="10206" spans="8:11" x14ac:dyDescent="0.25">
      <c r="H10206">
        <v>124</v>
      </c>
      <c r="I10206">
        <v>420</v>
      </c>
      <c r="J10206">
        <v>108</v>
      </c>
      <c r="K10206" t="b">
        <v>1</v>
      </c>
    </row>
    <row r="10207" spans="8:11" x14ac:dyDescent="0.25">
      <c r="H10207">
        <v>124</v>
      </c>
      <c r="I10207">
        <v>427</v>
      </c>
      <c r="J10207">
        <v>108</v>
      </c>
      <c r="K10207" t="b">
        <v>1</v>
      </c>
    </row>
    <row r="10208" spans="8:11" x14ac:dyDescent="0.25">
      <c r="H10208">
        <v>124</v>
      </c>
      <c r="I10208">
        <v>434</v>
      </c>
      <c r="J10208">
        <v>108</v>
      </c>
      <c r="K10208" t="b">
        <v>1</v>
      </c>
    </row>
    <row r="10209" spans="8:11" x14ac:dyDescent="0.25">
      <c r="H10209">
        <v>124</v>
      </c>
      <c r="I10209">
        <v>441</v>
      </c>
      <c r="J10209">
        <v>108</v>
      </c>
      <c r="K10209" t="b">
        <v>1</v>
      </c>
    </row>
    <row r="10210" spans="8:11" x14ac:dyDescent="0.25">
      <c r="H10210">
        <v>124</v>
      </c>
      <c r="I10210">
        <v>448</v>
      </c>
      <c r="J10210">
        <v>108</v>
      </c>
      <c r="K10210" t="b">
        <v>1</v>
      </c>
    </row>
    <row r="10211" spans="8:11" x14ac:dyDescent="0.25">
      <c r="H10211">
        <v>124</v>
      </c>
      <c r="I10211">
        <v>455</v>
      </c>
      <c r="J10211">
        <v>108</v>
      </c>
      <c r="K10211" t="b">
        <v>1</v>
      </c>
    </row>
    <row r="10212" spans="8:11" x14ac:dyDescent="0.25">
      <c r="H10212">
        <v>124</v>
      </c>
      <c r="I10212">
        <v>462</v>
      </c>
      <c r="J10212">
        <v>108</v>
      </c>
      <c r="K10212" t="b">
        <v>1</v>
      </c>
    </row>
    <row r="10213" spans="8:11" x14ac:dyDescent="0.25">
      <c r="H10213">
        <v>124</v>
      </c>
      <c r="I10213">
        <v>469</v>
      </c>
      <c r="J10213">
        <v>108</v>
      </c>
      <c r="K10213" t="b">
        <v>1</v>
      </c>
    </row>
    <row r="10214" spans="8:11" x14ac:dyDescent="0.25">
      <c r="H10214">
        <v>124</v>
      </c>
      <c r="I10214">
        <v>476</v>
      </c>
      <c r="J10214">
        <v>108</v>
      </c>
      <c r="K10214" t="b">
        <v>1</v>
      </c>
    </row>
    <row r="10215" spans="8:11" x14ac:dyDescent="0.25">
      <c r="H10215">
        <v>124</v>
      </c>
      <c r="I10215">
        <v>483</v>
      </c>
      <c r="J10215">
        <v>108</v>
      </c>
      <c r="K10215" t="b">
        <v>1</v>
      </c>
    </row>
    <row r="10216" spans="8:11" x14ac:dyDescent="0.25">
      <c r="H10216">
        <v>124</v>
      </c>
      <c r="I10216">
        <v>490</v>
      </c>
      <c r="J10216">
        <v>108</v>
      </c>
      <c r="K10216" t="b">
        <v>1</v>
      </c>
    </row>
    <row r="10217" spans="8:11" x14ac:dyDescent="0.25">
      <c r="H10217">
        <v>124</v>
      </c>
      <c r="I10217">
        <v>497</v>
      </c>
      <c r="J10217">
        <v>108</v>
      </c>
      <c r="K10217" t="b">
        <v>1</v>
      </c>
    </row>
    <row r="10218" spans="8:11" x14ac:dyDescent="0.25">
      <c r="H10218">
        <v>124</v>
      </c>
      <c r="I10218">
        <v>504</v>
      </c>
      <c r="J10218">
        <v>108</v>
      </c>
      <c r="K10218" t="b">
        <v>1</v>
      </c>
    </row>
    <row r="10219" spans="8:11" x14ac:dyDescent="0.25">
      <c r="H10219">
        <v>124</v>
      </c>
      <c r="I10219">
        <v>511</v>
      </c>
      <c r="J10219">
        <v>108</v>
      </c>
      <c r="K10219" t="b">
        <v>1</v>
      </c>
    </row>
    <row r="10220" spans="8:11" x14ac:dyDescent="0.25">
      <c r="H10220">
        <v>124</v>
      </c>
      <c r="I10220">
        <v>518</v>
      </c>
      <c r="J10220">
        <v>108</v>
      </c>
      <c r="K10220" t="b">
        <v>1</v>
      </c>
    </row>
    <row r="10221" spans="8:11" x14ac:dyDescent="0.25">
      <c r="H10221">
        <v>124</v>
      </c>
      <c r="I10221">
        <v>525</v>
      </c>
      <c r="J10221">
        <v>108</v>
      </c>
      <c r="K10221" t="b">
        <v>1</v>
      </c>
    </row>
    <row r="10222" spans="8:11" x14ac:dyDescent="0.25">
      <c r="H10222">
        <v>124</v>
      </c>
      <c r="I10222">
        <v>532</v>
      </c>
      <c r="J10222">
        <v>108</v>
      </c>
      <c r="K10222" t="b">
        <v>1</v>
      </c>
    </row>
    <row r="10223" spans="8:11" x14ac:dyDescent="0.25">
      <c r="H10223">
        <v>124</v>
      </c>
      <c r="I10223">
        <v>539</v>
      </c>
      <c r="J10223">
        <v>108</v>
      </c>
      <c r="K10223" t="b">
        <v>1</v>
      </c>
    </row>
    <row r="10224" spans="8:11" x14ac:dyDescent="0.25">
      <c r="H10224">
        <v>124</v>
      </c>
      <c r="I10224">
        <v>546</v>
      </c>
      <c r="J10224">
        <v>108</v>
      </c>
      <c r="K10224" t="b">
        <v>1</v>
      </c>
    </row>
    <row r="10225" spans="8:11" x14ac:dyDescent="0.25">
      <c r="H10225">
        <v>124</v>
      </c>
      <c r="I10225">
        <v>553</v>
      </c>
      <c r="J10225">
        <v>108</v>
      </c>
      <c r="K10225" t="b">
        <v>1</v>
      </c>
    </row>
    <row r="10226" spans="8:11" x14ac:dyDescent="0.25">
      <c r="H10226">
        <v>124</v>
      </c>
      <c r="I10226">
        <v>560</v>
      </c>
      <c r="J10226">
        <v>108</v>
      </c>
      <c r="K10226" t="b">
        <v>1</v>
      </c>
    </row>
    <row r="10227" spans="8:11" x14ac:dyDescent="0.25">
      <c r="H10227">
        <v>124</v>
      </c>
      <c r="I10227">
        <v>567</v>
      </c>
      <c r="J10227">
        <v>108</v>
      </c>
      <c r="K10227" t="b">
        <v>1</v>
      </c>
    </row>
    <row r="10228" spans="8:11" x14ac:dyDescent="0.25">
      <c r="H10228">
        <v>124</v>
      </c>
      <c r="I10228">
        <v>574</v>
      </c>
      <c r="J10228">
        <v>108</v>
      </c>
      <c r="K10228" t="b">
        <v>1</v>
      </c>
    </row>
    <row r="10229" spans="8:11" x14ac:dyDescent="0.25">
      <c r="H10229">
        <v>124</v>
      </c>
      <c r="I10229">
        <v>581</v>
      </c>
      <c r="J10229">
        <v>108</v>
      </c>
      <c r="K10229" t="b">
        <v>1</v>
      </c>
    </row>
    <row r="10230" spans="8:11" x14ac:dyDescent="0.25">
      <c r="H10230">
        <v>124</v>
      </c>
      <c r="I10230">
        <v>588</v>
      </c>
      <c r="J10230">
        <v>108</v>
      </c>
      <c r="K10230" t="b">
        <v>1</v>
      </c>
    </row>
    <row r="10231" spans="8:11" x14ac:dyDescent="0.25">
      <c r="H10231">
        <v>124</v>
      </c>
      <c r="I10231">
        <v>595</v>
      </c>
      <c r="J10231">
        <v>108</v>
      </c>
      <c r="K10231" t="b">
        <v>1</v>
      </c>
    </row>
    <row r="10232" spans="8:11" x14ac:dyDescent="0.25">
      <c r="H10232">
        <v>124</v>
      </c>
      <c r="I10232">
        <v>602</v>
      </c>
      <c r="J10232">
        <v>108</v>
      </c>
      <c r="K10232" t="b">
        <v>1</v>
      </c>
    </row>
    <row r="10233" spans="8:11" x14ac:dyDescent="0.25">
      <c r="H10233">
        <v>124</v>
      </c>
      <c r="I10233">
        <v>609</v>
      </c>
      <c r="J10233">
        <v>108</v>
      </c>
      <c r="K10233" t="b">
        <v>1</v>
      </c>
    </row>
    <row r="10234" spans="8:11" x14ac:dyDescent="0.25">
      <c r="H10234">
        <v>124</v>
      </c>
      <c r="I10234">
        <v>616</v>
      </c>
      <c r="J10234">
        <v>108</v>
      </c>
      <c r="K10234" t="b">
        <v>1</v>
      </c>
    </row>
    <row r="10235" spans="8:11" x14ac:dyDescent="0.25">
      <c r="H10235">
        <v>124</v>
      </c>
      <c r="I10235">
        <v>623</v>
      </c>
      <c r="J10235">
        <v>108</v>
      </c>
      <c r="K10235" t="b">
        <v>1</v>
      </c>
    </row>
    <row r="10236" spans="8:11" x14ac:dyDescent="0.25">
      <c r="H10236">
        <v>124</v>
      </c>
      <c r="I10236">
        <v>630</v>
      </c>
      <c r="J10236">
        <v>108</v>
      </c>
      <c r="K10236" t="b">
        <v>1</v>
      </c>
    </row>
    <row r="10237" spans="8:11" x14ac:dyDescent="0.25">
      <c r="H10237">
        <v>124</v>
      </c>
      <c r="I10237">
        <v>637</v>
      </c>
      <c r="J10237">
        <v>108</v>
      </c>
      <c r="K10237" t="b">
        <v>1</v>
      </c>
    </row>
    <row r="10238" spans="8:11" x14ac:dyDescent="0.25">
      <c r="H10238">
        <v>124</v>
      </c>
      <c r="I10238">
        <v>644</v>
      </c>
      <c r="J10238">
        <v>108</v>
      </c>
      <c r="K10238" t="b">
        <v>1</v>
      </c>
    </row>
    <row r="10239" spans="8:11" x14ac:dyDescent="0.25">
      <c r="H10239">
        <v>124</v>
      </c>
      <c r="I10239">
        <v>651</v>
      </c>
      <c r="J10239">
        <v>108</v>
      </c>
      <c r="K10239" t="b">
        <v>1</v>
      </c>
    </row>
    <row r="10240" spans="8:11" x14ac:dyDescent="0.25">
      <c r="H10240">
        <v>124</v>
      </c>
      <c r="I10240">
        <v>658</v>
      </c>
      <c r="J10240">
        <v>108</v>
      </c>
      <c r="K10240" t="b">
        <v>1</v>
      </c>
    </row>
    <row r="10241" spans="8:11" x14ac:dyDescent="0.25">
      <c r="H10241">
        <v>124</v>
      </c>
      <c r="I10241">
        <v>665</v>
      </c>
      <c r="J10241">
        <v>108</v>
      </c>
      <c r="K10241" t="b">
        <v>1</v>
      </c>
    </row>
    <row r="10242" spans="8:11" x14ac:dyDescent="0.25">
      <c r="H10242">
        <v>124</v>
      </c>
      <c r="I10242">
        <v>672</v>
      </c>
      <c r="J10242">
        <v>108</v>
      </c>
      <c r="K10242" t="b">
        <v>1</v>
      </c>
    </row>
    <row r="10243" spans="8:11" x14ac:dyDescent="0.25">
      <c r="H10243">
        <v>124</v>
      </c>
      <c r="I10243">
        <v>679</v>
      </c>
      <c r="J10243">
        <v>108</v>
      </c>
      <c r="K10243" t="b">
        <v>1</v>
      </c>
    </row>
    <row r="10244" spans="8:11" x14ac:dyDescent="0.25">
      <c r="H10244">
        <v>124</v>
      </c>
      <c r="I10244">
        <v>686</v>
      </c>
      <c r="J10244">
        <v>108</v>
      </c>
      <c r="K10244" t="b">
        <v>1</v>
      </c>
    </row>
    <row r="10245" spans="8:11" x14ac:dyDescent="0.25">
      <c r="H10245">
        <v>124</v>
      </c>
      <c r="I10245">
        <v>693</v>
      </c>
      <c r="J10245">
        <v>108</v>
      </c>
      <c r="K10245" t="b">
        <v>1</v>
      </c>
    </row>
    <row r="10246" spans="8:11" x14ac:dyDescent="0.25">
      <c r="H10246">
        <v>124</v>
      </c>
      <c r="I10246">
        <v>700</v>
      </c>
      <c r="J10246">
        <v>108</v>
      </c>
      <c r="K10246" t="b">
        <v>1</v>
      </c>
    </row>
    <row r="10247" spans="8:11" x14ac:dyDescent="0.25">
      <c r="H10247">
        <v>124</v>
      </c>
      <c r="I10247">
        <v>707</v>
      </c>
      <c r="J10247">
        <v>108</v>
      </c>
      <c r="K10247" t="b">
        <v>1</v>
      </c>
    </row>
    <row r="10248" spans="8:11" x14ac:dyDescent="0.25">
      <c r="H10248">
        <v>124</v>
      </c>
      <c r="I10248">
        <v>714</v>
      </c>
      <c r="J10248">
        <v>108</v>
      </c>
      <c r="K10248" t="b">
        <v>1</v>
      </c>
    </row>
    <row r="10249" spans="8:11" x14ac:dyDescent="0.25">
      <c r="H10249">
        <v>124</v>
      </c>
      <c r="I10249">
        <v>721</v>
      </c>
      <c r="J10249">
        <v>108</v>
      </c>
      <c r="K10249" t="b">
        <v>1</v>
      </c>
    </row>
    <row r="10250" spans="8:11" x14ac:dyDescent="0.25">
      <c r="H10250">
        <v>124</v>
      </c>
      <c r="I10250">
        <v>728</v>
      </c>
      <c r="J10250">
        <v>108</v>
      </c>
      <c r="K10250" t="b">
        <v>1</v>
      </c>
    </row>
    <row r="10251" spans="8:11" x14ac:dyDescent="0.25">
      <c r="H10251">
        <v>124</v>
      </c>
      <c r="I10251">
        <v>735</v>
      </c>
      <c r="J10251">
        <v>108</v>
      </c>
      <c r="K10251" t="b">
        <v>1</v>
      </c>
    </row>
    <row r="10252" spans="8:11" x14ac:dyDescent="0.25">
      <c r="H10252">
        <v>124</v>
      </c>
      <c r="I10252">
        <v>742</v>
      </c>
      <c r="J10252">
        <v>108</v>
      </c>
      <c r="K10252" t="b">
        <v>1</v>
      </c>
    </row>
    <row r="10253" spans="8:11" x14ac:dyDescent="0.25">
      <c r="H10253">
        <v>124</v>
      </c>
      <c r="I10253">
        <v>749</v>
      </c>
      <c r="J10253">
        <v>108</v>
      </c>
      <c r="K10253" t="b">
        <v>1</v>
      </c>
    </row>
    <row r="10254" spans="8:11" x14ac:dyDescent="0.25">
      <c r="H10254">
        <v>124</v>
      </c>
      <c r="I10254">
        <v>756</v>
      </c>
      <c r="J10254">
        <v>108</v>
      </c>
      <c r="K10254" t="b">
        <v>1</v>
      </c>
    </row>
    <row r="10255" spans="8:11" x14ac:dyDescent="0.25">
      <c r="H10255">
        <v>124</v>
      </c>
      <c r="I10255">
        <v>763</v>
      </c>
      <c r="J10255">
        <v>108</v>
      </c>
      <c r="K10255" t="b">
        <v>1</v>
      </c>
    </row>
    <row r="10256" spans="8:11" x14ac:dyDescent="0.25">
      <c r="H10256">
        <v>124</v>
      </c>
      <c r="I10256">
        <v>770</v>
      </c>
      <c r="J10256">
        <v>108</v>
      </c>
      <c r="K10256" t="b">
        <v>1</v>
      </c>
    </row>
    <row r="10257" spans="8:11" x14ac:dyDescent="0.25">
      <c r="H10257">
        <v>124</v>
      </c>
      <c r="I10257">
        <v>777</v>
      </c>
      <c r="J10257">
        <v>108</v>
      </c>
      <c r="K10257" t="b">
        <v>1</v>
      </c>
    </row>
    <row r="10258" spans="8:11" x14ac:dyDescent="0.25">
      <c r="H10258">
        <v>124</v>
      </c>
      <c r="I10258">
        <v>784</v>
      </c>
      <c r="J10258">
        <v>108</v>
      </c>
      <c r="K10258" t="b">
        <v>1</v>
      </c>
    </row>
    <row r="10259" spans="8:11" x14ac:dyDescent="0.25">
      <c r="H10259">
        <v>124</v>
      </c>
      <c r="I10259">
        <v>791</v>
      </c>
      <c r="J10259">
        <v>108</v>
      </c>
      <c r="K10259" t="b">
        <v>1</v>
      </c>
    </row>
    <row r="10260" spans="8:11" x14ac:dyDescent="0.25">
      <c r="H10260">
        <v>124</v>
      </c>
      <c r="I10260">
        <v>798</v>
      </c>
      <c r="J10260">
        <v>108</v>
      </c>
      <c r="K10260" t="b">
        <v>1</v>
      </c>
    </row>
    <row r="10261" spans="8:11" x14ac:dyDescent="0.25">
      <c r="H10261">
        <v>124</v>
      </c>
      <c r="I10261">
        <v>805</v>
      </c>
      <c r="J10261">
        <v>108</v>
      </c>
      <c r="K10261" t="b">
        <v>1</v>
      </c>
    </row>
    <row r="10262" spans="8:11" x14ac:dyDescent="0.25">
      <c r="H10262">
        <v>124</v>
      </c>
      <c r="I10262">
        <v>812</v>
      </c>
      <c r="J10262">
        <v>108</v>
      </c>
      <c r="K10262" t="b">
        <v>1</v>
      </c>
    </row>
    <row r="10263" spans="8:11" x14ac:dyDescent="0.25">
      <c r="H10263">
        <v>124</v>
      </c>
      <c r="I10263">
        <v>819</v>
      </c>
      <c r="J10263">
        <v>108</v>
      </c>
      <c r="K10263" t="b">
        <v>1</v>
      </c>
    </row>
    <row r="10264" spans="8:11" x14ac:dyDescent="0.25">
      <c r="H10264">
        <v>124</v>
      </c>
      <c r="I10264">
        <v>826</v>
      </c>
      <c r="J10264">
        <v>108</v>
      </c>
      <c r="K10264" t="b">
        <v>1</v>
      </c>
    </row>
    <row r="10265" spans="8:11" x14ac:dyDescent="0.25">
      <c r="H10265">
        <v>124</v>
      </c>
      <c r="I10265">
        <v>833</v>
      </c>
      <c r="J10265">
        <v>108</v>
      </c>
      <c r="K10265" t="b">
        <v>1</v>
      </c>
    </row>
    <row r="10266" spans="8:11" x14ac:dyDescent="0.25">
      <c r="H10266">
        <v>124</v>
      </c>
      <c r="I10266">
        <v>840</v>
      </c>
      <c r="J10266">
        <v>108</v>
      </c>
      <c r="K10266" t="b">
        <v>1</v>
      </c>
    </row>
    <row r="10267" spans="8:11" x14ac:dyDescent="0.25">
      <c r="H10267">
        <v>124</v>
      </c>
      <c r="I10267">
        <v>847</v>
      </c>
      <c r="J10267">
        <v>108</v>
      </c>
      <c r="K10267" t="b">
        <v>1</v>
      </c>
    </row>
    <row r="10268" spans="8:11" x14ac:dyDescent="0.25">
      <c r="H10268">
        <v>124</v>
      </c>
      <c r="I10268">
        <v>854</v>
      </c>
      <c r="J10268">
        <v>108</v>
      </c>
      <c r="K10268" t="b">
        <v>1</v>
      </c>
    </row>
    <row r="10269" spans="8:11" x14ac:dyDescent="0.25">
      <c r="H10269">
        <v>124</v>
      </c>
      <c r="I10269">
        <v>861</v>
      </c>
      <c r="J10269">
        <v>108</v>
      </c>
      <c r="K10269" t="b">
        <v>1</v>
      </c>
    </row>
    <row r="10270" spans="8:11" x14ac:dyDescent="0.25">
      <c r="H10270">
        <v>124</v>
      </c>
      <c r="I10270">
        <v>868</v>
      </c>
      <c r="J10270">
        <v>108</v>
      </c>
      <c r="K10270" t="b">
        <v>1</v>
      </c>
    </row>
    <row r="10271" spans="8:11" x14ac:dyDescent="0.25">
      <c r="H10271">
        <v>124</v>
      </c>
      <c r="I10271">
        <v>875</v>
      </c>
      <c r="J10271">
        <v>108</v>
      </c>
      <c r="K10271" t="b">
        <v>1</v>
      </c>
    </row>
    <row r="10272" spans="8:11" x14ac:dyDescent="0.25">
      <c r="H10272">
        <v>124</v>
      </c>
      <c r="I10272">
        <v>882</v>
      </c>
      <c r="J10272">
        <v>108</v>
      </c>
      <c r="K10272" t="b">
        <v>1</v>
      </c>
    </row>
    <row r="10273" spans="8:11" x14ac:dyDescent="0.25">
      <c r="H10273">
        <v>124</v>
      </c>
      <c r="I10273">
        <v>889</v>
      </c>
      <c r="J10273">
        <v>108</v>
      </c>
      <c r="K10273" t="b">
        <v>1</v>
      </c>
    </row>
    <row r="10274" spans="8:11" x14ac:dyDescent="0.25">
      <c r="H10274">
        <v>124</v>
      </c>
      <c r="I10274">
        <v>896</v>
      </c>
      <c r="J10274">
        <v>108</v>
      </c>
      <c r="K10274" t="b">
        <v>1</v>
      </c>
    </row>
    <row r="10275" spans="8:11" x14ac:dyDescent="0.25">
      <c r="H10275">
        <v>124</v>
      </c>
      <c r="I10275">
        <v>903</v>
      </c>
      <c r="J10275">
        <v>108</v>
      </c>
      <c r="K10275" t="b">
        <v>1</v>
      </c>
    </row>
    <row r="10276" spans="8:11" x14ac:dyDescent="0.25">
      <c r="H10276">
        <v>124</v>
      </c>
      <c r="I10276">
        <v>910</v>
      </c>
      <c r="J10276">
        <v>108</v>
      </c>
      <c r="K10276" t="b">
        <v>1</v>
      </c>
    </row>
    <row r="10277" spans="8:11" x14ac:dyDescent="0.25">
      <c r="H10277">
        <v>124</v>
      </c>
      <c r="I10277">
        <v>917</v>
      </c>
      <c r="J10277">
        <v>108</v>
      </c>
      <c r="K10277" t="b">
        <v>1</v>
      </c>
    </row>
    <row r="10278" spans="8:11" x14ac:dyDescent="0.25">
      <c r="H10278">
        <v>124</v>
      </c>
      <c r="I10278">
        <v>924</v>
      </c>
      <c r="J10278">
        <v>108</v>
      </c>
      <c r="K10278" t="b">
        <v>1</v>
      </c>
    </row>
    <row r="10279" spans="8:11" x14ac:dyDescent="0.25">
      <c r="H10279">
        <v>124</v>
      </c>
      <c r="I10279">
        <v>931</v>
      </c>
      <c r="J10279">
        <v>108</v>
      </c>
      <c r="K10279" t="b">
        <v>1</v>
      </c>
    </row>
    <row r="10280" spans="8:11" x14ac:dyDescent="0.25">
      <c r="H10280">
        <v>124</v>
      </c>
      <c r="I10280">
        <v>938</v>
      </c>
      <c r="J10280">
        <v>108</v>
      </c>
      <c r="K10280" t="b">
        <v>1</v>
      </c>
    </row>
    <row r="10281" spans="8:11" x14ac:dyDescent="0.25">
      <c r="H10281">
        <v>124</v>
      </c>
      <c r="I10281">
        <v>945</v>
      </c>
      <c r="J10281">
        <v>108</v>
      </c>
      <c r="K10281" t="b">
        <v>1</v>
      </c>
    </row>
    <row r="10282" spans="8:11" x14ac:dyDescent="0.25">
      <c r="H10282">
        <v>124</v>
      </c>
      <c r="I10282">
        <v>952</v>
      </c>
      <c r="J10282">
        <v>108</v>
      </c>
      <c r="K10282" t="b">
        <v>1</v>
      </c>
    </row>
    <row r="10283" spans="8:11" x14ac:dyDescent="0.25">
      <c r="H10283">
        <v>125</v>
      </c>
      <c r="I10283">
        <v>0</v>
      </c>
      <c r="J10283">
        <v>39</v>
      </c>
      <c r="K10283" t="b">
        <v>1</v>
      </c>
    </row>
    <row r="10284" spans="8:11" x14ac:dyDescent="0.25">
      <c r="H10284">
        <v>125</v>
      </c>
      <c r="I10284">
        <v>8</v>
      </c>
      <c r="J10284">
        <v>39</v>
      </c>
      <c r="K10284" t="b">
        <v>1</v>
      </c>
    </row>
    <row r="10285" spans="8:11" x14ac:dyDescent="0.25">
      <c r="H10285">
        <v>125</v>
      </c>
      <c r="I10285">
        <v>16</v>
      </c>
      <c r="J10285">
        <v>39</v>
      </c>
      <c r="K10285" t="b">
        <v>1</v>
      </c>
    </row>
    <row r="10286" spans="8:11" x14ac:dyDescent="0.25">
      <c r="H10286">
        <v>125</v>
      </c>
      <c r="I10286">
        <v>24</v>
      </c>
      <c r="J10286">
        <v>39</v>
      </c>
      <c r="K10286" t="b">
        <v>1</v>
      </c>
    </row>
    <row r="10287" spans="8:11" x14ac:dyDescent="0.25">
      <c r="H10287">
        <v>125</v>
      </c>
      <c r="I10287">
        <v>32</v>
      </c>
      <c r="J10287">
        <v>39</v>
      </c>
      <c r="K10287" t="b">
        <v>1</v>
      </c>
    </row>
    <row r="10288" spans="8:11" x14ac:dyDescent="0.25">
      <c r="H10288">
        <v>125</v>
      </c>
      <c r="I10288">
        <v>40</v>
      </c>
      <c r="J10288">
        <v>39</v>
      </c>
      <c r="K10288" t="b">
        <v>1</v>
      </c>
    </row>
    <row r="10289" spans="8:11" x14ac:dyDescent="0.25">
      <c r="H10289">
        <v>125</v>
      </c>
      <c r="I10289">
        <v>48</v>
      </c>
      <c r="J10289">
        <v>39</v>
      </c>
      <c r="K10289" t="b">
        <v>1</v>
      </c>
    </row>
    <row r="10290" spans="8:11" x14ac:dyDescent="0.25">
      <c r="H10290">
        <v>125</v>
      </c>
      <c r="I10290">
        <v>56</v>
      </c>
      <c r="J10290">
        <v>39</v>
      </c>
      <c r="K10290" t="b">
        <v>1</v>
      </c>
    </row>
    <row r="10291" spans="8:11" x14ac:dyDescent="0.25">
      <c r="H10291">
        <v>125</v>
      </c>
      <c r="I10291">
        <v>64</v>
      </c>
      <c r="J10291">
        <v>39</v>
      </c>
      <c r="K10291" t="b">
        <v>1</v>
      </c>
    </row>
    <row r="10292" spans="8:11" x14ac:dyDescent="0.25">
      <c r="H10292">
        <v>125</v>
      </c>
      <c r="I10292">
        <v>72</v>
      </c>
      <c r="J10292">
        <v>39</v>
      </c>
      <c r="K10292" t="b">
        <v>1</v>
      </c>
    </row>
    <row r="10293" spans="8:11" x14ac:dyDescent="0.25">
      <c r="H10293">
        <v>125</v>
      </c>
      <c r="I10293">
        <v>80</v>
      </c>
      <c r="J10293">
        <v>39</v>
      </c>
      <c r="K10293" t="b">
        <v>1</v>
      </c>
    </row>
    <row r="10294" spans="8:11" x14ac:dyDescent="0.25">
      <c r="H10294">
        <v>125</v>
      </c>
      <c r="I10294">
        <v>88</v>
      </c>
      <c r="J10294">
        <v>39</v>
      </c>
      <c r="K10294" t="b">
        <v>1</v>
      </c>
    </row>
    <row r="10295" spans="8:11" x14ac:dyDescent="0.25">
      <c r="H10295">
        <v>125</v>
      </c>
      <c r="I10295">
        <v>96</v>
      </c>
      <c r="J10295">
        <v>39</v>
      </c>
      <c r="K10295" t="b">
        <v>1</v>
      </c>
    </row>
    <row r="10296" spans="8:11" x14ac:dyDescent="0.25">
      <c r="H10296">
        <v>125</v>
      </c>
      <c r="I10296">
        <v>104</v>
      </c>
      <c r="J10296">
        <v>39</v>
      </c>
      <c r="K10296" t="b">
        <v>1</v>
      </c>
    </row>
    <row r="10297" spans="8:11" x14ac:dyDescent="0.25">
      <c r="H10297">
        <v>125</v>
      </c>
      <c r="I10297">
        <v>112</v>
      </c>
      <c r="J10297">
        <v>39</v>
      </c>
      <c r="K10297" t="b">
        <v>1</v>
      </c>
    </row>
    <row r="10298" spans="8:11" x14ac:dyDescent="0.25">
      <c r="H10298">
        <v>125</v>
      </c>
      <c r="I10298">
        <v>120</v>
      </c>
      <c r="J10298">
        <v>39</v>
      </c>
      <c r="K10298" t="b">
        <v>1</v>
      </c>
    </row>
    <row r="10299" spans="8:11" x14ac:dyDescent="0.25">
      <c r="H10299">
        <v>125</v>
      </c>
      <c r="I10299">
        <v>128</v>
      </c>
      <c r="J10299">
        <v>39</v>
      </c>
      <c r="K10299" t="b">
        <v>1</v>
      </c>
    </row>
    <row r="10300" spans="8:11" x14ac:dyDescent="0.25">
      <c r="H10300">
        <v>125</v>
      </c>
      <c r="I10300">
        <v>136</v>
      </c>
      <c r="J10300">
        <v>39</v>
      </c>
      <c r="K10300" t="b">
        <v>1</v>
      </c>
    </row>
    <row r="10301" spans="8:11" x14ac:dyDescent="0.25">
      <c r="H10301">
        <v>125</v>
      </c>
      <c r="I10301">
        <v>144</v>
      </c>
      <c r="J10301">
        <v>39</v>
      </c>
      <c r="K10301" t="b">
        <v>1</v>
      </c>
    </row>
    <row r="10302" spans="8:11" x14ac:dyDescent="0.25">
      <c r="H10302">
        <v>125</v>
      </c>
      <c r="I10302">
        <v>152</v>
      </c>
      <c r="J10302">
        <v>39</v>
      </c>
      <c r="K10302" t="b">
        <v>1</v>
      </c>
    </row>
    <row r="10303" spans="8:11" x14ac:dyDescent="0.25">
      <c r="H10303">
        <v>125</v>
      </c>
      <c r="I10303">
        <v>160</v>
      </c>
      <c r="J10303">
        <v>39</v>
      </c>
      <c r="K10303" t="b">
        <v>1</v>
      </c>
    </row>
    <row r="10304" spans="8:11" x14ac:dyDescent="0.25">
      <c r="H10304">
        <v>125</v>
      </c>
      <c r="I10304">
        <v>168</v>
      </c>
      <c r="J10304">
        <v>39</v>
      </c>
      <c r="K10304" t="b">
        <v>1</v>
      </c>
    </row>
    <row r="10305" spans="8:11" x14ac:dyDescent="0.25">
      <c r="H10305">
        <v>125</v>
      </c>
      <c r="I10305">
        <v>176</v>
      </c>
      <c r="J10305">
        <v>39</v>
      </c>
      <c r="K10305" t="b">
        <v>1</v>
      </c>
    </row>
    <row r="10306" spans="8:11" x14ac:dyDescent="0.25">
      <c r="H10306">
        <v>125</v>
      </c>
      <c r="I10306">
        <v>184</v>
      </c>
      <c r="J10306">
        <v>39</v>
      </c>
      <c r="K10306" t="b">
        <v>1</v>
      </c>
    </row>
    <row r="10307" spans="8:11" x14ac:dyDescent="0.25">
      <c r="H10307">
        <v>125</v>
      </c>
      <c r="I10307">
        <v>192</v>
      </c>
      <c r="J10307">
        <v>39</v>
      </c>
      <c r="K10307" t="b">
        <v>1</v>
      </c>
    </row>
    <row r="10308" spans="8:11" x14ac:dyDescent="0.25">
      <c r="H10308">
        <v>125</v>
      </c>
      <c r="I10308">
        <v>200</v>
      </c>
      <c r="J10308">
        <v>39</v>
      </c>
      <c r="K10308" t="b">
        <v>1</v>
      </c>
    </row>
    <row r="10309" spans="8:11" x14ac:dyDescent="0.25">
      <c r="H10309">
        <v>125</v>
      </c>
      <c r="I10309">
        <v>208</v>
      </c>
      <c r="J10309">
        <v>39</v>
      </c>
      <c r="K10309" t="b">
        <v>1</v>
      </c>
    </row>
    <row r="10310" spans="8:11" x14ac:dyDescent="0.25">
      <c r="H10310">
        <v>125</v>
      </c>
      <c r="I10310">
        <v>216</v>
      </c>
      <c r="J10310">
        <v>39</v>
      </c>
      <c r="K10310" t="b">
        <v>1</v>
      </c>
    </row>
    <row r="10311" spans="8:11" x14ac:dyDescent="0.25">
      <c r="H10311">
        <v>125</v>
      </c>
      <c r="I10311">
        <v>224</v>
      </c>
      <c r="J10311">
        <v>39</v>
      </c>
      <c r="K10311" t="b">
        <v>1</v>
      </c>
    </row>
    <row r="10312" spans="8:11" x14ac:dyDescent="0.25">
      <c r="H10312">
        <v>125</v>
      </c>
      <c r="I10312">
        <v>232</v>
      </c>
      <c r="J10312">
        <v>39</v>
      </c>
      <c r="K10312" t="b">
        <v>1</v>
      </c>
    </row>
    <row r="10313" spans="8:11" x14ac:dyDescent="0.25">
      <c r="H10313">
        <v>125</v>
      </c>
      <c r="I10313">
        <v>240</v>
      </c>
      <c r="J10313">
        <v>39</v>
      </c>
      <c r="K10313" t="b">
        <v>1</v>
      </c>
    </row>
    <row r="10314" spans="8:11" x14ac:dyDescent="0.25">
      <c r="H10314">
        <v>125</v>
      </c>
      <c r="I10314">
        <v>248</v>
      </c>
      <c r="J10314">
        <v>39</v>
      </c>
      <c r="K10314" t="b">
        <v>1</v>
      </c>
    </row>
    <row r="10315" spans="8:11" x14ac:dyDescent="0.25">
      <c r="H10315">
        <v>125</v>
      </c>
      <c r="I10315">
        <v>256</v>
      </c>
      <c r="J10315">
        <v>39</v>
      </c>
      <c r="K10315" t="b">
        <v>1</v>
      </c>
    </row>
    <row r="10316" spans="8:11" x14ac:dyDescent="0.25">
      <c r="H10316">
        <v>125</v>
      </c>
      <c r="I10316">
        <v>264</v>
      </c>
      <c r="J10316">
        <v>39</v>
      </c>
      <c r="K10316" t="b">
        <v>1</v>
      </c>
    </row>
    <row r="10317" spans="8:11" x14ac:dyDescent="0.25">
      <c r="H10317">
        <v>125</v>
      </c>
      <c r="I10317">
        <v>272</v>
      </c>
      <c r="J10317">
        <v>39</v>
      </c>
      <c r="K10317" t="b">
        <v>1</v>
      </c>
    </row>
    <row r="10318" spans="8:11" x14ac:dyDescent="0.25">
      <c r="H10318">
        <v>125</v>
      </c>
      <c r="I10318">
        <v>280</v>
      </c>
      <c r="J10318">
        <v>39</v>
      </c>
      <c r="K10318" t="b">
        <v>1</v>
      </c>
    </row>
    <row r="10319" spans="8:11" x14ac:dyDescent="0.25">
      <c r="H10319">
        <v>125</v>
      </c>
      <c r="I10319">
        <v>288</v>
      </c>
      <c r="J10319">
        <v>39</v>
      </c>
      <c r="K10319" t="b">
        <v>1</v>
      </c>
    </row>
    <row r="10320" spans="8:11" x14ac:dyDescent="0.25">
      <c r="H10320">
        <v>125</v>
      </c>
      <c r="I10320">
        <v>296</v>
      </c>
      <c r="J10320">
        <v>39</v>
      </c>
      <c r="K10320" t="b">
        <v>1</v>
      </c>
    </row>
    <row r="10321" spans="8:11" x14ac:dyDescent="0.25">
      <c r="H10321">
        <v>125</v>
      </c>
      <c r="I10321">
        <v>304</v>
      </c>
      <c r="J10321">
        <v>39</v>
      </c>
      <c r="K10321" t="b">
        <v>1</v>
      </c>
    </row>
    <row r="10322" spans="8:11" x14ac:dyDescent="0.25">
      <c r="H10322">
        <v>125</v>
      </c>
      <c r="I10322">
        <v>312</v>
      </c>
      <c r="J10322">
        <v>39</v>
      </c>
      <c r="K10322" t="b">
        <v>1</v>
      </c>
    </row>
    <row r="10323" spans="8:11" x14ac:dyDescent="0.25">
      <c r="H10323">
        <v>125</v>
      </c>
      <c r="I10323">
        <v>320</v>
      </c>
      <c r="J10323">
        <v>39</v>
      </c>
      <c r="K10323" t="b">
        <v>1</v>
      </c>
    </row>
    <row r="10324" spans="8:11" x14ac:dyDescent="0.25">
      <c r="H10324">
        <v>125</v>
      </c>
      <c r="I10324">
        <v>328</v>
      </c>
      <c r="J10324">
        <v>39</v>
      </c>
      <c r="K10324" t="b">
        <v>1</v>
      </c>
    </row>
    <row r="10325" spans="8:11" x14ac:dyDescent="0.25">
      <c r="H10325">
        <v>125</v>
      </c>
      <c r="I10325">
        <v>336</v>
      </c>
      <c r="J10325">
        <v>39</v>
      </c>
      <c r="K10325" t="b">
        <v>1</v>
      </c>
    </row>
    <row r="10326" spans="8:11" x14ac:dyDescent="0.25">
      <c r="H10326">
        <v>125</v>
      </c>
      <c r="I10326">
        <v>344</v>
      </c>
      <c r="J10326">
        <v>39</v>
      </c>
      <c r="K10326" t="b">
        <v>1</v>
      </c>
    </row>
    <row r="10327" spans="8:11" x14ac:dyDescent="0.25">
      <c r="H10327">
        <v>125</v>
      </c>
      <c r="I10327">
        <v>352</v>
      </c>
      <c r="J10327">
        <v>39</v>
      </c>
      <c r="K10327" t="b">
        <v>1</v>
      </c>
    </row>
    <row r="10328" spans="8:11" x14ac:dyDescent="0.25">
      <c r="H10328">
        <v>125</v>
      </c>
      <c r="I10328">
        <v>360</v>
      </c>
      <c r="J10328">
        <v>39</v>
      </c>
      <c r="K10328" t="b">
        <v>1</v>
      </c>
    </row>
    <row r="10329" spans="8:11" x14ac:dyDescent="0.25">
      <c r="H10329">
        <v>125</v>
      </c>
      <c r="I10329">
        <v>368</v>
      </c>
      <c r="J10329">
        <v>39</v>
      </c>
      <c r="K10329" t="b">
        <v>1</v>
      </c>
    </row>
    <row r="10330" spans="8:11" x14ac:dyDescent="0.25">
      <c r="H10330">
        <v>125</v>
      </c>
      <c r="I10330">
        <v>376</v>
      </c>
      <c r="J10330">
        <v>39</v>
      </c>
      <c r="K10330" t="b">
        <v>1</v>
      </c>
    </row>
    <row r="10331" spans="8:11" x14ac:dyDescent="0.25">
      <c r="H10331">
        <v>125</v>
      </c>
      <c r="I10331">
        <v>384</v>
      </c>
      <c r="J10331">
        <v>39</v>
      </c>
      <c r="K10331" t="b">
        <v>1</v>
      </c>
    </row>
    <row r="10332" spans="8:11" x14ac:dyDescent="0.25">
      <c r="H10332">
        <v>125</v>
      </c>
      <c r="I10332">
        <v>392</v>
      </c>
      <c r="J10332">
        <v>39</v>
      </c>
      <c r="K10332" t="b">
        <v>1</v>
      </c>
    </row>
    <row r="10333" spans="8:11" x14ac:dyDescent="0.25">
      <c r="H10333">
        <v>125</v>
      </c>
      <c r="I10333">
        <v>400</v>
      </c>
      <c r="J10333">
        <v>39</v>
      </c>
      <c r="K10333" t="b">
        <v>1</v>
      </c>
    </row>
    <row r="10334" spans="8:11" x14ac:dyDescent="0.25">
      <c r="H10334">
        <v>125</v>
      </c>
      <c r="I10334">
        <v>408</v>
      </c>
      <c r="J10334">
        <v>39</v>
      </c>
      <c r="K10334" t="b">
        <v>1</v>
      </c>
    </row>
    <row r="10335" spans="8:11" x14ac:dyDescent="0.25">
      <c r="H10335">
        <v>125</v>
      </c>
      <c r="I10335">
        <v>416</v>
      </c>
      <c r="J10335">
        <v>39</v>
      </c>
      <c r="K10335" t="b">
        <v>1</v>
      </c>
    </row>
    <row r="10336" spans="8:11" x14ac:dyDescent="0.25">
      <c r="H10336">
        <v>125</v>
      </c>
      <c r="I10336">
        <v>424</v>
      </c>
      <c r="J10336">
        <v>39</v>
      </c>
      <c r="K10336" t="b">
        <v>1</v>
      </c>
    </row>
    <row r="10337" spans="8:11" x14ac:dyDescent="0.25">
      <c r="H10337">
        <v>125</v>
      </c>
      <c r="I10337">
        <v>432</v>
      </c>
      <c r="J10337">
        <v>39</v>
      </c>
      <c r="K10337" t="b">
        <v>1</v>
      </c>
    </row>
    <row r="10338" spans="8:11" x14ac:dyDescent="0.25">
      <c r="H10338">
        <v>125</v>
      </c>
      <c r="I10338">
        <v>440</v>
      </c>
      <c r="J10338">
        <v>39</v>
      </c>
      <c r="K10338" t="b">
        <v>1</v>
      </c>
    </row>
    <row r="10339" spans="8:11" x14ac:dyDescent="0.25">
      <c r="H10339">
        <v>125</v>
      </c>
      <c r="I10339">
        <v>448</v>
      </c>
      <c r="J10339">
        <v>39</v>
      </c>
      <c r="K10339" t="b">
        <v>1</v>
      </c>
    </row>
    <row r="10340" spans="8:11" x14ac:dyDescent="0.25">
      <c r="H10340">
        <v>125</v>
      </c>
      <c r="I10340">
        <v>456</v>
      </c>
      <c r="J10340">
        <v>39</v>
      </c>
      <c r="K10340" t="b">
        <v>1</v>
      </c>
    </row>
    <row r="10341" spans="8:11" x14ac:dyDescent="0.25">
      <c r="H10341">
        <v>125</v>
      </c>
      <c r="I10341">
        <v>464</v>
      </c>
      <c r="J10341">
        <v>39</v>
      </c>
      <c r="K10341" t="b">
        <v>1</v>
      </c>
    </row>
    <row r="10342" spans="8:11" x14ac:dyDescent="0.25">
      <c r="H10342">
        <v>125</v>
      </c>
      <c r="I10342">
        <v>472</v>
      </c>
      <c r="J10342">
        <v>39</v>
      </c>
      <c r="K10342" t="b">
        <v>1</v>
      </c>
    </row>
    <row r="10343" spans="8:11" x14ac:dyDescent="0.25">
      <c r="H10343">
        <v>125</v>
      </c>
      <c r="I10343">
        <v>480</v>
      </c>
      <c r="J10343">
        <v>39</v>
      </c>
      <c r="K10343" t="b">
        <v>1</v>
      </c>
    </row>
    <row r="10344" spans="8:11" x14ac:dyDescent="0.25">
      <c r="H10344">
        <v>125</v>
      </c>
      <c r="I10344">
        <v>488</v>
      </c>
      <c r="J10344">
        <v>39</v>
      </c>
      <c r="K10344" t="b">
        <v>1</v>
      </c>
    </row>
    <row r="10345" spans="8:11" x14ac:dyDescent="0.25">
      <c r="H10345">
        <v>125</v>
      </c>
      <c r="I10345">
        <v>496</v>
      </c>
      <c r="J10345">
        <v>39</v>
      </c>
      <c r="K10345" t="b">
        <v>1</v>
      </c>
    </row>
    <row r="10346" spans="8:11" x14ac:dyDescent="0.25">
      <c r="H10346">
        <v>125</v>
      </c>
      <c r="I10346">
        <v>504</v>
      </c>
      <c r="J10346">
        <v>39</v>
      </c>
      <c r="K10346" t="b">
        <v>1</v>
      </c>
    </row>
    <row r="10347" spans="8:11" x14ac:dyDescent="0.25">
      <c r="H10347">
        <v>125</v>
      </c>
      <c r="I10347">
        <v>512</v>
      </c>
      <c r="J10347">
        <v>39</v>
      </c>
      <c r="K10347" t="b">
        <v>1</v>
      </c>
    </row>
    <row r="10348" spans="8:11" x14ac:dyDescent="0.25">
      <c r="H10348">
        <v>125</v>
      </c>
      <c r="I10348">
        <v>520</v>
      </c>
      <c r="J10348">
        <v>39</v>
      </c>
      <c r="K10348" t="b">
        <v>1</v>
      </c>
    </row>
    <row r="10349" spans="8:11" x14ac:dyDescent="0.25">
      <c r="H10349">
        <v>125</v>
      </c>
      <c r="I10349">
        <v>528</v>
      </c>
      <c r="J10349">
        <v>39</v>
      </c>
      <c r="K10349" t="b">
        <v>1</v>
      </c>
    </row>
    <row r="10350" spans="8:11" x14ac:dyDescent="0.25">
      <c r="H10350">
        <v>125</v>
      </c>
      <c r="I10350">
        <v>536</v>
      </c>
      <c r="J10350">
        <v>39</v>
      </c>
      <c r="K10350" t="b">
        <v>1</v>
      </c>
    </row>
    <row r="10351" spans="8:11" x14ac:dyDescent="0.25">
      <c r="H10351">
        <v>125</v>
      </c>
      <c r="I10351">
        <v>544</v>
      </c>
      <c r="J10351">
        <v>39</v>
      </c>
      <c r="K10351" t="b">
        <v>1</v>
      </c>
    </row>
    <row r="10352" spans="8:11" x14ac:dyDescent="0.25">
      <c r="H10352">
        <v>125</v>
      </c>
      <c r="I10352">
        <v>552</v>
      </c>
      <c r="J10352">
        <v>39</v>
      </c>
      <c r="K10352" t="b">
        <v>1</v>
      </c>
    </row>
    <row r="10353" spans="8:11" x14ac:dyDescent="0.25">
      <c r="H10353">
        <v>125</v>
      </c>
      <c r="I10353">
        <v>560</v>
      </c>
      <c r="J10353">
        <v>39</v>
      </c>
      <c r="K10353" t="b">
        <v>1</v>
      </c>
    </row>
    <row r="10354" spans="8:11" x14ac:dyDescent="0.25">
      <c r="H10354">
        <v>125</v>
      </c>
      <c r="I10354">
        <v>568</v>
      </c>
      <c r="J10354">
        <v>39</v>
      </c>
      <c r="K10354" t="b">
        <v>1</v>
      </c>
    </row>
    <row r="10355" spans="8:11" x14ac:dyDescent="0.25">
      <c r="H10355">
        <v>125</v>
      </c>
      <c r="I10355">
        <v>576</v>
      </c>
      <c r="J10355">
        <v>39</v>
      </c>
      <c r="K10355" t="b">
        <v>1</v>
      </c>
    </row>
    <row r="10356" spans="8:11" x14ac:dyDescent="0.25">
      <c r="H10356">
        <v>125</v>
      </c>
      <c r="I10356">
        <v>584</v>
      </c>
      <c r="J10356">
        <v>39</v>
      </c>
      <c r="K10356" t="b">
        <v>1</v>
      </c>
    </row>
    <row r="10357" spans="8:11" x14ac:dyDescent="0.25">
      <c r="H10357">
        <v>125</v>
      </c>
      <c r="I10357">
        <v>592</v>
      </c>
      <c r="J10357">
        <v>39</v>
      </c>
      <c r="K10357" t="b">
        <v>1</v>
      </c>
    </row>
    <row r="10358" spans="8:11" x14ac:dyDescent="0.25">
      <c r="H10358">
        <v>125</v>
      </c>
      <c r="I10358">
        <v>600</v>
      </c>
      <c r="J10358">
        <v>39</v>
      </c>
      <c r="K10358" t="b">
        <v>1</v>
      </c>
    </row>
    <row r="10359" spans="8:11" x14ac:dyDescent="0.25">
      <c r="H10359">
        <v>125</v>
      </c>
      <c r="I10359">
        <v>608</v>
      </c>
      <c r="J10359">
        <v>39</v>
      </c>
      <c r="K10359" t="b">
        <v>1</v>
      </c>
    </row>
    <row r="10360" spans="8:11" x14ac:dyDescent="0.25">
      <c r="H10360">
        <v>125</v>
      </c>
      <c r="I10360">
        <v>616</v>
      </c>
      <c r="J10360">
        <v>39</v>
      </c>
      <c r="K10360" t="b">
        <v>1</v>
      </c>
    </row>
    <row r="10361" spans="8:11" x14ac:dyDescent="0.25">
      <c r="H10361">
        <v>125</v>
      </c>
      <c r="I10361">
        <v>624</v>
      </c>
      <c r="J10361">
        <v>39</v>
      </c>
      <c r="K10361" t="b">
        <v>1</v>
      </c>
    </row>
    <row r="10362" spans="8:11" x14ac:dyDescent="0.25">
      <c r="H10362">
        <v>125</v>
      </c>
      <c r="I10362">
        <v>632</v>
      </c>
      <c r="J10362">
        <v>39</v>
      </c>
      <c r="K10362" t="b">
        <v>1</v>
      </c>
    </row>
    <row r="10363" spans="8:11" x14ac:dyDescent="0.25">
      <c r="H10363">
        <v>125</v>
      </c>
      <c r="I10363">
        <v>640</v>
      </c>
      <c r="J10363">
        <v>39</v>
      </c>
      <c r="K10363" t="b">
        <v>1</v>
      </c>
    </row>
    <row r="10364" spans="8:11" x14ac:dyDescent="0.25">
      <c r="H10364">
        <v>125</v>
      </c>
      <c r="I10364">
        <v>648</v>
      </c>
      <c r="J10364">
        <v>39</v>
      </c>
      <c r="K10364" t="b">
        <v>1</v>
      </c>
    </row>
    <row r="10365" spans="8:11" x14ac:dyDescent="0.25">
      <c r="H10365">
        <v>125</v>
      </c>
      <c r="I10365">
        <v>656</v>
      </c>
      <c r="J10365">
        <v>39</v>
      </c>
      <c r="K10365" t="b">
        <v>1</v>
      </c>
    </row>
    <row r="10366" spans="8:11" x14ac:dyDescent="0.25">
      <c r="H10366">
        <v>125</v>
      </c>
      <c r="I10366">
        <v>664</v>
      </c>
      <c r="J10366">
        <v>39</v>
      </c>
      <c r="K10366" t="b">
        <v>1</v>
      </c>
    </row>
    <row r="10367" spans="8:11" x14ac:dyDescent="0.25">
      <c r="H10367">
        <v>125</v>
      </c>
      <c r="I10367">
        <v>672</v>
      </c>
      <c r="J10367">
        <v>39</v>
      </c>
      <c r="K10367" t="b">
        <v>1</v>
      </c>
    </row>
    <row r="10368" spans="8:11" x14ac:dyDescent="0.25">
      <c r="H10368">
        <v>125</v>
      </c>
      <c r="I10368">
        <v>680</v>
      </c>
      <c r="J10368">
        <v>39</v>
      </c>
      <c r="K10368" t="b">
        <v>1</v>
      </c>
    </row>
    <row r="10369" spans="8:11" x14ac:dyDescent="0.25">
      <c r="H10369">
        <v>125</v>
      </c>
      <c r="I10369">
        <v>688</v>
      </c>
      <c r="J10369">
        <v>39</v>
      </c>
      <c r="K10369" t="b">
        <v>1</v>
      </c>
    </row>
    <row r="10370" spans="8:11" x14ac:dyDescent="0.25">
      <c r="H10370">
        <v>125</v>
      </c>
      <c r="I10370">
        <v>696</v>
      </c>
      <c r="J10370">
        <v>39</v>
      </c>
      <c r="K10370" t="b">
        <v>1</v>
      </c>
    </row>
    <row r="10371" spans="8:11" x14ac:dyDescent="0.25">
      <c r="H10371">
        <v>125</v>
      </c>
      <c r="I10371">
        <v>704</v>
      </c>
      <c r="J10371">
        <v>39</v>
      </c>
      <c r="K10371" t="b">
        <v>1</v>
      </c>
    </row>
    <row r="10372" spans="8:11" x14ac:dyDescent="0.25">
      <c r="H10372">
        <v>125</v>
      </c>
      <c r="I10372">
        <v>712</v>
      </c>
      <c r="J10372">
        <v>39</v>
      </c>
      <c r="K10372" t="b">
        <v>1</v>
      </c>
    </row>
    <row r="10373" spans="8:11" x14ac:dyDescent="0.25">
      <c r="H10373">
        <v>125</v>
      </c>
      <c r="I10373">
        <v>720</v>
      </c>
      <c r="J10373">
        <v>39</v>
      </c>
      <c r="K10373" t="b">
        <v>1</v>
      </c>
    </row>
    <row r="10374" spans="8:11" x14ac:dyDescent="0.25">
      <c r="H10374">
        <v>125</v>
      </c>
      <c r="I10374">
        <v>728</v>
      </c>
      <c r="J10374">
        <v>39</v>
      </c>
      <c r="K10374" t="b">
        <v>1</v>
      </c>
    </row>
    <row r="10375" spans="8:11" x14ac:dyDescent="0.25">
      <c r="H10375">
        <v>125</v>
      </c>
      <c r="I10375">
        <v>736</v>
      </c>
      <c r="J10375">
        <v>39</v>
      </c>
      <c r="K10375" t="b">
        <v>1</v>
      </c>
    </row>
    <row r="10376" spans="8:11" x14ac:dyDescent="0.25">
      <c r="H10376">
        <v>125</v>
      </c>
      <c r="I10376">
        <v>744</v>
      </c>
      <c r="J10376">
        <v>39</v>
      </c>
      <c r="K10376" t="b">
        <v>1</v>
      </c>
    </row>
    <row r="10377" spans="8:11" x14ac:dyDescent="0.25">
      <c r="H10377">
        <v>125</v>
      </c>
      <c r="I10377">
        <v>752</v>
      </c>
      <c r="J10377">
        <v>39</v>
      </c>
      <c r="K10377" t="b">
        <v>1</v>
      </c>
    </row>
    <row r="10378" spans="8:11" x14ac:dyDescent="0.25">
      <c r="H10378">
        <v>125</v>
      </c>
      <c r="I10378">
        <v>760</v>
      </c>
      <c r="J10378">
        <v>39</v>
      </c>
      <c r="K10378" t="b">
        <v>1</v>
      </c>
    </row>
    <row r="10379" spans="8:11" x14ac:dyDescent="0.25">
      <c r="H10379">
        <v>125</v>
      </c>
      <c r="I10379">
        <v>768</v>
      </c>
      <c r="J10379">
        <v>39</v>
      </c>
      <c r="K10379" t="b">
        <v>1</v>
      </c>
    </row>
    <row r="10380" spans="8:11" x14ac:dyDescent="0.25">
      <c r="H10380">
        <v>125</v>
      </c>
      <c r="I10380">
        <v>776</v>
      </c>
      <c r="J10380">
        <v>39</v>
      </c>
      <c r="K10380" t="b">
        <v>1</v>
      </c>
    </row>
    <row r="10381" spans="8:11" x14ac:dyDescent="0.25">
      <c r="H10381">
        <v>125</v>
      </c>
      <c r="I10381">
        <v>784</v>
      </c>
      <c r="J10381">
        <v>39</v>
      </c>
      <c r="K10381" t="b">
        <v>1</v>
      </c>
    </row>
    <row r="10382" spans="8:11" x14ac:dyDescent="0.25">
      <c r="H10382">
        <v>125</v>
      </c>
      <c r="I10382">
        <v>792</v>
      </c>
      <c r="J10382">
        <v>39</v>
      </c>
      <c r="K10382" t="b">
        <v>1</v>
      </c>
    </row>
    <row r="10383" spans="8:11" x14ac:dyDescent="0.25">
      <c r="H10383">
        <v>125</v>
      </c>
      <c r="I10383">
        <v>800</v>
      </c>
      <c r="J10383">
        <v>39</v>
      </c>
      <c r="K10383" t="b">
        <v>1</v>
      </c>
    </row>
    <row r="10384" spans="8:11" x14ac:dyDescent="0.25">
      <c r="H10384">
        <v>125</v>
      </c>
      <c r="I10384">
        <v>808</v>
      </c>
      <c r="J10384">
        <v>39</v>
      </c>
      <c r="K10384" t="b">
        <v>1</v>
      </c>
    </row>
    <row r="10385" spans="8:11" x14ac:dyDescent="0.25">
      <c r="H10385">
        <v>125</v>
      </c>
      <c r="I10385">
        <v>816</v>
      </c>
      <c r="J10385">
        <v>39</v>
      </c>
      <c r="K10385" t="b">
        <v>1</v>
      </c>
    </row>
    <row r="10386" spans="8:11" x14ac:dyDescent="0.25">
      <c r="H10386">
        <v>125</v>
      </c>
      <c r="I10386">
        <v>824</v>
      </c>
      <c r="J10386">
        <v>39</v>
      </c>
      <c r="K10386" t="b">
        <v>1</v>
      </c>
    </row>
    <row r="10387" spans="8:11" x14ac:dyDescent="0.25">
      <c r="H10387">
        <v>125</v>
      </c>
      <c r="I10387">
        <v>832</v>
      </c>
      <c r="J10387">
        <v>39</v>
      </c>
      <c r="K10387" t="b">
        <v>1</v>
      </c>
    </row>
    <row r="10388" spans="8:11" x14ac:dyDescent="0.25">
      <c r="H10388">
        <v>125</v>
      </c>
      <c r="I10388">
        <v>840</v>
      </c>
      <c r="J10388">
        <v>39</v>
      </c>
      <c r="K10388" t="b">
        <v>1</v>
      </c>
    </row>
    <row r="10389" spans="8:11" x14ac:dyDescent="0.25">
      <c r="H10389">
        <v>125</v>
      </c>
      <c r="I10389">
        <v>848</v>
      </c>
      <c r="J10389">
        <v>39</v>
      </c>
      <c r="K10389" t="b">
        <v>1</v>
      </c>
    </row>
    <row r="10390" spans="8:11" x14ac:dyDescent="0.25">
      <c r="H10390">
        <v>125</v>
      </c>
      <c r="I10390">
        <v>856</v>
      </c>
      <c r="J10390">
        <v>39</v>
      </c>
      <c r="K10390" t="b">
        <v>1</v>
      </c>
    </row>
    <row r="10391" spans="8:11" x14ac:dyDescent="0.25">
      <c r="H10391">
        <v>125</v>
      </c>
      <c r="I10391">
        <v>864</v>
      </c>
      <c r="J10391">
        <v>39</v>
      </c>
      <c r="K10391" t="b">
        <v>1</v>
      </c>
    </row>
    <row r="10392" spans="8:11" x14ac:dyDescent="0.25">
      <c r="H10392">
        <v>125</v>
      </c>
      <c r="I10392">
        <v>872</v>
      </c>
      <c r="J10392">
        <v>39</v>
      </c>
      <c r="K10392" t="b">
        <v>1</v>
      </c>
    </row>
    <row r="10393" spans="8:11" x14ac:dyDescent="0.25">
      <c r="H10393">
        <v>125</v>
      </c>
      <c r="I10393">
        <v>880</v>
      </c>
      <c r="J10393">
        <v>39</v>
      </c>
      <c r="K10393" t="b">
        <v>1</v>
      </c>
    </row>
    <row r="10394" spans="8:11" x14ac:dyDescent="0.25">
      <c r="H10394">
        <v>125</v>
      </c>
      <c r="I10394">
        <v>888</v>
      </c>
      <c r="J10394">
        <v>39</v>
      </c>
      <c r="K10394" t="b">
        <v>1</v>
      </c>
    </row>
    <row r="10395" spans="8:11" x14ac:dyDescent="0.25">
      <c r="H10395">
        <v>125</v>
      </c>
      <c r="I10395">
        <v>896</v>
      </c>
      <c r="J10395">
        <v>39</v>
      </c>
      <c r="K10395" t="b">
        <v>1</v>
      </c>
    </row>
    <row r="10396" spans="8:11" x14ac:dyDescent="0.25">
      <c r="H10396">
        <v>125</v>
      </c>
      <c r="I10396">
        <v>904</v>
      </c>
      <c r="J10396">
        <v>39</v>
      </c>
      <c r="K10396" t="b">
        <v>1</v>
      </c>
    </row>
    <row r="10397" spans="8:11" x14ac:dyDescent="0.25">
      <c r="H10397">
        <v>125</v>
      </c>
      <c r="I10397">
        <v>912</v>
      </c>
      <c r="J10397">
        <v>39</v>
      </c>
      <c r="K10397" t="b">
        <v>1</v>
      </c>
    </row>
    <row r="10398" spans="8:11" x14ac:dyDescent="0.25">
      <c r="H10398">
        <v>125</v>
      </c>
      <c r="I10398">
        <v>920</v>
      </c>
      <c r="J10398">
        <v>39</v>
      </c>
      <c r="K10398" t="b">
        <v>1</v>
      </c>
    </row>
    <row r="10399" spans="8:11" x14ac:dyDescent="0.25">
      <c r="H10399">
        <v>125</v>
      </c>
      <c r="I10399">
        <v>928</v>
      </c>
      <c r="J10399">
        <v>39</v>
      </c>
      <c r="K10399" t="b">
        <v>1</v>
      </c>
    </row>
    <row r="10400" spans="8:11" x14ac:dyDescent="0.25">
      <c r="H10400">
        <v>125</v>
      </c>
      <c r="I10400">
        <v>936</v>
      </c>
      <c r="J10400">
        <v>39</v>
      </c>
      <c r="K10400" t="b">
        <v>1</v>
      </c>
    </row>
    <row r="10401" spans="8:11" x14ac:dyDescent="0.25">
      <c r="H10401">
        <v>125</v>
      </c>
      <c r="I10401">
        <v>944</v>
      </c>
      <c r="J10401">
        <v>39</v>
      </c>
      <c r="K10401" t="b">
        <v>1</v>
      </c>
    </row>
    <row r="10402" spans="8:11" x14ac:dyDescent="0.25">
      <c r="H10402">
        <v>125</v>
      </c>
      <c r="I10402">
        <v>952</v>
      </c>
      <c r="J10402">
        <v>39</v>
      </c>
      <c r="K10402" t="b">
        <v>1</v>
      </c>
    </row>
    <row r="10403" spans="8:11" x14ac:dyDescent="0.25">
      <c r="H10403">
        <v>126</v>
      </c>
      <c r="I10403">
        <v>0</v>
      </c>
      <c r="J10403">
        <v>39</v>
      </c>
      <c r="K10403" t="b">
        <v>1</v>
      </c>
    </row>
    <row r="10404" spans="8:11" x14ac:dyDescent="0.25">
      <c r="H10404">
        <v>126</v>
      </c>
      <c r="I10404">
        <v>8</v>
      </c>
      <c r="J10404">
        <v>39</v>
      </c>
      <c r="K10404" t="b">
        <v>1</v>
      </c>
    </row>
    <row r="10405" spans="8:11" x14ac:dyDescent="0.25">
      <c r="H10405">
        <v>126</v>
      </c>
      <c r="I10405">
        <v>16</v>
      </c>
      <c r="J10405">
        <v>39</v>
      </c>
      <c r="K10405" t="b">
        <v>1</v>
      </c>
    </row>
    <row r="10406" spans="8:11" x14ac:dyDescent="0.25">
      <c r="H10406">
        <v>126</v>
      </c>
      <c r="I10406">
        <v>24</v>
      </c>
      <c r="J10406">
        <v>39</v>
      </c>
      <c r="K10406" t="b">
        <v>1</v>
      </c>
    </row>
    <row r="10407" spans="8:11" x14ac:dyDescent="0.25">
      <c r="H10407">
        <v>126</v>
      </c>
      <c r="I10407">
        <v>32</v>
      </c>
      <c r="J10407">
        <v>39</v>
      </c>
      <c r="K10407" t="b">
        <v>1</v>
      </c>
    </row>
    <row r="10408" spans="8:11" x14ac:dyDescent="0.25">
      <c r="H10408">
        <v>126</v>
      </c>
      <c r="I10408">
        <v>40</v>
      </c>
      <c r="J10408">
        <v>39</v>
      </c>
      <c r="K10408" t="b">
        <v>1</v>
      </c>
    </row>
    <row r="10409" spans="8:11" x14ac:dyDescent="0.25">
      <c r="H10409">
        <v>126</v>
      </c>
      <c r="I10409">
        <v>48</v>
      </c>
      <c r="J10409">
        <v>39</v>
      </c>
      <c r="K10409" t="b">
        <v>1</v>
      </c>
    </row>
    <row r="10410" spans="8:11" x14ac:dyDescent="0.25">
      <c r="H10410">
        <v>126</v>
      </c>
      <c r="I10410">
        <v>56</v>
      </c>
      <c r="J10410">
        <v>39</v>
      </c>
      <c r="K10410" t="b">
        <v>1</v>
      </c>
    </row>
    <row r="10411" spans="8:11" x14ac:dyDescent="0.25">
      <c r="H10411">
        <v>126</v>
      </c>
      <c r="I10411">
        <v>64</v>
      </c>
      <c r="J10411">
        <v>39</v>
      </c>
      <c r="K10411" t="b">
        <v>1</v>
      </c>
    </row>
    <row r="10412" spans="8:11" x14ac:dyDescent="0.25">
      <c r="H10412">
        <v>126</v>
      </c>
      <c r="I10412">
        <v>72</v>
      </c>
      <c r="J10412">
        <v>39</v>
      </c>
      <c r="K10412" t="b">
        <v>1</v>
      </c>
    </row>
    <row r="10413" spans="8:11" x14ac:dyDescent="0.25">
      <c r="H10413">
        <v>126</v>
      </c>
      <c r="I10413">
        <v>80</v>
      </c>
      <c r="J10413">
        <v>39</v>
      </c>
      <c r="K10413" t="b">
        <v>1</v>
      </c>
    </row>
    <row r="10414" spans="8:11" x14ac:dyDescent="0.25">
      <c r="H10414">
        <v>126</v>
      </c>
      <c r="I10414">
        <v>88</v>
      </c>
      <c r="J10414">
        <v>39</v>
      </c>
      <c r="K10414" t="b">
        <v>1</v>
      </c>
    </row>
    <row r="10415" spans="8:11" x14ac:dyDescent="0.25">
      <c r="H10415">
        <v>126</v>
      </c>
      <c r="I10415">
        <v>96</v>
      </c>
      <c r="J10415">
        <v>39</v>
      </c>
      <c r="K10415" t="b">
        <v>1</v>
      </c>
    </row>
    <row r="10416" spans="8:11" x14ac:dyDescent="0.25">
      <c r="H10416">
        <v>126</v>
      </c>
      <c r="I10416">
        <v>104</v>
      </c>
      <c r="J10416">
        <v>39</v>
      </c>
      <c r="K10416" t="b">
        <v>1</v>
      </c>
    </row>
    <row r="10417" spans="8:11" x14ac:dyDescent="0.25">
      <c r="H10417">
        <v>126</v>
      </c>
      <c r="I10417">
        <v>112</v>
      </c>
      <c r="J10417">
        <v>39</v>
      </c>
      <c r="K10417" t="b">
        <v>1</v>
      </c>
    </row>
    <row r="10418" spans="8:11" x14ac:dyDescent="0.25">
      <c r="H10418">
        <v>126</v>
      </c>
      <c r="I10418">
        <v>120</v>
      </c>
      <c r="J10418">
        <v>39</v>
      </c>
      <c r="K10418" t="b">
        <v>1</v>
      </c>
    </row>
    <row r="10419" spans="8:11" x14ac:dyDescent="0.25">
      <c r="H10419">
        <v>126</v>
      </c>
      <c r="I10419">
        <v>128</v>
      </c>
      <c r="J10419">
        <v>39</v>
      </c>
      <c r="K10419" t="b">
        <v>1</v>
      </c>
    </row>
    <row r="10420" spans="8:11" x14ac:dyDescent="0.25">
      <c r="H10420">
        <v>126</v>
      </c>
      <c r="I10420">
        <v>136</v>
      </c>
      <c r="J10420">
        <v>39</v>
      </c>
      <c r="K10420" t="b">
        <v>1</v>
      </c>
    </row>
    <row r="10421" spans="8:11" x14ac:dyDescent="0.25">
      <c r="H10421">
        <v>126</v>
      </c>
      <c r="I10421">
        <v>144</v>
      </c>
      <c r="J10421">
        <v>39</v>
      </c>
      <c r="K10421" t="b">
        <v>1</v>
      </c>
    </row>
    <row r="10422" spans="8:11" x14ac:dyDescent="0.25">
      <c r="H10422">
        <v>126</v>
      </c>
      <c r="I10422">
        <v>152</v>
      </c>
      <c r="J10422">
        <v>39</v>
      </c>
      <c r="K10422" t="b">
        <v>1</v>
      </c>
    </row>
    <row r="10423" spans="8:11" x14ac:dyDescent="0.25">
      <c r="H10423">
        <v>126</v>
      </c>
      <c r="I10423">
        <v>160</v>
      </c>
      <c r="J10423">
        <v>39</v>
      </c>
      <c r="K10423" t="b">
        <v>1</v>
      </c>
    </row>
    <row r="10424" spans="8:11" x14ac:dyDescent="0.25">
      <c r="H10424">
        <v>126</v>
      </c>
      <c r="I10424">
        <v>168</v>
      </c>
      <c r="J10424">
        <v>39</v>
      </c>
      <c r="K10424" t="b">
        <v>1</v>
      </c>
    </row>
    <row r="10425" spans="8:11" x14ac:dyDescent="0.25">
      <c r="H10425">
        <v>126</v>
      </c>
      <c r="I10425">
        <v>176</v>
      </c>
      <c r="J10425">
        <v>39</v>
      </c>
      <c r="K10425" t="b">
        <v>1</v>
      </c>
    </row>
    <row r="10426" spans="8:11" x14ac:dyDescent="0.25">
      <c r="H10426">
        <v>126</v>
      </c>
      <c r="I10426">
        <v>184</v>
      </c>
      <c r="J10426">
        <v>39</v>
      </c>
      <c r="K10426" t="b">
        <v>1</v>
      </c>
    </row>
    <row r="10427" spans="8:11" x14ac:dyDescent="0.25">
      <c r="H10427">
        <v>126</v>
      </c>
      <c r="I10427">
        <v>192</v>
      </c>
      <c r="J10427">
        <v>39</v>
      </c>
      <c r="K10427" t="b">
        <v>1</v>
      </c>
    </row>
    <row r="10428" spans="8:11" x14ac:dyDescent="0.25">
      <c r="H10428">
        <v>126</v>
      </c>
      <c r="I10428">
        <v>200</v>
      </c>
      <c r="J10428">
        <v>39</v>
      </c>
      <c r="K10428" t="b">
        <v>1</v>
      </c>
    </row>
    <row r="10429" spans="8:11" x14ac:dyDescent="0.25">
      <c r="H10429">
        <v>126</v>
      </c>
      <c r="I10429">
        <v>208</v>
      </c>
      <c r="J10429">
        <v>39</v>
      </c>
      <c r="K10429" t="b">
        <v>1</v>
      </c>
    </row>
    <row r="10430" spans="8:11" x14ac:dyDescent="0.25">
      <c r="H10430">
        <v>126</v>
      </c>
      <c r="I10430">
        <v>216</v>
      </c>
      <c r="J10430">
        <v>39</v>
      </c>
      <c r="K10430" t="b">
        <v>1</v>
      </c>
    </row>
    <row r="10431" spans="8:11" x14ac:dyDescent="0.25">
      <c r="H10431">
        <v>126</v>
      </c>
      <c r="I10431">
        <v>224</v>
      </c>
      <c r="J10431">
        <v>39</v>
      </c>
      <c r="K10431" t="b">
        <v>1</v>
      </c>
    </row>
    <row r="10432" spans="8:11" x14ac:dyDescent="0.25">
      <c r="H10432">
        <v>126</v>
      </c>
      <c r="I10432">
        <v>232</v>
      </c>
      <c r="J10432">
        <v>39</v>
      </c>
      <c r="K10432" t="b">
        <v>1</v>
      </c>
    </row>
    <row r="10433" spans="8:11" x14ac:dyDescent="0.25">
      <c r="H10433">
        <v>126</v>
      </c>
      <c r="I10433">
        <v>240</v>
      </c>
      <c r="J10433">
        <v>39</v>
      </c>
      <c r="K10433" t="b">
        <v>1</v>
      </c>
    </row>
    <row r="10434" spans="8:11" x14ac:dyDescent="0.25">
      <c r="H10434">
        <v>126</v>
      </c>
      <c r="I10434">
        <v>248</v>
      </c>
      <c r="J10434">
        <v>39</v>
      </c>
      <c r="K10434" t="b">
        <v>1</v>
      </c>
    </row>
    <row r="10435" spans="8:11" x14ac:dyDescent="0.25">
      <c r="H10435">
        <v>126</v>
      </c>
      <c r="I10435">
        <v>256</v>
      </c>
      <c r="J10435">
        <v>39</v>
      </c>
      <c r="K10435" t="b">
        <v>1</v>
      </c>
    </row>
    <row r="10436" spans="8:11" x14ac:dyDescent="0.25">
      <c r="H10436">
        <v>126</v>
      </c>
      <c r="I10436">
        <v>264</v>
      </c>
      <c r="J10436">
        <v>39</v>
      </c>
      <c r="K10436" t="b">
        <v>1</v>
      </c>
    </row>
    <row r="10437" spans="8:11" x14ac:dyDescent="0.25">
      <c r="H10437">
        <v>126</v>
      </c>
      <c r="I10437">
        <v>272</v>
      </c>
      <c r="J10437">
        <v>39</v>
      </c>
      <c r="K10437" t="b">
        <v>1</v>
      </c>
    </row>
    <row r="10438" spans="8:11" x14ac:dyDescent="0.25">
      <c r="H10438">
        <v>126</v>
      </c>
      <c r="I10438">
        <v>280</v>
      </c>
      <c r="J10438">
        <v>39</v>
      </c>
      <c r="K10438" t="b">
        <v>1</v>
      </c>
    </row>
    <row r="10439" spans="8:11" x14ac:dyDescent="0.25">
      <c r="H10439">
        <v>126</v>
      </c>
      <c r="I10439">
        <v>288</v>
      </c>
      <c r="J10439">
        <v>39</v>
      </c>
      <c r="K10439" t="b">
        <v>1</v>
      </c>
    </row>
    <row r="10440" spans="8:11" x14ac:dyDescent="0.25">
      <c r="H10440">
        <v>126</v>
      </c>
      <c r="I10440">
        <v>296</v>
      </c>
      <c r="J10440">
        <v>39</v>
      </c>
      <c r="K10440" t="b">
        <v>1</v>
      </c>
    </row>
    <row r="10441" spans="8:11" x14ac:dyDescent="0.25">
      <c r="H10441">
        <v>126</v>
      </c>
      <c r="I10441">
        <v>304</v>
      </c>
      <c r="J10441">
        <v>39</v>
      </c>
      <c r="K10441" t="b">
        <v>1</v>
      </c>
    </row>
    <row r="10442" spans="8:11" x14ac:dyDescent="0.25">
      <c r="H10442">
        <v>126</v>
      </c>
      <c r="I10442">
        <v>312</v>
      </c>
      <c r="J10442">
        <v>39</v>
      </c>
      <c r="K10442" t="b">
        <v>1</v>
      </c>
    </row>
    <row r="10443" spans="8:11" x14ac:dyDescent="0.25">
      <c r="H10443">
        <v>126</v>
      </c>
      <c r="I10443">
        <v>320</v>
      </c>
      <c r="J10443">
        <v>39</v>
      </c>
      <c r="K10443" t="b">
        <v>1</v>
      </c>
    </row>
    <row r="10444" spans="8:11" x14ac:dyDescent="0.25">
      <c r="H10444">
        <v>126</v>
      </c>
      <c r="I10444">
        <v>328</v>
      </c>
      <c r="J10444">
        <v>39</v>
      </c>
      <c r="K10444" t="b">
        <v>1</v>
      </c>
    </row>
    <row r="10445" spans="8:11" x14ac:dyDescent="0.25">
      <c r="H10445">
        <v>126</v>
      </c>
      <c r="I10445">
        <v>336</v>
      </c>
      <c r="J10445">
        <v>39</v>
      </c>
      <c r="K10445" t="b">
        <v>1</v>
      </c>
    </row>
    <row r="10446" spans="8:11" x14ac:dyDescent="0.25">
      <c r="H10446">
        <v>126</v>
      </c>
      <c r="I10446">
        <v>344</v>
      </c>
      <c r="J10446">
        <v>39</v>
      </c>
      <c r="K10446" t="b">
        <v>1</v>
      </c>
    </row>
    <row r="10447" spans="8:11" x14ac:dyDescent="0.25">
      <c r="H10447">
        <v>126</v>
      </c>
      <c r="I10447">
        <v>352</v>
      </c>
      <c r="J10447">
        <v>39</v>
      </c>
      <c r="K10447" t="b">
        <v>1</v>
      </c>
    </row>
    <row r="10448" spans="8:11" x14ac:dyDescent="0.25">
      <c r="H10448">
        <v>126</v>
      </c>
      <c r="I10448">
        <v>360</v>
      </c>
      <c r="J10448">
        <v>39</v>
      </c>
      <c r="K10448" t="b">
        <v>1</v>
      </c>
    </row>
    <row r="10449" spans="8:11" x14ac:dyDescent="0.25">
      <c r="H10449">
        <v>126</v>
      </c>
      <c r="I10449">
        <v>368</v>
      </c>
      <c r="J10449">
        <v>39</v>
      </c>
      <c r="K10449" t="b">
        <v>1</v>
      </c>
    </row>
    <row r="10450" spans="8:11" x14ac:dyDescent="0.25">
      <c r="H10450">
        <v>126</v>
      </c>
      <c r="I10450">
        <v>376</v>
      </c>
      <c r="J10450">
        <v>39</v>
      </c>
      <c r="K10450" t="b">
        <v>1</v>
      </c>
    </row>
    <row r="10451" spans="8:11" x14ac:dyDescent="0.25">
      <c r="H10451">
        <v>126</v>
      </c>
      <c r="I10451">
        <v>384</v>
      </c>
      <c r="J10451">
        <v>39</v>
      </c>
      <c r="K10451" t="b">
        <v>1</v>
      </c>
    </row>
    <row r="10452" spans="8:11" x14ac:dyDescent="0.25">
      <c r="H10452">
        <v>126</v>
      </c>
      <c r="I10452">
        <v>392</v>
      </c>
      <c r="J10452">
        <v>39</v>
      </c>
      <c r="K10452" t="b">
        <v>1</v>
      </c>
    </row>
    <row r="10453" spans="8:11" x14ac:dyDescent="0.25">
      <c r="H10453">
        <v>126</v>
      </c>
      <c r="I10453">
        <v>400</v>
      </c>
      <c r="J10453">
        <v>39</v>
      </c>
      <c r="K10453" t="b">
        <v>1</v>
      </c>
    </row>
    <row r="10454" spans="8:11" x14ac:dyDescent="0.25">
      <c r="H10454">
        <v>126</v>
      </c>
      <c r="I10454">
        <v>408</v>
      </c>
      <c r="J10454">
        <v>39</v>
      </c>
      <c r="K10454" t="b">
        <v>1</v>
      </c>
    </row>
    <row r="10455" spans="8:11" x14ac:dyDescent="0.25">
      <c r="H10455">
        <v>126</v>
      </c>
      <c r="I10455">
        <v>416</v>
      </c>
      <c r="J10455">
        <v>39</v>
      </c>
      <c r="K10455" t="b">
        <v>1</v>
      </c>
    </row>
    <row r="10456" spans="8:11" x14ac:dyDescent="0.25">
      <c r="H10456">
        <v>126</v>
      </c>
      <c r="I10456">
        <v>424</v>
      </c>
      <c r="J10456">
        <v>39</v>
      </c>
      <c r="K10456" t="b">
        <v>1</v>
      </c>
    </row>
    <row r="10457" spans="8:11" x14ac:dyDescent="0.25">
      <c r="H10457">
        <v>126</v>
      </c>
      <c r="I10457">
        <v>432</v>
      </c>
      <c r="J10457">
        <v>39</v>
      </c>
      <c r="K10457" t="b">
        <v>1</v>
      </c>
    </row>
    <row r="10458" spans="8:11" x14ac:dyDescent="0.25">
      <c r="H10458">
        <v>126</v>
      </c>
      <c r="I10458">
        <v>440</v>
      </c>
      <c r="J10458">
        <v>39</v>
      </c>
      <c r="K10458" t="b">
        <v>1</v>
      </c>
    </row>
    <row r="10459" spans="8:11" x14ac:dyDescent="0.25">
      <c r="H10459">
        <v>126</v>
      </c>
      <c r="I10459">
        <v>448</v>
      </c>
      <c r="J10459">
        <v>39</v>
      </c>
      <c r="K10459" t="b">
        <v>1</v>
      </c>
    </row>
    <row r="10460" spans="8:11" x14ac:dyDescent="0.25">
      <c r="H10460">
        <v>126</v>
      </c>
      <c r="I10460">
        <v>456</v>
      </c>
      <c r="J10460">
        <v>39</v>
      </c>
      <c r="K10460" t="b">
        <v>1</v>
      </c>
    </row>
    <row r="10461" spans="8:11" x14ac:dyDescent="0.25">
      <c r="H10461">
        <v>126</v>
      </c>
      <c r="I10461">
        <v>464</v>
      </c>
      <c r="J10461">
        <v>39</v>
      </c>
      <c r="K10461" t="b">
        <v>1</v>
      </c>
    </row>
    <row r="10462" spans="8:11" x14ac:dyDescent="0.25">
      <c r="H10462">
        <v>126</v>
      </c>
      <c r="I10462">
        <v>472</v>
      </c>
      <c r="J10462">
        <v>39</v>
      </c>
      <c r="K10462" t="b">
        <v>1</v>
      </c>
    </row>
    <row r="10463" spans="8:11" x14ac:dyDescent="0.25">
      <c r="H10463">
        <v>126</v>
      </c>
      <c r="I10463">
        <v>480</v>
      </c>
      <c r="J10463">
        <v>39</v>
      </c>
      <c r="K10463" t="b">
        <v>1</v>
      </c>
    </row>
    <row r="10464" spans="8:11" x14ac:dyDescent="0.25">
      <c r="H10464">
        <v>126</v>
      </c>
      <c r="I10464">
        <v>488</v>
      </c>
      <c r="J10464">
        <v>39</v>
      </c>
      <c r="K10464" t="b">
        <v>1</v>
      </c>
    </row>
    <row r="10465" spans="8:11" x14ac:dyDescent="0.25">
      <c r="H10465">
        <v>126</v>
      </c>
      <c r="I10465">
        <v>496</v>
      </c>
      <c r="J10465">
        <v>39</v>
      </c>
      <c r="K10465" t="b">
        <v>1</v>
      </c>
    </row>
    <row r="10466" spans="8:11" x14ac:dyDescent="0.25">
      <c r="H10466">
        <v>126</v>
      </c>
      <c r="I10466">
        <v>504</v>
      </c>
      <c r="J10466">
        <v>39</v>
      </c>
      <c r="K10466" t="b">
        <v>1</v>
      </c>
    </row>
    <row r="10467" spans="8:11" x14ac:dyDescent="0.25">
      <c r="H10467">
        <v>126</v>
      </c>
      <c r="I10467">
        <v>512</v>
      </c>
      <c r="J10467">
        <v>39</v>
      </c>
      <c r="K10467" t="b">
        <v>1</v>
      </c>
    </row>
    <row r="10468" spans="8:11" x14ac:dyDescent="0.25">
      <c r="H10468">
        <v>126</v>
      </c>
      <c r="I10468">
        <v>520</v>
      </c>
      <c r="J10468">
        <v>39</v>
      </c>
      <c r="K10468" t="b">
        <v>1</v>
      </c>
    </row>
    <row r="10469" spans="8:11" x14ac:dyDescent="0.25">
      <c r="H10469">
        <v>126</v>
      </c>
      <c r="I10469">
        <v>528</v>
      </c>
      <c r="J10469">
        <v>39</v>
      </c>
      <c r="K10469" t="b">
        <v>1</v>
      </c>
    </row>
    <row r="10470" spans="8:11" x14ac:dyDescent="0.25">
      <c r="H10470">
        <v>126</v>
      </c>
      <c r="I10470">
        <v>536</v>
      </c>
      <c r="J10470">
        <v>39</v>
      </c>
      <c r="K10470" t="b">
        <v>1</v>
      </c>
    </row>
    <row r="10471" spans="8:11" x14ac:dyDescent="0.25">
      <c r="H10471">
        <v>126</v>
      </c>
      <c r="I10471">
        <v>544</v>
      </c>
      <c r="J10471">
        <v>39</v>
      </c>
      <c r="K10471" t="b">
        <v>1</v>
      </c>
    </row>
    <row r="10472" spans="8:11" x14ac:dyDescent="0.25">
      <c r="H10472">
        <v>126</v>
      </c>
      <c r="I10472">
        <v>552</v>
      </c>
      <c r="J10472">
        <v>39</v>
      </c>
      <c r="K10472" t="b">
        <v>1</v>
      </c>
    </row>
    <row r="10473" spans="8:11" x14ac:dyDescent="0.25">
      <c r="H10473">
        <v>126</v>
      </c>
      <c r="I10473">
        <v>560</v>
      </c>
      <c r="J10473">
        <v>39</v>
      </c>
      <c r="K10473" t="b">
        <v>1</v>
      </c>
    </row>
    <row r="10474" spans="8:11" x14ac:dyDescent="0.25">
      <c r="H10474">
        <v>126</v>
      </c>
      <c r="I10474">
        <v>568</v>
      </c>
      <c r="J10474">
        <v>39</v>
      </c>
      <c r="K10474" t="b">
        <v>1</v>
      </c>
    </row>
    <row r="10475" spans="8:11" x14ac:dyDescent="0.25">
      <c r="H10475">
        <v>126</v>
      </c>
      <c r="I10475">
        <v>576</v>
      </c>
      <c r="J10475">
        <v>39</v>
      </c>
      <c r="K10475" t="b">
        <v>1</v>
      </c>
    </row>
    <row r="10476" spans="8:11" x14ac:dyDescent="0.25">
      <c r="H10476">
        <v>126</v>
      </c>
      <c r="I10476">
        <v>584</v>
      </c>
      <c r="J10476">
        <v>39</v>
      </c>
      <c r="K10476" t="b">
        <v>1</v>
      </c>
    </row>
    <row r="10477" spans="8:11" x14ac:dyDescent="0.25">
      <c r="H10477">
        <v>126</v>
      </c>
      <c r="I10477">
        <v>592</v>
      </c>
      <c r="J10477">
        <v>39</v>
      </c>
      <c r="K10477" t="b">
        <v>1</v>
      </c>
    </row>
    <row r="10478" spans="8:11" x14ac:dyDescent="0.25">
      <c r="H10478">
        <v>126</v>
      </c>
      <c r="I10478">
        <v>600</v>
      </c>
      <c r="J10478">
        <v>39</v>
      </c>
      <c r="K10478" t="b">
        <v>1</v>
      </c>
    </row>
    <row r="10479" spans="8:11" x14ac:dyDescent="0.25">
      <c r="H10479">
        <v>126</v>
      </c>
      <c r="I10479">
        <v>608</v>
      </c>
      <c r="J10479">
        <v>39</v>
      </c>
      <c r="K10479" t="b">
        <v>1</v>
      </c>
    </row>
    <row r="10480" spans="8:11" x14ac:dyDescent="0.25">
      <c r="H10480">
        <v>126</v>
      </c>
      <c r="I10480">
        <v>616</v>
      </c>
      <c r="J10480">
        <v>39</v>
      </c>
      <c r="K10480" t="b">
        <v>1</v>
      </c>
    </row>
    <row r="10481" spans="8:11" x14ac:dyDescent="0.25">
      <c r="H10481">
        <v>126</v>
      </c>
      <c r="I10481">
        <v>624</v>
      </c>
      <c r="J10481">
        <v>39</v>
      </c>
      <c r="K10481" t="b">
        <v>1</v>
      </c>
    </row>
    <row r="10482" spans="8:11" x14ac:dyDescent="0.25">
      <c r="H10482">
        <v>126</v>
      </c>
      <c r="I10482">
        <v>632</v>
      </c>
      <c r="J10482">
        <v>39</v>
      </c>
      <c r="K10482" t="b">
        <v>1</v>
      </c>
    </row>
    <row r="10483" spans="8:11" x14ac:dyDescent="0.25">
      <c r="H10483">
        <v>126</v>
      </c>
      <c r="I10483">
        <v>640</v>
      </c>
      <c r="J10483">
        <v>39</v>
      </c>
      <c r="K10483" t="b">
        <v>1</v>
      </c>
    </row>
    <row r="10484" spans="8:11" x14ac:dyDescent="0.25">
      <c r="H10484">
        <v>126</v>
      </c>
      <c r="I10484">
        <v>648</v>
      </c>
      <c r="J10484">
        <v>39</v>
      </c>
      <c r="K10484" t="b">
        <v>1</v>
      </c>
    </row>
    <row r="10485" spans="8:11" x14ac:dyDescent="0.25">
      <c r="H10485">
        <v>126</v>
      </c>
      <c r="I10485">
        <v>656</v>
      </c>
      <c r="J10485">
        <v>39</v>
      </c>
      <c r="K10485" t="b">
        <v>1</v>
      </c>
    </row>
    <row r="10486" spans="8:11" x14ac:dyDescent="0.25">
      <c r="H10486">
        <v>126</v>
      </c>
      <c r="I10486">
        <v>664</v>
      </c>
      <c r="J10486">
        <v>39</v>
      </c>
      <c r="K10486" t="b">
        <v>1</v>
      </c>
    </row>
    <row r="10487" spans="8:11" x14ac:dyDescent="0.25">
      <c r="H10487">
        <v>126</v>
      </c>
      <c r="I10487">
        <v>672</v>
      </c>
      <c r="J10487">
        <v>39</v>
      </c>
      <c r="K10487" t="b">
        <v>1</v>
      </c>
    </row>
    <row r="10488" spans="8:11" x14ac:dyDescent="0.25">
      <c r="H10488">
        <v>126</v>
      </c>
      <c r="I10488">
        <v>680</v>
      </c>
      <c r="J10488">
        <v>39</v>
      </c>
      <c r="K10488" t="b">
        <v>1</v>
      </c>
    </row>
    <row r="10489" spans="8:11" x14ac:dyDescent="0.25">
      <c r="H10489">
        <v>126</v>
      </c>
      <c r="I10489">
        <v>688</v>
      </c>
      <c r="J10489">
        <v>39</v>
      </c>
      <c r="K10489" t="b">
        <v>1</v>
      </c>
    </row>
    <row r="10490" spans="8:11" x14ac:dyDescent="0.25">
      <c r="H10490">
        <v>126</v>
      </c>
      <c r="I10490">
        <v>696</v>
      </c>
      <c r="J10490">
        <v>39</v>
      </c>
      <c r="K10490" t="b">
        <v>1</v>
      </c>
    </row>
    <row r="10491" spans="8:11" x14ac:dyDescent="0.25">
      <c r="H10491">
        <v>126</v>
      </c>
      <c r="I10491">
        <v>704</v>
      </c>
      <c r="J10491">
        <v>39</v>
      </c>
      <c r="K10491" t="b">
        <v>1</v>
      </c>
    </row>
    <row r="10492" spans="8:11" x14ac:dyDescent="0.25">
      <c r="H10492">
        <v>126</v>
      </c>
      <c r="I10492">
        <v>712</v>
      </c>
      <c r="J10492">
        <v>39</v>
      </c>
      <c r="K10492" t="b">
        <v>1</v>
      </c>
    </row>
    <row r="10493" spans="8:11" x14ac:dyDescent="0.25">
      <c r="H10493">
        <v>126</v>
      </c>
      <c r="I10493">
        <v>720</v>
      </c>
      <c r="J10493">
        <v>39</v>
      </c>
      <c r="K10493" t="b">
        <v>1</v>
      </c>
    </row>
    <row r="10494" spans="8:11" x14ac:dyDescent="0.25">
      <c r="H10494">
        <v>126</v>
      </c>
      <c r="I10494">
        <v>728</v>
      </c>
      <c r="J10494">
        <v>39</v>
      </c>
      <c r="K10494" t="b">
        <v>1</v>
      </c>
    </row>
    <row r="10495" spans="8:11" x14ac:dyDescent="0.25">
      <c r="H10495">
        <v>126</v>
      </c>
      <c r="I10495">
        <v>736</v>
      </c>
      <c r="J10495">
        <v>39</v>
      </c>
      <c r="K10495" t="b">
        <v>1</v>
      </c>
    </row>
    <row r="10496" spans="8:11" x14ac:dyDescent="0.25">
      <c r="H10496">
        <v>126</v>
      </c>
      <c r="I10496">
        <v>744</v>
      </c>
      <c r="J10496">
        <v>39</v>
      </c>
      <c r="K10496" t="b">
        <v>1</v>
      </c>
    </row>
    <row r="10497" spans="8:11" x14ac:dyDescent="0.25">
      <c r="H10497">
        <v>126</v>
      </c>
      <c r="I10497">
        <v>752</v>
      </c>
      <c r="J10497">
        <v>39</v>
      </c>
      <c r="K10497" t="b">
        <v>1</v>
      </c>
    </row>
    <row r="10498" spans="8:11" x14ac:dyDescent="0.25">
      <c r="H10498">
        <v>126</v>
      </c>
      <c r="I10498">
        <v>760</v>
      </c>
      <c r="J10498">
        <v>39</v>
      </c>
      <c r="K10498" t="b">
        <v>1</v>
      </c>
    </row>
    <row r="10499" spans="8:11" x14ac:dyDescent="0.25">
      <c r="H10499">
        <v>126</v>
      </c>
      <c r="I10499">
        <v>768</v>
      </c>
      <c r="J10499">
        <v>39</v>
      </c>
      <c r="K10499" t="b">
        <v>1</v>
      </c>
    </row>
    <row r="10500" spans="8:11" x14ac:dyDescent="0.25">
      <c r="H10500">
        <v>126</v>
      </c>
      <c r="I10500">
        <v>776</v>
      </c>
      <c r="J10500">
        <v>39</v>
      </c>
      <c r="K10500" t="b">
        <v>1</v>
      </c>
    </row>
    <row r="10501" spans="8:11" x14ac:dyDescent="0.25">
      <c r="H10501">
        <v>126</v>
      </c>
      <c r="I10501">
        <v>784</v>
      </c>
      <c r="J10501">
        <v>39</v>
      </c>
      <c r="K10501" t="b">
        <v>1</v>
      </c>
    </row>
    <row r="10502" spans="8:11" x14ac:dyDescent="0.25">
      <c r="H10502">
        <v>126</v>
      </c>
      <c r="I10502">
        <v>792</v>
      </c>
      <c r="J10502">
        <v>39</v>
      </c>
      <c r="K10502" t="b">
        <v>1</v>
      </c>
    </row>
    <row r="10503" spans="8:11" x14ac:dyDescent="0.25">
      <c r="H10503">
        <v>126</v>
      </c>
      <c r="I10503">
        <v>800</v>
      </c>
      <c r="J10503">
        <v>39</v>
      </c>
      <c r="K10503" t="b">
        <v>1</v>
      </c>
    </row>
    <row r="10504" spans="8:11" x14ac:dyDescent="0.25">
      <c r="H10504">
        <v>126</v>
      </c>
      <c r="I10504">
        <v>808</v>
      </c>
      <c r="J10504">
        <v>39</v>
      </c>
      <c r="K10504" t="b">
        <v>1</v>
      </c>
    </row>
    <row r="10505" spans="8:11" x14ac:dyDescent="0.25">
      <c r="H10505">
        <v>126</v>
      </c>
      <c r="I10505">
        <v>816</v>
      </c>
      <c r="J10505">
        <v>39</v>
      </c>
      <c r="K10505" t="b">
        <v>1</v>
      </c>
    </row>
    <row r="10506" spans="8:11" x14ac:dyDescent="0.25">
      <c r="H10506">
        <v>126</v>
      </c>
      <c r="I10506">
        <v>824</v>
      </c>
      <c r="J10506">
        <v>39</v>
      </c>
      <c r="K10506" t="b">
        <v>1</v>
      </c>
    </row>
    <row r="10507" spans="8:11" x14ac:dyDescent="0.25">
      <c r="H10507">
        <v>126</v>
      </c>
      <c r="I10507">
        <v>832</v>
      </c>
      <c r="J10507">
        <v>39</v>
      </c>
      <c r="K10507" t="b">
        <v>1</v>
      </c>
    </row>
    <row r="10508" spans="8:11" x14ac:dyDescent="0.25">
      <c r="H10508">
        <v>126</v>
      </c>
      <c r="I10508">
        <v>840</v>
      </c>
      <c r="J10508">
        <v>39</v>
      </c>
      <c r="K10508" t="b">
        <v>1</v>
      </c>
    </row>
    <row r="10509" spans="8:11" x14ac:dyDescent="0.25">
      <c r="H10509">
        <v>126</v>
      </c>
      <c r="I10509">
        <v>848</v>
      </c>
      <c r="J10509">
        <v>39</v>
      </c>
      <c r="K10509" t="b">
        <v>1</v>
      </c>
    </row>
    <row r="10510" spans="8:11" x14ac:dyDescent="0.25">
      <c r="H10510">
        <v>126</v>
      </c>
      <c r="I10510">
        <v>856</v>
      </c>
      <c r="J10510">
        <v>39</v>
      </c>
      <c r="K10510" t="b">
        <v>1</v>
      </c>
    </row>
    <row r="10511" spans="8:11" x14ac:dyDescent="0.25">
      <c r="H10511">
        <v>126</v>
      </c>
      <c r="I10511">
        <v>864</v>
      </c>
      <c r="J10511">
        <v>39</v>
      </c>
      <c r="K10511" t="b">
        <v>1</v>
      </c>
    </row>
    <row r="10512" spans="8:11" x14ac:dyDescent="0.25">
      <c r="H10512">
        <v>126</v>
      </c>
      <c r="I10512">
        <v>872</v>
      </c>
      <c r="J10512">
        <v>39</v>
      </c>
      <c r="K10512" t="b">
        <v>1</v>
      </c>
    </row>
    <row r="10513" spans="8:11" x14ac:dyDescent="0.25">
      <c r="H10513">
        <v>126</v>
      </c>
      <c r="I10513">
        <v>880</v>
      </c>
      <c r="J10513">
        <v>39</v>
      </c>
      <c r="K10513" t="b">
        <v>1</v>
      </c>
    </row>
    <row r="10514" spans="8:11" x14ac:dyDescent="0.25">
      <c r="H10514">
        <v>126</v>
      </c>
      <c r="I10514">
        <v>888</v>
      </c>
      <c r="J10514">
        <v>39</v>
      </c>
      <c r="K10514" t="b">
        <v>1</v>
      </c>
    </row>
    <row r="10515" spans="8:11" x14ac:dyDescent="0.25">
      <c r="H10515">
        <v>126</v>
      </c>
      <c r="I10515">
        <v>896</v>
      </c>
      <c r="J10515">
        <v>39</v>
      </c>
      <c r="K10515" t="b">
        <v>1</v>
      </c>
    </row>
    <row r="10516" spans="8:11" x14ac:dyDescent="0.25">
      <c r="H10516">
        <v>126</v>
      </c>
      <c r="I10516">
        <v>904</v>
      </c>
      <c r="J10516">
        <v>39</v>
      </c>
      <c r="K10516" t="b">
        <v>1</v>
      </c>
    </row>
    <row r="10517" spans="8:11" x14ac:dyDescent="0.25">
      <c r="H10517">
        <v>126</v>
      </c>
      <c r="I10517">
        <v>912</v>
      </c>
      <c r="J10517">
        <v>39</v>
      </c>
      <c r="K10517" t="b">
        <v>1</v>
      </c>
    </row>
    <row r="10518" spans="8:11" x14ac:dyDescent="0.25">
      <c r="H10518">
        <v>126</v>
      </c>
      <c r="I10518">
        <v>920</v>
      </c>
      <c r="J10518">
        <v>39</v>
      </c>
      <c r="K10518" t="b">
        <v>1</v>
      </c>
    </row>
    <row r="10519" spans="8:11" x14ac:dyDescent="0.25">
      <c r="H10519">
        <v>126</v>
      </c>
      <c r="I10519">
        <v>928</v>
      </c>
      <c r="J10519">
        <v>39</v>
      </c>
      <c r="K10519" t="b">
        <v>1</v>
      </c>
    </row>
    <row r="10520" spans="8:11" x14ac:dyDescent="0.25">
      <c r="H10520">
        <v>126</v>
      </c>
      <c r="I10520">
        <v>936</v>
      </c>
      <c r="J10520">
        <v>39</v>
      </c>
      <c r="K10520" t="b">
        <v>1</v>
      </c>
    </row>
    <row r="10521" spans="8:11" x14ac:dyDescent="0.25">
      <c r="H10521">
        <v>126</v>
      </c>
      <c r="I10521">
        <v>944</v>
      </c>
      <c r="J10521">
        <v>39</v>
      </c>
      <c r="K10521" t="b">
        <v>1</v>
      </c>
    </row>
    <row r="10522" spans="8:11" x14ac:dyDescent="0.25">
      <c r="H10522">
        <v>126</v>
      </c>
      <c r="I10522">
        <v>952</v>
      </c>
      <c r="J10522">
        <v>39</v>
      </c>
      <c r="K10522" t="b">
        <v>1</v>
      </c>
    </row>
    <row r="10523" spans="8:11" x14ac:dyDescent="0.25">
      <c r="H10523">
        <v>127</v>
      </c>
      <c r="I10523">
        <v>0</v>
      </c>
      <c r="J10523">
        <v>95</v>
      </c>
      <c r="K10523" t="b">
        <v>1</v>
      </c>
    </row>
    <row r="10524" spans="8:11" x14ac:dyDescent="0.25">
      <c r="H10524">
        <v>127</v>
      </c>
      <c r="I10524">
        <v>8</v>
      </c>
      <c r="J10524">
        <v>95</v>
      </c>
      <c r="K10524" t="b">
        <v>1</v>
      </c>
    </row>
    <row r="10525" spans="8:11" x14ac:dyDescent="0.25">
      <c r="H10525">
        <v>127</v>
      </c>
      <c r="I10525">
        <v>16</v>
      </c>
      <c r="J10525">
        <v>95</v>
      </c>
      <c r="K10525" t="b">
        <v>1</v>
      </c>
    </row>
    <row r="10526" spans="8:11" x14ac:dyDescent="0.25">
      <c r="H10526">
        <v>127</v>
      </c>
      <c r="I10526">
        <v>24</v>
      </c>
      <c r="J10526">
        <v>95</v>
      </c>
      <c r="K10526" t="b">
        <v>1</v>
      </c>
    </row>
    <row r="10527" spans="8:11" x14ac:dyDescent="0.25">
      <c r="H10527">
        <v>127</v>
      </c>
      <c r="I10527">
        <v>32</v>
      </c>
      <c r="J10527">
        <v>95</v>
      </c>
      <c r="K10527" t="b">
        <v>1</v>
      </c>
    </row>
    <row r="10528" spans="8:11" x14ac:dyDescent="0.25">
      <c r="H10528">
        <v>127</v>
      </c>
      <c r="I10528">
        <v>40</v>
      </c>
      <c r="J10528">
        <v>95</v>
      </c>
      <c r="K10528" t="b">
        <v>1</v>
      </c>
    </row>
    <row r="10529" spans="8:11" x14ac:dyDescent="0.25">
      <c r="H10529">
        <v>127</v>
      </c>
      <c r="I10529">
        <v>48</v>
      </c>
      <c r="J10529">
        <v>95</v>
      </c>
      <c r="K10529" t="b">
        <v>1</v>
      </c>
    </row>
    <row r="10530" spans="8:11" x14ac:dyDescent="0.25">
      <c r="H10530">
        <v>127</v>
      </c>
      <c r="I10530">
        <v>56</v>
      </c>
      <c r="J10530">
        <v>95</v>
      </c>
      <c r="K10530" t="b">
        <v>1</v>
      </c>
    </row>
    <row r="10531" spans="8:11" x14ac:dyDescent="0.25">
      <c r="H10531">
        <v>127</v>
      </c>
      <c r="I10531">
        <v>64</v>
      </c>
      <c r="J10531">
        <v>95</v>
      </c>
      <c r="K10531" t="b">
        <v>1</v>
      </c>
    </row>
    <row r="10532" spans="8:11" x14ac:dyDescent="0.25">
      <c r="H10532">
        <v>127</v>
      </c>
      <c r="I10532">
        <v>72</v>
      </c>
      <c r="J10532">
        <v>95</v>
      </c>
      <c r="K10532" t="b">
        <v>1</v>
      </c>
    </row>
    <row r="10533" spans="8:11" x14ac:dyDescent="0.25">
      <c r="H10533">
        <v>127</v>
      </c>
      <c r="I10533">
        <v>80</v>
      </c>
      <c r="J10533">
        <v>95</v>
      </c>
      <c r="K10533" t="b">
        <v>1</v>
      </c>
    </row>
    <row r="10534" spans="8:11" x14ac:dyDescent="0.25">
      <c r="H10534">
        <v>127</v>
      </c>
      <c r="I10534">
        <v>88</v>
      </c>
      <c r="J10534">
        <v>95</v>
      </c>
      <c r="K10534" t="b">
        <v>1</v>
      </c>
    </row>
    <row r="10535" spans="8:11" x14ac:dyDescent="0.25">
      <c r="H10535">
        <v>127</v>
      </c>
      <c r="I10535">
        <v>96</v>
      </c>
      <c r="J10535">
        <v>95</v>
      </c>
      <c r="K10535" t="b">
        <v>1</v>
      </c>
    </row>
    <row r="10536" spans="8:11" x14ac:dyDescent="0.25">
      <c r="H10536">
        <v>127</v>
      </c>
      <c r="I10536">
        <v>104</v>
      </c>
      <c r="J10536">
        <v>95</v>
      </c>
      <c r="K10536" t="b">
        <v>1</v>
      </c>
    </row>
    <row r="10537" spans="8:11" x14ac:dyDescent="0.25">
      <c r="H10537">
        <v>127</v>
      </c>
      <c r="I10537">
        <v>112</v>
      </c>
      <c r="J10537">
        <v>95</v>
      </c>
      <c r="K10537" t="b">
        <v>1</v>
      </c>
    </row>
    <row r="10538" spans="8:11" x14ac:dyDescent="0.25">
      <c r="H10538">
        <v>127</v>
      </c>
      <c r="I10538">
        <v>120</v>
      </c>
      <c r="J10538">
        <v>95</v>
      </c>
      <c r="K10538" t="b">
        <v>1</v>
      </c>
    </row>
    <row r="10539" spans="8:11" x14ac:dyDescent="0.25">
      <c r="H10539">
        <v>127</v>
      </c>
      <c r="I10539">
        <v>128</v>
      </c>
      <c r="J10539">
        <v>95</v>
      </c>
      <c r="K10539" t="b">
        <v>1</v>
      </c>
    </row>
    <row r="10540" spans="8:11" x14ac:dyDescent="0.25">
      <c r="H10540">
        <v>127</v>
      </c>
      <c r="I10540">
        <v>136</v>
      </c>
      <c r="J10540">
        <v>95</v>
      </c>
      <c r="K10540" t="b">
        <v>1</v>
      </c>
    </row>
    <row r="10541" spans="8:11" x14ac:dyDescent="0.25">
      <c r="H10541">
        <v>127</v>
      </c>
      <c r="I10541">
        <v>144</v>
      </c>
      <c r="J10541">
        <v>95</v>
      </c>
      <c r="K10541" t="b">
        <v>1</v>
      </c>
    </row>
    <row r="10542" spans="8:11" x14ac:dyDescent="0.25">
      <c r="H10542">
        <v>127</v>
      </c>
      <c r="I10542">
        <v>152</v>
      </c>
      <c r="J10542">
        <v>95</v>
      </c>
      <c r="K10542" t="b">
        <v>1</v>
      </c>
    </row>
    <row r="10543" spans="8:11" x14ac:dyDescent="0.25">
      <c r="H10543">
        <v>127</v>
      </c>
      <c r="I10543">
        <v>160</v>
      </c>
      <c r="J10543">
        <v>95</v>
      </c>
      <c r="K10543" t="b">
        <v>1</v>
      </c>
    </row>
    <row r="10544" spans="8:11" x14ac:dyDescent="0.25">
      <c r="H10544">
        <v>127</v>
      </c>
      <c r="I10544">
        <v>168</v>
      </c>
      <c r="J10544">
        <v>95</v>
      </c>
      <c r="K10544" t="b">
        <v>1</v>
      </c>
    </row>
    <row r="10545" spans="8:11" x14ac:dyDescent="0.25">
      <c r="H10545">
        <v>127</v>
      </c>
      <c r="I10545">
        <v>176</v>
      </c>
      <c r="J10545">
        <v>95</v>
      </c>
      <c r="K10545" t="b">
        <v>1</v>
      </c>
    </row>
    <row r="10546" spans="8:11" x14ac:dyDescent="0.25">
      <c r="H10546">
        <v>127</v>
      </c>
      <c r="I10546">
        <v>184</v>
      </c>
      <c r="J10546">
        <v>95</v>
      </c>
      <c r="K10546" t="b">
        <v>1</v>
      </c>
    </row>
    <row r="10547" spans="8:11" x14ac:dyDescent="0.25">
      <c r="H10547">
        <v>127</v>
      </c>
      <c r="I10547">
        <v>192</v>
      </c>
      <c r="J10547">
        <v>95</v>
      </c>
      <c r="K10547" t="b">
        <v>1</v>
      </c>
    </row>
    <row r="10548" spans="8:11" x14ac:dyDescent="0.25">
      <c r="H10548">
        <v>127</v>
      </c>
      <c r="I10548">
        <v>200</v>
      </c>
      <c r="J10548">
        <v>95</v>
      </c>
      <c r="K10548" t="b">
        <v>1</v>
      </c>
    </row>
    <row r="10549" spans="8:11" x14ac:dyDescent="0.25">
      <c r="H10549">
        <v>127</v>
      </c>
      <c r="I10549">
        <v>208</v>
      </c>
      <c r="J10549">
        <v>95</v>
      </c>
      <c r="K10549" t="b">
        <v>1</v>
      </c>
    </row>
    <row r="10550" spans="8:11" x14ac:dyDescent="0.25">
      <c r="H10550">
        <v>127</v>
      </c>
      <c r="I10550">
        <v>216</v>
      </c>
      <c r="J10550">
        <v>95</v>
      </c>
      <c r="K10550" t="b">
        <v>1</v>
      </c>
    </row>
    <row r="10551" spans="8:11" x14ac:dyDescent="0.25">
      <c r="H10551">
        <v>127</v>
      </c>
      <c r="I10551">
        <v>224</v>
      </c>
      <c r="J10551">
        <v>95</v>
      </c>
      <c r="K10551" t="b">
        <v>1</v>
      </c>
    </row>
    <row r="10552" spans="8:11" x14ac:dyDescent="0.25">
      <c r="H10552">
        <v>127</v>
      </c>
      <c r="I10552">
        <v>232</v>
      </c>
      <c r="J10552">
        <v>95</v>
      </c>
      <c r="K10552" t="b">
        <v>1</v>
      </c>
    </row>
    <row r="10553" spans="8:11" x14ac:dyDescent="0.25">
      <c r="H10553">
        <v>127</v>
      </c>
      <c r="I10553">
        <v>240</v>
      </c>
      <c r="J10553">
        <v>95</v>
      </c>
      <c r="K10553" t="b">
        <v>1</v>
      </c>
    </row>
    <row r="10554" spans="8:11" x14ac:dyDescent="0.25">
      <c r="H10554">
        <v>127</v>
      </c>
      <c r="I10554">
        <v>248</v>
      </c>
      <c r="J10554">
        <v>95</v>
      </c>
      <c r="K10554" t="b">
        <v>1</v>
      </c>
    </row>
    <row r="10555" spans="8:11" x14ac:dyDescent="0.25">
      <c r="H10555">
        <v>127</v>
      </c>
      <c r="I10555">
        <v>256</v>
      </c>
      <c r="J10555">
        <v>95</v>
      </c>
      <c r="K10555" t="b">
        <v>1</v>
      </c>
    </row>
    <row r="10556" spans="8:11" x14ac:dyDescent="0.25">
      <c r="H10556">
        <v>127</v>
      </c>
      <c r="I10556">
        <v>264</v>
      </c>
      <c r="J10556">
        <v>95</v>
      </c>
      <c r="K10556" t="b">
        <v>1</v>
      </c>
    </row>
    <row r="10557" spans="8:11" x14ac:dyDescent="0.25">
      <c r="H10557">
        <v>127</v>
      </c>
      <c r="I10557">
        <v>272</v>
      </c>
      <c r="J10557">
        <v>95</v>
      </c>
      <c r="K10557" t="b">
        <v>1</v>
      </c>
    </row>
    <row r="10558" spans="8:11" x14ac:dyDescent="0.25">
      <c r="H10558">
        <v>127</v>
      </c>
      <c r="I10558">
        <v>280</v>
      </c>
      <c r="J10558">
        <v>95</v>
      </c>
      <c r="K10558" t="b">
        <v>1</v>
      </c>
    </row>
    <row r="10559" spans="8:11" x14ac:dyDescent="0.25">
      <c r="H10559">
        <v>127</v>
      </c>
      <c r="I10559">
        <v>288</v>
      </c>
      <c r="J10559">
        <v>95</v>
      </c>
      <c r="K10559" t="b">
        <v>1</v>
      </c>
    </row>
    <row r="10560" spans="8:11" x14ac:dyDescent="0.25">
      <c r="H10560">
        <v>127</v>
      </c>
      <c r="I10560">
        <v>296</v>
      </c>
      <c r="J10560">
        <v>95</v>
      </c>
      <c r="K10560" t="b">
        <v>1</v>
      </c>
    </row>
    <row r="10561" spans="8:11" x14ac:dyDescent="0.25">
      <c r="H10561">
        <v>127</v>
      </c>
      <c r="I10561">
        <v>304</v>
      </c>
      <c r="J10561">
        <v>95</v>
      </c>
      <c r="K10561" t="b">
        <v>1</v>
      </c>
    </row>
    <row r="10562" spans="8:11" x14ac:dyDescent="0.25">
      <c r="H10562">
        <v>127</v>
      </c>
      <c r="I10562">
        <v>312</v>
      </c>
      <c r="J10562">
        <v>95</v>
      </c>
      <c r="K10562" t="b">
        <v>1</v>
      </c>
    </row>
    <row r="10563" spans="8:11" x14ac:dyDescent="0.25">
      <c r="H10563">
        <v>127</v>
      </c>
      <c r="I10563">
        <v>320</v>
      </c>
      <c r="J10563">
        <v>95</v>
      </c>
      <c r="K10563" t="b">
        <v>1</v>
      </c>
    </row>
    <row r="10564" spans="8:11" x14ac:dyDescent="0.25">
      <c r="H10564">
        <v>127</v>
      </c>
      <c r="I10564">
        <v>328</v>
      </c>
      <c r="J10564">
        <v>95</v>
      </c>
      <c r="K10564" t="b">
        <v>1</v>
      </c>
    </row>
    <row r="10565" spans="8:11" x14ac:dyDescent="0.25">
      <c r="H10565">
        <v>127</v>
      </c>
      <c r="I10565">
        <v>336</v>
      </c>
      <c r="J10565">
        <v>95</v>
      </c>
      <c r="K10565" t="b">
        <v>1</v>
      </c>
    </row>
    <row r="10566" spans="8:11" x14ac:dyDescent="0.25">
      <c r="H10566">
        <v>127</v>
      </c>
      <c r="I10566">
        <v>344</v>
      </c>
      <c r="J10566">
        <v>95</v>
      </c>
      <c r="K10566" t="b">
        <v>1</v>
      </c>
    </row>
    <row r="10567" spans="8:11" x14ac:dyDescent="0.25">
      <c r="H10567">
        <v>127</v>
      </c>
      <c r="I10567">
        <v>352</v>
      </c>
      <c r="J10567">
        <v>95</v>
      </c>
      <c r="K10567" t="b">
        <v>1</v>
      </c>
    </row>
    <row r="10568" spans="8:11" x14ac:dyDescent="0.25">
      <c r="H10568">
        <v>127</v>
      </c>
      <c r="I10568">
        <v>360</v>
      </c>
      <c r="J10568">
        <v>95</v>
      </c>
      <c r="K10568" t="b">
        <v>1</v>
      </c>
    </row>
    <row r="10569" spans="8:11" x14ac:dyDescent="0.25">
      <c r="H10569">
        <v>127</v>
      </c>
      <c r="I10569">
        <v>368</v>
      </c>
      <c r="J10569">
        <v>95</v>
      </c>
      <c r="K10569" t="b">
        <v>1</v>
      </c>
    </row>
    <row r="10570" spans="8:11" x14ac:dyDescent="0.25">
      <c r="H10570">
        <v>127</v>
      </c>
      <c r="I10570">
        <v>376</v>
      </c>
      <c r="J10570">
        <v>95</v>
      </c>
      <c r="K10570" t="b">
        <v>1</v>
      </c>
    </row>
    <row r="10571" spans="8:11" x14ac:dyDescent="0.25">
      <c r="H10571">
        <v>127</v>
      </c>
      <c r="I10571">
        <v>384</v>
      </c>
      <c r="J10571">
        <v>95</v>
      </c>
      <c r="K10571" t="b">
        <v>1</v>
      </c>
    </row>
    <row r="10572" spans="8:11" x14ac:dyDescent="0.25">
      <c r="H10572">
        <v>127</v>
      </c>
      <c r="I10572">
        <v>392</v>
      </c>
      <c r="J10572">
        <v>95</v>
      </c>
      <c r="K10572" t="b">
        <v>1</v>
      </c>
    </row>
    <row r="10573" spans="8:11" x14ac:dyDescent="0.25">
      <c r="H10573">
        <v>127</v>
      </c>
      <c r="I10573">
        <v>400</v>
      </c>
      <c r="J10573">
        <v>95</v>
      </c>
      <c r="K10573" t="b">
        <v>1</v>
      </c>
    </row>
    <row r="10574" spans="8:11" x14ac:dyDescent="0.25">
      <c r="H10574">
        <v>127</v>
      </c>
      <c r="I10574">
        <v>408</v>
      </c>
      <c r="J10574">
        <v>95</v>
      </c>
      <c r="K10574" t="b">
        <v>1</v>
      </c>
    </row>
    <row r="10575" spans="8:11" x14ac:dyDescent="0.25">
      <c r="H10575">
        <v>127</v>
      </c>
      <c r="I10575">
        <v>416</v>
      </c>
      <c r="J10575">
        <v>95</v>
      </c>
      <c r="K10575" t="b">
        <v>1</v>
      </c>
    </row>
    <row r="10576" spans="8:11" x14ac:dyDescent="0.25">
      <c r="H10576">
        <v>127</v>
      </c>
      <c r="I10576">
        <v>424</v>
      </c>
      <c r="J10576">
        <v>95</v>
      </c>
      <c r="K10576" t="b">
        <v>1</v>
      </c>
    </row>
    <row r="10577" spans="8:11" x14ac:dyDescent="0.25">
      <c r="H10577">
        <v>127</v>
      </c>
      <c r="I10577">
        <v>432</v>
      </c>
      <c r="J10577">
        <v>95</v>
      </c>
      <c r="K10577" t="b">
        <v>1</v>
      </c>
    </row>
    <row r="10578" spans="8:11" x14ac:dyDescent="0.25">
      <c r="H10578">
        <v>127</v>
      </c>
      <c r="I10578">
        <v>440</v>
      </c>
      <c r="J10578">
        <v>95</v>
      </c>
      <c r="K10578" t="b">
        <v>1</v>
      </c>
    </row>
    <row r="10579" spans="8:11" x14ac:dyDescent="0.25">
      <c r="H10579">
        <v>127</v>
      </c>
      <c r="I10579">
        <v>448</v>
      </c>
      <c r="J10579">
        <v>95</v>
      </c>
      <c r="K10579" t="b">
        <v>1</v>
      </c>
    </row>
    <row r="10580" spans="8:11" x14ac:dyDescent="0.25">
      <c r="H10580">
        <v>127</v>
      </c>
      <c r="I10580">
        <v>456</v>
      </c>
      <c r="J10580">
        <v>95</v>
      </c>
      <c r="K10580" t="b">
        <v>1</v>
      </c>
    </row>
    <row r="10581" spans="8:11" x14ac:dyDescent="0.25">
      <c r="H10581">
        <v>127</v>
      </c>
      <c r="I10581">
        <v>464</v>
      </c>
      <c r="J10581">
        <v>95</v>
      </c>
      <c r="K10581" t="b">
        <v>1</v>
      </c>
    </row>
    <row r="10582" spans="8:11" x14ac:dyDescent="0.25">
      <c r="H10582">
        <v>127</v>
      </c>
      <c r="I10582">
        <v>472</v>
      </c>
      <c r="J10582">
        <v>95</v>
      </c>
      <c r="K10582" t="b">
        <v>1</v>
      </c>
    </row>
    <row r="10583" spans="8:11" x14ac:dyDescent="0.25">
      <c r="H10583">
        <v>127</v>
      </c>
      <c r="I10583">
        <v>480</v>
      </c>
      <c r="J10583">
        <v>95</v>
      </c>
      <c r="K10583" t="b">
        <v>1</v>
      </c>
    </row>
    <row r="10584" spans="8:11" x14ac:dyDescent="0.25">
      <c r="H10584">
        <v>127</v>
      </c>
      <c r="I10584">
        <v>488</v>
      </c>
      <c r="J10584">
        <v>95</v>
      </c>
      <c r="K10584" t="b">
        <v>1</v>
      </c>
    </row>
    <row r="10585" spans="8:11" x14ac:dyDescent="0.25">
      <c r="H10585">
        <v>127</v>
      </c>
      <c r="I10585">
        <v>496</v>
      </c>
      <c r="J10585">
        <v>95</v>
      </c>
      <c r="K10585" t="b">
        <v>1</v>
      </c>
    </row>
    <row r="10586" spans="8:11" x14ac:dyDescent="0.25">
      <c r="H10586">
        <v>127</v>
      </c>
      <c r="I10586">
        <v>504</v>
      </c>
      <c r="J10586">
        <v>95</v>
      </c>
      <c r="K10586" t="b">
        <v>1</v>
      </c>
    </row>
    <row r="10587" spans="8:11" x14ac:dyDescent="0.25">
      <c r="H10587">
        <v>127</v>
      </c>
      <c r="I10587">
        <v>512</v>
      </c>
      <c r="J10587">
        <v>95</v>
      </c>
      <c r="K10587" t="b">
        <v>1</v>
      </c>
    </row>
    <row r="10588" spans="8:11" x14ac:dyDescent="0.25">
      <c r="H10588">
        <v>127</v>
      </c>
      <c r="I10588">
        <v>520</v>
      </c>
      <c r="J10588">
        <v>95</v>
      </c>
      <c r="K10588" t="b">
        <v>1</v>
      </c>
    </row>
    <row r="10589" spans="8:11" x14ac:dyDescent="0.25">
      <c r="H10589">
        <v>127</v>
      </c>
      <c r="I10589">
        <v>528</v>
      </c>
      <c r="J10589">
        <v>95</v>
      </c>
      <c r="K10589" t="b">
        <v>1</v>
      </c>
    </row>
    <row r="10590" spans="8:11" x14ac:dyDescent="0.25">
      <c r="H10590">
        <v>127</v>
      </c>
      <c r="I10590">
        <v>536</v>
      </c>
      <c r="J10590">
        <v>95</v>
      </c>
      <c r="K10590" t="b">
        <v>1</v>
      </c>
    </row>
    <row r="10591" spans="8:11" x14ac:dyDescent="0.25">
      <c r="H10591">
        <v>127</v>
      </c>
      <c r="I10591">
        <v>544</v>
      </c>
      <c r="J10591">
        <v>95</v>
      </c>
      <c r="K10591" t="b">
        <v>1</v>
      </c>
    </row>
    <row r="10592" spans="8:11" x14ac:dyDescent="0.25">
      <c r="H10592">
        <v>127</v>
      </c>
      <c r="I10592">
        <v>552</v>
      </c>
      <c r="J10592">
        <v>95</v>
      </c>
      <c r="K10592" t="b">
        <v>1</v>
      </c>
    </row>
    <row r="10593" spans="8:11" x14ac:dyDescent="0.25">
      <c r="H10593">
        <v>127</v>
      </c>
      <c r="I10593">
        <v>560</v>
      </c>
      <c r="J10593">
        <v>95</v>
      </c>
      <c r="K10593" t="b">
        <v>1</v>
      </c>
    </row>
    <row r="10594" spans="8:11" x14ac:dyDescent="0.25">
      <c r="H10594">
        <v>127</v>
      </c>
      <c r="I10594">
        <v>568</v>
      </c>
      <c r="J10594">
        <v>95</v>
      </c>
      <c r="K10594" t="b">
        <v>1</v>
      </c>
    </row>
    <row r="10595" spans="8:11" x14ac:dyDescent="0.25">
      <c r="H10595">
        <v>127</v>
      </c>
      <c r="I10595">
        <v>576</v>
      </c>
      <c r="J10595">
        <v>95</v>
      </c>
      <c r="K10595" t="b">
        <v>1</v>
      </c>
    </row>
    <row r="10596" spans="8:11" x14ac:dyDescent="0.25">
      <c r="H10596">
        <v>127</v>
      </c>
      <c r="I10596">
        <v>584</v>
      </c>
      <c r="J10596">
        <v>95</v>
      </c>
      <c r="K10596" t="b">
        <v>1</v>
      </c>
    </row>
    <row r="10597" spans="8:11" x14ac:dyDescent="0.25">
      <c r="H10597">
        <v>127</v>
      </c>
      <c r="I10597">
        <v>592</v>
      </c>
      <c r="J10597">
        <v>95</v>
      </c>
      <c r="K10597" t="b">
        <v>1</v>
      </c>
    </row>
    <row r="10598" spans="8:11" x14ac:dyDescent="0.25">
      <c r="H10598">
        <v>127</v>
      </c>
      <c r="I10598">
        <v>600</v>
      </c>
      <c r="J10598">
        <v>95</v>
      </c>
      <c r="K10598" t="b">
        <v>1</v>
      </c>
    </row>
    <row r="10599" spans="8:11" x14ac:dyDescent="0.25">
      <c r="H10599">
        <v>127</v>
      </c>
      <c r="I10599">
        <v>608</v>
      </c>
      <c r="J10599">
        <v>95</v>
      </c>
      <c r="K10599" t="b">
        <v>1</v>
      </c>
    </row>
    <row r="10600" spans="8:11" x14ac:dyDescent="0.25">
      <c r="H10600">
        <v>127</v>
      </c>
      <c r="I10600">
        <v>616</v>
      </c>
      <c r="J10600">
        <v>95</v>
      </c>
      <c r="K10600" t="b">
        <v>1</v>
      </c>
    </row>
    <row r="10601" spans="8:11" x14ac:dyDescent="0.25">
      <c r="H10601">
        <v>127</v>
      </c>
      <c r="I10601">
        <v>624</v>
      </c>
      <c r="J10601">
        <v>95</v>
      </c>
      <c r="K10601" t="b">
        <v>1</v>
      </c>
    </row>
    <row r="10602" spans="8:11" x14ac:dyDescent="0.25">
      <c r="H10602">
        <v>127</v>
      </c>
      <c r="I10602">
        <v>632</v>
      </c>
      <c r="J10602">
        <v>95</v>
      </c>
      <c r="K10602" t="b">
        <v>1</v>
      </c>
    </row>
    <row r="10603" spans="8:11" x14ac:dyDescent="0.25">
      <c r="H10603">
        <v>127</v>
      </c>
      <c r="I10603">
        <v>640</v>
      </c>
      <c r="J10603">
        <v>95</v>
      </c>
      <c r="K10603" t="b">
        <v>1</v>
      </c>
    </row>
    <row r="10604" spans="8:11" x14ac:dyDescent="0.25">
      <c r="H10604">
        <v>127</v>
      </c>
      <c r="I10604">
        <v>648</v>
      </c>
      <c r="J10604">
        <v>95</v>
      </c>
      <c r="K10604" t="b">
        <v>1</v>
      </c>
    </row>
    <row r="10605" spans="8:11" x14ac:dyDescent="0.25">
      <c r="H10605">
        <v>127</v>
      </c>
      <c r="I10605">
        <v>656</v>
      </c>
      <c r="J10605">
        <v>95</v>
      </c>
      <c r="K10605" t="b">
        <v>1</v>
      </c>
    </row>
    <row r="10606" spans="8:11" x14ac:dyDescent="0.25">
      <c r="H10606">
        <v>127</v>
      </c>
      <c r="I10606">
        <v>664</v>
      </c>
      <c r="J10606">
        <v>95</v>
      </c>
      <c r="K10606" t="b">
        <v>1</v>
      </c>
    </row>
    <row r="10607" spans="8:11" x14ac:dyDescent="0.25">
      <c r="H10607">
        <v>127</v>
      </c>
      <c r="I10607">
        <v>672</v>
      </c>
      <c r="J10607">
        <v>95</v>
      </c>
      <c r="K10607" t="b">
        <v>1</v>
      </c>
    </row>
    <row r="10608" spans="8:11" x14ac:dyDescent="0.25">
      <c r="H10608">
        <v>127</v>
      </c>
      <c r="I10608">
        <v>680</v>
      </c>
      <c r="J10608">
        <v>95</v>
      </c>
      <c r="K10608" t="b">
        <v>1</v>
      </c>
    </row>
    <row r="10609" spans="8:11" x14ac:dyDescent="0.25">
      <c r="H10609">
        <v>127</v>
      </c>
      <c r="I10609">
        <v>688</v>
      </c>
      <c r="J10609">
        <v>95</v>
      </c>
      <c r="K10609" t="b">
        <v>1</v>
      </c>
    </row>
    <row r="10610" spans="8:11" x14ac:dyDescent="0.25">
      <c r="H10610">
        <v>127</v>
      </c>
      <c r="I10610">
        <v>696</v>
      </c>
      <c r="J10610">
        <v>95</v>
      </c>
      <c r="K10610" t="b">
        <v>1</v>
      </c>
    </row>
    <row r="10611" spans="8:11" x14ac:dyDescent="0.25">
      <c r="H10611">
        <v>127</v>
      </c>
      <c r="I10611">
        <v>704</v>
      </c>
      <c r="J10611">
        <v>95</v>
      </c>
      <c r="K10611" t="b">
        <v>1</v>
      </c>
    </row>
    <row r="10612" spans="8:11" x14ac:dyDescent="0.25">
      <c r="H10612">
        <v>127</v>
      </c>
      <c r="I10612">
        <v>712</v>
      </c>
      <c r="J10612">
        <v>95</v>
      </c>
      <c r="K10612" t="b">
        <v>1</v>
      </c>
    </row>
    <row r="10613" spans="8:11" x14ac:dyDescent="0.25">
      <c r="H10613">
        <v>127</v>
      </c>
      <c r="I10613">
        <v>720</v>
      </c>
      <c r="J10613">
        <v>95</v>
      </c>
      <c r="K10613" t="b">
        <v>1</v>
      </c>
    </row>
    <row r="10614" spans="8:11" x14ac:dyDescent="0.25">
      <c r="H10614">
        <v>127</v>
      </c>
      <c r="I10614">
        <v>728</v>
      </c>
      <c r="J10614">
        <v>95</v>
      </c>
      <c r="K10614" t="b">
        <v>1</v>
      </c>
    </row>
    <row r="10615" spans="8:11" x14ac:dyDescent="0.25">
      <c r="H10615">
        <v>127</v>
      </c>
      <c r="I10615">
        <v>736</v>
      </c>
      <c r="J10615">
        <v>95</v>
      </c>
      <c r="K10615" t="b">
        <v>1</v>
      </c>
    </row>
    <row r="10616" spans="8:11" x14ac:dyDescent="0.25">
      <c r="H10616">
        <v>127</v>
      </c>
      <c r="I10616">
        <v>744</v>
      </c>
      <c r="J10616">
        <v>95</v>
      </c>
      <c r="K10616" t="b">
        <v>1</v>
      </c>
    </row>
    <row r="10617" spans="8:11" x14ac:dyDescent="0.25">
      <c r="H10617">
        <v>127</v>
      </c>
      <c r="I10617">
        <v>752</v>
      </c>
      <c r="J10617">
        <v>95</v>
      </c>
      <c r="K10617" t="b">
        <v>1</v>
      </c>
    </row>
    <row r="10618" spans="8:11" x14ac:dyDescent="0.25">
      <c r="H10618">
        <v>127</v>
      </c>
      <c r="I10618">
        <v>760</v>
      </c>
      <c r="J10618">
        <v>95</v>
      </c>
      <c r="K10618" t="b">
        <v>1</v>
      </c>
    </row>
    <row r="10619" spans="8:11" x14ac:dyDescent="0.25">
      <c r="H10619">
        <v>127</v>
      </c>
      <c r="I10619">
        <v>768</v>
      </c>
      <c r="J10619">
        <v>95</v>
      </c>
      <c r="K10619" t="b">
        <v>1</v>
      </c>
    </row>
    <row r="10620" spans="8:11" x14ac:dyDescent="0.25">
      <c r="H10620">
        <v>127</v>
      </c>
      <c r="I10620">
        <v>776</v>
      </c>
      <c r="J10620">
        <v>95</v>
      </c>
      <c r="K10620" t="b">
        <v>1</v>
      </c>
    </row>
    <row r="10621" spans="8:11" x14ac:dyDescent="0.25">
      <c r="H10621">
        <v>127</v>
      </c>
      <c r="I10621">
        <v>784</v>
      </c>
      <c r="J10621">
        <v>95</v>
      </c>
      <c r="K10621" t="b">
        <v>1</v>
      </c>
    </row>
    <row r="10622" spans="8:11" x14ac:dyDescent="0.25">
      <c r="H10622">
        <v>127</v>
      </c>
      <c r="I10622">
        <v>792</v>
      </c>
      <c r="J10622">
        <v>95</v>
      </c>
      <c r="K10622" t="b">
        <v>1</v>
      </c>
    </row>
    <row r="10623" spans="8:11" x14ac:dyDescent="0.25">
      <c r="H10623">
        <v>127</v>
      </c>
      <c r="I10623">
        <v>800</v>
      </c>
      <c r="J10623">
        <v>95</v>
      </c>
      <c r="K10623" t="b">
        <v>1</v>
      </c>
    </row>
    <row r="10624" spans="8:11" x14ac:dyDescent="0.25">
      <c r="H10624">
        <v>127</v>
      </c>
      <c r="I10624">
        <v>808</v>
      </c>
      <c r="J10624">
        <v>95</v>
      </c>
      <c r="K10624" t="b">
        <v>1</v>
      </c>
    </row>
    <row r="10625" spans="8:11" x14ac:dyDescent="0.25">
      <c r="H10625">
        <v>127</v>
      </c>
      <c r="I10625">
        <v>816</v>
      </c>
      <c r="J10625">
        <v>95</v>
      </c>
      <c r="K10625" t="b">
        <v>1</v>
      </c>
    </row>
    <row r="10626" spans="8:11" x14ac:dyDescent="0.25">
      <c r="H10626">
        <v>127</v>
      </c>
      <c r="I10626">
        <v>824</v>
      </c>
      <c r="J10626">
        <v>95</v>
      </c>
      <c r="K10626" t="b">
        <v>1</v>
      </c>
    </row>
    <row r="10627" spans="8:11" x14ac:dyDescent="0.25">
      <c r="H10627">
        <v>127</v>
      </c>
      <c r="I10627">
        <v>832</v>
      </c>
      <c r="J10627">
        <v>95</v>
      </c>
      <c r="K10627" t="b">
        <v>1</v>
      </c>
    </row>
    <row r="10628" spans="8:11" x14ac:dyDescent="0.25">
      <c r="H10628">
        <v>127</v>
      </c>
      <c r="I10628">
        <v>840</v>
      </c>
      <c r="J10628">
        <v>95</v>
      </c>
      <c r="K10628" t="b">
        <v>1</v>
      </c>
    </row>
    <row r="10629" spans="8:11" x14ac:dyDescent="0.25">
      <c r="H10629">
        <v>127</v>
      </c>
      <c r="I10629">
        <v>848</v>
      </c>
      <c r="J10629">
        <v>95</v>
      </c>
      <c r="K10629" t="b">
        <v>1</v>
      </c>
    </row>
    <row r="10630" spans="8:11" x14ac:dyDescent="0.25">
      <c r="H10630">
        <v>127</v>
      </c>
      <c r="I10630">
        <v>856</v>
      </c>
      <c r="J10630">
        <v>95</v>
      </c>
      <c r="K10630" t="b">
        <v>1</v>
      </c>
    </row>
    <row r="10631" spans="8:11" x14ac:dyDescent="0.25">
      <c r="H10631">
        <v>127</v>
      </c>
      <c r="I10631">
        <v>864</v>
      </c>
      <c r="J10631">
        <v>95</v>
      </c>
      <c r="K10631" t="b">
        <v>1</v>
      </c>
    </row>
    <row r="10632" spans="8:11" x14ac:dyDescent="0.25">
      <c r="H10632">
        <v>127</v>
      </c>
      <c r="I10632">
        <v>872</v>
      </c>
      <c r="J10632">
        <v>95</v>
      </c>
      <c r="K10632" t="b">
        <v>1</v>
      </c>
    </row>
    <row r="10633" spans="8:11" x14ac:dyDescent="0.25">
      <c r="H10633">
        <v>127</v>
      </c>
      <c r="I10633">
        <v>880</v>
      </c>
      <c r="J10633">
        <v>95</v>
      </c>
      <c r="K10633" t="b">
        <v>1</v>
      </c>
    </row>
    <row r="10634" spans="8:11" x14ac:dyDescent="0.25">
      <c r="H10634">
        <v>127</v>
      </c>
      <c r="I10634">
        <v>888</v>
      </c>
      <c r="J10634">
        <v>95</v>
      </c>
      <c r="K10634" t="b">
        <v>1</v>
      </c>
    </row>
    <row r="10635" spans="8:11" x14ac:dyDescent="0.25">
      <c r="H10635">
        <v>127</v>
      </c>
      <c r="I10635">
        <v>896</v>
      </c>
      <c r="J10635">
        <v>95</v>
      </c>
      <c r="K10635" t="b">
        <v>1</v>
      </c>
    </row>
    <row r="10636" spans="8:11" x14ac:dyDescent="0.25">
      <c r="H10636">
        <v>127</v>
      </c>
      <c r="I10636">
        <v>904</v>
      </c>
      <c r="J10636">
        <v>95</v>
      </c>
      <c r="K10636" t="b">
        <v>1</v>
      </c>
    </row>
    <row r="10637" spans="8:11" x14ac:dyDescent="0.25">
      <c r="H10637">
        <v>127</v>
      </c>
      <c r="I10637">
        <v>912</v>
      </c>
      <c r="J10637">
        <v>95</v>
      </c>
      <c r="K10637" t="b">
        <v>1</v>
      </c>
    </row>
    <row r="10638" spans="8:11" x14ac:dyDescent="0.25">
      <c r="H10638">
        <v>127</v>
      </c>
      <c r="I10638">
        <v>920</v>
      </c>
      <c r="J10638">
        <v>95</v>
      </c>
      <c r="K10638" t="b">
        <v>1</v>
      </c>
    </row>
    <row r="10639" spans="8:11" x14ac:dyDescent="0.25">
      <c r="H10639">
        <v>127</v>
      </c>
      <c r="I10639">
        <v>928</v>
      </c>
      <c r="J10639">
        <v>95</v>
      </c>
      <c r="K10639" t="b">
        <v>1</v>
      </c>
    </row>
    <row r="10640" spans="8:11" x14ac:dyDescent="0.25">
      <c r="H10640">
        <v>127</v>
      </c>
      <c r="I10640">
        <v>936</v>
      </c>
      <c r="J10640">
        <v>95</v>
      </c>
      <c r="K10640" t="b">
        <v>1</v>
      </c>
    </row>
    <row r="10641" spans="8:11" x14ac:dyDescent="0.25">
      <c r="H10641">
        <v>127</v>
      </c>
      <c r="I10641">
        <v>944</v>
      </c>
      <c r="J10641">
        <v>95</v>
      </c>
      <c r="K10641" t="b">
        <v>1</v>
      </c>
    </row>
    <row r="10642" spans="8:11" x14ac:dyDescent="0.25">
      <c r="H10642">
        <v>127</v>
      </c>
      <c r="I10642">
        <v>952</v>
      </c>
      <c r="J10642">
        <v>95</v>
      </c>
      <c r="K10642" t="b">
        <v>1</v>
      </c>
    </row>
    <row r="10643" spans="8:11" x14ac:dyDescent="0.25">
      <c r="H10643">
        <v>128</v>
      </c>
      <c r="I10643">
        <v>0</v>
      </c>
      <c r="J10643">
        <v>95</v>
      </c>
      <c r="K10643" t="b">
        <v>1</v>
      </c>
    </row>
    <row r="10644" spans="8:11" x14ac:dyDescent="0.25">
      <c r="H10644">
        <v>128</v>
      </c>
      <c r="I10644">
        <v>8</v>
      </c>
      <c r="J10644">
        <v>95</v>
      </c>
      <c r="K10644" t="b">
        <v>1</v>
      </c>
    </row>
    <row r="10645" spans="8:11" x14ac:dyDescent="0.25">
      <c r="H10645">
        <v>128</v>
      </c>
      <c r="I10645">
        <v>16</v>
      </c>
      <c r="J10645">
        <v>95</v>
      </c>
      <c r="K10645" t="b">
        <v>1</v>
      </c>
    </row>
    <row r="10646" spans="8:11" x14ac:dyDescent="0.25">
      <c r="H10646">
        <v>128</v>
      </c>
      <c r="I10646">
        <v>24</v>
      </c>
      <c r="J10646">
        <v>95</v>
      </c>
      <c r="K10646" t="b">
        <v>1</v>
      </c>
    </row>
    <row r="10647" spans="8:11" x14ac:dyDescent="0.25">
      <c r="H10647">
        <v>128</v>
      </c>
      <c r="I10647">
        <v>32</v>
      </c>
      <c r="J10647">
        <v>95</v>
      </c>
      <c r="K10647" t="b">
        <v>1</v>
      </c>
    </row>
    <row r="10648" spans="8:11" x14ac:dyDescent="0.25">
      <c r="H10648">
        <v>128</v>
      </c>
      <c r="I10648">
        <v>40</v>
      </c>
      <c r="J10648">
        <v>95</v>
      </c>
      <c r="K10648" t="b">
        <v>1</v>
      </c>
    </row>
    <row r="10649" spans="8:11" x14ac:dyDescent="0.25">
      <c r="H10649">
        <v>128</v>
      </c>
      <c r="I10649">
        <v>48</v>
      </c>
      <c r="J10649">
        <v>95</v>
      </c>
      <c r="K10649" t="b">
        <v>1</v>
      </c>
    </row>
    <row r="10650" spans="8:11" x14ac:dyDescent="0.25">
      <c r="H10650">
        <v>128</v>
      </c>
      <c r="I10650">
        <v>56</v>
      </c>
      <c r="J10650">
        <v>95</v>
      </c>
      <c r="K10650" t="b">
        <v>1</v>
      </c>
    </row>
    <row r="10651" spans="8:11" x14ac:dyDescent="0.25">
      <c r="H10651">
        <v>128</v>
      </c>
      <c r="I10651">
        <v>64</v>
      </c>
      <c r="J10651">
        <v>95</v>
      </c>
      <c r="K10651" t="b">
        <v>1</v>
      </c>
    </row>
    <row r="10652" spans="8:11" x14ac:dyDescent="0.25">
      <c r="H10652">
        <v>128</v>
      </c>
      <c r="I10652">
        <v>72</v>
      </c>
      <c r="J10652">
        <v>95</v>
      </c>
      <c r="K10652" t="b">
        <v>1</v>
      </c>
    </row>
    <row r="10653" spans="8:11" x14ac:dyDescent="0.25">
      <c r="H10653">
        <v>128</v>
      </c>
      <c r="I10653">
        <v>80</v>
      </c>
      <c r="J10653">
        <v>95</v>
      </c>
      <c r="K10653" t="b">
        <v>1</v>
      </c>
    </row>
    <row r="10654" spans="8:11" x14ac:dyDescent="0.25">
      <c r="H10654">
        <v>128</v>
      </c>
      <c r="I10654">
        <v>88</v>
      </c>
      <c r="J10654">
        <v>95</v>
      </c>
      <c r="K10654" t="b">
        <v>1</v>
      </c>
    </row>
    <row r="10655" spans="8:11" x14ac:dyDescent="0.25">
      <c r="H10655">
        <v>128</v>
      </c>
      <c r="I10655">
        <v>96</v>
      </c>
      <c r="J10655">
        <v>95</v>
      </c>
      <c r="K10655" t="b">
        <v>1</v>
      </c>
    </row>
    <row r="10656" spans="8:11" x14ac:dyDescent="0.25">
      <c r="H10656">
        <v>128</v>
      </c>
      <c r="I10656">
        <v>104</v>
      </c>
      <c r="J10656">
        <v>95</v>
      </c>
      <c r="K10656" t="b">
        <v>1</v>
      </c>
    </row>
    <row r="10657" spans="8:11" x14ac:dyDescent="0.25">
      <c r="H10657">
        <v>128</v>
      </c>
      <c r="I10657">
        <v>112</v>
      </c>
      <c r="J10657">
        <v>95</v>
      </c>
      <c r="K10657" t="b">
        <v>1</v>
      </c>
    </row>
    <row r="10658" spans="8:11" x14ac:dyDescent="0.25">
      <c r="H10658">
        <v>128</v>
      </c>
      <c r="I10658">
        <v>120</v>
      </c>
      <c r="J10658">
        <v>95</v>
      </c>
      <c r="K10658" t="b">
        <v>1</v>
      </c>
    </row>
    <row r="10659" spans="8:11" x14ac:dyDescent="0.25">
      <c r="H10659">
        <v>128</v>
      </c>
      <c r="I10659">
        <v>128</v>
      </c>
      <c r="J10659">
        <v>95</v>
      </c>
      <c r="K10659" t="b">
        <v>1</v>
      </c>
    </row>
    <row r="10660" spans="8:11" x14ac:dyDescent="0.25">
      <c r="H10660">
        <v>128</v>
      </c>
      <c r="I10660">
        <v>136</v>
      </c>
      <c r="J10660">
        <v>95</v>
      </c>
      <c r="K10660" t="b">
        <v>1</v>
      </c>
    </row>
    <row r="10661" spans="8:11" x14ac:dyDescent="0.25">
      <c r="H10661">
        <v>128</v>
      </c>
      <c r="I10661">
        <v>144</v>
      </c>
      <c r="J10661">
        <v>95</v>
      </c>
      <c r="K10661" t="b">
        <v>1</v>
      </c>
    </row>
    <row r="10662" spans="8:11" x14ac:dyDescent="0.25">
      <c r="H10662">
        <v>128</v>
      </c>
      <c r="I10662">
        <v>152</v>
      </c>
      <c r="J10662">
        <v>95</v>
      </c>
      <c r="K10662" t="b">
        <v>1</v>
      </c>
    </row>
    <row r="10663" spans="8:11" x14ac:dyDescent="0.25">
      <c r="H10663">
        <v>128</v>
      </c>
      <c r="I10663">
        <v>160</v>
      </c>
      <c r="J10663">
        <v>95</v>
      </c>
      <c r="K10663" t="b">
        <v>1</v>
      </c>
    </row>
    <row r="10664" spans="8:11" x14ac:dyDescent="0.25">
      <c r="H10664">
        <v>128</v>
      </c>
      <c r="I10664">
        <v>168</v>
      </c>
      <c r="J10664">
        <v>95</v>
      </c>
      <c r="K10664" t="b">
        <v>1</v>
      </c>
    </row>
    <row r="10665" spans="8:11" x14ac:dyDescent="0.25">
      <c r="H10665">
        <v>128</v>
      </c>
      <c r="I10665">
        <v>176</v>
      </c>
      <c r="J10665">
        <v>95</v>
      </c>
      <c r="K10665" t="b">
        <v>1</v>
      </c>
    </row>
    <row r="10666" spans="8:11" x14ac:dyDescent="0.25">
      <c r="H10666">
        <v>128</v>
      </c>
      <c r="I10666">
        <v>184</v>
      </c>
      <c r="J10666">
        <v>95</v>
      </c>
      <c r="K10666" t="b">
        <v>1</v>
      </c>
    </row>
    <row r="10667" spans="8:11" x14ac:dyDescent="0.25">
      <c r="H10667">
        <v>128</v>
      </c>
      <c r="I10667">
        <v>192</v>
      </c>
      <c r="J10667">
        <v>95</v>
      </c>
      <c r="K10667" t="b">
        <v>1</v>
      </c>
    </row>
    <row r="10668" spans="8:11" x14ac:dyDescent="0.25">
      <c r="H10668">
        <v>128</v>
      </c>
      <c r="I10668">
        <v>200</v>
      </c>
      <c r="J10668">
        <v>95</v>
      </c>
      <c r="K10668" t="b">
        <v>1</v>
      </c>
    </row>
    <row r="10669" spans="8:11" x14ac:dyDescent="0.25">
      <c r="H10669">
        <v>128</v>
      </c>
      <c r="I10669">
        <v>208</v>
      </c>
      <c r="J10669">
        <v>95</v>
      </c>
      <c r="K10669" t="b">
        <v>1</v>
      </c>
    </row>
    <row r="10670" spans="8:11" x14ac:dyDescent="0.25">
      <c r="H10670">
        <v>128</v>
      </c>
      <c r="I10670">
        <v>216</v>
      </c>
      <c r="J10670">
        <v>95</v>
      </c>
      <c r="K10670" t="b">
        <v>1</v>
      </c>
    </row>
    <row r="10671" spans="8:11" x14ac:dyDescent="0.25">
      <c r="H10671">
        <v>128</v>
      </c>
      <c r="I10671">
        <v>224</v>
      </c>
      <c r="J10671">
        <v>95</v>
      </c>
      <c r="K10671" t="b">
        <v>1</v>
      </c>
    </row>
    <row r="10672" spans="8:11" x14ac:dyDescent="0.25">
      <c r="H10672">
        <v>128</v>
      </c>
      <c r="I10672">
        <v>232</v>
      </c>
      <c r="J10672">
        <v>95</v>
      </c>
      <c r="K10672" t="b">
        <v>1</v>
      </c>
    </row>
    <row r="10673" spans="8:11" x14ac:dyDescent="0.25">
      <c r="H10673">
        <v>128</v>
      </c>
      <c r="I10673">
        <v>240</v>
      </c>
      <c r="J10673">
        <v>95</v>
      </c>
      <c r="K10673" t="b">
        <v>1</v>
      </c>
    </row>
    <row r="10674" spans="8:11" x14ac:dyDescent="0.25">
      <c r="H10674">
        <v>128</v>
      </c>
      <c r="I10674">
        <v>248</v>
      </c>
      <c r="J10674">
        <v>95</v>
      </c>
      <c r="K10674" t="b">
        <v>1</v>
      </c>
    </row>
    <row r="10675" spans="8:11" x14ac:dyDescent="0.25">
      <c r="H10675">
        <v>128</v>
      </c>
      <c r="I10675">
        <v>256</v>
      </c>
      <c r="J10675">
        <v>95</v>
      </c>
      <c r="K10675" t="b">
        <v>1</v>
      </c>
    </row>
    <row r="10676" spans="8:11" x14ac:dyDescent="0.25">
      <c r="H10676">
        <v>128</v>
      </c>
      <c r="I10676">
        <v>264</v>
      </c>
      <c r="J10676">
        <v>95</v>
      </c>
      <c r="K10676" t="b">
        <v>1</v>
      </c>
    </row>
    <row r="10677" spans="8:11" x14ac:dyDescent="0.25">
      <c r="H10677">
        <v>128</v>
      </c>
      <c r="I10677">
        <v>272</v>
      </c>
      <c r="J10677">
        <v>95</v>
      </c>
      <c r="K10677" t="b">
        <v>1</v>
      </c>
    </row>
    <row r="10678" spans="8:11" x14ac:dyDescent="0.25">
      <c r="H10678">
        <v>128</v>
      </c>
      <c r="I10678">
        <v>280</v>
      </c>
      <c r="J10678">
        <v>95</v>
      </c>
      <c r="K10678" t="b">
        <v>1</v>
      </c>
    </row>
    <row r="10679" spans="8:11" x14ac:dyDescent="0.25">
      <c r="H10679">
        <v>128</v>
      </c>
      <c r="I10679">
        <v>288</v>
      </c>
      <c r="J10679">
        <v>95</v>
      </c>
      <c r="K10679" t="b">
        <v>1</v>
      </c>
    </row>
    <row r="10680" spans="8:11" x14ac:dyDescent="0.25">
      <c r="H10680">
        <v>128</v>
      </c>
      <c r="I10680">
        <v>296</v>
      </c>
      <c r="J10680">
        <v>95</v>
      </c>
      <c r="K10680" t="b">
        <v>1</v>
      </c>
    </row>
    <row r="10681" spans="8:11" x14ac:dyDescent="0.25">
      <c r="H10681">
        <v>128</v>
      </c>
      <c r="I10681">
        <v>304</v>
      </c>
      <c r="J10681">
        <v>95</v>
      </c>
      <c r="K10681" t="b">
        <v>1</v>
      </c>
    </row>
    <row r="10682" spans="8:11" x14ac:dyDescent="0.25">
      <c r="H10682">
        <v>128</v>
      </c>
      <c r="I10682">
        <v>312</v>
      </c>
      <c r="J10682">
        <v>95</v>
      </c>
      <c r="K10682" t="b">
        <v>1</v>
      </c>
    </row>
    <row r="10683" spans="8:11" x14ac:dyDescent="0.25">
      <c r="H10683">
        <v>128</v>
      </c>
      <c r="I10683">
        <v>320</v>
      </c>
      <c r="J10683">
        <v>95</v>
      </c>
      <c r="K10683" t="b">
        <v>1</v>
      </c>
    </row>
    <row r="10684" spans="8:11" x14ac:dyDescent="0.25">
      <c r="H10684">
        <v>128</v>
      </c>
      <c r="I10684">
        <v>328</v>
      </c>
      <c r="J10684">
        <v>95</v>
      </c>
      <c r="K10684" t="b">
        <v>1</v>
      </c>
    </row>
    <row r="10685" spans="8:11" x14ac:dyDescent="0.25">
      <c r="H10685">
        <v>128</v>
      </c>
      <c r="I10685">
        <v>336</v>
      </c>
      <c r="J10685">
        <v>95</v>
      </c>
      <c r="K10685" t="b">
        <v>1</v>
      </c>
    </row>
    <row r="10686" spans="8:11" x14ac:dyDescent="0.25">
      <c r="H10686">
        <v>128</v>
      </c>
      <c r="I10686">
        <v>344</v>
      </c>
      <c r="J10686">
        <v>95</v>
      </c>
      <c r="K10686" t="b">
        <v>1</v>
      </c>
    </row>
    <row r="10687" spans="8:11" x14ac:dyDescent="0.25">
      <c r="H10687">
        <v>128</v>
      </c>
      <c r="I10687">
        <v>352</v>
      </c>
      <c r="J10687">
        <v>95</v>
      </c>
      <c r="K10687" t="b">
        <v>1</v>
      </c>
    </row>
    <row r="10688" spans="8:11" x14ac:dyDescent="0.25">
      <c r="H10688">
        <v>128</v>
      </c>
      <c r="I10688">
        <v>360</v>
      </c>
      <c r="J10688">
        <v>95</v>
      </c>
      <c r="K10688" t="b">
        <v>1</v>
      </c>
    </row>
    <row r="10689" spans="8:11" x14ac:dyDescent="0.25">
      <c r="H10689">
        <v>128</v>
      </c>
      <c r="I10689">
        <v>368</v>
      </c>
      <c r="J10689">
        <v>95</v>
      </c>
      <c r="K10689" t="b">
        <v>1</v>
      </c>
    </row>
    <row r="10690" spans="8:11" x14ac:dyDescent="0.25">
      <c r="H10690">
        <v>128</v>
      </c>
      <c r="I10690">
        <v>376</v>
      </c>
      <c r="J10690">
        <v>95</v>
      </c>
      <c r="K10690" t="b">
        <v>1</v>
      </c>
    </row>
    <row r="10691" spans="8:11" x14ac:dyDescent="0.25">
      <c r="H10691">
        <v>128</v>
      </c>
      <c r="I10691">
        <v>384</v>
      </c>
      <c r="J10691">
        <v>95</v>
      </c>
      <c r="K10691" t="b">
        <v>1</v>
      </c>
    </row>
    <row r="10692" spans="8:11" x14ac:dyDescent="0.25">
      <c r="H10692">
        <v>128</v>
      </c>
      <c r="I10692">
        <v>392</v>
      </c>
      <c r="J10692">
        <v>95</v>
      </c>
      <c r="K10692" t="b">
        <v>1</v>
      </c>
    </row>
    <row r="10693" spans="8:11" x14ac:dyDescent="0.25">
      <c r="H10693">
        <v>128</v>
      </c>
      <c r="I10693">
        <v>400</v>
      </c>
      <c r="J10693">
        <v>95</v>
      </c>
      <c r="K10693" t="b">
        <v>1</v>
      </c>
    </row>
    <row r="10694" spans="8:11" x14ac:dyDescent="0.25">
      <c r="H10694">
        <v>128</v>
      </c>
      <c r="I10694">
        <v>408</v>
      </c>
      <c r="J10694">
        <v>95</v>
      </c>
      <c r="K10694" t="b">
        <v>1</v>
      </c>
    </row>
    <row r="10695" spans="8:11" x14ac:dyDescent="0.25">
      <c r="H10695">
        <v>128</v>
      </c>
      <c r="I10695">
        <v>416</v>
      </c>
      <c r="J10695">
        <v>95</v>
      </c>
      <c r="K10695" t="b">
        <v>1</v>
      </c>
    </row>
    <row r="10696" spans="8:11" x14ac:dyDescent="0.25">
      <c r="H10696">
        <v>128</v>
      </c>
      <c r="I10696">
        <v>424</v>
      </c>
      <c r="J10696">
        <v>95</v>
      </c>
      <c r="K10696" t="b">
        <v>1</v>
      </c>
    </row>
    <row r="10697" spans="8:11" x14ac:dyDescent="0.25">
      <c r="H10697">
        <v>128</v>
      </c>
      <c r="I10697">
        <v>432</v>
      </c>
      <c r="J10697">
        <v>95</v>
      </c>
      <c r="K10697" t="b">
        <v>1</v>
      </c>
    </row>
    <row r="10698" spans="8:11" x14ac:dyDescent="0.25">
      <c r="H10698">
        <v>128</v>
      </c>
      <c r="I10698">
        <v>440</v>
      </c>
      <c r="J10698">
        <v>95</v>
      </c>
      <c r="K10698" t="b">
        <v>1</v>
      </c>
    </row>
    <row r="10699" spans="8:11" x14ac:dyDescent="0.25">
      <c r="H10699">
        <v>128</v>
      </c>
      <c r="I10699">
        <v>448</v>
      </c>
      <c r="J10699">
        <v>95</v>
      </c>
      <c r="K10699" t="b">
        <v>1</v>
      </c>
    </row>
    <row r="10700" spans="8:11" x14ac:dyDescent="0.25">
      <c r="H10700">
        <v>128</v>
      </c>
      <c r="I10700">
        <v>456</v>
      </c>
      <c r="J10700">
        <v>95</v>
      </c>
      <c r="K10700" t="b">
        <v>1</v>
      </c>
    </row>
    <row r="10701" spans="8:11" x14ac:dyDescent="0.25">
      <c r="H10701">
        <v>128</v>
      </c>
      <c r="I10701">
        <v>464</v>
      </c>
      <c r="J10701">
        <v>95</v>
      </c>
      <c r="K10701" t="b">
        <v>1</v>
      </c>
    </row>
    <row r="10702" spans="8:11" x14ac:dyDescent="0.25">
      <c r="H10702">
        <v>128</v>
      </c>
      <c r="I10702">
        <v>472</v>
      </c>
      <c r="J10702">
        <v>95</v>
      </c>
      <c r="K10702" t="b">
        <v>1</v>
      </c>
    </row>
    <row r="10703" spans="8:11" x14ac:dyDescent="0.25">
      <c r="H10703">
        <v>128</v>
      </c>
      <c r="I10703">
        <v>480</v>
      </c>
      <c r="J10703">
        <v>95</v>
      </c>
      <c r="K10703" t="b">
        <v>1</v>
      </c>
    </row>
    <row r="10704" spans="8:11" x14ac:dyDescent="0.25">
      <c r="H10704">
        <v>128</v>
      </c>
      <c r="I10704">
        <v>488</v>
      </c>
      <c r="J10704">
        <v>95</v>
      </c>
      <c r="K10704" t="b">
        <v>1</v>
      </c>
    </row>
    <row r="10705" spans="8:11" x14ac:dyDescent="0.25">
      <c r="H10705">
        <v>128</v>
      </c>
      <c r="I10705">
        <v>496</v>
      </c>
      <c r="J10705">
        <v>95</v>
      </c>
      <c r="K10705" t="b">
        <v>1</v>
      </c>
    </row>
    <row r="10706" spans="8:11" x14ac:dyDescent="0.25">
      <c r="H10706">
        <v>128</v>
      </c>
      <c r="I10706">
        <v>504</v>
      </c>
      <c r="J10706">
        <v>95</v>
      </c>
      <c r="K10706" t="b">
        <v>1</v>
      </c>
    </row>
    <row r="10707" spans="8:11" x14ac:dyDescent="0.25">
      <c r="H10707">
        <v>128</v>
      </c>
      <c r="I10707">
        <v>512</v>
      </c>
      <c r="J10707">
        <v>95</v>
      </c>
      <c r="K10707" t="b">
        <v>1</v>
      </c>
    </row>
    <row r="10708" spans="8:11" x14ac:dyDescent="0.25">
      <c r="H10708">
        <v>128</v>
      </c>
      <c r="I10708">
        <v>520</v>
      </c>
      <c r="J10708">
        <v>95</v>
      </c>
      <c r="K10708" t="b">
        <v>1</v>
      </c>
    </row>
    <row r="10709" spans="8:11" x14ac:dyDescent="0.25">
      <c r="H10709">
        <v>128</v>
      </c>
      <c r="I10709">
        <v>528</v>
      </c>
      <c r="J10709">
        <v>95</v>
      </c>
      <c r="K10709" t="b">
        <v>1</v>
      </c>
    </row>
    <row r="10710" spans="8:11" x14ac:dyDescent="0.25">
      <c r="H10710">
        <v>128</v>
      </c>
      <c r="I10710">
        <v>536</v>
      </c>
      <c r="J10710">
        <v>95</v>
      </c>
      <c r="K10710" t="b">
        <v>1</v>
      </c>
    </row>
    <row r="10711" spans="8:11" x14ac:dyDescent="0.25">
      <c r="H10711">
        <v>128</v>
      </c>
      <c r="I10711">
        <v>544</v>
      </c>
      <c r="J10711">
        <v>95</v>
      </c>
      <c r="K10711" t="b">
        <v>1</v>
      </c>
    </row>
    <row r="10712" spans="8:11" x14ac:dyDescent="0.25">
      <c r="H10712">
        <v>128</v>
      </c>
      <c r="I10712">
        <v>552</v>
      </c>
      <c r="J10712">
        <v>95</v>
      </c>
      <c r="K10712" t="b">
        <v>1</v>
      </c>
    </row>
    <row r="10713" spans="8:11" x14ac:dyDescent="0.25">
      <c r="H10713">
        <v>128</v>
      </c>
      <c r="I10713">
        <v>560</v>
      </c>
      <c r="J10713">
        <v>95</v>
      </c>
      <c r="K10713" t="b">
        <v>1</v>
      </c>
    </row>
    <row r="10714" spans="8:11" x14ac:dyDescent="0.25">
      <c r="H10714">
        <v>128</v>
      </c>
      <c r="I10714">
        <v>568</v>
      </c>
      <c r="J10714">
        <v>95</v>
      </c>
      <c r="K10714" t="b">
        <v>1</v>
      </c>
    </row>
    <row r="10715" spans="8:11" x14ac:dyDescent="0.25">
      <c r="H10715">
        <v>128</v>
      </c>
      <c r="I10715">
        <v>576</v>
      </c>
      <c r="J10715">
        <v>95</v>
      </c>
      <c r="K10715" t="b">
        <v>1</v>
      </c>
    </row>
    <row r="10716" spans="8:11" x14ac:dyDescent="0.25">
      <c r="H10716">
        <v>128</v>
      </c>
      <c r="I10716">
        <v>584</v>
      </c>
      <c r="J10716">
        <v>95</v>
      </c>
      <c r="K10716" t="b">
        <v>1</v>
      </c>
    </row>
    <row r="10717" spans="8:11" x14ac:dyDescent="0.25">
      <c r="H10717">
        <v>128</v>
      </c>
      <c r="I10717">
        <v>592</v>
      </c>
      <c r="J10717">
        <v>95</v>
      </c>
      <c r="K10717" t="b">
        <v>1</v>
      </c>
    </row>
    <row r="10718" spans="8:11" x14ac:dyDescent="0.25">
      <c r="H10718">
        <v>128</v>
      </c>
      <c r="I10718">
        <v>600</v>
      </c>
      <c r="J10718">
        <v>95</v>
      </c>
      <c r="K10718" t="b">
        <v>1</v>
      </c>
    </row>
    <row r="10719" spans="8:11" x14ac:dyDescent="0.25">
      <c r="H10719">
        <v>128</v>
      </c>
      <c r="I10719">
        <v>608</v>
      </c>
      <c r="J10719">
        <v>95</v>
      </c>
      <c r="K10719" t="b">
        <v>1</v>
      </c>
    </row>
    <row r="10720" spans="8:11" x14ac:dyDescent="0.25">
      <c r="H10720">
        <v>128</v>
      </c>
      <c r="I10720">
        <v>616</v>
      </c>
      <c r="J10720">
        <v>95</v>
      </c>
      <c r="K10720" t="b">
        <v>1</v>
      </c>
    </row>
    <row r="10721" spans="8:11" x14ac:dyDescent="0.25">
      <c r="H10721">
        <v>128</v>
      </c>
      <c r="I10721">
        <v>624</v>
      </c>
      <c r="J10721">
        <v>95</v>
      </c>
      <c r="K10721" t="b">
        <v>1</v>
      </c>
    </row>
    <row r="10722" spans="8:11" x14ac:dyDescent="0.25">
      <c r="H10722">
        <v>128</v>
      </c>
      <c r="I10722">
        <v>632</v>
      </c>
      <c r="J10722">
        <v>95</v>
      </c>
      <c r="K10722" t="b">
        <v>1</v>
      </c>
    </row>
    <row r="10723" spans="8:11" x14ac:dyDescent="0.25">
      <c r="H10723">
        <v>128</v>
      </c>
      <c r="I10723">
        <v>640</v>
      </c>
      <c r="J10723">
        <v>95</v>
      </c>
      <c r="K10723" t="b">
        <v>1</v>
      </c>
    </row>
    <row r="10724" spans="8:11" x14ac:dyDescent="0.25">
      <c r="H10724">
        <v>128</v>
      </c>
      <c r="I10724">
        <v>648</v>
      </c>
      <c r="J10724">
        <v>95</v>
      </c>
      <c r="K10724" t="b">
        <v>1</v>
      </c>
    </row>
    <row r="10725" spans="8:11" x14ac:dyDescent="0.25">
      <c r="H10725">
        <v>128</v>
      </c>
      <c r="I10725">
        <v>656</v>
      </c>
      <c r="J10725">
        <v>95</v>
      </c>
      <c r="K10725" t="b">
        <v>1</v>
      </c>
    </row>
    <row r="10726" spans="8:11" x14ac:dyDescent="0.25">
      <c r="H10726">
        <v>128</v>
      </c>
      <c r="I10726">
        <v>664</v>
      </c>
      <c r="J10726">
        <v>95</v>
      </c>
      <c r="K10726" t="b">
        <v>1</v>
      </c>
    </row>
    <row r="10727" spans="8:11" x14ac:dyDescent="0.25">
      <c r="H10727">
        <v>128</v>
      </c>
      <c r="I10727">
        <v>672</v>
      </c>
      <c r="J10727">
        <v>95</v>
      </c>
      <c r="K10727" t="b">
        <v>1</v>
      </c>
    </row>
    <row r="10728" spans="8:11" x14ac:dyDescent="0.25">
      <c r="H10728">
        <v>128</v>
      </c>
      <c r="I10728">
        <v>680</v>
      </c>
      <c r="J10728">
        <v>95</v>
      </c>
      <c r="K10728" t="b">
        <v>1</v>
      </c>
    </row>
    <row r="10729" spans="8:11" x14ac:dyDescent="0.25">
      <c r="H10729">
        <v>128</v>
      </c>
      <c r="I10729">
        <v>688</v>
      </c>
      <c r="J10729">
        <v>95</v>
      </c>
      <c r="K10729" t="b">
        <v>1</v>
      </c>
    </row>
    <row r="10730" spans="8:11" x14ac:dyDescent="0.25">
      <c r="H10730">
        <v>128</v>
      </c>
      <c r="I10730">
        <v>696</v>
      </c>
      <c r="J10730">
        <v>95</v>
      </c>
      <c r="K10730" t="b">
        <v>1</v>
      </c>
    </row>
    <row r="10731" spans="8:11" x14ac:dyDescent="0.25">
      <c r="H10731">
        <v>128</v>
      </c>
      <c r="I10731">
        <v>704</v>
      </c>
      <c r="J10731">
        <v>95</v>
      </c>
      <c r="K10731" t="b">
        <v>1</v>
      </c>
    </row>
    <row r="10732" spans="8:11" x14ac:dyDescent="0.25">
      <c r="H10732">
        <v>128</v>
      </c>
      <c r="I10732">
        <v>712</v>
      </c>
      <c r="J10732">
        <v>95</v>
      </c>
      <c r="K10732" t="b">
        <v>1</v>
      </c>
    </row>
    <row r="10733" spans="8:11" x14ac:dyDescent="0.25">
      <c r="H10733">
        <v>128</v>
      </c>
      <c r="I10733">
        <v>720</v>
      </c>
      <c r="J10733">
        <v>95</v>
      </c>
      <c r="K10733" t="b">
        <v>1</v>
      </c>
    </row>
    <row r="10734" spans="8:11" x14ac:dyDescent="0.25">
      <c r="H10734">
        <v>128</v>
      </c>
      <c r="I10734">
        <v>728</v>
      </c>
      <c r="J10734">
        <v>95</v>
      </c>
      <c r="K10734" t="b">
        <v>1</v>
      </c>
    </row>
    <row r="10735" spans="8:11" x14ac:dyDescent="0.25">
      <c r="H10735">
        <v>128</v>
      </c>
      <c r="I10735">
        <v>736</v>
      </c>
      <c r="J10735">
        <v>95</v>
      </c>
      <c r="K10735" t="b">
        <v>1</v>
      </c>
    </row>
    <row r="10736" spans="8:11" x14ac:dyDescent="0.25">
      <c r="H10736">
        <v>128</v>
      </c>
      <c r="I10736">
        <v>744</v>
      </c>
      <c r="J10736">
        <v>95</v>
      </c>
      <c r="K10736" t="b">
        <v>1</v>
      </c>
    </row>
    <row r="10737" spans="8:11" x14ac:dyDescent="0.25">
      <c r="H10737">
        <v>128</v>
      </c>
      <c r="I10737">
        <v>752</v>
      </c>
      <c r="J10737">
        <v>95</v>
      </c>
      <c r="K10737" t="b">
        <v>1</v>
      </c>
    </row>
    <row r="10738" spans="8:11" x14ac:dyDescent="0.25">
      <c r="H10738">
        <v>128</v>
      </c>
      <c r="I10738">
        <v>760</v>
      </c>
      <c r="J10738">
        <v>95</v>
      </c>
      <c r="K10738" t="b">
        <v>1</v>
      </c>
    </row>
    <row r="10739" spans="8:11" x14ac:dyDescent="0.25">
      <c r="H10739">
        <v>128</v>
      </c>
      <c r="I10739">
        <v>768</v>
      </c>
      <c r="J10739">
        <v>95</v>
      </c>
      <c r="K10739" t="b">
        <v>1</v>
      </c>
    </row>
    <row r="10740" spans="8:11" x14ac:dyDescent="0.25">
      <c r="H10740">
        <v>128</v>
      </c>
      <c r="I10740">
        <v>776</v>
      </c>
      <c r="J10740">
        <v>95</v>
      </c>
      <c r="K10740" t="b">
        <v>1</v>
      </c>
    </row>
    <row r="10741" spans="8:11" x14ac:dyDescent="0.25">
      <c r="H10741">
        <v>128</v>
      </c>
      <c r="I10741">
        <v>784</v>
      </c>
      <c r="J10741">
        <v>95</v>
      </c>
      <c r="K10741" t="b">
        <v>1</v>
      </c>
    </row>
    <row r="10742" spans="8:11" x14ac:dyDescent="0.25">
      <c r="H10742">
        <v>128</v>
      </c>
      <c r="I10742">
        <v>792</v>
      </c>
      <c r="J10742">
        <v>95</v>
      </c>
      <c r="K10742" t="b">
        <v>1</v>
      </c>
    </row>
    <row r="10743" spans="8:11" x14ac:dyDescent="0.25">
      <c r="H10743">
        <v>128</v>
      </c>
      <c r="I10743">
        <v>800</v>
      </c>
      <c r="J10743">
        <v>95</v>
      </c>
      <c r="K10743" t="b">
        <v>1</v>
      </c>
    </row>
    <row r="10744" spans="8:11" x14ac:dyDescent="0.25">
      <c r="H10744">
        <v>128</v>
      </c>
      <c r="I10744">
        <v>808</v>
      </c>
      <c r="J10744">
        <v>95</v>
      </c>
      <c r="K10744" t="b">
        <v>1</v>
      </c>
    </row>
    <row r="10745" spans="8:11" x14ac:dyDescent="0.25">
      <c r="H10745">
        <v>128</v>
      </c>
      <c r="I10745">
        <v>816</v>
      </c>
      <c r="J10745">
        <v>95</v>
      </c>
      <c r="K10745" t="b">
        <v>1</v>
      </c>
    </row>
    <row r="10746" spans="8:11" x14ac:dyDescent="0.25">
      <c r="H10746">
        <v>128</v>
      </c>
      <c r="I10746">
        <v>824</v>
      </c>
      <c r="J10746">
        <v>95</v>
      </c>
      <c r="K10746" t="b">
        <v>1</v>
      </c>
    </row>
    <row r="10747" spans="8:11" x14ac:dyDescent="0.25">
      <c r="H10747">
        <v>128</v>
      </c>
      <c r="I10747">
        <v>832</v>
      </c>
      <c r="J10747">
        <v>95</v>
      </c>
      <c r="K10747" t="b">
        <v>1</v>
      </c>
    </row>
    <row r="10748" spans="8:11" x14ac:dyDescent="0.25">
      <c r="H10748">
        <v>128</v>
      </c>
      <c r="I10748">
        <v>840</v>
      </c>
      <c r="J10748">
        <v>95</v>
      </c>
      <c r="K10748" t="b">
        <v>1</v>
      </c>
    </row>
    <row r="10749" spans="8:11" x14ac:dyDescent="0.25">
      <c r="H10749">
        <v>128</v>
      </c>
      <c r="I10749">
        <v>848</v>
      </c>
      <c r="J10749">
        <v>95</v>
      </c>
      <c r="K10749" t="b">
        <v>1</v>
      </c>
    </row>
    <row r="10750" spans="8:11" x14ac:dyDescent="0.25">
      <c r="H10750">
        <v>128</v>
      </c>
      <c r="I10750">
        <v>856</v>
      </c>
      <c r="J10750">
        <v>95</v>
      </c>
      <c r="K10750" t="b">
        <v>1</v>
      </c>
    </row>
    <row r="10751" spans="8:11" x14ac:dyDescent="0.25">
      <c r="H10751">
        <v>128</v>
      </c>
      <c r="I10751">
        <v>864</v>
      </c>
      <c r="J10751">
        <v>95</v>
      </c>
      <c r="K10751" t="b">
        <v>1</v>
      </c>
    </row>
    <row r="10752" spans="8:11" x14ac:dyDescent="0.25">
      <c r="H10752">
        <v>128</v>
      </c>
      <c r="I10752">
        <v>872</v>
      </c>
      <c r="J10752">
        <v>95</v>
      </c>
      <c r="K10752" t="b">
        <v>1</v>
      </c>
    </row>
    <row r="10753" spans="8:11" x14ac:dyDescent="0.25">
      <c r="H10753">
        <v>128</v>
      </c>
      <c r="I10753">
        <v>880</v>
      </c>
      <c r="J10753">
        <v>95</v>
      </c>
      <c r="K10753" t="b">
        <v>1</v>
      </c>
    </row>
    <row r="10754" spans="8:11" x14ac:dyDescent="0.25">
      <c r="H10754">
        <v>128</v>
      </c>
      <c r="I10754">
        <v>888</v>
      </c>
      <c r="J10754">
        <v>95</v>
      </c>
      <c r="K10754" t="b">
        <v>1</v>
      </c>
    </row>
    <row r="10755" spans="8:11" x14ac:dyDescent="0.25">
      <c r="H10755">
        <v>128</v>
      </c>
      <c r="I10755">
        <v>896</v>
      </c>
      <c r="J10755">
        <v>95</v>
      </c>
      <c r="K10755" t="b">
        <v>1</v>
      </c>
    </row>
    <row r="10756" spans="8:11" x14ac:dyDescent="0.25">
      <c r="H10756">
        <v>128</v>
      </c>
      <c r="I10756">
        <v>904</v>
      </c>
      <c r="J10756">
        <v>95</v>
      </c>
      <c r="K10756" t="b">
        <v>1</v>
      </c>
    </row>
    <row r="10757" spans="8:11" x14ac:dyDescent="0.25">
      <c r="H10757">
        <v>128</v>
      </c>
      <c r="I10757">
        <v>912</v>
      </c>
      <c r="J10757">
        <v>95</v>
      </c>
      <c r="K10757" t="b">
        <v>1</v>
      </c>
    </row>
    <row r="10758" spans="8:11" x14ac:dyDescent="0.25">
      <c r="H10758">
        <v>128</v>
      </c>
      <c r="I10758">
        <v>920</v>
      </c>
      <c r="J10758">
        <v>95</v>
      </c>
      <c r="K10758" t="b">
        <v>1</v>
      </c>
    </row>
    <row r="10759" spans="8:11" x14ac:dyDescent="0.25">
      <c r="H10759">
        <v>128</v>
      </c>
      <c r="I10759">
        <v>928</v>
      </c>
      <c r="J10759">
        <v>95</v>
      </c>
      <c r="K10759" t="b">
        <v>1</v>
      </c>
    </row>
    <row r="10760" spans="8:11" x14ac:dyDescent="0.25">
      <c r="H10760">
        <v>128</v>
      </c>
      <c r="I10760">
        <v>936</v>
      </c>
      <c r="J10760">
        <v>95</v>
      </c>
      <c r="K10760" t="b">
        <v>1</v>
      </c>
    </row>
    <row r="10761" spans="8:11" x14ac:dyDescent="0.25">
      <c r="H10761">
        <v>128</v>
      </c>
      <c r="I10761">
        <v>944</v>
      </c>
      <c r="J10761">
        <v>95</v>
      </c>
      <c r="K10761" t="b">
        <v>1</v>
      </c>
    </row>
    <row r="10762" spans="8:11" x14ac:dyDescent="0.25">
      <c r="H10762">
        <v>128</v>
      </c>
      <c r="I10762">
        <v>952</v>
      </c>
      <c r="J10762">
        <v>95</v>
      </c>
      <c r="K10762" t="b">
        <v>1</v>
      </c>
    </row>
    <row r="10763" spans="8:11" x14ac:dyDescent="0.25">
      <c r="H10763">
        <v>129</v>
      </c>
      <c r="I10763">
        <v>0</v>
      </c>
      <c r="J10763">
        <v>39</v>
      </c>
      <c r="K10763" t="b">
        <v>1</v>
      </c>
    </row>
    <row r="10764" spans="8:11" x14ac:dyDescent="0.25">
      <c r="H10764">
        <v>129</v>
      </c>
      <c r="I10764">
        <v>5</v>
      </c>
      <c r="J10764">
        <v>39</v>
      </c>
      <c r="K10764" t="b">
        <v>1</v>
      </c>
    </row>
    <row r="10765" spans="8:11" x14ac:dyDescent="0.25">
      <c r="H10765">
        <v>129</v>
      </c>
      <c r="I10765">
        <v>10</v>
      </c>
      <c r="J10765">
        <v>39</v>
      </c>
      <c r="K10765" t="b">
        <v>1</v>
      </c>
    </row>
    <row r="10766" spans="8:11" x14ac:dyDescent="0.25">
      <c r="H10766">
        <v>129</v>
      </c>
      <c r="I10766">
        <v>15</v>
      </c>
      <c r="J10766">
        <v>39</v>
      </c>
      <c r="K10766" t="b">
        <v>1</v>
      </c>
    </row>
    <row r="10767" spans="8:11" x14ac:dyDescent="0.25">
      <c r="H10767">
        <v>129</v>
      </c>
      <c r="I10767">
        <v>20</v>
      </c>
      <c r="J10767">
        <v>39</v>
      </c>
      <c r="K10767" t="b">
        <v>1</v>
      </c>
    </row>
    <row r="10768" spans="8:11" x14ac:dyDescent="0.25">
      <c r="H10768">
        <v>129</v>
      </c>
      <c r="I10768">
        <v>25</v>
      </c>
      <c r="J10768">
        <v>39</v>
      </c>
      <c r="K10768" t="b">
        <v>1</v>
      </c>
    </row>
    <row r="10769" spans="8:11" x14ac:dyDescent="0.25">
      <c r="H10769">
        <v>129</v>
      </c>
      <c r="I10769">
        <v>30</v>
      </c>
      <c r="J10769">
        <v>39</v>
      </c>
      <c r="K10769" t="b">
        <v>1</v>
      </c>
    </row>
    <row r="10770" spans="8:11" x14ac:dyDescent="0.25">
      <c r="H10770">
        <v>129</v>
      </c>
      <c r="I10770">
        <v>35</v>
      </c>
      <c r="J10770">
        <v>39</v>
      </c>
      <c r="K10770" t="b">
        <v>1</v>
      </c>
    </row>
    <row r="10771" spans="8:11" x14ac:dyDescent="0.25">
      <c r="H10771">
        <v>129</v>
      </c>
      <c r="I10771">
        <v>40</v>
      </c>
      <c r="J10771">
        <v>39</v>
      </c>
      <c r="K10771" t="b">
        <v>1</v>
      </c>
    </row>
    <row r="10772" spans="8:11" x14ac:dyDescent="0.25">
      <c r="H10772">
        <v>129</v>
      </c>
      <c r="I10772">
        <v>45</v>
      </c>
      <c r="J10772">
        <v>39</v>
      </c>
      <c r="K10772" t="b">
        <v>1</v>
      </c>
    </row>
    <row r="10773" spans="8:11" x14ac:dyDescent="0.25">
      <c r="H10773">
        <v>129</v>
      </c>
      <c r="I10773">
        <v>50</v>
      </c>
      <c r="J10773">
        <v>39</v>
      </c>
      <c r="K10773" t="b">
        <v>1</v>
      </c>
    </row>
    <row r="10774" spans="8:11" x14ac:dyDescent="0.25">
      <c r="H10774">
        <v>129</v>
      </c>
      <c r="I10774">
        <v>55</v>
      </c>
      <c r="J10774">
        <v>39</v>
      </c>
      <c r="K10774" t="b">
        <v>1</v>
      </c>
    </row>
    <row r="10775" spans="8:11" x14ac:dyDescent="0.25">
      <c r="H10775">
        <v>129</v>
      </c>
      <c r="I10775">
        <v>60</v>
      </c>
      <c r="J10775">
        <v>39</v>
      </c>
      <c r="K10775" t="b">
        <v>1</v>
      </c>
    </row>
    <row r="10776" spans="8:11" x14ac:dyDescent="0.25">
      <c r="H10776">
        <v>129</v>
      </c>
      <c r="I10776">
        <v>65</v>
      </c>
      <c r="J10776">
        <v>39</v>
      </c>
      <c r="K10776" t="b">
        <v>1</v>
      </c>
    </row>
    <row r="10777" spans="8:11" x14ac:dyDescent="0.25">
      <c r="H10777">
        <v>129</v>
      </c>
      <c r="I10777">
        <v>70</v>
      </c>
      <c r="J10777">
        <v>39</v>
      </c>
      <c r="K10777" t="b">
        <v>1</v>
      </c>
    </row>
    <row r="10778" spans="8:11" x14ac:dyDescent="0.25">
      <c r="H10778">
        <v>129</v>
      </c>
      <c r="I10778">
        <v>75</v>
      </c>
      <c r="J10778">
        <v>39</v>
      </c>
      <c r="K10778" t="b">
        <v>1</v>
      </c>
    </row>
    <row r="10779" spans="8:11" x14ac:dyDescent="0.25">
      <c r="H10779">
        <v>129</v>
      </c>
      <c r="I10779">
        <v>80</v>
      </c>
      <c r="J10779">
        <v>39</v>
      </c>
      <c r="K10779" t="b">
        <v>1</v>
      </c>
    </row>
    <row r="10780" spans="8:11" x14ac:dyDescent="0.25">
      <c r="H10780">
        <v>129</v>
      </c>
      <c r="I10780">
        <v>85</v>
      </c>
      <c r="J10780">
        <v>39</v>
      </c>
      <c r="K10780" t="b">
        <v>1</v>
      </c>
    </row>
    <row r="10781" spans="8:11" x14ac:dyDescent="0.25">
      <c r="H10781">
        <v>129</v>
      </c>
      <c r="I10781">
        <v>90</v>
      </c>
      <c r="J10781">
        <v>39</v>
      </c>
      <c r="K10781" t="b">
        <v>1</v>
      </c>
    </row>
    <row r="10782" spans="8:11" x14ac:dyDescent="0.25">
      <c r="H10782">
        <v>129</v>
      </c>
      <c r="I10782">
        <v>95</v>
      </c>
      <c r="J10782">
        <v>39</v>
      </c>
      <c r="K10782" t="b">
        <v>1</v>
      </c>
    </row>
    <row r="10783" spans="8:11" x14ac:dyDescent="0.25">
      <c r="H10783">
        <v>129</v>
      </c>
      <c r="I10783">
        <v>100</v>
      </c>
      <c r="J10783">
        <v>39</v>
      </c>
      <c r="K10783" t="b">
        <v>1</v>
      </c>
    </row>
    <row r="10784" spans="8:11" x14ac:dyDescent="0.25">
      <c r="H10784">
        <v>129</v>
      </c>
      <c r="I10784">
        <v>105</v>
      </c>
      <c r="J10784">
        <v>39</v>
      </c>
      <c r="K10784" t="b">
        <v>1</v>
      </c>
    </row>
    <row r="10785" spans="8:11" x14ac:dyDescent="0.25">
      <c r="H10785">
        <v>129</v>
      </c>
      <c r="I10785">
        <v>110</v>
      </c>
      <c r="J10785">
        <v>39</v>
      </c>
      <c r="K10785" t="b">
        <v>1</v>
      </c>
    </row>
    <row r="10786" spans="8:11" x14ac:dyDescent="0.25">
      <c r="H10786">
        <v>129</v>
      </c>
      <c r="I10786">
        <v>115</v>
      </c>
      <c r="J10786">
        <v>39</v>
      </c>
      <c r="K10786" t="b">
        <v>1</v>
      </c>
    </row>
    <row r="10787" spans="8:11" x14ac:dyDescent="0.25">
      <c r="H10787">
        <v>129</v>
      </c>
      <c r="I10787">
        <v>120</v>
      </c>
      <c r="J10787">
        <v>39</v>
      </c>
      <c r="K10787" t="b">
        <v>1</v>
      </c>
    </row>
    <row r="10788" spans="8:11" x14ac:dyDescent="0.25">
      <c r="H10788">
        <v>129</v>
      </c>
      <c r="I10788">
        <v>125</v>
      </c>
      <c r="J10788">
        <v>39</v>
      </c>
      <c r="K10788" t="b">
        <v>1</v>
      </c>
    </row>
    <row r="10789" spans="8:11" x14ac:dyDescent="0.25">
      <c r="H10789">
        <v>129</v>
      </c>
      <c r="I10789">
        <v>130</v>
      </c>
      <c r="J10789">
        <v>39</v>
      </c>
      <c r="K10789" t="b">
        <v>1</v>
      </c>
    </row>
    <row r="10790" spans="8:11" x14ac:dyDescent="0.25">
      <c r="H10790">
        <v>129</v>
      </c>
      <c r="I10790">
        <v>135</v>
      </c>
      <c r="J10790">
        <v>39</v>
      </c>
      <c r="K10790" t="b">
        <v>1</v>
      </c>
    </row>
    <row r="10791" spans="8:11" x14ac:dyDescent="0.25">
      <c r="H10791">
        <v>129</v>
      </c>
      <c r="I10791">
        <v>140</v>
      </c>
      <c r="J10791">
        <v>39</v>
      </c>
      <c r="K10791" t="b">
        <v>1</v>
      </c>
    </row>
    <row r="10792" spans="8:11" x14ac:dyDescent="0.25">
      <c r="H10792">
        <v>129</v>
      </c>
      <c r="I10792">
        <v>145</v>
      </c>
      <c r="J10792">
        <v>39</v>
      </c>
      <c r="K10792" t="b">
        <v>1</v>
      </c>
    </row>
    <row r="10793" spans="8:11" x14ac:dyDescent="0.25">
      <c r="H10793">
        <v>129</v>
      </c>
      <c r="I10793">
        <v>150</v>
      </c>
      <c r="J10793">
        <v>39</v>
      </c>
      <c r="K10793" t="b">
        <v>1</v>
      </c>
    </row>
    <row r="10794" spans="8:11" x14ac:dyDescent="0.25">
      <c r="H10794">
        <v>129</v>
      </c>
      <c r="I10794">
        <v>155</v>
      </c>
      <c r="J10794">
        <v>39</v>
      </c>
      <c r="K10794" t="b">
        <v>1</v>
      </c>
    </row>
    <row r="10795" spans="8:11" x14ac:dyDescent="0.25">
      <c r="H10795">
        <v>129</v>
      </c>
      <c r="I10795">
        <v>160</v>
      </c>
      <c r="J10795">
        <v>39</v>
      </c>
      <c r="K10795" t="b">
        <v>1</v>
      </c>
    </row>
    <row r="10796" spans="8:11" x14ac:dyDescent="0.25">
      <c r="H10796">
        <v>129</v>
      </c>
      <c r="I10796">
        <v>165</v>
      </c>
      <c r="J10796">
        <v>39</v>
      </c>
      <c r="K10796" t="b">
        <v>1</v>
      </c>
    </row>
    <row r="10797" spans="8:11" x14ac:dyDescent="0.25">
      <c r="H10797">
        <v>129</v>
      </c>
      <c r="I10797">
        <v>170</v>
      </c>
      <c r="J10797">
        <v>39</v>
      </c>
      <c r="K10797" t="b">
        <v>1</v>
      </c>
    </row>
    <row r="10798" spans="8:11" x14ac:dyDescent="0.25">
      <c r="H10798">
        <v>129</v>
      </c>
      <c r="I10798">
        <v>175</v>
      </c>
      <c r="J10798">
        <v>39</v>
      </c>
      <c r="K10798" t="b">
        <v>1</v>
      </c>
    </row>
    <row r="10799" spans="8:11" x14ac:dyDescent="0.25">
      <c r="H10799">
        <v>129</v>
      </c>
      <c r="I10799">
        <v>180</v>
      </c>
      <c r="J10799">
        <v>39</v>
      </c>
      <c r="K10799" t="b">
        <v>1</v>
      </c>
    </row>
    <row r="10800" spans="8:11" x14ac:dyDescent="0.25">
      <c r="H10800">
        <v>129</v>
      </c>
      <c r="I10800">
        <v>185</v>
      </c>
      <c r="J10800">
        <v>39</v>
      </c>
      <c r="K10800" t="b">
        <v>1</v>
      </c>
    </row>
    <row r="10801" spans="8:11" x14ac:dyDescent="0.25">
      <c r="H10801">
        <v>129</v>
      </c>
      <c r="I10801">
        <v>190</v>
      </c>
      <c r="J10801">
        <v>39</v>
      </c>
      <c r="K10801" t="b">
        <v>1</v>
      </c>
    </row>
    <row r="10802" spans="8:11" x14ac:dyDescent="0.25">
      <c r="H10802">
        <v>129</v>
      </c>
      <c r="I10802">
        <v>195</v>
      </c>
      <c r="J10802">
        <v>39</v>
      </c>
      <c r="K10802" t="b">
        <v>1</v>
      </c>
    </row>
    <row r="10803" spans="8:11" x14ac:dyDescent="0.25">
      <c r="H10803">
        <v>129</v>
      </c>
      <c r="I10803">
        <v>200</v>
      </c>
      <c r="J10803">
        <v>39</v>
      </c>
      <c r="K10803" t="b">
        <v>1</v>
      </c>
    </row>
    <row r="10804" spans="8:11" x14ac:dyDescent="0.25">
      <c r="H10804">
        <v>129</v>
      </c>
      <c r="I10804">
        <v>205</v>
      </c>
      <c r="J10804">
        <v>39</v>
      </c>
      <c r="K10804" t="b">
        <v>1</v>
      </c>
    </row>
    <row r="10805" spans="8:11" x14ac:dyDescent="0.25">
      <c r="H10805">
        <v>129</v>
      </c>
      <c r="I10805">
        <v>210</v>
      </c>
      <c r="J10805">
        <v>39</v>
      </c>
      <c r="K10805" t="b">
        <v>1</v>
      </c>
    </row>
    <row r="10806" spans="8:11" x14ac:dyDescent="0.25">
      <c r="H10806">
        <v>129</v>
      </c>
      <c r="I10806">
        <v>215</v>
      </c>
      <c r="J10806">
        <v>39</v>
      </c>
      <c r="K10806" t="b">
        <v>1</v>
      </c>
    </row>
    <row r="10807" spans="8:11" x14ac:dyDescent="0.25">
      <c r="H10807">
        <v>129</v>
      </c>
      <c r="I10807">
        <v>220</v>
      </c>
      <c r="J10807">
        <v>39</v>
      </c>
      <c r="K10807" t="b">
        <v>1</v>
      </c>
    </row>
    <row r="10808" spans="8:11" x14ac:dyDescent="0.25">
      <c r="H10808">
        <v>129</v>
      </c>
      <c r="I10808">
        <v>225</v>
      </c>
      <c r="J10808">
        <v>39</v>
      </c>
      <c r="K10808" t="b">
        <v>1</v>
      </c>
    </row>
    <row r="10809" spans="8:11" x14ac:dyDescent="0.25">
      <c r="H10809">
        <v>129</v>
      </c>
      <c r="I10809">
        <v>230</v>
      </c>
      <c r="J10809">
        <v>39</v>
      </c>
      <c r="K10809" t="b">
        <v>1</v>
      </c>
    </row>
    <row r="10810" spans="8:11" x14ac:dyDescent="0.25">
      <c r="H10810">
        <v>129</v>
      </c>
      <c r="I10810">
        <v>235</v>
      </c>
      <c r="J10810">
        <v>39</v>
      </c>
      <c r="K10810" t="b">
        <v>1</v>
      </c>
    </row>
    <row r="10811" spans="8:11" x14ac:dyDescent="0.25">
      <c r="H10811">
        <v>129</v>
      </c>
      <c r="I10811">
        <v>240</v>
      </c>
      <c r="J10811">
        <v>39</v>
      </c>
      <c r="K10811" t="b">
        <v>1</v>
      </c>
    </row>
    <row r="10812" spans="8:11" x14ac:dyDescent="0.25">
      <c r="H10812">
        <v>129</v>
      </c>
      <c r="I10812">
        <v>245</v>
      </c>
      <c r="J10812">
        <v>39</v>
      </c>
      <c r="K10812" t="b">
        <v>1</v>
      </c>
    </row>
    <row r="10813" spans="8:11" x14ac:dyDescent="0.25">
      <c r="H10813">
        <v>129</v>
      </c>
      <c r="I10813">
        <v>250</v>
      </c>
      <c r="J10813">
        <v>39</v>
      </c>
      <c r="K10813" t="b">
        <v>1</v>
      </c>
    </row>
    <row r="10814" spans="8:11" x14ac:dyDescent="0.25">
      <c r="H10814">
        <v>129</v>
      </c>
      <c r="I10814">
        <v>255</v>
      </c>
      <c r="J10814">
        <v>39</v>
      </c>
      <c r="K10814" t="b">
        <v>1</v>
      </c>
    </row>
    <row r="10815" spans="8:11" x14ac:dyDescent="0.25">
      <c r="H10815">
        <v>129</v>
      </c>
      <c r="I10815">
        <v>260</v>
      </c>
      <c r="J10815">
        <v>39</v>
      </c>
      <c r="K10815" t="b">
        <v>1</v>
      </c>
    </row>
    <row r="10816" spans="8:11" x14ac:dyDescent="0.25">
      <c r="H10816">
        <v>129</v>
      </c>
      <c r="I10816">
        <v>265</v>
      </c>
      <c r="J10816">
        <v>39</v>
      </c>
      <c r="K10816" t="b">
        <v>1</v>
      </c>
    </row>
    <row r="10817" spans="8:11" x14ac:dyDescent="0.25">
      <c r="H10817">
        <v>129</v>
      </c>
      <c r="I10817">
        <v>270</v>
      </c>
      <c r="J10817">
        <v>39</v>
      </c>
      <c r="K10817" t="b">
        <v>1</v>
      </c>
    </row>
    <row r="10818" spans="8:11" x14ac:dyDescent="0.25">
      <c r="H10818">
        <v>129</v>
      </c>
      <c r="I10818">
        <v>275</v>
      </c>
      <c r="J10818">
        <v>39</v>
      </c>
      <c r="K10818" t="b">
        <v>1</v>
      </c>
    </row>
    <row r="10819" spans="8:11" x14ac:dyDescent="0.25">
      <c r="H10819">
        <v>129</v>
      </c>
      <c r="I10819">
        <v>280</v>
      </c>
      <c r="J10819">
        <v>39</v>
      </c>
      <c r="K10819" t="b">
        <v>1</v>
      </c>
    </row>
    <row r="10820" spans="8:11" x14ac:dyDescent="0.25">
      <c r="H10820">
        <v>129</v>
      </c>
      <c r="I10820">
        <v>285</v>
      </c>
      <c r="J10820">
        <v>39</v>
      </c>
      <c r="K10820" t="b">
        <v>1</v>
      </c>
    </row>
    <row r="10821" spans="8:11" x14ac:dyDescent="0.25">
      <c r="H10821">
        <v>129</v>
      </c>
      <c r="I10821">
        <v>290</v>
      </c>
      <c r="J10821">
        <v>39</v>
      </c>
      <c r="K10821" t="b">
        <v>1</v>
      </c>
    </row>
    <row r="10822" spans="8:11" x14ac:dyDescent="0.25">
      <c r="H10822">
        <v>129</v>
      </c>
      <c r="I10822">
        <v>295</v>
      </c>
      <c r="J10822">
        <v>39</v>
      </c>
      <c r="K10822" t="b">
        <v>1</v>
      </c>
    </row>
    <row r="10823" spans="8:11" x14ac:dyDescent="0.25">
      <c r="H10823">
        <v>129</v>
      </c>
      <c r="I10823">
        <v>300</v>
      </c>
      <c r="J10823">
        <v>39</v>
      </c>
      <c r="K10823" t="b">
        <v>1</v>
      </c>
    </row>
    <row r="10824" spans="8:11" x14ac:dyDescent="0.25">
      <c r="H10824">
        <v>129</v>
      </c>
      <c r="I10824">
        <v>305</v>
      </c>
      <c r="J10824">
        <v>39</v>
      </c>
      <c r="K10824" t="b">
        <v>1</v>
      </c>
    </row>
    <row r="10825" spans="8:11" x14ac:dyDescent="0.25">
      <c r="H10825">
        <v>129</v>
      </c>
      <c r="I10825">
        <v>310</v>
      </c>
      <c r="J10825">
        <v>39</v>
      </c>
      <c r="K10825" t="b">
        <v>1</v>
      </c>
    </row>
    <row r="10826" spans="8:11" x14ac:dyDescent="0.25">
      <c r="H10826">
        <v>129</v>
      </c>
      <c r="I10826">
        <v>315</v>
      </c>
      <c r="J10826">
        <v>39</v>
      </c>
      <c r="K10826" t="b">
        <v>1</v>
      </c>
    </row>
    <row r="10827" spans="8:11" x14ac:dyDescent="0.25">
      <c r="H10827">
        <v>129</v>
      </c>
      <c r="I10827">
        <v>320</v>
      </c>
      <c r="J10827">
        <v>39</v>
      </c>
      <c r="K10827" t="b">
        <v>1</v>
      </c>
    </row>
    <row r="10828" spans="8:11" x14ac:dyDescent="0.25">
      <c r="H10828">
        <v>129</v>
      </c>
      <c r="I10828">
        <v>325</v>
      </c>
      <c r="J10828">
        <v>39</v>
      </c>
      <c r="K10828" t="b">
        <v>1</v>
      </c>
    </row>
    <row r="10829" spans="8:11" x14ac:dyDescent="0.25">
      <c r="H10829">
        <v>129</v>
      </c>
      <c r="I10829">
        <v>330</v>
      </c>
      <c r="J10829">
        <v>39</v>
      </c>
      <c r="K10829" t="b">
        <v>1</v>
      </c>
    </row>
    <row r="10830" spans="8:11" x14ac:dyDescent="0.25">
      <c r="H10830">
        <v>129</v>
      </c>
      <c r="I10830">
        <v>335</v>
      </c>
      <c r="J10830">
        <v>39</v>
      </c>
      <c r="K10830" t="b">
        <v>1</v>
      </c>
    </row>
    <row r="10831" spans="8:11" x14ac:dyDescent="0.25">
      <c r="H10831">
        <v>129</v>
      </c>
      <c r="I10831">
        <v>340</v>
      </c>
      <c r="J10831">
        <v>39</v>
      </c>
      <c r="K10831" t="b">
        <v>1</v>
      </c>
    </row>
    <row r="10832" spans="8:11" x14ac:dyDescent="0.25">
      <c r="H10832">
        <v>129</v>
      </c>
      <c r="I10832">
        <v>345</v>
      </c>
      <c r="J10832">
        <v>39</v>
      </c>
      <c r="K10832" t="b">
        <v>1</v>
      </c>
    </row>
    <row r="10833" spans="8:11" x14ac:dyDescent="0.25">
      <c r="H10833">
        <v>129</v>
      </c>
      <c r="I10833">
        <v>350</v>
      </c>
      <c r="J10833">
        <v>39</v>
      </c>
      <c r="K10833" t="b">
        <v>1</v>
      </c>
    </row>
    <row r="10834" spans="8:11" x14ac:dyDescent="0.25">
      <c r="H10834">
        <v>129</v>
      </c>
      <c r="I10834">
        <v>355</v>
      </c>
      <c r="J10834">
        <v>39</v>
      </c>
      <c r="K10834" t="b">
        <v>1</v>
      </c>
    </row>
    <row r="10835" spans="8:11" x14ac:dyDescent="0.25">
      <c r="H10835">
        <v>129</v>
      </c>
      <c r="I10835">
        <v>360</v>
      </c>
      <c r="J10835">
        <v>39</v>
      </c>
      <c r="K10835" t="b">
        <v>1</v>
      </c>
    </row>
    <row r="10836" spans="8:11" x14ac:dyDescent="0.25">
      <c r="H10836">
        <v>129</v>
      </c>
      <c r="I10836">
        <v>365</v>
      </c>
      <c r="J10836">
        <v>39</v>
      </c>
      <c r="K10836" t="b">
        <v>1</v>
      </c>
    </row>
    <row r="10837" spans="8:11" x14ac:dyDescent="0.25">
      <c r="H10837">
        <v>129</v>
      </c>
      <c r="I10837">
        <v>370</v>
      </c>
      <c r="J10837">
        <v>39</v>
      </c>
      <c r="K10837" t="b">
        <v>1</v>
      </c>
    </row>
    <row r="10838" spans="8:11" x14ac:dyDescent="0.25">
      <c r="H10838">
        <v>129</v>
      </c>
      <c r="I10838">
        <v>375</v>
      </c>
      <c r="J10838">
        <v>39</v>
      </c>
      <c r="K10838" t="b">
        <v>1</v>
      </c>
    </row>
    <row r="10839" spans="8:11" x14ac:dyDescent="0.25">
      <c r="H10839">
        <v>129</v>
      </c>
      <c r="I10839">
        <v>380</v>
      </c>
      <c r="J10839">
        <v>39</v>
      </c>
      <c r="K10839" t="b">
        <v>1</v>
      </c>
    </row>
    <row r="10840" spans="8:11" x14ac:dyDescent="0.25">
      <c r="H10840">
        <v>129</v>
      </c>
      <c r="I10840">
        <v>385</v>
      </c>
      <c r="J10840">
        <v>39</v>
      </c>
      <c r="K10840" t="b">
        <v>1</v>
      </c>
    </row>
    <row r="10841" spans="8:11" x14ac:dyDescent="0.25">
      <c r="H10841">
        <v>129</v>
      </c>
      <c r="I10841">
        <v>390</v>
      </c>
      <c r="J10841">
        <v>39</v>
      </c>
      <c r="K10841" t="b">
        <v>1</v>
      </c>
    </row>
    <row r="10842" spans="8:11" x14ac:dyDescent="0.25">
      <c r="H10842">
        <v>129</v>
      </c>
      <c r="I10842">
        <v>395</v>
      </c>
      <c r="J10842">
        <v>39</v>
      </c>
      <c r="K10842" t="b">
        <v>1</v>
      </c>
    </row>
    <row r="10843" spans="8:11" x14ac:dyDescent="0.25">
      <c r="H10843">
        <v>129</v>
      </c>
      <c r="I10843">
        <v>400</v>
      </c>
      <c r="J10843">
        <v>39</v>
      </c>
      <c r="K10843" t="b">
        <v>1</v>
      </c>
    </row>
    <row r="10844" spans="8:11" x14ac:dyDescent="0.25">
      <c r="H10844">
        <v>129</v>
      </c>
      <c r="I10844">
        <v>405</v>
      </c>
      <c r="J10844">
        <v>39</v>
      </c>
      <c r="K10844" t="b">
        <v>1</v>
      </c>
    </row>
    <row r="10845" spans="8:11" x14ac:dyDescent="0.25">
      <c r="H10845">
        <v>129</v>
      </c>
      <c r="I10845">
        <v>410</v>
      </c>
      <c r="J10845">
        <v>39</v>
      </c>
      <c r="K10845" t="b">
        <v>1</v>
      </c>
    </row>
    <row r="10846" spans="8:11" x14ac:dyDescent="0.25">
      <c r="H10846">
        <v>129</v>
      </c>
      <c r="I10846">
        <v>415</v>
      </c>
      <c r="J10846">
        <v>39</v>
      </c>
      <c r="K10846" t="b">
        <v>1</v>
      </c>
    </row>
    <row r="10847" spans="8:11" x14ac:dyDescent="0.25">
      <c r="H10847">
        <v>129</v>
      </c>
      <c r="I10847">
        <v>420</v>
      </c>
      <c r="J10847">
        <v>39</v>
      </c>
      <c r="K10847" t="b">
        <v>1</v>
      </c>
    </row>
    <row r="10848" spans="8:11" x14ac:dyDescent="0.25">
      <c r="H10848">
        <v>129</v>
      </c>
      <c r="I10848">
        <v>425</v>
      </c>
      <c r="J10848">
        <v>39</v>
      </c>
      <c r="K10848" t="b">
        <v>1</v>
      </c>
    </row>
    <row r="10849" spans="8:11" x14ac:dyDescent="0.25">
      <c r="H10849">
        <v>129</v>
      </c>
      <c r="I10849">
        <v>430</v>
      </c>
      <c r="J10849">
        <v>39</v>
      </c>
      <c r="K10849" t="b">
        <v>1</v>
      </c>
    </row>
    <row r="10850" spans="8:11" x14ac:dyDescent="0.25">
      <c r="H10850">
        <v>129</v>
      </c>
      <c r="I10850">
        <v>435</v>
      </c>
      <c r="J10850">
        <v>39</v>
      </c>
      <c r="K10850" t="b">
        <v>1</v>
      </c>
    </row>
    <row r="10851" spans="8:11" x14ac:dyDescent="0.25">
      <c r="H10851">
        <v>129</v>
      </c>
      <c r="I10851">
        <v>440</v>
      </c>
      <c r="J10851">
        <v>39</v>
      </c>
      <c r="K10851" t="b">
        <v>1</v>
      </c>
    </row>
    <row r="10852" spans="8:11" x14ac:dyDescent="0.25">
      <c r="H10852">
        <v>129</v>
      </c>
      <c r="I10852">
        <v>445</v>
      </c>
      <c r="J10852">
        <v>39</v>
      </c>
      <c r="K10852" t="b">
        <v>1</v>
      </c>
    </row>
    <row r="10853" spans="8:11" x14ac:dyDescent="0.25">
      <c r="H10853">
        <v>129</v>
      </c>
      <c r="I10853">
        <v>450</v>
      </c>
      <c r="J10853">
        <v>39</v>
      </c>
      <c r="K10853" t="b">
        <v>1</v>
      </c>
    </row>
    <row r="10854" spans="8:11" x14ac:dyDescent="0.25">
      <c r="H10854">
        <v>129</v>
      </c>
      <c r="I10854">
        <v>455</v>
      </c>
      <c r="J10854">
        <v>39</v>
      </c>
      <c r="K10854" t="b">
        <v>1</v>
      </c>
    </row>
    <row r="10855" spans="8:11" x14ac:dyDescent="0.25">
      <c r="H10855">
        <v>129</v>
      </c>
      <c r="I10855">
        <v>460</v>
      </c>
      <c r="J10855">
        <v>39</v>
      </c>
      <c r="K10855" t="b">
        <v>1</v>
      </c>
    </row>
    <row r="10856" spans="8:11" x14ac:dyDescent="0.25">
      <c r="H10856">
        <v>129</v>
      </c>
      <c r="I10856">
        <v>465</v>
      </c>
      <c r="J10856">
        <v>39</v>
      </c>
      <c r="K10856" t="b">
        <v>1</v>
      </c>
    </row>
    <row r="10857" spans="8:11" x14ac:dyDescent="0.25">
      <c r="H10857">
        <v>129</v>
      </c>
      <c r="I10857">
        <v>470</v>
      </c>
      <c r="J10857">
        <v>39</v>
      </c>
      <c r="K10857" t="b">
        <v>1</v>
      </c>
    </row>
    <row r="10858" spans="8:11" x14ac:dyDescent="0.25">
      <c r="H10858">
        <v>129</v>
      </c>
      <c r="I10858">
        <v>475</v>
      </c>
      <c r="J10858">
        <v>39</v>
      </c>
      <c r="K10858" t="b">
        <v>1</v>
      </c>
    </row>
    <row r="10859" spans="8:11" x14ac:dyDescent="0.25">
      <c r="H10859">
        <v>129</v>
      </c>
      <c r="I10859">
        <v>480</v>
      </c>
      <c r="J10859">
        <v>39</v>
      </c>
      <c r="K10859" t="b">
        <v>1</v>
      </c>
    </row>
    <row r="10860" spans="8:11" x14ac:dyDescent="0.25">
      <c r="H10860">
        <v>129</v>
      </c>
      <c r="I10860">
        <v>485</v>
      </c>
      <c r="J10860">
        <v>39</v>
      </c>
      <c r="K10860" t="b">
        <v>1</v>
      </c>
    </row>
    <row r="10861" spans="8:11" x14ac:dyDescent="0.25">
      <c r="H10861">
        <v>129</v>
      </c>
      <c r="I10861">
        <v>490</v>
      </c>
      <c r="J10861">
        <v>39</v>
      </c>
      <c r="K10861" t="b">
        <v>1</v>
      </c>
    </row>
    <row r="10862" spans="8:11" x14ac:dyDescent="0.25">
      <c r="H10862">
        <v>129</v>
      </c>
      <c r="I10862">
        <v>495</v>
      </c>
      <c r="J10862">
        <v>39</v>
      </c>
      <c r="K10862" t="b">
        <v>1</v>
      </c>
    </row>
    <row r="10863" spans="8:11" x14ac:dyDescent="0.25">
      <c r="H10863">
        <v>129</v>
      </c>
      <c r="I10863">
        <v>500</v>
      </c>
      <c r="J10863">
        <v>39</v>
      </c>
      <c r="K10863" t="b">
        <v>1</v>
      </c>
    </row>
    <row r="10864" spans="8:11" x14ac:dyDescent="0.25">
      <c r="H10864">
        <v>129</v>
      </c>
      <c r="I10864">
        <v>505</v>
      </c>
      <c r="J10864">
        <v>39</v>
      </c>
      <c r="K10864" t="b">
        <v>1</v>
      </c>
    </row>
    <row r="10865" spans="8:11" x14ac:dyDescent="0.25">
      <c r="H10865">
        <v>129</v>
      </c>
      <c r="I10865">
        <v>510</v>
      </c>
      <c r="J10865">
        <v>39</v>
      </c>
      <c r="K10865" t="b">
        <v>1</v>
      </c>
    </row>
    <row r="10866" spans="8:11" x14ac:dyDescent="0.25">
      <c r="H10866">
        <v>129</v>
      </c>
      <c r="I10866">
        <v>515</v>
      </c>
      <c r="J10866">
        <v>39</v>
      </c>
      <c r="K10866" t="b">
        <v>1</v>
      </c>
    </row>
    <row r="10867" spans="8:11" x14ac:dyDescent="0.25">
      <c r="H10867">
        <v>129</v>
      </c>
      <c r="I10867">
        <v>520</v>
      </c>
      <c r="J10867">
        <v>39</v>
      </c>
      <c r="K10867" t="b">
        <v>1</v>
      </c>
    </row>
    <row r="10868" spans="8:11" x14ac:dyDescent="0.25">
      <c r="H10868">
        <v>129</v>
      </c>
      <c r="I10868">
        <v>525</v>
      </c>
      <c r="J10868">
        <v>39</v>
      </c>
      <c r="K10868" t="b">
        <v>1</v>
      </c>
    </row>
    <row r="10869" spans="8:11" x14ac:dyDescent="0.25">
      <c r="H10869">
        <v>129</v>
      </c>
      <c r="I10869">
        <v>530</v>
      </c>
      <c r="J10869">
        <v>39</v>
      </c>
      <c r="K10869" t="b">
        <v>1</v>
      </c>
    </row>
    <row r="10870" spans="8:11" x14ac:dyDescent="0.25">
      <c r="H10870">
        <v>129</v>
      </c>
      <c r="I10870">
        <v>535</v>
      </c>
      <c r="J10870">
        <v>39</v>
      </c>
      <c r="K10870" t="b">
        <v>1</v>
      </c>
    </row>
    <row r="10871" spans="8:11" x14ac:dyDescent="0.25">
      <c r="H10871">
        <v>129</v>
      </c>
      <c r="I10871">
        <v>540</v>
      </c>
      <c r="J10871">
        <v>39</v>
      </c>
      <c r="K10871" t="b">
        <v>1</v>
      </c>
    </row>
    <row r="10872" spans="8:11" x14ac:dyDescent="0.25">
      <c r="H10872">
        <v>129</v>
      </c>
      <c r="I10872">
        <v>545</v>
      </c>
      <c r="J10872">
        <v>39</v>
      </c>
      <c r="K10872" t="b">
        <v>1</v>
      </c>
    </row>
    <row r="10873" spans="8:11" x14ac:dyDescent="0.25">
      <c r="H10873">
        <v>129</v>
      </c>
      <c r="I10873">
        <v>550</v>
      </c>
      <c r="J10873">
        <v>39</v>
      </c>
      <c r="K10873" t="b">
        <v>1</v>
      </c>
    </row>
    <row r="10874" spans="8:11" x14ac:dyDescent="0.25">
      <c r="H10874">
        <v>129</v>
      </c>
      <c r="I10874">
        <v>555</v>
      </c>
      <c r="J10874">
        <v>39</v>
      </c>
      <c r="K10874" t="b">
        <v>1</v>
      </c>
    </row>
    <row r="10875" spans="8:11" x14ac:dyDescent="0.25">
      <c r="H10875">
        <v>129</v>
      </c>
      <c r="I10875">
        <v>560</v>
      </c>
      <c r="J10875">
        <v>39</v>
      </c>
      <c r="K10875" t="b">
        <v>1</v>
      </c>
    </row>
    <row r="10876" spans="8:11" x14ac:dyDescent="0.25">
      <c r="H10876">
        <v>129</v>
      </c>
      <c r="I10876">
        <v>565</v>
      </c>
      <c r="J10876">
        <v>39</v>
      </c>
      <c r="K10876" t="b">
        <v>1</v>
      </c>
    </row>
    <row r="10877" spans="8:11" x14ac:dyDescent="0.25">
      <c r="H10877">
        <v>129</v>
      </c>
      <c r="I10877">
        <v>570</v>
      </c>
      <c r="J10877">
        <v>39</v>
      </c>
      <c r="K10877" t="b">
        <v>1</v>
      </c>
    </row>
    <row r="10878" spans="8:11" x14ac:dyDescent="0.25">
      <c r="H10878">
        <v>129</v>
      </c>
      <c r="I10878">
        <v>575</v>
      </c>
      <c r="J10878">
        <v>39</v>
      </c>
      <c r="K10878" t="b">
        <v>1</v>
      </c>
    </row>
    <row r="10879" spans="8:11" x14ac:dyDescent="0.25">
      <c r="H10879">
        <v>129</v>
      </c>
      <c r="I10879">
        <v>580</v>
      </c>
      <c r="J10879">
        <v>39</v>
      </c>
      <c r="K10879" t="b">
        <v>1</v>
      </c>
    </row>
    <row r="10880" spans="8:11" x14ac:dyDescent="0.25">
      <c r="H10880">
        <v>129</v>
      </c>
      <c r="I10880">
        <v>585</v>
      </c>
      <c r="J10880">
        <v>39</v>
      </c>
      <c r="K10880" t="b">
        <v>1</v>
      </c>
    </row>
    <row r="10881" spans="8:11" x14ac:dyDescent="0.25">
      <c r="H10881">
        <v>129</v>
      </c>
      <c r="I10881">
        <v>590</v>
      </c>
      <c r="J10881">
        <v>39</v>
      </c>
      <c r="K10881" t="b">
        <v>1</v>
      </c>
    </row>
    <row r="10882" spans="8:11" x14ac:dyDescent="0.25">
      <c r="H10882">
        <v>129</v>
      </c>
      <c r="I10882">
        <v>595</v>
      </c>
      <c r="J10882">
        <v>39</v>
      </c>
      <c r="K10882" t="b">
        <v>1</v>
      </c>
    </row>
    <row r="10883" spans="8:11" x14ac:dyDescent="0.25">
      <c r="H10883">
        <v>129</v>
      </c>
      <c r="I10883">
        <v>600</v>
      </c>
      <c r="J10883">
        <v>39</v>
      </c>
      <c r="K10883" t="b">
        <v>1</v>
      </c>
    </row>
    <row r="10884" spans="8:11" x14ac:dyDescent="0.25">
      <c r="H10884">
        <v>129</v>
      </c>
      <c r="I10884">
        <v>605</v>
      </c>
      <c r="J10884">
        <v>39</v>
      </c>
      <c r="K10884" t="b">
        <v>1</v>
      </c>
    </row>
    <row r="10885" spans="8:11" x14ac:dyDescent="0.25">
      <c r="H10885">
        <v>129</v>
      </c>
      <c r="I10885">
        <v>610</v>
      </c>
      <c r="J10885">
        <v>39</v>
      </c>
      <c r="K10885" t="b">
        <v>1</v>
      </c>
    </row>
    <row r="10886" spans="8:11" x14ac:dyDescent="0.25">
      <c r="H10886">
        <v>129</v>
      </c>
      <c r="I10886">
        <v>615</v>
      </c>
      <c r="J10886">
        <v>39</v>
      </c>
      <c r="K10886" t="b">
        <v>1</v>
      </c>
    </row>
    <row r="10887" spans="8:11" x14ac:dyDescent="0.25">
      <c r="H10887">
        <v>129</v>
      </c>
      <c r="I10887">
        <v>620</v>
      </c>
      <c r="J10887">
        <v>39</v>
      </c>
      <c r="K10887" t="b">
        <v>1</v>
      </c>
    </row>
    <row r="10888" spans="8:11" x14ac:dyDescent="0.25">
      <c r="H10888">
        <v>129</v>
      </c>
      <c r="I10888">
        <v>625</v>
      </c>
      <c r="J10888">
        <v>39</v>
      </c>
      <c r="K10888" t="b">
        <v>1</v>
      </c>
    </row>
    <row r="10889" spans="8:11" x14ac:dyDescent="0.25">
      <c r="H10889">
        <v>129</v>
      </c>
      <c r="I10889">
        <v>630</v>
      </c>
      <c r="J10889">
        <v>39</v>
      </c>
      <c r="K10889" t="b">
        <v>1</v>
      </c>
    </row>
    <row r="10890" spans="8:11" x14ac:dyDescent="0.25">
      <c r="H10890">
        <v>129</v>
      </c>
      <c r="I10890">
        <v>635</v>
      </c>
      <c r="J10890">
        <v>39</v>
      </c>
      <c r="K10890" t="b">
        <v>1</v>
      </c>
    </row>
    <row r="10891" spans="8:11" x14ac:dyDescent="0.25">
      <c r="H10891">
        <v>129</v>
      </c>
      <c r="I10891">
        <v>640</v>
      </c>
      <c r="J10891">
        <v>39</v>
      </c>
      <c r="K10891" t="b">
        <v>1</v>
      </c>
    </row>
    <row r="10892" spans="8:11" x14ac:dyDescent="0.25">
      <c r="H10892">
        <v>129</v>
      </c>
      <c r="I10892">
        <v>645</v>
      </c>
      <c r="J10892">
        <v>39</v>
      </c>
      <c r="K10892" t="b">
        <v>1</v>
      </c>
    </row>
    <row r="10893" spans="8:11" x14ac:dyDescent="0.25">
      <c r="H10893">
        <v>129</v>
      </c>
      <c r="I10893">
        <v>650</v>
      </c>
      <c r="J10893">
        <v>39</v>
      </c>
      <c r="K10893" t="b">
        <v>1</v>
      </c>
    </row>
    <row r="10894" spans="8:11" x14ac:dyDescent="0.25">
      <c r="H10894">
        <v>129</v>
      </c>
      <c r="I10894">
        <v>655</v>
      </c>
      <c r="J10894">
        <v>39</v>
      </c>
      <c r="K10894" t="b">
        <v>1</v>
      </c>
    </row>
    <row r="10895" spans="8:11" x14ac:dyDescent="0.25">
      <c r="H10895">
        <v>129</v>
      </c>
      <c r="I10895">
        <v>660</v>
      </c>
      <c r="J10895">
        <v>39</v>
      </c>
      <c r="K10895" t="b">
        <v>1</v>
      </c>
    </row>
    <row r="10896" spans="8:11" x14ac:dyDescent="0.25">
      <c r="H10896">
        <v>129</v>
      </c>
      <c r="I10896">
        <v>665</v>
      </c>
      <c r="J10896">
        <v>39</v>
      </c>
      <c r="K10896" t="b">
        <v>1</v>
      </c>
    </row>
    <row r="10897" spans="8:11" x14ac:dyDescent="0.25">
      <c r="H10897">
        <v>129</v>
      </c>
      <c r="I10897">
        <v>670</v>
      </c>
      <c r="J10897">
        <v>39</v>
      </c>
      <c r="K10897" t="b">
        <v>1</v>
      </c>
    </row>
    <row r="10898" spans="8:11" x14ac:dyDescent="0.25">
      <c r="H10898">
        <v>129</v>
      </c>
      <c r="I10898">
        <v>675</v>
      </c>
      <c r="J10898">
        <v>39</v>
      </c>
      <c r="K10898" t="b">
        <v>1</v>
      </c>
    </row>
    <row r="10899" spans="8:11" x14ac:dyDescent="0.25">
      <c r="H10899">
        <v>129</v>
      </c>
      <c r="I10899">
        <v>680</v>
      </c>
      <c r="J10899">
        <v>39</v>
      </c>
      <c r="K10899" t="b">
        <v>1</v>
      </c>
    </row>
    <row r="10900" spans="8:11" x14ac:dyDescent="0.25">
      <c r="H10900">
        <v>129</v>
      </c>
      <c r="I10900">
        <v>685</v>
      </c>
      <c r="J10900">
        <v>39</v>
      </c>
      <c r="K10900" t="b">
        <v>1</v>
      </c>
    </row>
    <row r="10901" spans="8:11" x14ac:dyDescent="0.25">
      <c r="H10901">
        <v>129</v>
      </c>
      <c r="I10901">
        <v>690</v>
      </c>
      <c r="J10901">
        <v>39</v>
      </c>
      <c r="K10901" t="b">
        <v>1</v>
      </c>
    </row>
    <row r="10902" spans="8:11" x14ac:dyDescent="0.25">
      <c r="H10902">
        <v>129</v>
      </c>
      <c r="I10902">
        <v>695</v>
      </c>
      <c r="J10902">
        <v>39</v>
      </c>
      <c r="K10902" t="b">
        <v>1</v>
      </c>
    </row>
    <row r="10903" spans="8:11" x14ac:dyDescent="0.25">
      <c r="H10903">
        <v>129</v>
      </c>
      <c r="I10903">
        <v>700</v>
      </c>
      <c r="J10903">
        <v>39</v>
      </c>
      <c r="K10903" t="b">
        <v>1</v>
      </c>
    </row>
    <row r="10904" spans="8:11" x14ac:dyDescent="0.25">
      <c r="H10904">
        <v>129</v>
      </c>
      <c r="I10904">
        <v>705</v>
      </c>
      <c r="J10904">
        <v>39</v>
      </c>
      <c r="K10904" t="b">
        <v>1</v>
      </c>
    </row>
    <row r="10905" spans="8:11" x14ac:dyDescent="0.25">
      <c r="H10905">
        <v>129</v>
      </c>
      <c r="I10905">
        <v>710</v>
      </c>
      <c r="J10905">
        <v>39</v>
      </c>
      <c r="K10905" t="b">
        <v>1</v>
      </c>
    </row>
    <row r="10906" spans="8:11" x14ac:dyDescent="0.25">
      <c r="H10906">
        <v>129</v>
      </c>
      <c r="I10906">
        <v>715</v>
      </c>
      <c r="J10906">
        <v>39</v>
      </c>
      <c r="K10906" t="b">
        <v>1</v>
      </c>
    </row>
    <row r="10907" spans="8:11" x14ac:dyDescent="0.25">
      <c r="H10907">
        <v>129</v>
      </c>
      <c r="I10907">
        <v>720</v>
      </c>
      <c r="J10907">
        <v>39</v>
      </c>
      <c r="K10907" t="b">
        <v>1</v>
      </c>
    </row>
    <row r="10908" spans="8:11" x14ac:dyDescent="0.25">
      <c r="H10908">
        <v>129</v>
      </c>
      <c r="I10908">
        <v>725</v>
      </c>
      <c r="J10908">
        <v>39</v>
      </c>
      <c r="K10908" t="b">
        <v>1</v>
      </c>
    </row>
    <row r="10909" spans="8:11" x14ac:dyDescent="0.25">
      <c r="H10909">
        <v>129</v>
      </c>
      <c r="I10909">
        <v>730</v>
      </c>
      <c r="J10909">
        <v>39</v>
      </c>
      <c r="K10909" t="b">
        <v>1</v>
      </c>
    </row>
    <row r="10910" spans="8:11" x14ac:dyDescent="0.25">
      <c r="H10910">
        <v>129</v>
      </c>
      <c r="I10910">
        <v>735</v>
      </c>
      <c r="J10910">
        <v>39</v>
      </c>
      <c r="K10910" t="b">
        <v>1</v>
      </c>
    </row>
    <row r="10911" spans="8:11" x14ac:dyDescent="0.25">
      <c r="H10911">
        <v>129</v>
      </c>
      <c r="I10911">
        <v>740</v>
      </c>
      <c r="J10911">
        <v>39</v>
      </c>
      <c r="K10911" t="b">
        <v>1</v>
      </c>
    </row>
    <row r="10912" spans="8:11" x14ac:dyDescent="0.25">
      <c r="H10912">
        <v>129</v>
      </c>
      <c r="I10912">
        <v>745</v>
      </c>
      <c r="J10912">
        <v>39</v>
      </c>
      <c r="K10912" t="b">
        <v>1</v>
      </c>
    </row>
    <row r="10913" spans="8:11" x14ac:dyDescent="0.25">
      <c r="H10913">
        <v>129</v>
      </c>
      <c r="I10913">
        <v>750</v>
      </c>
      <c r="J10913">
        <v>39</v>
      </c>
      <c r="K10913" t="b">
        <v>1</v>
      </c>
    </row>
    <row r="10914" spans="8:11" x14ac:dyDescent="0.25">
      <c r="H10914">
        <v>129</v>
      </c>
      <c r="I10914">
        <v>755</v>
      </c>
      <c r="J10914">
        <v>39</v>
      </c>
      <c r="K10914" t="b">
        <v>1</v>
      </c>
    </row>
    <row r="10915" spans="8:11" x14ac:dyDescent="0.25">
      <c r="H10915">
        <v>129</v>
      </c>
      <c r="I10915">
        <v>760</v>
      </c>
      <c r="J10915">
        <v>39</v>
      </c>
      <c r="K10915" t="b">
        <v>1</v>
      </c>
    </row>
    <row r="10916" spans="8:11" x14ac:dyDescent="0.25">
      <c r="H10916">
        <v>129</v>
      </c>
      <c r="I10916">
        <v>765</v>
      </c>
      <c r="J10916">
        <v>39</v>
      </c>
      <c r="K10916" t="b">
        <v>1</v>
      </c>
    </row>
    <row r="10917" spans="8:11" x14ac:dyDescent="0.25">
      <c r="H10917">
        <v>129</v>
      </c>
      <c r="I10917">
        <v>770</v>
      </c>
      <c r="J10917">
        <v>39</v>
      </c>
      <c r="K10917" t="b">
        <v>1</v>
      </c>
    </row>
    <row r="10918" spans="8:11" x14ac:dyDescent="0.25">
      <c r="H10918">
        <v>129</v>
      </c>
      <c r="I10918">
        <v>775</v>
      </c>
      <c r="J10918">
        <v>39</v>
      </c>
      <c r="K10918" t="b">
        <v>1</v>
      </c>
    </row>
    <row r="10919" spans="8:11" x14ac:dyDescent="0.25">
      <c r="H10919">
        <v>129</v>
      </c>
      <c r="I10919">
        <v>780</v>
      </c>
      <c r="J10919">
        <v>39</v>
      </c>
      <c r="K10919" t="b">
        <v>1</v>
      </c>
    </row>
    <row r="10920" spans="8:11" x14ac:dyDescent="0.25">
      <c r="H10920">
        <v>129</v>
      </c>
      <c r="I10920">
        <v>785</v>
      </c>
      <c r="J10920">
        <v>39</v>
      </c>
      <c r="K10920" t="b">
        <v>1</v>
      </c>
    </row>
    <row r="10921" spans="8:11" x14ac:dyDescent="0.25">
      <c r="H10921">
        <v>129</v>
      </c>
      <c r="I10921">
        <v>790</v>
      </c>
      <c r="J10921">
        <v>39</v>
      </c>
      <c r="K10921" t="b">
        <v>1</v>
      </c>
    </row>
    <row r="10922" spans="8:11" x14ac:dyDescent="0.25">
      <c r="H10922">
        <v>129</v>
      </c>
      <c r="I10922">
        <v>795</v>
      </c>
      <c r="J10922">
        <v>39</v>
      </c>
      <c r="K10922" t="b">
        <v>1</v>
      </c>
    </row>
    <row r="10923" spans="8:11" x14ac:dyDescent="0.25">
      <c r="H10923">
        <v>129</v>
      </c>
      <c r="I10923">
        <v>800</v>
      </c>
      <c r="J10923">
        <v>39</v>
      </c>
      <c r="K10923" t="b">
        <v>1</v>
      </c>
    </row>
    <row r="10924" spans="8:11" x14ac:dyDescent="0.25">
      <c r="H10924">
        <v>129</v>
      </c>
      <c r="I10924">
        <v>805</v>
      </c>
      <c r="J10924">
        <v>39</v>
      </c>
      <c r="K10924" t="b">
        <v>1</v>
      </c>
    </row>
    <row r="10925" spans="8:11" x14ac:dyDescent="0.25">
      <c r="H10925">
        <v>129</v>
      </c>
      <c r="I10925">
        <v>810</v>
      </c>
      <c r="J10925">
        <v>39</v>
      </c>
      <c r="K10925" t="b">
        <v>1</v>
      </c>
    </row>
    <row r="10926" spans="8:11" x14ac:dyDescent="0.25">
      <c r="H10926">
        <v>129</v>
      </c>
      <c r="I10926">
        <v>815</v>
      </c>
      <c r="J10926">
        <v>39</v>
      </c>
      <c r="K10926" t="b">
        <v>1</v>
      </c>
    </row>
    <row r="10927" spans="8:11" x14ac:dyDescent="0.25">
      <c r="H10927">
        <v>129</v>
      </c>
      <c r="I10927">
        <v>820</v>
      </c>
      <c r="J10927">
        <v>39</v>
      </c>
      <c r="K10927" t="b">
        <v>1</v>
      </c>
    </row>
    <row r="10928" spans="8:11" x14ac:dyDescent="0.25">
      <c r="H10928">
        <v>129</v>
      </c>
      <c r="I10928">
        <v>825</v>
      </c>
      <c r="J10928">
        <v>39</v>
      </c>
      <c r="K10928" t="b">
        <v>1</v>
      </c>
    </row>
    <row r="10929" spans="8:11" x14ac:dyDescent="0.25">
      <c r="H10929">
        <v>129</v>
      </c>
      <c r="I10929">
        <v>830</v>
      </c>
      <c r="J10929">
        <v>39</v>
      </c>
      <c r="K10929" t="b">
        <v>1</v>
      </c>
    </row>
    <row r="10930" spans="8:11" x14ac:dyDescent="0.25">
      <c r="H10930">
        <v>129</v>
      </c>
      <c r="I10930">
        <v>835</v>
      </c>
      <c r="J10930">
        <v>39</v>
      </c>
      <c r="K10930" t="b">
        <v>1</v>
      </c>
    </row>
    <row r="10931" spans="8:11" x14ac:dyDescent="0.25">
      <c r="H10931">
        <v>129</v>
      </c>
      <c r="I10931">
        <v>840</v>
      </c>
      <c r="J10931">
        <v>39</v>
      </c>
      <c r="K10931" t="b">
        <v>1</v>
      </c>
    </row>
    <row r="10932" spans="8:11" x14ac:dyDescent="0.25">
      <c r="H10932">
        <v>129</v>
      </c>
      <c r="I10932">
        <v>845</v>
      </c>
      <c r="J10932">
        <v>39</v>
      </c>
      <c r="K10932" t="b">
        <v>1</v>
      </c>
    </row>
    <row r="10933" spans="8:11" x14ac:dyDescent="0.25">
      <c r="H10933">
        <v>129</v>
      </c>
      <c r="I10933">
        <v>850</v>
      </c>
      <c r="J10933">
        <v>39</v>
      </c>
      <c r="K10933" t="b">
        <v>1</v>
      </c>
    </row>
    <row r="10934" spans="8:11" x14ac:dyDescent="0.25">
      <c r="H10934">
        <v>129</v>
      </c>
      <c r="I10934">
        <v>855</v>
      </c>
      <c r="J10934">
        <v>39</v>
      </c>
      <c r="K10934" t="b">
        <v>1</v>
      </c>
    </row>
    <row r="10935" spans="8:11" x14ac:dyDescent="0.25">
      <c r="H10935">
        <v>129</v>
      </c>
      <c r="I10935">
        <v>860</v>
      </c>
      <c r="J10935">
        <v>39</v>
      </c>
      <c r="K10935" t="b">
        <v>1</v>
      </c>
    </row>
    <row r="10936" spans="8:11" x14ac:dyDescent="0.25">
      <c r="H10936">
        <v>129</v>
      </c>
      <c r="I10936">
        <v>865</v>
      </c>
      <c r="J10936">
        <v>39</v>
      </c>
      <c r="K10936" t="b">
        <v>1</v>
      </c>
    </row>
    <row r="10937" spans="8:11" x14ac:dyDescent="0.25">
      <c r="H10937">
        <v>129</v>
      </c>
      <c r="I10937">
        <v>870</v>
      </c>
      <c r="J10937">
        <v>39</v>
      </c>
      <c r="K10937" t="b">
        <v>1</v>
      </c>
    </row>
    <row r="10938" spans="8:11" x14ac:dyDescent="0.25">
      <c r="H10938">
        <v>129</v>
      </c>
      <c r="I10938">
        <v>875</v>
      </c>
      <c r="J10938">
        <v>39</v>
      </c>
      <c r="K10938" t="b">
        <v>1</v>
      </c>
    </row>
    <row r="10939" spans="8:11" x14ac:dyDescent="0.25">
      <c r="H10939">
        <v>129</v>
      </c>
      <c r="I10939">
        <v>880</v>
      </c>
      <c r="J10939">
        <v>39</v>
      </c>
      <c r="K10939" t="b">
        <v>1</v>
      </c>
    </row>
    <row r="10940" spans="8:11" x14ac:dyDescent="0.25">
      <c r="H10940">
        <v>129</v>
      </c>
      <c r="I10940">
        <v>885</v>
      </c>
      <c r="J10940">
        <v>39</v>
      </c>
      <c r="K10940" t="b">
        <v>1</v>
      </c>
    </row>
    <row r="10941" spans="8:11" x14ac:dyDescent="0.25">
      <c r="H10941">
        <v>129</v>
      </c>
      <c r="I10941">
        <v>890</v>
      </c>
      <c r="J10941">
        <v>39</v>
      </c>
      <c r="K10941" t="b">
        <v>1</v>
      </c>
    </row>
    <row r="10942" spans="8:11" x14ac:dyDescent="0.25">
      <c r="H10942">
        <v>129</v>
      </c>
      <c r="I10942">
        <v>895</v>
      </c>
      <c r="J10942">
        <v>39</v>
      </c>
      <c r="K10942" t="b">
        <v>1</v>
      </c>
    </row>
    <row r="10943" spans="8:11" x14ac:dyDescent="0.25">
      <c r="H10943">
        <v>129</v>
      </c>
      <c r="I10943">
        <v>900</v>
      </c>
      <c r="J10943">
        <v>39</v>
      </c>
      <c r="K10943" t="b">
        <v>1</v>
      </c>
    </row>
    <row r="10944" spans="8:11" x14ac:dyDescent="0.25">
      <c r="H10944">
        <v>129</v>
      </c>
      <c r="I10944">
        <v>905</v>
      </c>
      <c r="J10944">
        <v>39</v>
      </c>
      <c r="K10944" t="b">
        <v>1</v>
      </c>
    </row>
    <row r="10945" spans="8:11" x14ac:dyDescent="0.25">
      <c r="H10945">
        <v>129</v>
      </c>
      <c r="I10945">
        <v>910</v>
      </c>
      <c r="J10945">
        <v>39</v>
      </c>
      <c r="K10945" t="b">
        <v>1</v>
      </c>
    </row>
    <row r="10946" spans="8:11" x14ac:dyDescent="0.25">
      <c r="H10946">
        <v>129</v>
      </c>
      <c r="I10946">
        <v>915</v>
      </c>
      <c r="J10946">
        <v>39</v>
      </c>
      <c r="K10946" t="b">
        <v>1</v>
      </c>
    </row>
    <row r="10947" spans="8:11" x14ac:dyDescent="0.25">
      <c r="H10947">
        <v>129</v>
      </c>
      <c r="I10947">
        <v>920</v>
      </c>
      <c r="J10947">
        <v>39</v>
      </c>
      <c r="K10947" t="b">
        <v>1</v>
      </c>
    </row>
    <row r="10948" spans="8:11" x14ac:dyDescent="0.25">
      <c r="H10948">
        <v>129</v>
      </c>
      <c r="I10948">
        <v>925</v>
      </c>
      <c r="J10948">
        <v>39</v>
      </c>
      <c r="K10948" t="b">
        <v>1</v>
      </c>
    </row>
    <row r="10949" spans="8:11" x14ac:dyDescent="0.25">
      <c r="H10949">
        <v>129</v>
      </c>
      <c r="I10949">
        <v>930</v>
      </c>
      <c r="J10949">
        <v>39</v>
      </c>
      <c r="K10949" t="b">
        <v>1</v>
      </c>
    </row>
    <row r="10950" spans="8:11" x14ac:dyDescent="0.25">
      <c r="H10950">
        <v>129</v>
      </c>
      <c r="I10950">
        <v>935</v>
      </c>
      <c r="J10950">
        <v>39</v>
      </c>
      <c r="K10950" t="b">
        <v>1</v>
      </c>
    </row>
    <row r="10951" spans="8:11" x14ac:dyDescent="0.25">
      <c r="H10951">
        <v>129</v>
      </c>
      <c r="I10951">
        <v>940</v>
      </c>
      <c r="J10951">
        <v>39</v>
      </c>
      <c r="K10951" t="b">
        <v>1</v>
      </c>
    </row>
    <row r="10952" spans="8:11" x14ac:dyDescent="0.25">
      <c r="H10952">
        <v>129</v>
      </c>
      <c r="I10952">
        <v>945</v>
      </c>
      <c r="J10952">
        <v>39</v>
      </c>
      <c r="K10952" t="b">
        <v>1</v>
      </c>
    </row>
    <row r="10953" spans="8:11" x14ac:dyDescent="0.25">
      <c r="H10953">
        <v>129</v>
      </c>
      <c r="I10953">
        <v>950</v>
      </c>
      <c r="J10953">
        <v>39</v>
      </c>
      <c r="K10953" t="b">
        <v>1</v>
      </c>
    </row>
    <row r="10954" spans="8:11" x14ac:dyDescent="0.25">
      <c r="H10954">
        <v>129</v>
      </c>
      <c r="I10954">
        <v>955</v>
      </c>
      <c r="J10954">
        <v>39</v>
      </c>
      <c r="K10954" t="b">
        <v>1</v>
      </c>
    </row>
    <row r="10955" spans="8:11" x14ac:dyDescent="0.25">
      <c r="H10955">
        <v>130</v>
      </c>
      <c r="I10955">
        <v>0</v>
      </c>
      <c r="J10955">
        <v>39</v>
      </c>
      <c r="K10955" t="b">
        <v>1</v>
      </c>
    </row>
    <row r="10956" spans="8:11" x14ac:dyDescent="0.25">
      <c r="H10956">
        <v>130</v>
      </c>
      <c r="I10956">
        <v>5</v>
      </c>
      <c r="J10956">
        <v>39</v>
      </c>
      <c r="K10956" t="b">
        <v>1</v>
      </c>
    </row>
    <row r="10957" spans="8:11" x14ac:dyDescent="0.25">
      <c r="H10957">
        <v>130</v>
      </c>
      <c r="I10957">
        <v>10</v>
      </c>
      <c r="J10957">
        <v>39</v>
      </c>
      <c r="K10957" t="b">
        <v>1</v>
      </c>
    </row>
    <row r="10958" spans="8:11" x14ac:dyDescent="0.25">
      <c r="H10958">
        <v>130</v>
      </c>
      <c r="I10958">
        <v>15</v>
      </c>
      <c r="J10958">
        <v>39</v>
      </c>
      <c r="K10958" t="b">
        <v>1</v>
      </c>
    </row>
    <row r="10959" spans="8:11" x14ac:dyDescent="0.25">
      <c r="H10959">
        <v>130</v>
      </c>
      <c r="I10959">
        <v>20</v>
      </c>
      <c r="J10959">
        <v>39</v>
      </c>
      <c r="K10959" t="b">
        <v>1</v>
      </c>
    </row>
    <row r="10960" spans="8:11" x14ac:dyDescent="0.25">
      <c r="H10960">
        <v>130</v>
      </c>
      <c r="I10960">
        <v>25</v>
      </c>
      <c r="J10960">
        <v>39</v>
      </c>
      <c r="K10960" t="b">
        <v>1</v>
      </c>
    </row>
    <row r="10961" spans="8:11" x14ac:dyDescent="0.25">
      <c r="H10961">
        <v>130</v>
      </c>
      <c r="I10961">
        <v>30</v>
      </c>
      <c r="J10961">
        <v>39</v>
      </c>
      <c r="K10961" t="b">
        <v>1</v>
      </c>
    </row>
    <row r="10962" spans="8:11" x14ac:dyDescent="0.25">
      <c r="H10962">
        <v>130</v>
      </c>
      <c r="I10962">
        <v>35</v>
      </c>
      <c r="J10962">
        <v>39</v>
      </c>
      <c r="K10962" t="b">
        <v>1</v>
      </c>
    </row>
    <row r="10963" spans="8:11" x14ac:dyDescent="0.25">
      <c r="H10963">
        <v>130</v>
      </c>
      <c r="I10963">
        <v>40</v>
      </c>
      <c r="J10963">
        <v>39</v>
      </c>
      <c r="K10963" t="b">
        <v>1</v>
      </c>
    </row>
    <row r="10964" spans="8:11" x14ac:dyDescent="0.25">
      <c r="H10964">
        <v>130</v>
      </c>
      <c r="I10964">
        <v>45</v>
      </c>
      <c r="J10964">
        <v>39</v>
      </c>
      <c r="K10964" t="b">
        <v>1</v>
      </c>
    </row>
    <row r="10965" spans="8:11" x14ac:dyDescent="0.25">
      <c r="H10965">
        <v>130</v>
      </c>
      <c r="I10965">
        <v>50</v>
      </c>
      <c r="J10965">
        <v>39</v>
      </c>
      <c r="K10965" t="b">
        <v>1</v>
      </c>
    </row>
    <row r="10966" spans="8:11" x14ac:dyDescent="0.25">
      <c r="H10966">
        <v>130</v>
      </c>
      <c r="I10966">
        <v>55</v>
      </c>
      <c r="J10966">
        <v>39</v>
      </c>
      <c r="K10966" t="b">
        <v>1</v>
      </c>
    </row>
    <row r="10967" spans="8:11" x14ac:dyDescent="0.25">
      <c r="H10967">
        <v>130</v>
      </c>
      <c r="I10967">
        <v>60</v>
      </c>
      <c r="J10967">
        <v>39</v>
      </c>
      <c r="K10967" t="b">
        <v>1</v>
      </c>
    </row>
    <row r="10968" spans="8:11" x14ac:dyDescent="0.25">
      <c r="H10968">
        <v>130</v>
      </c>
      <c r="I10968">
        <v>65</v>
      </c>
      <c r="J10968">
        <v>39</v>
      </c>
      <c r="K10968" t="b">
        <v>1</v>
      </c>
    </row>
    <row r="10969" spans="8:11" x14ac:dyDescent="0.25">
      <c r="H10969">
        <v>130</v>
      </c>
      <c r="I10969">
        <v>70</v>
      </c>
      <c r="J10969">
        <v>39</v>
      </c>
      <c r="K10969" t="b">
        <v>1</v>
      </c>
    </row>
    <row r="10970" spans="8:11" x14ac:dyDescent="0.25">
      <c r="H10970">
        <v>130</v>
      </c>
      <c r="I10970">
        <v>75</v>
      </c>
      <c r="J10970">
        <v>39</v>
      </c>
      <c r="K10970" t="b">
        <v>1</v>
      </c>
    </row>
    <row r="10971" spans="8:11" x14ac:dyDescent="0.25">
      <c r="H10971">
        <v>130</v>
      </c>
      <c r="I10971">
        <v>80</v>
      </c>
      <c r="J10971">
        <v>39</v>
      </c>
      <c r="K10971" t="b">
        <v>1</v>
      </c>
    </row>
    <row r="10972" spans="8:11" x14ac:dyDescent="0.25">
      <c r="H10972">
        <v>130</v>
      </c>
      <c r="I10972">
        <v>85</v>
      </c>
      <c r="J10972">
        <v>39</v>
      </c>
      <c r="K10972" t="b">
        <v>1</v>
      </c>
    </row>
    <row r="10973" spans="8:11" x14ac:dyDescent="0.25">
      <c r="H10973">
        <v>130</v>
      </c>
      <c r="I10973">
        <v>90</v>
      </c>
      <c r="J10973">
        <v>39</v>
      </c>
      <c r="K10973" t="b">
        <v>1</v>
      </c>
    </row>
    <row r="10974" spans="8:11" x14ac:dyDescent="0.25">
      <c r="H10974">
        <v>130</v>
      </c>
      <c r="I10974">
        <v>95</v>
      </c>
      <c r="J10974">
        <v>39</v>
      </c>
      <c r="K10974" t="b">
        <v>1</v>
      </c>
    </row>
    <row r="10975" spans="8:11" x14ac:dyDescent="0.25">
      <c r="H10975">
        <v>130</v>
      </c>
      <c r="I10975">
        <v>100</v>
      </c>
      <c r="J10975">
        <v>39</v>
      </c>
      <c r="K10975" t="b">
        <v>1</v>
      </c>
    </row>
    <row r="10976" spans="8:11" x14ac:dyDescent="0.25">
      <c r="H10976">
        <v>130</v>
      </c>
      <c r="I10976">
        <v>105</v>
      </c>
      <c r="J10976">
        <v>39</v>
      </c>
      <c r="K10976" t="b">
        <v>1</v>
      </c>
    </row>
    <row r="10977" spans="8:11" x14ac:dyDescent="0.25">
      <c r="H10977">
        <v>130</v>
      </c>
      <c r="I10977">
        <v>110</v>
      </c>
      <c r="J10977">
        <v>39</v>
      </c>
      <c r="K10977" t="b">
        <v>1</v>
      </c>
    </row>
    <row r="10978" spans="8:11" x14ac:dyDescent="0.25">
      <c r="H10978">
        <v>130</v>
      </c>
      <c r="I10978">
        <v>115</v>
      </c>
      <c r="J10978">
        <v>39</v>
      </c>
      <c r="K10978" t="b">
        <v>1</v>
      </c>
    </row>
    <row r="10979" spans="8:11" x14ac:dyDescent="0.25">
      <c r="H10979">
        <v>130</v>
      </c>
      <c r="I10979">
        <v>120</v>
      </c>
      <c r="J10979">
        <v>39</v>
      </c>
      <c r="K10979" t="b">
        <v>1</v>
      </c>
    </row>
    <row r="10980" spans="8:11" x14ac:dyDescent="0.25">
      <c r="H10980">
        <v>130</v>
      </c>
      <c r="I10980">
        <v>125</v>
      </c>
      <c r="J10980">
        <v>39</v>
      </c>
      <c r="K10980" t="b">
        <v>1</v>
      </c>
    </row>
    <row r="10981" spans="8:11" x14ac:dyDescent="0.25">
      <c r="H10981">
        <v>130</v>
      </c>
      <c r="I10981">
        <v>130</v>
      </c>
      <c r="J10981">
        <v>39</v>
      </c>
      <c r="K10981" t="b">
        <v>1</v>
      </c>
    </row>
    <row r="10982" spans="8:11" x14ac:dyDescent="0.25">
      <c r="H10982">
        <v>130</v>
      </c>
      <c r="I10982">
        <v>135</v>
      </c>
      <c r="J10982">
        <v>39</v>
      </c>
      <c r="K10982" t="b">
        <v>1</v>
      </c>
    </row>
    <row r="10983" spans="8:11" x14ac:dyDescent="0.25">
      <c r="H10983">
        <v>130</v>
      </c>
      <c r="I10983">
        <v>140</v>
      </c>
      <c r="J10983">
        <v>39</v>
      </c>
      <c r="K10983" t="b">
        <v>1</v>
      </c>
    </row>
    <row r="10984" spans="8:11" x14ac:dyDescent="0.25">
      <c r="H10984">
        <v>130</v>
      </c>
      <c r="I10984">
        <v>145</v>
      </c>
      <c r="J10984">
        <v>39</v>
      </c>
      <c r="K10984" t="b">
        <v>1</v>
      </c>
    </row>
    <row r="10985" spans="8:11" x14ac:dyDescent="0.25">
      <c r="H10985">
        <v>130</v>
      </c>
      <c r="I10985">
        <v>150</v>
      </c>
      <c r="J10985">
        <v>39</v>
      </c>
      <c r="K10985" t="b">
        <v>1</v>
      </c>
    </row>
    <row r="10986" spans="8:11" x14ac:dyDescent="0.25">
      <c r="H10986">
        <v>130</v>
      </c>
      <c r="I10986">
        <v>155</v>
      </c>
      <c r="J10986">
        <v>39</v>
      </c>
      <c r="K10986" t="b">
        <v>1</v>
      </c>
    </row>
    <row r="10987" spans="8:11" x14ac:dyDescent="0.25">
      <c r="H10987">
        <v>130</v>
      </c>
      <c r="I10987">
        <v>160</v>
      </c>
      <c r="J10987">
        <v>39</v>
      </c>
      <c r="K10987" t="b">
        <v>1</v>
      </c>
    </row>
    <row r="10988" spans="8:11" x14ac:dyDescent="0.25">
      <c r="H10988">
        <v>130</v>
      </c>
      <c r="I10988">
        <v>165</v>
      </c>
      <c r="J10988">
        <v>39</v>
      </c>
      <c r="K10988" t="b">
        <v>1</v>
      </c>
    </row>
    <row r="10989" spans="8:11" x14ac:dyDescent="0.25">
      <c r="H10989">
        <v>130</v>
      </c>
      <c r="I10989">
        <v>170</v>
      </c>
      <c r="J10989">
        <v>39</v>
      </c>
      <c r="K10989" t="b">
        <v>1</v>
      </c>
    </row>
    <row r="10990" spans="8:11" x14ac:dyDescent="0.25">
      <c r="H10990">
        <v>130</v>
      </c>
      <c r="I10990">
        <v>175</v>
      </c>
      <c r="J10990">
        <v>39</v>
      </c>
      <c r="K10990" t="b">
        <v>1</v>
      </c>
    </row>
    <row r="10991" spans="8:11" x14ac:dyDescent="0.25">
      <c r="H10991">
        <v>130</v>
      </c>
      <c r="I10991">
        <v>180</v>
      </c>
      <c r="J10991">
        <v>39</v>
      </c>
      <c r="K10991" t="b">
        <v>1</v>
      </c>
    </row>
    <row r="10992" spans="8:11" x14ac:dyDescent="0.25">
      <c r="H10992">
        <v>130</v>
      </c>
      <c r="I10992">
        <v>185</v>
      </c>
      <c r="J10992">
        <v>39</v>
      </c>
      <c r="K10992" t="b">
        <v>1</v>
      </c>
    </row>
    <row r="10993" spans="8:11" x14ac:dyDescent="0.25">
      <c r="H10993">
        <v>130</v>
      </c>
      <c r="I10993">
        <v>190</v>
      </c>
      <c r="J10993">
        <v>39</v>
      </c>
      <c r="K10993" t="b">
        <v>1</v>
      </c>
    </row>
    <row r="10994" spans="8:11" x14ac:dyDescent="0.25">
      <c r="H10994">
        <v>130</v>
      </c>
      <c r="I10994">
        <v>195</v>
      </c>
      <c r="J10994">
        <v>39</v>
      </c>
      <c r="K10994" t="b">
        <v>1</v>
      </c>
    </row>
    <row r="10995" spans="8:11" x14ac:dyDescent="0.25">
      <c r="H10995">
        <v>130</v>
      </c>
      <c r="I10995">
        <v>200</v>
      </c>
      <c r="J10995">
        <v>39</v>
      </c>
      <c r="K10995" t="b">
        <v>1</v>
      </c>
    </row>
    <row r="10996" spans="8:11" x14ac:dyDescent="0.25">
      <c r="H10996">
        <v>130</v>
      </c>
      <c r="I10996">
        <v>205</v>
      </c>
      <c r="J10996">
        <v>39</v>
      </c>
      <c r="K10996" t="b">
        <v>1</v>
      </c>
    </row>
    <row r="10997" spans="8:11" x14ac:dyDescent="0.25">
      <c r="H10997">
        <v>130</v>
      </c>
      <c r="I10997">
        <v>210</v>
      </c>
      <c r="J10997">
        <v>39</v>
      </c>
      <c r="K10997" t="b">
        <v>1</v>
      </c>
    </row>
    <row r="10998" spans="8:11" x14ac:dyDescent="0.25">
      <c r="H10998">
        <v>130</v>
      </c>
      <c r="I10998">
        <v>215</v>
      </c>
      <c r="J10998">
        <v>39</v>
      </c>
      <c r="K10998" t="b">
        <v>1</v>
      </c>
    </row>
    <row r="10999" spans="8:11" x14ac:dyDescent="0.25">
      <c r="H10999">
        <v>130</v>
      </c>
      <c r="I10999">
        <v>220</v>
      </c>
      <c r="J10999">
        <v>39</v>
      </c>
      <c r="K10999" t="b">
        <v>1</v>
      </c>
    </row>
    <row r="11000" spans="8:11" x14ac:dyDescent="0.25">
      <c r="H11000">
        <v>130</v>
      </c>
      <c r="I11000">
        <v>225</v>
      </c>
      <c r="J11000">
        <v>39</v>
      </c>
      <c r="K11000" t="b">
        <v>1</v>
      </c>
    </row>
    <row r="11001" spans="8:11" x14ac:dyDescent="0.25">
      <c r="H11001">
        <v>130</v>
      </c>
      <c r="I11001">
        <v>230</v>
      </c>
      <c r="J11001">
        <v>39</v>
      </c>
      <c r="K11001" t="b">
        <v>1</v>
      </c>
    </row>
    <row r="11002" spans="8:11" x14ac:dyDescent="0.25">
      <c r="H11002">
        <v>130</v>
      </c>
      <c r="I11002">
        <v>235</v>
      </c>
      <c r="J11002">
        <v>39</v>
      </c>
      <c r="K11002" t="b">
        <v>1</v>
      </c>
    </row>
    <row r="11003" spans="8:11" x14ac:dyDescent="0.25">
      <c r="H11003">
        <v>130</v>
      </c>
      <c r="I11003">
        <v>240</v>
      </c>
      <c r="J11003">
        <v>39</v>
      </c>
      <c r="K11003" t="b">
        <v>1</v>
      </c>
    </row>
    <row r="11004" spans="8:11" x14ac:dyDescent="0.25">
      <c r="H11004">
        <v>130</v>
      </c>
      <c r="I11004">
        <v>245</v>
      </c>
      <c r="J11004">
        <v>39</v>
      </c>
      <c r="K11004" t="b">
        <v>1</v>
      </c>
    </row>
    <row r="11005" spans="8:11" x14ac:dyDescent="0.25">
      <c r="H11005">
        <v>130</v>
      </c>
      <c r="I11005">
        <v>250</v>
      </c>
      <c r="J11005">
        <v>39</v>
      </c>
      <c r="K11005" t="b">
        <v>1</v>
      </c>
    </row>
    <row r="11006" spans="8:11" x14ac:dyDescent="0.25">
      <c r="H11006">
        <v>130</v>
      </c>
      <c r="I11006">
        <v>255</v>
      </c>
      <c r="J11006">
        <v>39</v>
      </c>
      <c r="K11006" t="b">
        <v>1</v>
      </c>
    </row>
    <row r="11007" spans="8:11" x14ac:dyDescent="0.25">
      <c r="H11007">
        <v>130</v>
      </c>
      <c r="I11007">
        <v>260</v>
      </c>
      <c r="J11007">
        <v>39</v>
      </c>
      <c r="K11007" t="b">
        <v>1</v>
      </c>
    </row>
    <row r="11008" spans="8:11" x14ac:dyDescent="0.25">
      <c r="H11008">
        <v>130</v>
      </c>
      <c r="I11008">
        <v>265</v>
      </c>
      <c r="J11008">
        <v>39</v>
      </c>
      <c r="K11008" t="b">
        <v>1</v>
      </c>
    </row>
    <row r="11009" spans="8:11" x14ac:dyDescent="0.25">
      <c r="H11009">
        <v>130</v>
      </c>
      <c r="I11009">
        <v>270</v>
      </c>
      <c r="J11009">
        <v>39</v>
      </c>
      <c r="K11009" t="b">
        <v>1</v>
      </c>
    </row>
    <row r="11010" spans="8:11" x14ac:dyDescent="0.25">
      <c r="H11010">
        <v>130</v>
      </c>
      <c r="I11010">
        <v>275</v>
      </c>
      <c r="J11010">
        <v>39</v>
      </c>
      <c r="K11010" t="b">
        <v>1</v>
      </c>
    </row>
    <row r="11011" spans="8:11" x14ac:dyDescent="0.25">
      <c r="H11011">
        <v>130</v>
      </c>
      <c r="I11011">
        <v>280</v>
      </c>
      <c r="J11011">
        <v>39</v>
      </c>
      <c r="K11011" t="b">
        <v>1</v>
      </c>
    </row>
    <row r="11012" spans="8:11" x14ac:dyDescent="0.25">
      <c r="H11012">
        <v>130</v>
      </c>
      <c r="I11012">
        <v>285</v>
      </c>
      <c r="J11012">
        <v>39</v>
      </c>
      <c r="K11012" t="b">
        <v>1</v>
      </c>
    </row>
    <row r="11013" spans="8:11" x14ac:dyDescent="0.25">
      <c r="H11013">
        <v>130</v>
      </c>
      <c r="I11013">
        <v>290</v>
      </c>
      <c r="J11013">
        <v>39</v>
      </c>
      <c r="K11013" t="b">
        <v>1</v>
      </c>
    </row>
    <row r="11014" spans="8:11" x14ac:dyDescent="0.25">
      <c r="H11014">
        <v>130</v>
      </c>
      <c r="I11014">
        <v>295</v>
      </c>
      <c r="J11014">
        <v>39</v>
      </c>
      <c r="K11014" t="b">
        <v>1</v>
      </c>
    </row>
    <row r="11015" spans="8:11" x14ac:dyDescent="0.25">
      <c r="H11015">
        <v>130</v>
      </c>
      <c r="I11015">
        <v>300</v>
      </c>
      <c r="J11015">
        <v>39</v>
      </c>
      <c r="K11015" t="b">
        <v>1</v>
      </c>
    </row>
    <row r="11016" spans="8:11" x14ac:dyDescent="0.25">
      <c r="H11016">
        <v>130</v>
      </c>
      <c r="I11016">
        <v>305</v>
      </c>
      <c r="J11016">
        <v>39</v>
      </c>
      <c r="K11016" t="b">
        <v>1</v>
      </c>
    </row>
    <row r="11017" spans="8:11" x14ac:dyDescent="0.25">
      <c r="H11017">
        <v>130</v>
      </c>
      <c r="I11017">
        <v>310</v>
      </c>
      <c r="J11017">
        <v>39</v>
      </c>
      <c r="K11017" t="b">
        <v>1</v>
      </c>
    </row>
    <row r="11018" spans="8:11" x14ac:dyDescent="0.25">
      <c r="H11018">
        <v>130</v>
      </c>
      <c r="I11018">
        <v>315</v>
      </c>
      <c r="J11018">
        <v>39</v>
      </c>
      <c r="K11018" t="b">
        <v>1</v>
      </c>
    </row>
    <row r="11019" spans="8:11" x14ac:dyDescent="0.25">
      <c r="H11019">
        <v>130</v>
      </c>
      <c r="I11019">
        <v>320</v>
      </c>
      <c r="J11019">
        <v>39</v>
      </c>
      <c r="K11019" t="b">
        <v>1</v>
      </c>
    </row>
    <row r="11020" spans="8:11" x14ac:dyDescent="0.25">
      <c r="H11020">
        <v>130</v>
      </c>
      <c r="I11020">
        <v>325</v>
      </c>
      <c r="J11020">
        <v>39</v>
      </c>
      <c r="K11020" t="b">
        <v>1</v>
      </c>
    </row>
    <row r="11021" spans="8:11" x14ac:dyDescent="0.25">
      <c r="H11021">
        <v>130</v>
      </c>
      <c r="I11021">
        <v>330</v>
      </c>
      <c r="J11021">
        <v>39</v>
      </c>
      <c r="K11021" t="b">
        <v>1</v>
      </c>
    </row>
    <row r="11022" spans="8:11" x14ac:dyDescent="0.25">
      <c r="H11022">
        <v>130</v>
      </c>
      <c r="I11022">
        <v>335</v>
      </c>
      <c r="J11022">
        <v>39</v>
      </c>
      <c r="K11022" t="b">
        <v>1</v>
      </c>
    </row>
    <row r="11023" spans="8:11" x14ac:dyDescent="0.25">
      <c r="H11023">
        <v>130</v>
      </c>
      <c r="I11023">
        <v>340</v>
      </c>
      <c r="J11023">
        <v>39</v>
      </c>
      <c r="K11023" t="b">
        <v>1</v>
      </c>
    </row>
    <row r="11024" spans="8:11" x14ac:dyDescent="0.25">
      <c r="H11024">
        <v>130</v>
      </c>
      <c r="I11024">
        <v>345</v>
      </c>
      <c r="J11024">
        <v>39</v>
      </c>
      <c r="K11024" t="b">
        <v>1</v>
      </c>
    </row>
    <row r="11025" spans="8:11" x14ac:dyDescent="0.25">
      <c r="H11025">
        <v>130</v>
      </c>
      <c r="I11025">
        <v>350</v>
      </c>
      <c r="J11025">
        <v>39</v>
      </c>
      <c r="K11025" t="b">
        <v>1</v>
      </c>
    </row>
    <row r="11026" spans="8:11" x14ac:dyDescent="0.25">
      <c r="H11026">
        <v>130</v>
      </c>
      <c r="I11026">
        <v>355</v>
      </c>
      <c r="J11026">
        <v>39</v>
      </c>
      <c r="K11026" t="b">
        <v>1</v>
      </c>
    </row>
    <row r="11027" spans="8:11" x14ac:dyDescent="0.25">
      <c r="H11027">
        <v>130</v>
      </c>
      <c r="I11027">
        <v>360</v>
      </c>
      <c r="J11027">
        <v>39</v>
      </c>
      <c r="K11027" t="b">
        <v>1</v>
      </c>
    </row>
    <row r="11028" spans="8:11" x14ac:dyDescent="0.25">
      <c r="H11028">
        <v>130</v>
      </c>
      <c r="I11028">
        <v>365</v>
      </c>
      <c r="J11028">
        <v>39</v>
      </c>
      <c r="K11028" t="b">
        <v>1</v>
      </c>
    </row>
    <row r="11029" spans="8:11" x14ac:dyDescent="0.25">
      <c r="H11029">
        <v>130</v>
      </c>
      <c r="I11029">
        <v>370</v>
      </c>
      <c r="J11029">
        <v>39</v>
      </c>
      <c r="K11029" t="b">
        <v>1</v>
      </c>
    </row>
    <row r="11030" spans="8:11" x14ac:dyDescent="0.25">
      <c r="H11030">
        <v>130</v>
      </c>
      <c r="I11030">
        <v>375</v>
      </c>
      <c r="J11030">
        <v>39</v>
      </c>
      <c r="K11030" t="b">
        <v>1</v>
      </c>
    </row>
    <row r="11031" spans="8:11" x14ac:dyDescent="0.25">
      <c r="H11031">
        <v>130</v>
      </c>
      <c r="I11031">
        <v>380</v>
      </c>
      <c r="J11031">
        <v>39</v>
      </c>
      <c r="K11031" t="b">
        <v>1</v>
      </c>
    </row>
    <row r="11032" spans="8:11" x14ac:dyDescent="0.25">
      <c r="H11032">
        <v>130</v>
      </c>
      <c r="I11032">
        <v>385</v>
      </c>
      <c r="J11032">
        <v>39</v>
      </c>
      <c r="K11032" t="b">
        <v>1</v>
      </c>
    </row>
    <row r="11033" spans="8:11" x14ac:dyDescent="0.25">
      <c r="H11033">
        <v>130</v>
      </c>
      <c r="I11033">
        <v>390</v>
      </c>
      <c r="J11033">
        <v>39</v>
      </c>
      <c r="K11033" t="b">
        <v>1</v>
      </c>
    </row>
    <row r="11034" spans="8:11" x14ac:dyDescent="0.25">
      <c r="H11034">
        <v>130</v>
      </c>
      <c r="I11034">
        <v>395</v>
      </c>
      <c r="J11034">
        <v>39</v>
      </c>
      <c r="K11034" t="b">
        <v>1</v>
      </c>
    </row>
    <row r="11035" spans="8:11" x14ac:dyDescent="0.25">
      <c r="H11035">
        <v>130</v>
      </c>
      <c r="I11035">
        <v>400</v>
      </c>
      <c r="J11035">
        <v>39</v>
      </c>
      <c r="K11035" t="b">
        <v>1</v>
      </c>
    </row>
    <row r="11036" spans="8:11" x14ac:dyDescent="0.25">
      <c r="H11036">
        <v>130</v>
      </c>
      <c r="I11036">
        <v>405</v>
      </c>
      <c r="J11036">
        <v>39</v>
      </c>
      <c r="K11036" t="b">
        <v>1</v>
      </c>
    </row>
    <row r="11037" spans="8:11" x14ac:dyDescent="0.25">
      <c r="H11037">
        <v>130</v>
      </c>
      <c r="I11037">
        <v>410</v>
      </c>
      <c r="J11037">
        <v>39</v>
      </c>
      <c r="K11037" t="b">
        <v>1</v>
      </c>
    </row>
    <row r="11038" spans="8:11" x14ac:dyDescent="0.25">
      <c r="H11038">
        <v>130</v>
      </c>
      <c r="I11038">
        <v>415</v>
      </c>
      <c r="J11038">
        <v>39</v>
      </c>
      <c r="K11038" t="b">
        <v>1</v>
      </c>
    </row>
    <row r="11039" spans="8:11" x14ac:dyDescent="0.25">
      <c r="H11039">
        <v>130</v>
      </c>
      <c r="I11039">
        <v>420</v>
      </c>
      <c r="J11039">
        <v>39</v>
      </c>
      <c r="K11039" t="b">
        <v>1</v>
      </c>
    </row>
    <row r="11040" spans="8:11" x14ac:dyDescent="0.25">
      <c r="H11040">
        <v>130</v>
      </c>
      <c r="I11040">
        <v>425</v>
      </c>
      <c r="J11040">
        <v>39</v>
      </c>
      <c r="K11040" t="b">
        <v>1</v>
      </c>
    </row>
    <row r="11041" spans="8:11" x14ac:dyDescent="0.25">
      <c r="H11041">
        <v>130</v>
      </c>
      <c r="I11041">
        <v>430</v>
      </c>
      <c r="J11041">
        <v>39</v>
      </c>
      <c r="K11041" t="b">
        <v>1</v>
      </c>
    </row>
    <row r="11042" spans="8:11" x14ac:dyDescent="0.25">
      <c r="H11042">
        <v>130</v>
      </c>
      <c r="I11042">
        <v>435</v>
      </c>
      <c r="J11042">
        <v>39</v>
      </c>
      <c r="K11042" t="b">
        <v>1</v>
      </c>
    </row>
    <row r="11043" spans="8:11" x14ac:dyDescent="0.25">
      <c r="H11043">
        <v>130</v>
      </c>
      <c r="I11043">
        <v>440</v>
      </c>
      <c r="J11043">
        <v>39</v>
      </c>
      <c r="K11043" t="b">
        <v>1</v>
      </c>
    </row>
    <row r="11044" spans="8:11" x14ac:dyDescent="0.25">
      <c r="H11044">
        <v>130</v>
      </c>
      <c r="I11044">
        <v>445</v>
      </c>
      <c r="J11044">
        <v>39</v>
      </c>
      <c r="K11044" t="b">
        <v>1</v>
      </c>
    </row>
    <row r="11045" spans="8:11" x14ac:dyDescent="0.25">
      <c r="H11045">
        <v>130</v>
      </c>
      <c r="I11045">
        <v>450</v>
      </c>
      <c r="J11045">
        <v>39</v>
      </c>
      <c r="K11045" t="b">
        <v>1</v>
      </c>
    </row>
    <row r="11046" spans="8:11" x14ac:dyDescent="0.25">
      <c r="H11046">
        <v>130</v>
      </c>
      <c r="I11046">
        <v>455</v>
      </c>
      <c r="J11046">
        <v>39</v>
      </c>
      <c r="K11046" t="b">
        <v>1</v>
      </c>
    </row>
    <row r="11047" spans="8:11" x14ac:dyDescent="0.25">
      <c r="H11047">
        <v>130</v>
      </c>
      <c r="I11047">
        <v>460</v>
      </c>
      <c r="J11047">
        <v>39</v>
      </c>
      <c r="K11047" t="b">
        <v>1</v>
      </c>
    </row>
    <row r="11048" spans="8:11" x14ac:dyDescent="0.25">
      <c r="H11048">
        <v>130</v>
      </c>
      <c r="I11048">
        <v>465</v>
      </c>
      <c r="J11048">
        <v>39</v>
      </c>
      <c r="K11048" t="b">
        <v>1</v>
      </c>
    </row>
    <row r="11049" spans="8:11" x14ac:dyDescent="0.25">
      <c r="H11049">
        <v>130</v>
      </c>
      <c r="I11049">
        <v>470</v>
      </c>
      <c r="J11049">
        <v>39</v>
      </c>
      <c r="K11049" t="b">
        <v>1</v>
      </c>
    </row>
    <row r="11050" spans="8:11" x14ac:dyDescent="0.25">
      <c r="H11050">
        <v>130</v>
      </c>
      <c r="I11050">
        <v>475</v>
      </c>
      <c r="J11050">
        <v>39</v>
      </c>
      <c r="K11050" t="b">
        <v>1</v>
      </c>
    </row>
    <row r="11051" spans="8:11" x14ac:dyDescent="0.25">
      <c r="H11051">
        <v>130</v>
      </c>
      <c r="I11051">
        <v>480</v>
      </c>
      <c r="J11051">
        <v>39</v>
      </c>
      <c r="K11051" t="b">
        <v>1</v>
      </c>
    </row>
    <row r="11052" spans="8:11" x14ac:dyDescent="0.25">
      <c r="H11052">
        <v>130</v>
      </c>
      <c r="I11052">
        <v>485</v>
      </c>
      <c r="J11052">
        <v>39</v>
      </c>
      <c r="K11052" t="b">
        <v>1</v>
      </c>
    </row>
    <row r="11053" spans="8:11" x14ac:dyDescent="0.25">
      <c r="H11053">
        <v>130</v>
      </c>
      <c r="I11053">
        <v>490</v>
      </c>
      <c r="J11053">
        <v>39</v>
      </c>
      <c r="K11053" t="b">
        <v>1</v>
      </c>
    </row>
    <row r="11054" spans="8:11" x14ac:dyDescent="0.25">
      <c r="H11054">
        <v>130</v>
      </c>
      <c r="I11054">
        <v>495</v>
      </c>
      <c r="J11054">
        <v>39</v>
      </c>
      <c r="K11054" t="b">
        <v>1</v>
      </c>
    </row>
    <row r="11055" spans="8:11" x14ac:dyDescent="0.25">
      <c r="H11055">
        <v>130</v>
      </c>
      <c r="I11055">
        <v>500</v>
      </c>
      <c r="J11055">
        <v>39</v>
      </c>
      <c r="K11055" t="b">
        <v>1</v>
      </c>
    </row>
    <row r="11056" spans="8:11" x14ac:dyDescent="0.25">
      <c r="H11056">
        <v>130</v>
      </c>
      <c r="I11056">
        <v>505</v>
      </c>
      <c r="J11056">
        <v>39</v>
      </c>
      <c r="K11056" t="b">
        <v>1</v>
      </c>
    </row>
    <row r="11057" spans="8:11" x14ac:dyDescent="0.25">
      <c r="H11057">
        <v>130</v>
      </c>
      <c r="I11057">
        <v>510</v>
      </c>
      <c r="J11057">
        <v>39</v>
      </c>
      <c r="K11057" t="b">
        <v>1</v>
      </c>
    </row>
    <row r="11058" spans="8:11" x14ac:dyDescent="0.25">
      <c r="H11058">
        <v>130</v>
      </c>
      <c r="I11058">
        <v>515</v>
      </c>
      <c r="J11058">
        <v>39</v>
      </c>
      <c r="K11058" t="b">
        <v>1</v>
      </c>
    </row>
    <row r="11059" spans="8:11" x14ac:dyDescent="0.25">
      <c r="H11059">
        <v>130</v>
      </c>
      <c r="I11059">
        <v>520</v>
      </c>
      <c r="J11059">
        <v>39</v>
      </c>
      <c r="K11059" t="b">
        <v>1</v>
      </c>
    </row>
    <row r="11060" spans="8:11" x14ac:dyDescent="0.25">
      <c r="H11060">
        <v>130</v>
      </c>
      <c r="I11060">
        <v>525</v>
      </c>
      <c r="J11060">
        <v>39</v>
      </c>
      <c r="K11060" t="b">
        <v>1</v>
      </c>
    </row>
    <row r="11061" spans="8:11" x14ac:dyDescent="0.25">
      <c r="H11061">
        <v>130</v>
      </c>
      <c r="I11061">
        <v>530</v>
      </c>
      <c r="J11061">
        <v>39</v>
      </c>
      <c r="K11061" t="b">
        <v>1</v>
      </c>
    </row>
    <row r="11062" spans="8:11" x14ac:dyDescent="0.25">
      <c r="H11062">
        <v>130</v>
      </c>
      <c r="I11062">
        <v>535</v>
      </c>
      <c r="J11062">
        <v>39</v>
      </c>
      <c r="K11062" t="b">
        <v>1</v>
      </c>
    </row>
    <row r="11063" spans="8:11" x14ac:dyDescent="0.25">
      <c r="H11063">
        <v>130</v>
      </c>
      <c r="I11063">
        <v>540</v>
      </c>
      <c r="J11063">
        <v>39</v>
      </c>
      <c r="K11063" t="b">
        <v>1</v>
      </c>
    </row>
    <row r="11064" spans="8:11" x14ac:dyDescent="0.25">
      <c r="H11064">
        <v>130</v>
      </c>
      <c r="I11064">
        <v>545</v>
      </c>
      <c r="J11064">
        <v>39</v>
      </c>
      <c r="K11064" t="b">
        <v>1</v>
      </c>
    </row>
    <row r="11065" spans="8:11" x14ac:dyDescent="0.25">
      <c r="H11065">
        <v>130</v>
      </c>
      <c r="I11065">
        <v>550</v>
      </c>
      <c r="J11065">
        <v>39</v>
      </c>
      <c r="K11065" t="b">
        <v>1</v>
      </c>
    </row>
    <row r="11066" spans="8:11" x14ac:dyDescent="0.25">
      <c r="H11066">
        <v>130</v>
      </c>
      <c r="I11066">
        <v>555</v>
      </c>
      <c r="J11066">
        <v>39</v>
      </c>
      <c r="K11066" t="b">
        <v>1</v>
      </c>
    </row>
    <row r="11067" spans="8:11" x14ac:dyDescent="0.25">
      <c r="H11067">
        <v>130</v>
      </c>
      <c r="I11067">
        <v>560</v>
      </c>
      <c r="J11067">
        <v>39</v>
      </c>
      <c r="K11067" t="b">
        <v>1</v>
      </c>
    </row>
    <row r="11068" spans="8:11" x14ac:dyDescent="0.25">
      <c r="H11068">
        <v>130</v>
      </c>
      <c r="I11068">
        <v>565</v>
      </c>
      <c r="J11068">
        <v>39</v>
      </c>
      <c r="K11068" t="b">
        <v>1</v>
      </c>
    </row>
    <row r="11069" spans="8:11" x14ac:dyDescent="0.25">
      <c r="H11069">
        <v>130</v>
      </c>
      <c r="I11069">
        <v>570</v>
      </c>
      <c r="J11069">
        <v>39</v>
      </c>
      <c r="K11069" t="b">
        <v>1</v>
      </c>
    </row>
    <row r="11070" spans="8:11" x14ac:dyDescent="0.25">
      <c r="H11070">
        <v>130</v>
      </c>
      <c r="I11070">
        <v>575</v>
      </c>
      <c r="J11070">
        <v>39</v>
      </c>
      <c r="K11070" t="b">
        <v>1</v>
      </c>
    </row>
    <row r="11071" spans="8:11" x14ac:dyDescent="0.25">
      <c r="H11071">
        <v>130</v>
      </c>
      <c r="I11071">
        <v>580</v>
      </c>
      <c r="J11071">
        <v>39</v>
      </c>
      <c r="K11071" t="b">
        <v>1</v>
      </c>
    </row>
    <row r="11072" spans="8:11" x14ac:dyDescent="0.25">
      <c r="H11072">
        <v>130</v>
      </c>
      <c r="I11072">
        <v>585</v>
      </c>
      <c r="J11072">
        <v>39</v>
      </c>
      <c r="K11072" t="b">
        <v>1</v>
      </c>
    </row>
    <row r="11073" spans="8:11" x14ac:dyDescent="0.25">
      <c r="H11073">
        <v>130</v>
      </c>
      <c r="I11073">
        <v>590</v>
      </c>
      <c r="J11073">
        <v>39</v>
      </c>
      <c r="K11073" t="b">
        <v>1</v>
      </c>
    </row>
    <row r="11074" spans="8:11" x14ac:dyDescent="0.25">
      <c r="H11074">
        <v>130</v>
      </c>
      <c r="I11074">
        <v>595</v>
      </c>
      <c r="J11074">
        <v>39</v>
      </c>
      <c r="K11074" t="b">
        <v>1</v>
      </c>
    </row>
    <row r="11075" spans="8:11" x14ac:dyDescent="0.25">
      <c r="H11075">
        <v>130</v>
      </c>
      <c r="I11075">
        <v>600</v>
      </c>
      <c r="J11075">
        <v>39</v>
      </c>
      <c r="K11075" t="b">
        <v>1</v>
      </c>
    </row>
    <row r="11076" spans="8:11" x14ac:dyDescent="0.25">
      <c r="H11076">
        <v>130</v>
      </c>
      <c r="I11076">
        <v>605</v>
      </c>
      <c r="J11076">
        <v>39</v>
      </c>
      <c r="K11076" t="b">
        <v>1</v>
      </c>
    </row>
    <row r="11077" spans="8:11" x14ac:dyDescent="0.25">
      <c r="H11077">
        <v>130</v>
      </c>
      <c r="I11077">
        <v>610</v>
      </c>
      <c r="J11077">
        <v>39</v>
      </c>
      <c r="K11077" t="b">
        <v>1</v>
      </c>
    </row>
    <row r="11078" spans="8:11" x14ac:dyDescent="0.25">
      <c r="H11078">
        <v>130</v>
      </c>
      <c r="I11078">
        <v>615</v>
      </c>
      <c r="J11078">
        <v>39</v>
      </c>
      <c r="K11078" t="b">
        <v>1</v>
      </c>
    </row>
    <row r="11079" spans="8:11" x14ac:dyDescent="0.25">
      <c r="H11079">
        <v>130</v>
      </c>
      <c r="I11079">
        <v>620</v>
      </c>
      <c r="J11079">
        <v>39</v>
      </c>
      <c r="K11079" t="b">
        <v>1</v>
      </c>
    </row>
    <row r="11080" spans="8:11" x14ac:dyDescent="0.25">
      <c r="H11080">
        <v>130</v>
      </c>
      <c r="I11080">
        <v>625</v>
      </c>
      <c r="J11080">
        <v>39</v>
      </c>
      <c r="K11080" t="b">
        <v>1</v>
      </c>
    </row>
    <row r="11081" spans="8:11" x14ac:dyDescent="0.25">
      <c r="H11081">
        <v>130</v>
      </c>
      <c r="I11081">
        <v>630</v>
      </c>
      <c r="J11081">
        <v>39</v>
      </c>
      <c r="K11081" t="b">
        <v>1</v>
      </c>
    </row>
    <row r="11082" spans="8:11" x14ac:dyDescent="0.25">
      <c r="H11082">
        <v>130</v>
      </c>
      <c r="I11082">
        <v>635</v>
      </c>
      <c r="J11082">
        <v>39</v>
      </c>
      <c r="K11082" t="b">
        <v>1</v>
      </c>
    </row>
    <row r="11083" spans="8:11" x14ac:dyDescent="0.25">
      <c r="H11083">
        <v>130</v>
      </c>
      <c r="I11083">
        <v>640</v>
      </c>
      <c r="J11083">
        <v>39</v>
      </c>
      <c r="K11083" t="b">
        <v>1</v>
      </c>
    </row>
    <row r="11084" spans="8:11" x14ac:dyDescent="0.25">
      <c r="H11084">
        <v>130</v>
      </c>
      <c r="I11084">
        <v>645</v>
      </c>
      <c r="J11084">
        <v>39</v>
      </c>
      <c r="K11084" t="b">
        <v>1</v>
      </c>
    </row>
    <row r="11085" spans="8:11" x14ac:dyDescent="0.25">
      <c r="H11085">
        <v>130</v>
      </c>
      <c r="I11085">
        <v>650</v>
      </c>
      <c r="J11085">
        <v>39</v>
      </c>
      <c r="K11085" t="b">
        <v>1</v>
      </c>
    </row>
    <row r="11086" spans="8:11" x14ac:dyDescent="0.25">
      <c r="H11086">
        <v>130</v>
      </c>
      <c r="I11086">
        <v>655</v>
      </c>
      <c r="J11086">
        <v>39</v>
      </c>
      <c r="K11086" t="b">
        <v>1</v>
      </c>
    </row>
    <row r="11087" spans="8:11" x14ac:dyDescent="0.25">
      <c r="H11087">
        <v>130</v>
      </c>
      <c r="I11087">
        <v>660</v>
      </c>
      <c r="J11087">
        <v>39</v>
      </c>
      <c r="K11087" t="b">
        <v>1</v>
      </c>
    </row>
    <row r="11088" spans="8:11" x14ac:dyDescent="0.25">
      <c r="H11088">
        <v>130</v>
      </c>
      <c r="I11088">
        <v>665</v>
      </c>
      <c r="J11088">
        <v>39</v>
      </c>
      <c r="K11088" t="b">
        <v>1</v>
      </c>
    </row>
    <row r="11089" spans="8:11" x14ac:dyDescent="0.25">
      <c r="H11089">
        <v>130</v>
      </c>
      <c r="I11089">
        <v>670</v>
      </c>
      <c r="J11089">
        <v>39</v>
      </c>
      <c r="K11089" t="b">
        <v>1</v>
      </c>
    </row>
    <row r="11090" spans="8:11" x14ac:dyDescent="0.25">
      <c r="H11090">
        <v>130</v>
      </c>
      <c r="I11090">
        <v>675</v>
      </c>
      <c r="J11090">
        <v>39</v>
      </c>
      <c r="K11090" t="b">
        <v>1</v>
      </c>
    </row>
    <row r="11091" spans="8:11" x14ac:dyDescent="0.25">
      <c r="H11091">
        <v>130</v>
      </c>
      <c r="I11091">
        <v>680</v>
      </c>
      <c r="J11091">
        <v>39</v>
      </c>
      <c r="K11091" t="b">
        <v>1</v>
      </c>
    </row>
    <row r="11092" spans="8:11" x14ac:dyDescent="0.25">
      <c r="H11092">
        <v>130</v>
      </c>
      <c r="I11092">
        <v>685</v>
      </c>
      <c r="J11092">
        <v>39</v>
      </c>
      <c r="K11092" t="b">
        <v>1</v>
      </c>
    </row>
    <row r="11093" spans="8:11" x14ac:dyDescent="0.25">
      <c r="H11093">
        <v>130</v>
      </c>
      <c r="I11093">
        <v>690</v>
      </c>
      <c r="J11093">
        <v>39</v>
      </c>
      <c r="K11093" t="b">
        <v>1</v>
      </c>
    </row>
    <row r="11094" spans="8:11" x14ac:dyDescent="0.25">
      <c r="H11094">
        <v>130</v>
      </c>
      <c r="I11094">
        <v>695</v>
      </c>
      <c r="J11094">
        <v>39</v>
      </c>
      <c r="K11094" t="b">
        <v>1</v>
      </c>
    </row>
    <row r="11095" spans="8:11" x14ac:dyDescent="0.25">
      <c r="H11095">
        <v>130</v>
      </c>
      <c r="I11095">
        <v>700</v>
      </c>
      <c r="J11095">
        <v>39</v>
      </c>
      <c r="K11095" t="b">
        <v>1</v>
      </c>
    </row>
    <row r="11096" spans="8:11" x14ac:dyDescent="0.25">
      <c r="H11096">
        <v>130</v>
      </c>
      <c r="I11096">
        <v>705</v>
      </c>
      <c r="J11096">
        <v>39</v>
      </c>
      <c r="K11096" t="b">
        <v>1</v>
      </c>
    </row>
    <row r="11097" spans="8:11" x14ac:dyDescent="0.25">
      <c r="H11097">
        <v>130</v>
      </c>
      <c r="I11097">
        <v>710</v>
      </c>
      <c r="J11097">
        <v>39</v>
      </c>
      <c r="K11097" t="b">
        <v>1</v>
      </c>
    </row>
    <row r="11098" spans="8:11" x14ac:dyDescent="0.25">
      <c r="H11098">
        <v>130</v>
      </c>
      <c r="I11098">
        <v>715</v>
      </c>
      <c r="J11098">
        <v>39</v>
      </c>
      <c r="K11098" t="b">
        <v>1</v>
      </c>
    </row>
    <row r="11099" spans="8:11" x14ac:dyDescent="0.25">
      <c r="H11099">
        <v>130</v>
      </c>
      <c r="I11099">
        <v>720</v>
      </c>
      <c r="J11099">
        <v>39</v>
      </c>
      <c r="K11099" t="b">
        <v>1</v>
      </c>
    </row>
    <row r="11100" spans="8:11" x14ac:dyDescent="0.25">
      <c r="H11100">
        <v>130</v>
      </c>
      <c r="I11100">
        <v>725</v>
      </c>
      <c r="J11100">
        <v>39</v>
      </c>
      <c r="K11100" t="b">
        <v>1</v>
      </c>
    </row>
    <row r="11101" spans="8:11" x14ac:dyDescent="0.25">
      <c r="H11101">
        <v>130</v>
      </c>
      <c r="I11101">
        <v>730</v>
      </c>
      <c r="J11101">
        <v>39</v>
      </c>
      <c r="K11101" t="b">
        <v>1</v>
      </c>
    </row>
    <row r="11102" spans="8:11" x14ac:dyDescent="0.25">
      <c r="H11102">
        <v>130</v>
      </c>
      <c r="I11102">
        <v>735</v>
      </c>
      <c r="J11102">
        <v>39</v>
      </c>
      <c r="K11102" t="b">
        <v>1</v>
      </c>
    </row>
    <row r="11103" spans="8:11" x14ac:dyDescent="0.25">
      <c r="H11103">
        <v>130</v>
      </c>
      <c r="I11103">
        <v>740</v>
      </c>
      <c r="J11103">
        <v>39</v>
      </c>
      <c r="K11103" t="b">
        <v>1</v>
      </c>
    </row>
    <row r="11104" spans="8:11" x14ac:dyDescent="0.25">
      <c r="H11104">
        <v>130</v>
      </c>
      <c r="I11104">
        <v>745</v>
      </c>
      <c r="J11104">
        <v>39</v>
      </c>
      <c r="K11104" t="b">
        <v>1</v>
      </c>
    </row>
    <row r="11105" spans="8:11" x14ac:dyDescent="0.25">
      <c r="H11105">
        <v>130</v>
      </c>
      <c r="I11105">
        <v>750</v>
      </c>
      <c r="J11105">
        <v>39</v>
      </c>
      <c r="K11105" t="b">
        <v>1</v>
      </c>
    </row>
    <row r="11106" spans="8:11" x14ac:dyDescent="0.25">
      <c r="H11106">
        <v>130</v>
      </c>
      <c r="I11106">
        <v>755</v>
      </c>
      <c r="J11106">
        <v>39</v>
      </c>
      <c r="K11106" t="b">
        <v>1</v>
      </c>
    </row>
    <row r="11107" spans="8:11" x14ac:dyDescent="0.25">
      <c r="H11107">
        <v>130</v>
      </c>
      <c r="I11107">
        <v>760</v>
      </c>
      <c r="J11107">
        <v>39</v>
      </c>
      <c r="K11107" t="b">
        <v>1</v>
      </c>
    </row>
    <row r="11108" spans="8:11" x14ac:dyDescent="0.25">
      <c r="H11108">
        <v>130</v>
      </c>
      <c r="I11108">
        <v>765</v>
      </c>
      <c r="J11108">
        <v>39</v>
      </c>
      <c r="K11108" t="b">
        <v>1</v>
      </c>
    </row>
    <row r="11109" spans="8:11" x14ac:dyDescent="0.25">
      <c r="H11109">
        <v>130</v>
      </c>
      <c r="I11109">
        <v>770</v>
      </c>
      <c r="J11109">
        <v>39</v>
      </c>
      <c r="K11109" t="b">
        <v>1</v>
      </c>
    </row>
    <row r="11110" spans="8:11" x14ac:dyDescent="0.25">
      <c r="H11110">
        <v>130</v>
      </c>
      <c r="I11110">
        <v>775</v>
      </c>
      <c r="J11110">
        <v>39</v>
      </c>
      <c r="K11110" t="b">
        <v>1</v>
      </c>
    </row>
    <row r="11111" spans="8:11" x14ac:dyDescent="0.25">
      <c r="H11111">
        <v>130</v>
      </c>
      <c r="I11111">
        <v>780</v>
      </c>
      <c r="J11111">
        <v>39</v>
      </c>
      <c r="K11111" t="b">
        <v>1</v>
      </c>
    </row>
    <row r="11112" spans="8:11" x14ac:dyDescent="0.25">
      <c r="H11112">
        <v>130</v>
      </c>
      <c r="I11112">
        <v>785</v>
      </c>
      <c r="J11112">
        <v>39</v>
      </c>
      <c r="K11112" t="b">
        <v>1</v>
      </c>
    </row>
    <row r="11113" spans="8:11" x14ac:dyDescent="0.25">
      <c r="H11113">
        <v>130</v>
      </c>
      <c r="I11113">
        <v>790</v>
      </c>
      <c r="J11113">
        <v>39</v>
      </c>
      <c r="K11113" t="b">
        <v>1</v>
      </c>
    </row>
    <row r="11114" spans="8:11" x14ac:dyDescent="0.25">
      <c r="H11114">
        <v>130</v>
      </c>
      <c r="I11114">
        <v>795</v>
      </c>
      <c r="J11114">
        <v>39</v>
      </c>
      <c r="K11114" t="b">
        <v>1</v>
      </c>
    </row>
    <row r="11115" spans="8:11" x14ac:dyDescent="0.25">
      <c r="H11115">
        <v>130</v>
      </c>
      <c r="I11115">
        <v>800</v>
      </c>
      <c r="J11115">
        <v>39</v>
      </c>
      <c r="K11115" t="b">
        <v>1</v>
      </c>
    </row>
    <row r="11116" spans="8:11" x14ac:dyDescent="0.25">
      <c r="H11116">
        <v>130</v>
      </c>
      <c r="I11116">
        <v>805</v>
      </c>
      <c r="J11116">
        <v>39</v>
      </c>
      <c r="K11116" t="b">
        <v>1</v>
      </c>
    </row>
    <row r="11117" spans="8:11" x14ac:dyDescent="0.25">
      <c r="H11117">
        <v>130</v>
      </c>
      <c r="I11117">
        <v>810</v>
      </c>
      <c r="J11117">
        <v>39</v>
      </c>
      <c r="K11117" t="b">
        <v>1</v>
      </c>
    </row>
    <row r="11118" spans="8:11" x14ac:dyDescent="0.25">
      <c r="H11118">
        <v>130</v>
      </c>
      <c r="I11118">
        <v>815</v>
      </c>
      <c r="J11118">
        <v>39</v>
      </c>
      <c r="K11118" t="b">
        <v>1</v>
      </c>
    </row>
    <row r="11119" spans="8:11" x14ac:dyDescent="0.25">
      <c r="H11119">
        <v>130</v>
      </c>
      <c r="I11119">
        <v>820</v>
      </c>
      <c r="J11119">
        <v>39</v>
      </c>
      <c r="K11119" t="b">
        <v>1</v>
      </c>
    </row>
    <row r="11120" spans="8:11" x14ac:dyDescent="0.25">
      <c r="H11120">
        <v>130</v>
      </c>
      <c r="I11120">
        <v>825</v>
      </c>
      <c r="J11120">
        <v>39</v>
      </c>
      <c r="K11120" t="b">
        <v>1</v>
      </c>
    </row>
    <row r="11121" spans="8:11" x14ac:dyDescent="0.25">
      <c r="H11121">
        <v>130</v>
      </c>
      <c r="I11121">
        <v>830</v>
      </c>
      <c r="J11121">
        <v>39</v>
      </c>
      <c r="K11121" t="b">
        <v>1</v>
      </c>
    </row>
    <row r="11122" spans="8:11" x14ac:dyDescent="0.25">
      <c r="H11122">
        <v>130</v>
      </c>
      <c r="I11122">
        <v>835</v>
      </c>
      <c r="J11122">
        <v>39</v>
      </c>
      <c r="K11122" t="b">
        <v>1</v>
      </c>
    </row>
    <row r="11123" spans="8:11" x14ac:dyDescent="0.25">
      <c r="H11123">
        <v>130</v>
      </c>
      <c r="I11123">
        <v>840</v>
      </c>
      <c r="J11123">
        <v>39</v>
      </c>
      <c r="K11123" t="b">
        <v>1</v>
      </c>
    </row>
    <row r="11124" spans="8:11" x14ac:dyDescent="0.25">
      <c r="H11124">
        <v>130</v>
      </c>
      <c r="I11124">
        <v>845</v>
      </c>
      <c r="J11124">
        <v>39</v>
      </c>
      <c r="K11124" t="b">
        <v>1</v>
      </c>
    </row>
    <row r="11125" spans="8:11" x14ac:dyDescent="0.25">
      <c r="H11125">
        <v>130</v>
      </c>
      <c r="I11125">
        <v>850</v>
      </c>
      <c r="J11125">
        <v>39</v>
      </c>
      <c r="K11125" t="b">
        <v>1</v>
      </c>
    </row>
    <row r="11126" spans="8:11" x14ac:dyDescent="0.25">
      <c r="H11126">
        <v>130</v>
      </c>
      <c r="I11126">
        <v>855</v>
      </c>
      <c r="J11126">
        <v>39</v>
      </c>
      <c r="K11126" t="b">
        <v>1</v>
      </c>
    </row>
    <row r="11127" spans="8:11" x14ac:dyDescent="0.25">
      <c r="H11127">
        <v>130</v>
      </c>
      <c r="I11127">
        <v>860</v>
      </c>
      <c r="J11127">
        <v>39</v>
      </c>
      <c r="K11127" t="b">
        <v>1</v>
      </c>
    </row>
    <row r="11128" spans="8:11" x14ac:dyDescent="0.25">
      <c r="H11128">
        <v>130</v>
      </c>
      <c r="I11128">
        <v>865</v>
      </c>
      <c r="J11128">
        <v>39</v>
      </c>
      <c r="K11128" t="b">
        <v>1</v>
      </c>
    </row>
    <row r="11129" spans="8:11" x14ac:dyDescent="0.25">
      <c r="H11129">
        <v>130</v>
      </c>
      <c r="I11129">
        <v>870</v>
      </c>
      <c r="J11129">
        <v>39</v>
      </c>
      <c r="K11129" t="b">
        <v>1</v>
      </c>
    </row>
    <row r="11130" spans="8:11" x14ac:dyDescent="0.25">
      <c r="H11130">
        <v>130</v>
      </c>
      <c r="I11130">
        <v>875</v>
      </c>
      <c r="J11130">
        <v>39</v>
      </c>
      <c r="K11130" t="b">
        <v>1</v>
      </c>
    </row>
    <row r="11131" spans="8:11" x14ac:dyDescent="0.25">
      <c r="H11131">
        <v>130</v>
      </c>
      <c r="I11131">
        <v>880</v>
      </c>
      <c r="J11131">
        <v>39</v>
      </c>
      <c r="K11131" t="b">
        <v>1</v>
      </c>
    </row>
    <row r="11132" spans="8:11" x14ac:dyDescent="0.25">
      <c r="H11132">
        <v>130</v>
      </c>
      <c r="I11132">
        <v>885</v>
      </c>
      <c r="J11132">
        <v>39</v>
      </c>
      <c r="K11132" t="b">
        <v>1</v>
      </c>
    </row>
    <row r="11133" spans="8:11" x14ac:dyDescent="0.25">
      <c r="H11133">
        <v>130</v>
      </c>
      <c r="I11133">
        <v>890</v>
      </c>
      <c r="J11133">
        <v>39</v>
      </c>
      <c r="K11133" t="b">
        <v>1</v>
      </c>
    </row>
    <row r="11134" spans="8:11" x14ac:dyDescent="0.25">
      <c r="H11134">
        <v>130</v>
      </c>
      <c r="I11134">
        <v>895</v>
      </c>
      <c r="J11134">
        <v>39</v>
      </c>
      <c r="K11134" t="b">
        <v>1</v>
      </c>
    </row>
    <row r="11135" spans="8:11" x14ac:dyDescent="0.25">
      <c r="H11135">
        <v>130</v>
      </c>
      <c r="I11135">
        <v>900</v>
      </c>
      <c r="J11135">
        <v>39</v>
      </c>
      <c r="K11135" t="b">
        <v>1</v>
      </c>
    </row>
    <row r="11136" spans="8:11" x14ac:dyDescent="0.25">
      <c r="H11136">
        <v>130</v>
      </c>
      <c r="I11136">
        <v>905</v>
      </c>
      <c r="J11136">
        <v>39</v>
      </c>
      <c r="K11136" t="b">
        <v>1</v>
      </c>
    </row>
    <row r="11137" spans="8:11" x14ac:dyDescent="0.25">
      <c r="H11137">
        <v>130</v>
      </c>
      <c r="I11137">
        <v>910</v>
      </c>
      <c r="J11137">
        <v>39</v>
      </c>
      <c r="K11137" t="b">
        <v>1</v>
      </c>
    </row>
    <row r="11138" spans="8:11" x14ac:dyDescent="0.25">
      <c r="H11138">
        <v>130</v>
      </c>
      <c r="I11138">
        <v>915</v>
      </c>
      <c r="J11138">
        <v>39</v>
      </c>
      <c r="K11138" t="b">
        <v>1</v>
      </c>
    </row>
    <row r="11139" spans="8:11" x14ac:dyDescent="0.25">
      <c r="H11139">
        <v>130</v>
      </c>
      <c r="I11139">
        <v>920</v>
      </c>
      <c r="J11139">
        <v>39</v>
      </c>
      <c r="K11139" t="b">
        <v>1</v>
      </c>
    </row>
    <row r="11140" spans="8:11" x14ac:dyDescent="0.25">
      <c r="H11140">
        <v>130</v>
      </c>
      <c r="I11140">
        <v>925</v>
      </c>
      <c r="J11140">
        <v>39</v>
      </c>
      <c r="K11140" t="b">
        <v>1</v>
      </c>
    </row>
    <row r="11141" spans="8:11" x14ac:dyDescent="0.25">
      <c r="H11141">
        <v>130</v>
      </c>
      <c r="I11141">
        <v>930</v>
      </c>
      <c r="J11141">
        <v>39</v>
      </c>
      <c r="K11141" t="b">
        <v>1</v>
      </c>
    </row>
    <row r="11142" spans="8:11" x14ac:dyDescent="0.25">
      <c r="H11142">
        <v>130</v>
      </c>
      <c r="I11142">
        <v>935</v>
      </c>
      <c r="J11142">
        <v>39</v>
      </c>
      <c r="K11142" t="b">
        <v>1</v>
      </c>
    </row>
    <row r="11143" spans="8:11" x14ac:dyDescent="0.25">
      <c r="H11143">
        <v>130</v>
      </c>
      <c r="I11143">
        <v>940</v>
      </c>
      <c r="J11143">
        <v>39</v>
      </c>
      <c r="K11143" t="b">
        <v>1</v>
      </c>
    </row>
    <row r="11144" spans="8:11" x14ac:dyDescent="0.25">
      <c r="H11144">
        <v>130</v>
      </c>
      <c r="I11144">
        <v>945</v>
      </c>
      <c r="J11144">
        <v>39</v>
      </c>
      <c r="K11144" t="b">
        <v>1</v>
      </c>
    </row>
    <row r="11145" spans="8:11" x14ac:dyDescent="0.25">
      <c r="H11145">
        <v>130</v>
      </c>
      <c r="I11145">
        <v>950</v>
      </c>
      <c r="J11145">
        <v>39</v>
      </c>
      <c r="K11145" t="b">
        <v>1</v>
      </c>
    </row>
    <row r="11146" spans="8:11" x14ac:dyDescent="0.25">
      <c r="H11146">
        <v>130</v>
      </c>
      <c r="I11146">
        <v>955</v>
      </c>
      <c r="J11146">
        <v>39</v>
      </c>
      <c r="K11146" t="b">
        <v>1</v>
      </c>
    </row>
    <row r="11147" spans="8:11" x14ac:dyDescent="0.25">
      <c r="H11147">
        <v>131</v>
      </c>
      <c r="I11147">
        <v>0</v>
      </c>
      <c r="J11147">
        <v>108</v>
      </c>
      <c r="K11147" t="b">
        <v>1</v>
      </c>
    </row>
    <row r="11148" spans="8:11" x14ac:dyDescent="0.25">
      <c r="H11148">
        <v>131</v>
      </c>
      <c r="I11148">
        <v>8</v>
      </c>
      <c r="J11148">
        <v>108</v>
      </c>
      <c r="K11148" t="b">
        <v>1</v>
      </c>
    </row>
    <row r="11149" spans="8:11" x14ac:dyDescent="0.25">
      <c r="H11149">
        <v>131</v>
      </c>
      <c r="I11149">
        <v>16</v>
      </c>
      <c r="J11149">
        <v>108</v>
      </c>
      <c r="K11149" t="b">
        <v>1</v>
      </c>
    </row>
    <row r="11150" spans="8:11" x14ac:dyDescent="0.25">
      <c r="H11150">
        <v>131</v>
      </c>
      <c r="I11150">
        <v>24</v>
      </c>
      <c r="J11150">
        <v>108</v>
      </c>
      <c r="K11150" t="b">
        <v>1</v>
      </c>
    </row>
    <row r="11151" spans="8:11" x14ac:dyDescent="0.25">
      <c r="H11151">
        <v>131</v>
      </c>
      <c r="I11151">
        <v>32</v>
      </c>
      <c r="J11151">
        <v>108</v>
      </c>
      <c r="K11151" t="b">
        <v>1</v>
      </c>
    </row>
    <row r="11152" spans="8:11" x14ac:dyDescent="0.25">
      <c r="H11152">
        <v>131</v>
      </c>
      <c r="I11152">
        <v>40</v>
      </c>
      <c r="J11152">
        <v>108</v>
      </c>
      <c r="K11152" t="b">
        <v>1</v>
      </c>
    </row>
    <row r="11153" spans="8:11" x14ac:dyDescent="0.25">
      <c r="H11153">
        <v>131</v>
      </c>
      <c r="I11153">
        <v>48</v>
      </c>
      <c r="J11153">
        <v>108</v>
      </c>
      <c r="K11153" t="b">
        <v>1</v>
      </c>
    </row>
    <row r="11154" spans="8:11" x14ac:dyDescent="0.25">
      <c r="H11154">
        <v>131</v>
      </c>
      <c r="I11154">
        <v>56</v>
      </c>
      <c r="J11154">
        <v>108</v>
      </c>
      <c r="K11154" t="b">
        <v>1</v>
      </c>
    </row>
    <row r="11155" spans="8:11" x14ac:dyDescent="0.25">
      <c r="H11155">
        <v>131</v>
      </c>
      <c r="I11155">
        <v>64</v>
      </c>
      <c r="J11155">
        <v>108</v>
      </c>
      <c r="K11155" t="b">
        <v>1</v>
      </c>
    </row>
    <row r="11156" spans="8:11" x14ac:dyDescent="0.25">
      <c r="H11156">
        <v>131</v>
      </c>
      <c r="I11156">
        <v>72</v>
      </c>
      <c r="J11156">
        <v>108</v>
      </c>
      <c r="K11156" t="b">
        <v>1</v>
      </c>
    </row>
    <row r="11157" spans="8:11" x14ac:dyDescent="0.25">
      <c r="H11157">
        <v>131</v>
      </c>
      <c r="I11157">
        <v>80</v>
      </c>
      <c r="J11157">
        <v>108</v>
      </c>
      <c r="K11157" t="b">
        <v>1</v>
      </c>
    </row>
    <row r="11158" spans="8:11" x14ac:dyDescent="0.25">
      <c r="H11158">
        <v>131</v>
      </c>
      <c r="I11158">
        <v>88</v>
      </c>
      <c r="J11158">
        <v>108</v>
      </c>
      <c r="K11158" t="b">
        <v>1</v>
      </c>
    </row>
    <row r="11159" spans="8:11" x14ac:dyDescent="0.25">
      <c r="H11159">
        <v>131</v>
      </c>
      <c r="I11159">
        <v>96</v>
      </c>
      <c r="J11159">
        <v>108</v>
      </c>
      <c r="K11159" t="b">
        <v>1</v>
      </c>
    </row>
    <row r="11160" spans="8:11" x14ac:dyDescent="0.25">
      <c r="H11160">
        <v>131</v>
      </c>
      <c r="I11160">
        <v>104</v>
      </c>
      <c r="J11160">
        <v>108</v>
      </c>
      <c r="K11160" t="b">
        <v>1</v>
      </c>
    </row>
    <row r="11161" spans="8:11" x14ac:dyDescent="0.25">
      <c r="H11161">
        <v>131</v>
      </c>
      <c r="I11161">
        <v>112</v>
      </c>
      <c r="J11161">
        <v>108</v>
      </c>
      <c r="K11161" t="b">
        <v>1</v>
      </c>
    </row>
    <row r="11162" spans="8:11" x14ac:dyDescent="0.25">
      <c r="H11162">
        <v>131</v>
      </c>
      <c r="I11162">
        <v>120</v>
      </c>
      <c r="J11162">
        <v>108</v>
      </c>
      <c r="K11162" t="b">
        <v>1</v>
      </c>
    </row>
    <row r="11163" spans="8:11" x14ac:dyDescent="0.25">
      <c r="H11163">
        <v>131</v>
      </c>
      <c r="I11163">
        <v>128</v>
      </c>
      <c r="J11163">
        <v>108</v>
      </c>
      <c r="K11163" t="b">
        <v>1</v>
      </c>
    </row>
    <row r="11164" spans="8:11" x14ac:dyDescent="0.25">
      <c r="H11164">
        <v>131</v>
      </c>
      <c r="I11164">
        <v>136</v>
      </c>
      <c r="J11164">
        <v>108</v>
      </c>
      <c r="K11164" t="b">
        <v>1</v>
      </c>
    </row>
    <row r="11165" spans="8:11" x14ac:dyDescent="0.25">
      <c r="H11165">
        <v>131</v>
      </c>
      <c r="I11165">
        <v>144</v>
      </c>
      <c r="J11165">
        <v>108</v>
      </c>
      <c r="K11165" t="b">
        <v>1</v>
      </c>
    </row>
    <row r="11166" spans="8:11" x14ac:dyDescent="0.25">
      <c r="H11166">
        <v>131</v>
      </c>
      <c r="I11166">
        <v>152</v>
      </c>
      <c r="J11166">
        <v>108</v>
      </c>
      <c r="K11166" t="b">
        <v>1</v>
      </c>
    </row>
    <row r="11167" spans="8:11" x14ac:dyDescent="0.25">
      <c r="H11167">
        <v>131</v>
      </c>
      <c r="I11167">
        <v>160</v>
      </c>
      <c r="J11167">
        <v>108</v>
      </c>
      <c r="K11167" t="b">
        <v>1</v>
      </c>
    </row>
    <row r="11168" spans="8:11" x14ac:dyDescent="0.25">
      <c r="H11168">
        <v>131</v>
      </c>
      <c r="I11168">
        <v>168</v>
      </c>
      <c r="J11168">
        <v>108</v>
      </c>
      <c r="K11168" t="b">
        <v>1</v>
      </c>
    </row>
    <row r="11169" spans="8:11" x14ac:dyDescent="0.25">
      <c r="H11169">
        <v>131</v>
      </c>
      <c r="I11169">
        <v>176</v>
      </c>
      <c r="J11169">
        <v>108</v>
      </c>
      <c r="K11169" t="b">
        <v>1</v>
      </c>
    </row>
    <row r="11170" spans="8:11" x14ac:dyDescent="0.25">
      <c r="H11170">
        <v>131</v>
      </c>
      <c r="I11170">
        <v>184</v>
      </c>
      <c r="J11170">
        <v>108</v>
      </c>
      <c r="K11170" t="b">
        <v>1</v>
      </c>
    </row>
    <row r="11171" spans="8:11" x14ac:dyDescent="0.25">
      <c r="H11171">
        <v>131</v>
      </c>
      <c r="I11171">
        <v>192</v>
      </c>
      <c r="J11171">
        <v>108</v>
      </c>
      <c r="K11171" t="b">
        <v>1</v>
      </c>
    </row>
    <row r="11172" spans="8:11" x14ac:dyDescent="0.25">
      <c r="H11172">
        <v>131</v>
      </c>
      <c r="I11172">
        <v>200</v>
      </c>
      <c r="J11172">
        <v>108</v>
      </c>
      <c r="K11172" t="b">
        <v>1</v>
      </c>
    </row>
    <row r="11173" spans="8:11" x14ac:dyDescent="0.25">
      <c r="H11173">
        <v>131</v>
      </c>
      <c r="I11173">
        <v>208</v>
      </c>
      <c r="J11173">
        <v>108</v>
      </c>
      <c r="K11173" t="b">
        <v>1</v>
      </c>
    </row>
    <row r="11174" spans="8:11" x14ac:dyDescent="0.25">
      <c r="H11174">
        <v>131</v>
      </c>
      <c r="I11174">
        <v>216</v>
      </c>
      <c r="J11174">
        <v>108</v>
      </c>
      <c r="K11174" t="b">
        <v>1</v>
      </c>
    </row>
    <row r="11175" spans="8:11" x14ac:dyDescent="0.25">
      <c r="H11175">
        <v>131</v>
      </c>
      <c r="I11175">
        <v>224</v>
      </c>
      <c r="J11175">
        <v>108</v>
      </c>
      <c r="K11175" t="b">
        <v>1</v>
      </c>
    </row>
    <row r="11176" spans="8:11" x14ac:dyDescent="0.25">
      <c r="H11176">
        <v>131</v>
      </c>
      <c r="I11176">
        <v>232</v>
      </c>
      <c r="J11176">
        <v>108</v>
      </c>
      <c r="K11176" t="b">
        <v>1</v>
      </c>
    </row>
    <row r="11177" spans="8:11" x14ac:dyDescent="0.25">
      <c r="H11177">
        <v>131</v>
      </c>
      <c r="I11177">
        <v>240</v>
      </c>
      <c r="J11177">
        <v>108</v>
      </c>
      <c r="K11177" t="b">
        <v>1</v>
      </c>
    </row>
    <row r="11178" spans="8:11" x14ac:dyDescent="0.25">
      <c r="H11178">
        <v>131</v>
      </c>
      <c r="I11178">
        <v>248</v>
      </c>
      <c r="J11178">
        <v>108</v>
      </c>
      <c r="K11178" t="b">
        <v>1</v>
      </c>
    </row>
    <row r="11179" spans="8:11" x14ac:dyDescent="0.25">
      <c r="H11179">
        <v>131</v>
      </c>
      <c r="I11179">
        <v>256</v>
      </c>
      <c r="J11179">
        <v>108</v>
      </c>
      <c r="K11179" t="b">
        <v>1</v>
      </c>
    </row>
    <row r="11180" spans="8:11" x14ac:dyDescent="0.25">
      <c r="H11180">
        <v>131</v>
      </c>
      <c r="I11180">
        <v>264</v>
      </c>
      <c r="J11180">
        <v>108</v>
      </c>
      <c r="K11180" t="b">
        <v>1</v>
      </c>
    </row>
    <row r="11181" spans="8:11" x14ac:dyDescent="0.25">
      <c r="H11181">
        <v>131</v>
      </c>
      <c r="I11181">
        <v>272</v>
      </c>
      <c r="J11181">
        <v>108</v>
      </c>
      <c r="K11181" t="b">
        <v>1</v>
      </c>
    </row>
    <row r="11182" spans="8:11" x14ac:dyDescent="0.25">
      <c r="H11182">
        <v>131</v>
      </c>
      <c r="I11182">
        <v>280</v>
      </c>
      <c r="J11182">
        <v>108</v>
      </c>
      <c r="K11182" t="b">
        <v>1</v>
      </c>
    </row>
    <row r="11183" spans="8:11" x14ac:dyDescent="0.25">
      <c r="H11183">
        <v>131</v>
      </c>
      <c r="I11183">
        <v>288</v>
      </c>
      <c r="J11183">
        <v>108</v>
      </c>
      <c r="K11183" t="b">
        <v>1</v>
      </c>
    </row>
    <row r="11184" spans="8:11" x14ac:dyDescent="0.25">
      <c r="H11184">
        <v>131</v>
      </c>
      <c r="I11184">
        <v>296</v>
      </c>
      <c r="J11184">
        <v>108</v>
      </c>
      <c r="K11184" t="b">
        <v>1</v>
      </c>
    </row>
    <row r="11185" spans="8:11" x14ac:dyDescent="0.25">
      <c r="H11185">
        <v>131</v>
      </c>
      <c r="I11185">
        <v>304</v>
      </c>
      <c r="J11185">
        <v>108</v>
      </c>
      <c r="K11185" t="b">
        <v>1</v>
      </c>
    </row>
    <row r="11186" spans="8:11" x14ac:dyDescent="0.25">
      <c r="H11186">
        <v>131</v>
      </c>
      <c r="I11186">
        <v>312</v>
      </c>
      <c r="J11186">
        <v>108</v>
      </c>
      <c r="K11186" t="b">
        <v>1</v>
      </c>
    </row>
    <row r="11187" spans="8:11" x14ac:dyDescent="0.25">
      <c r="H11187">
        <v>131</v>
      </c>
      <c r="I11187">
        <v>320</v>
      </c>
      <c r="J11187">
        <v>108</v>
      </c>
      <c r="K11187" t="b">
        <v>1</v>
      </c>
    </row>
    <row r="11188" spans="8:11" x14ac:dyDescent="0.25">
      <c r="H11188">
        <v>131</v>
      </c>
      <c r="I11188">
        <v>328</v>
      </c>
      <c r="J11188">
        <v>108</v>
      </c>
      <c r="K11188" t="b">
        <v>1</v>
      </c>
    </row>
    <row r="11189" spans="8:11" x14ac:dyDescent="0.25">
      <c r="H11189">
        <v>131</v>
      </c>
      <c r="I11189">
        <v>336</v>
      </c>
      <c r="J11189">
        <v>108</v>
      </c>
      <c r="K11189" t="b">
        <v>1</v>
      </c>
    </row>
    <row r="11190" spans="8:11" x14ac:dyDescent="0.25">
      <c r="H11190">
        <v>131</v>
      </c>
      <c r="I11190">
        <v>344</v>
      </c>
      <c r="J11190">
        <v>108</v>
      </c>
      <c r="K11190" t="b">
        <v>1</v>
      </c>
    </row>
    <row r="11191" spans="8:11" x14ac:dyDescent="0.25">
      <c r="H11191">
        <v>131</v>
      </c>
      <c r="I11191">
        <v>352</v>
      </c>
      <c r="J11191">
        <v>108</v>
      </c>
      <c r="K11191" t="b">
        <v>1</v>
      </c>
    </row>
    <row r="11192" spans="8:11" x14ac:dyDescent="0.25">
      <c r="H11192">
        <v>131</v>
      </c>
      <c r="I11192">
        <v>360</v>
      </c>
      <c r="J11192">
        <v>108</v>
      </c>
      <c r="K11192" t="b">
        <v>1</v>
      </c>
    </row>
    <row r="11193" spans="8:11" x14ac:dyDescent="0.25">
      <c r="H11193">
        <v>131</v>
      </c>
      <c r="I11193">
        <v>368</v>
      </c>
      <c r="J11193">
        <v>108</v>
      </c>
      <c r="K11193" t="b">
        <v>1</v>
      </c>
    </row>
    <row r="11194" spans="8:11" x14ac:dyDescent="0.25">
      <c r="H11194">
        <v>131</v>
      </c>
      <c r="I11194">
        <v>376</v>
      </c>
      <c r="J11194">
        <v>108</v>
      </c>
      <c r="K11194" t="b">
        <v>1</v>
      </c>
    </row>
    <row r="11195" spans="8:11" x14ac:dyDescent="0.25">
      <c r="H11195">
        <v>131</v>
      </c>
      <c r="I11195">
        <v>384</v>
      </c>
      <c r="J11195">
        <v>108</v>
      </c>
      <c r="K11195" t="b">
        <v>1</v>
      </c>
    </row>
    <row r="11196" spans="8:11" x14ac:dyDescent="0.25">
      <c r="H11196">
        <v>131</v>
      </c>
      <c r="I11196">
        <v>392</v>
      </c>
      <c r="J11196">
        <v>108</v>
      </c>
      <c r="K11196" t="b">
        <v>1</v>
      </c>
    </row>
    <row r="11197" spans="8:11" x14ac:dyDescent="0.25">
      <c r="H11197">
        <v>131</v>
      </c>
      <c r="I11197">
        <v>400</v>
      </c>
      <c r="J11197">
        <v>108</v>
      </c>
      <c r="K11197" t="b">
        <v>1</v>
      </c>
    </row>
    <row r="11198" spans="8:11" x14ac:dyDescent="0.25">
      <c r="H11198">
        <v>131</v>
      </c>
      <c r="I11198">
        <v>408</v>
      </c>
      <c r="J11198">
        <v>108</v>
      </c>
      <c r="K11198" t="b">
        <v>1</v>
      </c>
    </row>
    <row r="11199" spans="8:11" x14ac:dyDescent="0.25">
      <c r="H11199">
        <v>131</v>
      </c>
      <c r="I11199">
        <v>416</v>
      </c>
      <c r="J11199">
        <v>108</v>
      </c>
      <c r="K11199" t="b">
        <v>1</v>
      </c>
    </row>
    <row r="11200" spans="8:11" x14ac:dyDescent="0.25">
      <c r="H11200">
        <v>131</v>
      </c>
      <c r="I11200">
        <v>424</v>
      </c>
      <c r="J11200">
        <v>108</v>
      </c>
      <c r="K11200" t="b">
        <v>1</v>
      </c>
    </row>
    <row r="11201" spans="8:11" x14ac:dyDescent="0.25">
      <c r="H11201">
        <v>131</v>
      </c>
      <c r="I11201">
        <v>432</v>
      </c>
      <c r="J11201">
        <v>108</v>
      </c>
      <c r="K11201" t="b">
        <v>1</v>
      </c>
    </row>
    <row r="11202" spans="8:11" x14ac:dyDescent="0.25">
      <c r="H11202">
        <v>131</v>
      </c>
      <c r="I11202">
        <v>440</v>
      </c>
      <c r="J11202">
        <v>108</v>
      </c>
      <c r="K11202" t="b">
        <v>1</v>
      </c>
    </row>
    <row r="11203" spans="8:11" x14ac:dyDescent="0.25">
      <c r="H11203">
        <v>131</v>
      </c>
      <c r="I11203">
        <v>448</v>
      </c>
      <c r="J11203">
        <v>108</v>
      </c>
      <c r="K11203" t="b">
        <v>1</v>
      </c>
    </row>
    <row r="11204" spans="8:11" x14ac:dyDescent="0.25">
      <c r="H11204">
        <v>131</v>
      </c>
      <c r="I11204">
        <v>456</v>
      </c>
      <c r="J11204">
        <v>108</v>
      </c>
      <c r="K11204" t="b">
        <v>1</v>
      </c>
    </row>
    <row r="11205" spans="8:11" x14ac:dyDescent="0.25">
      <c r="H11205">
        <v>131</v>
      </c>
      <c r="I11205">
        <v>464</v>
      </c>
      <c r="J11205">
        <v>108</v>
      </c>
      <c r="K11205" t="b">
        <v>1</v>
      </c>
    </row>
    <row r="11206" spans="8:11" x14ac:dyDescent="0.25">
      <c r="H11206">
        <v>131</v>
      </c>
      <c r="I11206">
        <v>472</v>
      </c>
      <c r="J11206">
        <v>108</v>
      </c>
      <c r="K11206" t="b">
        <v>1</v>
      </c>
    </row>
    <row r="11207" spans="8:11" x14ac:dyDescent="0.25">
      <c r="H11207">
        <v>131</v>
      </c>
      <c r="I11207">
        <v>480</v>
      </c>
      <c r="J11207">
        <v>108</v>
      </c>
      <c r="K11207" t="b">
        <v>1</v>
      </c>
    </row>
    <row r="11208" spans="8:11" x14ac:dyDescent="0.25">
      <c r="H11208">
        <v>131</v>
      </c>
      <c r="I11208">
        <v>488</v>
      </c>
      <c r="J11208">
        <v>108</v>
      </c>
      <c r="K11208" t="b">
        <v>1</v>
      </c>
    </row>
    <row r="11209" spans="8:11" x14ac:dyDescent="0.25">
      <c r="H11209">
        <v>131</v>
      </c>
      <c r="I11209">
        <v>496</v>
      </c>
      <c r="J11209">
        <v>108</v>
      </c>
      <c r="K11209" t="b">
        <v>1</v>
      </c>
    </row>
    <row r="11210" spans="8:11" x14ac:dyDescent="0.25">
      <c r="H11210">
        <v>131</v>
      </c>
      <c r="I11210">
        <v>504</v>
      </c>
      <c r="J11210">
        <v>108</v>
      </c>
      <c r="K11210" t="b">
        <v>1</v>
      </c>
    </row>
    <row r="11211" spans="8:11" x14ac:dyDescent="0.25">
      <c r="H11211">
        <v>131</v>
      </c>
      <c r="I11211">
        <v>512</v>
      </c>
      <c r="J11211">
        <v>108</v>
      </c>
      <c r="K11211" t="b">
        <v>1</v>
      </c>
    </row>
    <row r="11212" spans="8:11" x14ac:dyDescent="0.25">
      <c r="H11212">
        <v>131</v>
      </c>
      <c r="I11212">
        <v>520</v>
      </c>
      <c r="J11212">
        <v>108</v>
      </c>
      <c r="K11212" t="b">
        <v>1</v>
      </c>
    </row>
    <row r="11213" spans="8:11" x14ac:dyDescent="0.25">
      <c r="H11213">
        <v>131</v>
      </c>
      <c r="I11213">
        <v>528</v>
      </c>
      <c r="J11213">
        <v>108</v>
      </c>
      <c r="K11213" t="b">
        <v>1</v>
      </c>
    </row>
    <row r="11214" spans="8:11" x14ac:dyDescent="0.25">
      <c r="H11214">
        <v>131</v>
      </c>
      <c r="I11214">
        <v>536</v>
      </c>
      <c r="J11214">
        <v>108</v>
      </c>
      <c r="K11214" t="b">
        <v>1</v>
      </c>
    </row>
    <row r="11215" spans="8:11" x14ac:dyDescent="0.25">
      <c r="H11215">
        <v>131</v>
      </c>
      <c r="I11215">
        <v>544</v>
      </c>
      <c r="J11215">
        <v>108</v>
      </c>
      <c r="K11215" t="b">
        <v>1</v>
      </c>
    </row>
    <row r="11216" spans="8:11" x14ac:dyDescent="0.25">
      <c r="H11216">
        <v>131</v>
      </c>
      <c r="I11216">
        <v>552</v>
      </c>
      <c r="J11216">
        <v>108</v>
      </c>
      <c r="K11216" t="b">
        <v>1</v>
      </c>
    </row>
    <row r="11217" spans="8:11" x14ac:dyDescent="0.25">
      <c r="H11217">
        <v>131</v>
      </c>
      <c r="I11217">
        <v>560</v>
      </c>
      <c r="J11217">
        <v>108</v>
      </c>
      <c r="K11217" t="b">
        <v>1</v>
      </c>
    </row>
    <row r="11218" spans="8:11" x14ac:dyDescent="0.25">
      <c r="H11218">
        <v>131</v>
      </c>
      <c r="I11218">
        <v>568</v>
      </c>
      <c r="J11218">
        <v>108</v>
      </c>
      <c r="K11218" t="b">
        <v>1</v>
      </c>
    </row>
    <row r="11219" spans="8:11" x14ac:dyDescent="0.25">
      <c r="H11219">
        <v>131</v>
      </c>
      <c r="I11219">
        <v>576</v>
      </c>
      <c r="J11219">
        <v>108</v>
      </c>
      <c r="K11219" t="b">
        <v>1</v>
      </c>
    </row>
    <row r="11220" spans="8:11" x14ac:dyDescent="0.25">
      <c r="H11220">
        <v>131</v>
      </c>
      <c r="I11220">
        <v>584</v>
      </c>
      <c r="J11220">
        <v>108</v>
      </c>
      <c r="K11220" t="b">
        <v>1</v>
      </c>
    </row>
    <row r="11221" spans="8:11" x14ac:dyDescent="0.25">
      <c r="H11221">
        <v>131</v>
      </c>
      <c r="I11221">
        <v>592</v>
      </c>
      <c r="J11221">
        <v>108</v>
      </c>
      <c r="K11221" t="b">
        <v>1</v>
      </c>
    </row>
    <row r="11222" spans="8:11" x14ac:dyDescent="0.25">
      <c r="H11222">
        <v>131</v>
      </c>
      <c r="I11222">
        <v>600</v>
      </c>
      <c r="J11222">
        <v>108</v>
      </c>
      <c r="K11222" t="b">
        <v>1</v>
      </c>
    </row>
    <row r="11223" spans="8:11" x14ac:dyDescent="0.25">
      <c r="H11223">
        <v>131</v>
      </c>
      <c r="I11223">
        <v>608</v>
      </c>
      <c r="J11223">
        <v>108</v>
      </c>
      <c r="K11223" t="b">
        <v>1</v>
      </c>
    </row>
    <row r="11224" spans="8:11" x14ac:dyDescent="0.25">
      <c r="H11224">
        <v>131</v>
      </c>
      <c r="I11224">
        <v>616</v>
      </c>
      <c r="J11224">
        <v>108</v>
      </c>
      <c r="K11224" t="b">
        <v>1</v>
      </c>
    </row>
    <row r="11225" spans="8:11" x14ac:dyDescent="0.25">
      <c r="H11225">
        <v>131</v>
      </c>
      <c r="I11225">
        <v>624</v>
      </c>
      <c r="J11225">
        <v>108</v>
      </c>
      <c r="K11225" t="b">
        <v>1</v>
      </c>
    </row>
    <row r="11226" spans="8:11" x14ac:dyDescent="0.25">
      <c r="H11226">
        <v>131</v>
      </c>
      <c r="I11226">
        <v>632</v>
      </c>
      <c r="J11226">
        <v>108</v>
      </c>
      <c r="K11226" t="b">
        <v>1</v>
      </c>
    </row>
    <row r="11227" spans="8:11" x14ac:dyDescent="0.25">
      <c r="H11227">
        <v>131</v>
      </c>
      <c r="I11227">
        <v>640</v>
      </c>
      <c r="J11227">
        <v>108</v>
      </c>
      <c r="K11227" t="b">
        <v>1</v>
      </c>
    </row>
    <row r="11228" spans="8:11" x14ac:dyDescent="0.25">
      <c r="H11228">
        <v>131</v>
      </c>
      <c r="I11228">
        <v>648</v>
      </c>
      <c r="J11228">
        <v>108</v>
      </c>
      <c r="K11228" t="b">
        <v>1</v>
      </c>
    </row>
    <row r="11229" spans="8:11" x14ac:dyDescent="0.25">
      <c r="H11229">
        <v>131</v>
      </c>
      <c r="I11229">
        <v>656</v>
      </c>
      <c r="J11229">
        <v>108</v>
      </c>
      <c r="K11229" t="b">
        <v>1</v>
      </c>
    </row>
    <row r="11230" spans="8:11" x14ac:dyDescent="0.25">
      <c r="H11230">
        <v>131</v>
      </c>
      <c r="I11230">
        <v>664</v>
      </c>
      <c r="J11230">
        <v>108</v>
      </c>
      <c r="K11230" t="b">
        <v>1</v>
      </c>
    </row>
    <row r="11231" spans="8:11" x14ac:dyDescent="0.25">
      <c r="H11231">
        <v>131</v>
      </c>
      <c r="I11231">
        <v>672</v>
      </c>
      <c r="J11231">
        <v>108</v>
      </c>
      <c r="K11231" t="b">
        <v>1</v>
      </c>
    </row>
    <row r="11232" spans="8:11" x14ac:dyDescent="0.25">
      <c r="H11232">
        <v>131</v>
      </c>
      <c r="I11232">
        <v>680</v>
      </c>
      <c r="J11232">
        <v>108</v>
      </c>
      <c r="K11232" t="b">
        <v>1</v>
      </c>
    </row>
    <row r="11233" spans="8:11" x14ac:dyDescent="0.25">
      <c r="H11233">
        <v>131</v>
      </c>
      <c r="I11233">
        <v>688</v>
      </c>
      <c r="J11233">
        <v>108</v>
      </c>
      <c r="K11233" t="b">
        <v>1</v>
      </c>
    </row>
    <row r="11234" spans="8:11" x14ac:dyDescent="0.25">
      <c r="H11234">
        <v>131</v>
      </c>
      <c r="I11234">
        <v>696</v>
      </c>
      <c r="J11234">
        <v>108</v>
      </c>
      <c r="K11234" t="b">
        <v>1</v>
      </c>
    </row>
    <row r="11235" spans="8:11" x14ac:dyDescent="0.25">
      <c r="H11235">
        <v>131</v>
      </c>
      <c r="I11235">
        <v>704</v>
      </c>
      <c r="J11235">
        <v>108</v>
      </c>
      <c r="K11235" t="b">
        <v>1</v>
      </c>
    </row>
    <row r="11236" spans="8:11" x14ac:dyDescent="0.25">
      <c r="H11236">
        <v>131</v>
      </c>
      <c r="I11236">
        <v>712</v>
      </c>
      <c r="J11236">
        <v>108</v>
      </c>
      <c r="K11236" t="b">
        <v>1</v>
      </c>
    </row>
    <row r="11237" spans="8:11" x14ac:dyDescent="0.25">
      <c r="H11237">
        <v>131</v>
      </c>
      <c r="I11237">
        <v>720</v>
      </c>
      <c r="J11237">
        <v>108</v>
      </c>
      <c r="K11237" t="b">
        <v>1</v>
      </c>
    </row>
    <row r="11238" spans="8:11" x14ac:dyDescent="0.25">
      <c r="H11238">
        <v>131</v>
      </c>
      <c r="I11238">
        <v>728</v>
      </c>
      <c r="J11238">
        <v>108</v>
      </c>
      <c r="K11238" t="b">
        <v>1</v>
      </c>
    </row>
    <row r="11239" spans="8:11" x14ac:dyDescent="0.25">
      <c r="H11239">
        <v>131</v>
      </c>
      <c r="I11239">
        <v>736</v>
      </c>
      <c r="J11239">
        <v>108</v>
      </c>
      <c r="K11239" t="b">
        <v>1</v>
      </c>
    </row>
    <row r="11240" spans="8:11" x14ac:dyDescent="0.25">
      <c r="H11240">
        <v>131</v>
      </c>
      <c r="I11240">
        <v>744</v>
      </c>
      <c r="J11240">
        <v>108</v>
      </c>
      <c r="K11240" t="b">
        <v>1</v>
      </c>
    </row>
    <row r="11241" spans="8:11" x14ac:dyDescent="0.25">
      <c r="H11241">
        <v>131</v>
      </c>
      <c r="I11241">
        <v>752</v>
      </c>
      <c r="J11241">
        <v>108</v>
      </c>
      <c r="K11241" t="b">
        <v>1</v>
      </c>
    </row>
    <row r="11242" spans="8:11" x14ac:dyDescent="0.25">
      <c r="H11242">
        <v>131</v>
      </c>
      <c r="I11242">
        <v>760</v>
      </c>
      <c r="J11242">
        <v>108</v>
      </c>
      <c r="K11242" t="b">
        <v>1</v>
      </c>
    </row>
    <row r="11243" spans="8:11" x14ac:dyDescent="0.25">
      <c r="H11243">
        <v>131</v>
      </c>
      <c r="I11243">
        <v>768</v>
      </c>
      <c r="J11243">
        <v>108</v>
      </c>
      <c r="K11243" t="b">
        <v>1</v>
      </c>
    </row>
    <row r="11244" spans="8:11" x14ac:dyDescent="0.25">
      <c r="H11244">
        <v>131</v>
      </c>
      <c r="I11244">
        <v>776</v>
      </c>
      <c r="J11244">
        <v>108</v>
      </c>
      <c r="K11244" t="b">
        <v>1</v>
      </c>
    </row>
    <row r="11245" spans="8:11" x14ac:dyDescent="0.25">
      <c r="H11245">
        <v>131</v>
      </c>
      <c r="I11245">
        <v>784</v>
      </c>
      <c r="J11245">
        <v>108</v>
      </c>
      <c r="K11245" t="b">
        <v>1</v>
      </c>
    </row>
    <row r="11246" spans="8:11" x14ac:dyDescent="0.25">
      <c r="H11246">
        <v>131</v>
      </c>
      <c r="I11246">
        <v>792</v>
      </c>
      <c r="J11246">
        <v>108</v>
      </c>
      <c r="K11246" t="b">
        <v>1</v>
      </c>
    </row>
    <row r="11247" spans="8:11" x14ac:dyDescent="0.25">
      <c r="H11247">
        <v>131</v>
      </c>
      <c r="I11247">
        <v>800</v>
      </c>
      <c r="J11247">
        <v>108</v>
      </c>
      <c r="K11247" t="b">
        <v>1</v>
      </c>
    </row>
    <row r="11248" spans="8:11" x14ac:dyDescent="0.25">
      <c r="H11248">
        <v>131</v>
      </c>
      <c r="I11248">
        <v>808</v>
      </c>
      <c r="J11248">
        <v>108</v>
      </c>
      <c r="K11248" t="b">
        <v>1</v>
      </c>
    </row>
    <row r="11249" spans="8:11" x14ac:dyDescent="0.25">
      <c r="H11249">
        <v>131</v>
      </c>
      <c r="I11249">
        <v>816</v>
      </c>
      <c r="J11249">
        <v>108</v>
      </c>
      <c r="K11249" t="b">
        <v>1</v>
      </c>
    </row>
    <row r="11250" spans="8:11" x14ac:dyDescent="0.25">
      <c r="H11250">
        <v>131</v>
      </c>
      <c r="I11250">
        <v>824</v>
      </c>
      <c r="J11250">
        <v>108</v>
      </c>
      <c r="K11250" t="b">
        <v>1</v>
      </c>
    </row>
    <row r="11251" spans="8:11" x14ac:dyDescent="0.25">
      <c r="H11251">
        <v>131</v>
      </c>
      <c r="I11251">
        <v>832</v>
      </c>
      <c r="J11251">
        <v>108</v>
      </c>
      <c r="K11251" t="b">
        <v>1</v>
      </c>
    </row>
    <row r="11252" spans="8:11" x14ac:dyDescent="0.25">
      <c r="H11252">
        <v>131</v>
      </c>
      <c r="I11252">
        <v>840</v>
      </c>
      <c r="J11252">
        <v>108</v>
      </c>
      <c r="K11252" t="b">
        <v>1</v>
      </c>
    </row>
    <row r="11253" spans="8:11" x14ac:dyDescent="0.25">
      <c r="H11253">
        <v>131</v>
      </c>
      <c r="I11253">
        <v>848</v>
      </c>
      <c r="J11253">
        <v>108</v>
      </c>
      <c r="K11253" t="b">
        <v>1</v>
      </c>
    </row>
    <row r="11254" spans="8:11" x14ac:dyDescent="0.25">
      <c r="H11254">
        <v>131</v>
      </c>
      <c r="I11254">
        <v>856</v>
      </c>
      <c r="J11254">
        <v>108</v>
      </c>
      <c r="K11254" t="b">
        <v>1</v>
      </c>
    </row>
    <row r="11255" spans="8:11" x14ac:dyDescent="0.25">
      <c r="H11255">
        <v>131</v>
      </c>
      <c r="I11255">
        <v>864</v>
      </c>
      <c r="J11255">
        <v>108</v>
      </c>
      <c r="K11255" t="b">
        <v>1</v>
      </c>
    </row>
    <row r="11256" spans="8:11" x14ac:dyDescent="0.25">
      <c r="H11256">
        <v>131</v>
      </c>
      <c r="I11256">
        <v>872</v>
      </c>
      <c r="J11256">
        <v>108</v>
      </c>
      <c r="K11256" t="b">
        <v>1</v>
      </c>
    </row>
    <row r="11257" spans="8:11" x14ac:dyDescent="0.25">
      <c r="H11257">
        <v>131</v>
      </c>
      <c r="I11257">
        <v>880</v>
      </c>
      <c r="J11257">
        <v>108</v>
      </c>
      <c r="K11257" t="b">
        <v>1</v>
      </c>
    </row>
    <row r="11258" spans="8:11" x14ac:dyDescent="0.25">
      <c r="H11258">
        <v>131</v>
      </c>
      <c r="I11258">
        <v>888</v>
      </c>
      <c r="J11258">
        <v>108</v>
      </c>
      <c r="K11258" t="b">
        <v>1</v>
      </c>
    </row>
    <row r="11259" spans="8:11" x14ac:dyDescent="0.25">
      <c r="H11259">
        <v>131</v>
      </c>
      <c r="I11259">
        <v>896</v>
      </c>
      <c r="J11259">
        <v>108</v>
      </c>
      <c r="K11259" t="b">
        <v>1</v>
      </c>
    </row>
    <row r="11260" spans="8:11" x14ac:dyDescent="0.25">
      <c r="H11260">
        <v>131</v>
      </c>
      <c r="I11260">
        <v>904</v>
      </c>
      <c r="J11260">
        <v>108</v>
      </c>
      <c r="K11260" t="b">
        <v>1</v>
      </c>
    </row>
    <row r="11261" spans="8:11" x14ac:dyDescent="0.25">
      <c r="H11261">
        <v>131</v>
      </c>
      <c r="I11261">
        <v>912</v>
      </c>
      <c r="J11261">
        <v>108</v>
      </c>
      <c r="K11261" t="b">
        <v>1</v>
      </c>
    </row>
    <row r="11262" spans="8:11" x14ac:dyDescent="0.25">
      <c r="H11262">
        <v>131</v>
      </c>
      <c r="I11262">
        <v>920</v>
      </c>
      <c r="J11262">
        <v>108</v>
      </c>
      <c r="K11262" t="b">
        <v>1</v>
      </c>
    </row>
    <row r="11263" spans="8:11" x14ac:dyDescent="0.25">
      <c r="H11263">
        <v>131</v>
      </c>
      <c r="I11263">
        <v>928</v>
      </c>
      <c r="J11263">
        <v>108</v>
      </c>
      <c r="K11263" t="b">
        <v>1</v>
      </c>
    </row>
    <row r="11264" spans="8:11" x14ac:dyDescent="0.25">
      <c r="H11264">
        <v>131</v>
      </c>
      <c r="I11264">
        <v>936</v>
      </c>
      <c r="J11264">
        <v>108</v>
      </c>
      <c r="K11264" t="b">
        <v>1</v>
      </c>
    </row>
    <row r="11265" spans="8:11" x14ac:dyDescent="0.25">
      <c r="H11265">
        <v>131</v>
      </c>
      <c r="I11265">
        <v>944</v>
      </c>
      <c r="J11265">
        <v>108</v>
      </c>
      <c r="K11265" t="b">
        <v>1</v>
      </c>
    </row>
    <row r="11266" spans="8:11" x14ac:dyDescent="0.25">
      <c r="H11266">
        <v>131</v>
      </c>
      <c r="I11266">
        <v>952</v>
      </c>
      <c r="J11266">
        <v>108</v>
      </c>
      <c r="K11266" t="b">
        <v>1</v>
      </c>
    </row>
    <row r="11267" spans="8:11" x14ac:dyDescent="0.25">
      <c r="H11267">
        <v>132</v>
      </c>
      <c r="I11267">
        <v>0</v>
      </c>
      <c r="J11267">
        <v>108</v>
      </c>
      <c r="K11267" t="b">
        <v>1</v>
      </c>
    </row>
    <row r="11268" spans="8:11" x14ac:dyDescent="0.25">
      <c r="H11268">
        <v>132</v>
      </c>
      <c r="I11268">
        <v>8</v>
      </c>
      <c r="J11268">
        <v>108</v>
      </c>
      <c r="K11268" t="b">
        <v>1</v>
      </c>
    </row>
    <row r="11269" spans="8:11" x14ac:dyDescent="0.25">
      <c r="H11269">
        <v>132</v>
      </c>
      <c r="I11269">
        <v>16</v>
      </c>
      <c r="J11269">
        <v>108</v>
      </c>
      <c r="K11269" t="b">
        <v>1</v>
      </c>
    </row>
    <row r="11270" spans="8:11" x14ac:dyDescent="0.25">
      <c r="H11270">
        <v>132</v>
      </c>
      <c r="I11270">
        <v>24</v>
      </c>
      <c r="J11270">
        <v>108</v>
      </c>
      <c r="K11270" t="b">
        <v>1</v>
      </c>
    </row>
    <row r="11271" spans="8:11" x14ac:dyDescent="0.25">
      <c r="H11271">
        <v>132</v>
      </c>
      <c r="I11271">
        <v>32</v>
      </c>
      <c r="J11271">
        <v>108</v>
      </c>
      <c r="K11271" t="b">
        <v>1</v>
      </c>
    </row>
    <row r="11272" spans="8:11" x14ac:dyDescent="0.25">
      <c r="H11272">
        <v>132</v>
      </c>
      <c r="I11272">
        <v>40</v>
      </c>
      <c r="J11272">
        <v>108</v>
      </c>
      <c r="K11272" t="b">
        <v>1</v>
      </c>
    </row>
    <row r="11273" spans="8:11" x14ac:dyDescent="0.25">
      <c r="H11273">
        <v>132</v>
      </c>
      <c r="I11273">
        <v>48</v>
      </c>
      <c r="J11273">
        <v>108</v>
      </c>
      <c r="K11273" t="b">
        <v>1</v>
      </c>
    </row>
    <row r="11274" spans="8:11" x14ac:dyDescent="0.25">
      <c r="H11274">
        <v>132</v>
      </c>
      <c r="I11274">
        <v>56</v>
      </c>
      <c r="J11274">
        <v>108</v>
      </c>
      <c r="K11274" t="b">
        <v>1</v>
      </c>
    </row>
    <row r="11275" spans="8:11" x14ac:dyDescent="0.25">
      <c r="H11275">
        <v>132</v>
      </c>
      <c r="I11275">
        <v>64</v>
      </c>
      <c r="J11275">
        <v>108</v>
      </c>
      <c r="K11275" t="b">
        <v>1</v>
      </c>
    </row>
    <row r="11276" spans="8:11" x14ac:dyDescent="0.25">
      <c r="H11276">
        <v>132</v>
      </c>
      <c r="I11276">
        <v>72</v>
      </c>
      <c r="J11276">
        <v>108</v>
      </c>
      <c r="K11276" t="b">
        <v>1</v>
      </c>
    </row>
    <row r="11277" spans="8:11" x14ac:dyDescent="0.25">
      <c r="H11277">
        <v>132</v>
      </c>
      <c r="I11277">
        <v>80</v>
      </c>
      <c r="J11277">
        <v>108</v>
      </c>
      <c r="K11277" t="b">
        <v>1</v>
      </c>
    </row>
    <row r="11278" spans="8:11" x14ac:dyDescent="0.25">
      <c r="H11278">
        <v>132</v>
      </c>
      <c r="I11278">
        <v>88</v>
      </c>
      <c r="J11278">
        <v>108</v>
      </c>
      <c r="K11278" t="b">
        <v>1</v>
      </c>
    </row>
    <row r="11279" spans="8:11" x14ac:dyDescent="0.25">
      <c r="H11279">
        <v>132</v>
      </c>
      <c r="I11279">
        <v>96</v>
      </c>
      <c r="J11279">
        <v>108</v>
      </c>
      <c r="K11279" t="b">
        <v>1</v>
      </c>
    </row>
    <row r="11280" spans="8:11" x14ac:dyDescent="0.25">
      <c r="H11280">
        <v>132</v>
      </c>
      <c r="I11280">
        <v>104</v>
      </c>
      <c r="J11280">
        <v>108</v>
      </c>
      <c r="K11280" t="b">
        <v>1</v>
      </c>
    </row>
    <row r="11281" spans="8:11" x14ac:dyDescent="0.25">
      <c r="H11281">
        <v>132</v>
      </c>
      <c r="I11281">
        <v>112</v>
      </c>
      <c r="J11281">
        <v>108</v>
      </c>
      <c r="K11281" t="b">
        <v>1</v>
      </c>
    </row>
    <row r="11282" spans="8:11" x14ac:dyDescent="0.25">
      <c r="H11282">
        <v>132</v>
      </c>
      <c r="I11282">
        <v>120</v>
      </c>
      <c r="J11282">
        <v>108</v>
      </c>
      <c r="K11282" t="b">
        <v>1</v>
      </c>
    </row>
    <row r="11283" spans="8:11" x14ac:dyDescent="0.25">
      <c r="H11283">
        <v>132</v>
      </c>
      <c r="I11283">
        <v>128</v>
      </c>
      <c r="J11283">
        <v>108</v>
      </c>
      <c r="K11283" t="b">
        <v>1</v>
      </c>
    </row>
    <row r="11284" spans="8:11" x14ac:dyDescent="0.25">
      <c r="H11284">
        <v>132</v>
      </c>
      <c r="I11284">
        <v>136</v>
      </c>
      <c r="J11284">
        <v>108</v>
      </c>
      <c r="K11284" t="b">
        <v>1</v>
      </c>
    </row>
    <row r="11285" spans="8:11" x14ac:dyDescent="0.25">
      <c r="H11285">
        <v>132</v>
      </c>
      <c r="I11285">
        <v>144</v>
      </c>
      <c r="J11285">
        <v>108</v>
      </c>
      <c r="K11285" t="b">
        <v>1</v>
      </c>
    </row>
    <row r="11286" spans="8:11" x14ac:dyDescent="0.25">
      <c r="H11286">
        <v>132</v>
      </c>
      <c r="I11286">
        <v>152</v>
      </c>
      <c r="J11286">
        <v>108</v>
      </c>
      <c r="K11286" t="b">
        <v>1</v>
      </c>
    </row>
    <row r="11287" spans="8:11" x14ac:dyDescent="0.25">
      <c r="H11287">
        <v>132</v>
      </c>
      <c r="I11287">
        <v>160</v>
      </c>
      <c r="J11287">
        <v>108</v>
      </c>
      <c r="K11287" t="b">
        <v>1</v>
      </c>
    </row>
    <row r="11288" spans="8:11" x14ac:dyDescent="0.25">
      <c r="H11288">
        <v>132</v>
      </c>
      <c r="I11288">
        <v>168</v>
      </c>
      <c r="J11288">
        <v>108</v>
      </c>
      <c r="K11288" t="b">
        <v>1</v>
      </c>
    </row>
    <row r="11289" spans="8:11" x14ac:dyDescent="0.25">
      <c r="H11289">
        <v>132</v>
      </c>
      <c r="I11289">
        <v>176</v>
      </c>
      <c r="J11289">
        <v>108</v>
      </c>
      <c r="K11289" t="b">
        <v>1</v>
      </c>
    </row>
    <row r="11290" spans="8:11" x14ac:dyDescent="0.25">
      <c r="H11290">
        <v>132</v>
      </c>
      <c r="I11290">
        <v>184</v>
      </c>
      <c r="J11290">
        <v>108</v>
      </c>
      <c r="K11290" t="b">
        <v>1</v>
      </c>
    </row>
    <row r="11291" spans="8:11" x14ac:dyDescent="0.25">
      <c r="H11291">
        <v>132</v>
      </c>
      <c r="I11291">
        <v>192</v>
      </c>
      <c r="J11291">
        <v>108</v>
      </c>
      <c r="K11291" t="b">
        <v>1</v>
      </c>
    </row>
    <row r="11292" spans="8:11" x14ac:dyDescent="0.25">
      <c r="H11292">
        <v>132</v>
      </c>
      <c r="I11292">
        <v>200</v>
      </c>
      <c r="J11292">
        <v>108</v>
      </c>
      <c r="K11292" t="b">
        <v>1</v>
      </c>
    </row>
    <row r="11293" spans="8:11" x14ac:dyDescent="0.25">
      <c r="H11293">
        <v>132</v>
      </c>
      <c r="I11293">
        <v>208</v>
      </c>
      <c r="J11293">
        <v>108</v>
      </c>
      <c r="K11293" t="b">
        <v>1</v>
      </c>
    </row>
    <row r="11294" spans="8:11" x14ac:dyDescent="0.25">
      <c r="H11294">
        <v>132</v>
      </c>
      <c r="I11294">
        <v>216</v>
      </c>
      <c r="J11294">
        <v>108</v>
      </c>
      <c r="K11294" t="b">
        <v>1</v>
      </c>
    </row>
    <row r="11295" spans="8:11" x14ac:dyDescent="0.25">
      <c r="H11295">
        <v>132</v>
      </c>
      <c r="I11295">
        <v>224</v>
      </c>
      <c r="J11295">
        <v>108</v>
      </c>
      <c r="K11295" t="b">
        <v>1</v>
      </c>
    </row>
    <row r="11296" spans="8:11" x14ac:dyDescent="0.25">
      <c r="H11296">
        <v>132</v>
      </c>
      <c r="I11296">
        <v>232</v>
      </c>
      <c r="J11296">
        <v>108</v>
      </c>
      <c r="K11296" t="b">
        <v>1</v>
      </c>
    </row>
    <row r="11297" spans="8:11" x14ac:dyDescent="0.25">
      <c r="H11297">
        <v>132</v>
      </c>
      <c r="I11297">
        <v>240</v>
      </c>
      <c r="J11297">
        <v>108</v>
      </c>
      <c r="K11297" t="b">
        <v>1</v>
      </c>
    </row>
    <row r="11298" spans="8:11" x14ac:dyDescent="0.25">
      <c r="H11298">
        <v>132</v>
      </c>
      <c r="I11298">
        <v>248</v>
      </c>
      <c r="J11298">
        <v>108</v>
      </c>
      <c r="K11298" t="b">
        <v>1</v>
      </c>
    </row>
    <row r="11299" spans="8:11" x14ac:dyDescent="0.25">
      <c r="H11299">
        <v>132</v>
      </c>
      <c r="I11299">
        <v>256</v>
      </c>
      <c r="J11299">
        <v>108</v>
      </c>
      <c r="K11299" t="b">
        <v>1</v>
      </c>
    </row>
    <row r="11300" spans="8:11" x14ac:dyDescent="0.25">
      <c r="H11300">
        <v>132</v>
      </c>
      <c r="I11300">
        <v>264</v>
      </c>
      <c r="J11300">
        <v>108</v>
      </c>
      <c r="K11300" t="b">
        <v>1</v>
      </c>
    </row>
    <row r="11301" spans="8:11" x14ac:dyDescent="0.25">
      <c r="H11301">
        <v>132</v>
      </c>
      <c r="I11301">
        <v>272</v>
      </c>
      <c r="J11301">
        <v>108</v>
      </c>
      <c r="K11301" t="b">
        <v>1</v>
      </c>
    </row>
    <row r="11302" spans="8:11" x14ac:dyDescent="0.25">
      <c r="H11302">
        <v>132</v>
      </c>
      <c r="I11302">
        <v>280</v>
      </c>
      <c r="J11302">
        <v>108</v>
      </c>
      <c r="K11302" t="b">
        <v>1</v>
      </c>
    </row>
    <row r="11303" spans="8:11" x14ac:dyDescent="0.25">
      <c r="H11303">
        <v>132</v>
      </c>
      <c r="I11303">
        <v>288</v>
      </c>
      <c r="J11303">
        <v>108</v>
      </c>
      <c r="K11303" t="b">
        <v>1</v>
      </c>
    </row>
    <row r="11304" spans="8:11" x14ac:dyDescent="0.25">
      <c r="H11304">
        <v>132</v>
      </c>
      <c r="I11304">
        <v>296</v>
      </c>
      <c r="J11304">
        <v>108</v>
      </c>
      <c r="K11304" t="b">
        <v>1</v>
      </c>
    </row>
    <row r="11305" spans="8:11" x14ac:dyDescent="0.25">
      <c r="H11305">
        <v>132</v>
      </c>
      <c r="I11305">
        <v>304</v>
      </c>
      <c r="J11305">
        <v>108</v>
      </c>
      <c r="K11305" t="b">
        <v>1</v>
      </c>
    </row>
    <row r="11306" spans="8:11" x14ac:dyDescent="0.25">
      <c r="H11306">
        <v>132</v>
      </c>
      <c r="I11306">
        <v>312</v>
      </c>
      <c r="J11306">
        <v>108</v>
      </c>
      <c r="K11306" t="b">
        <v>1</v>
      </c>
    </row>
    <row r="11307" spans="8:11" x14ac:dyDescent="0.25">
      <c r="H11307">
        <v>132</v>
      </c>
      <c r="I11307">
        <v>320</v>
      </c>
      <c r="J11307">
        <v>108</v>
      </c>
      <c r="K11307" t="b">
        <v>1</v>
      </c>
    </row>
    <row r="11308" spans="8:11" x14ac:dyDescent="0.25">
      <c r="H11308">
        <v>132</v>
      </c>
      <c r="I11308">
        <v>328</v>
      </c>
      <c r="J11308">
        <v>108</v>
      </c>
      <c r="K11308" t="b">
        <v>1</v>
      </c>
    </row>
    <row r="11309" spans="8:11" x14ac:dyDescent="0.25">
      <c r="H11309">
        <v>132</v>
      </c>
      <c r="I11309">
        <v>336</v>
      </c>
      <c r="J11309">
        <v>108</v>
      </c>
      <c r="K11309" t="b">
        <v>1</v>
      </c>
    </row>
    <row r="11310" spans="8:11" x14ac:dyDescent="0.25">
      <c r="H11310">
        <v>132</v>
      </c>
      <c r="I11310">
        <v>344</v>
      </c>
      <c r="J11310">
        <v>108</v>
      </c>
      <c r="K11310" t="b">
        <v>1</v>
      </c>
    </row>
    <row r="11311" spans="8:11" x14ac:dyDescent="0.25">
      <c r="H11311">
        <v>132</v>
      </c>
      <c r="I11311">
        <v>352</v>
      </c>
      <c r="J11311">
        <v>108</v>
      </c>
      <c r="K11311" t="b">
        <v>1</v>
      </c>
    </row>
    <row r="11312" spans="8:11" x14ac:dyDescent="0.25">
      <c r="H11312">
        <v>132</v>
      </c>
      <c r="I11312">
        <v>360</v>
      </c>
      <c r="J11312">
        <v>108</v>
      </c>
      <c r="K11312" t="b">
        <v>1</v>
      </c>
    </row>
    <row r="11313" spans="8:11" x14ac:dyDescent="0.25">
      <c r="H11313">
        <v>132</v>
      </c>
      <c r="I11313">
        <v>368</v>
      </c>
      <c r="J11313">
        <v>108</v>
      </c>
      <c r="K11313" t="b">
        <v>1</v>
      </c>
    </row>
    <row r="11314" spans="8:11" x14ac:dyDescent="0.25">
      <c r="H11314">
        <v>132</v>
      </c>
      <c r="I11314">
        <v>376</v>
      </c>
      <c r="J11314">
        <v>108</v>
      </c>
      <c r="K11314" t="b">
        <v>1</v>
      </c>
    </row>
    <row r="11315" spans="8:11" x14ac:dyDescent="0.25">
      <c r="H11315">
        <v>132</v>
      </c>
      <c r="I11315">
        <v>384</v>
      </c>
      <c r="J11315">
        <v>108</v>
      </c>
      <c r="K11315" t="b">
        <v>1</v>
      </c>
    </row>
    <row r="11316" spans="8:11" x14ac:dyDescent="0.25">
      <c r="H11316">
        <v>132</v>
      </c>
      <c r="I11316">
        <v>392</v>
      </c>
      <c r="J11316">
        <v>108</v>
      </c>
      <c r="K11316" t="b">
        <v>1</v>
      </c>
    </row>
    <row r="11317" spans="8:11" x14ac:dyDescent="0.25">
      <c r="H11317">
        <v>132</v>
      </c>
      <c r="I11317">
        <v>400</v>
      </c>
      <c r="J11317">
        <v>108</v>
      </c>
      <c r="K11317" t="b">
        <v>1</v>
      </c>
    </row>
    <row r="11318" spans="8:11" x14ac:dyDescent="0.25">
      <c r="H11318">
        <v>132</v>
      </c>
      <c r="I11318">
        <v>408</v>
      </c>
      <c r="J11318">
        <v>108</v>
      </c>
      <c r="K11318" t="b">
        <v>1</v>
      </c>
    </row>
    <row r="11319" spans="8:11" x14ac:dyDescent="0.25">
      <c r="H11319">
        <v>132</v>
      </c>
      <c r="I11319">
        <v>416</v>
      </c>
      <c r="J11319">
        <v>108</v>
      </c>
      <c r="K11319" t="b">
        <v>1</v>
      </c>
    </row>
    <row r="11320" spans="8:11" x14ac:dyDescent="0.25">
      <c r="H11320">
        <v>132</v>
      </c>
      <c r="I11320">
        <v>424</v>
      </c>
      <c r="J11320">
        <v>108</v>
      </c>
      <c r="K11320" t="b">
        <v>1</v>
      </c>
    </row>
    <row r="11321" spans="8:11" x14ac:dyDescent="0.25">
      <c r="H11321">
        <v>132</v>
      </c>
      <c r="I11321">
        <v>432</v>
      </c>
      <c r="J11321">
        <v>108</v>
      </c>
      <c r="K11321" t="b">
        <v>1</v>
      </c>
    </row>
    <row r="11322" spans="8:11" x14ac:dyDescent="0.25">
      <c r="H11322">
        <v>132</v>
      </c>
      <c r="I11322">
        <v>440</v>
      </c>
      <c r="J11322">
        <v>108</v>
      </c>
      <c r="K11322" t="b">
        <v>1</v>
      </c>
    </row>
    <row r="11323" spans="8:11" x14ac:dyDescent="0.25">
      <c r="H11323">
        <v>132</v>
      </c>
      <c r="I11323">
        <v>448</v>
      </c>
      <c r="J11323">
        <v>108</v>
      </c>
      <c r="K11323" t="b">
        <v>1</v>
      </c>
    </row>
    <row r="11324" spans="8:11" x14ac:dyDescent="0.25">
      <c r="H11324">
        <v>132</v>
      </c>
      <c r="I11324">
        <v>456</v>
      </c>
      <c r="J11324">
        <v>108</v>
      </c>
      <c r="K11324" t="b">
        <v>1</v>
      </c>
    </row>
    <row r="11325" spans="8:11" x14ac:dyDescent="0.25">
      <c r="H11325">
        <v>132</v>
      </c>
      <c r="I11325">
        <v>464</v>
      </c>
      <c r="J11325">
        <v>108</v>
      </c>
      <c r="K11325" t="b">
        <v>1</v>
      </c>
    </row>
    <row r="11326" spans="8:11" x14ac:dyDescent="0.25">
      <c r="H11326">
        <v>132</v>
      </c>
      <c r="I11326">
        <v>472</v>
      </c>
      <c r="J11326">
        <v>108</v>
      </c>
      <c r="K11326" t="b">
        <v>1</v>
      </c>
    </row>
    <row r="11327" spans="8:11" x14ac:dyDescent="0.25">
      <c r="H11327">
        <v>132</v>
      </c>
      <c r="I11327">
        <v>480</v>
      </c>
      <c r="J11327">
        <v>108</v>
      </c>
      <c r="K11327" t="b">
        <v>1</v>
      </c>
    </row>
    <row r="11328" spans="8:11" x14ac:dyDescent="0.25">
      <c r="H11328">
        <v>132</v>
      </c>
      <c r="I11328">
        <v>488</v>
      </c>
      <c r="J11328">
        <v>108</v>
      </c>
      <c r="K11328" t="b">
        <v>1</v>
      </c>
    </row>
    <row r="11329" spans="8:11" x14ac:dyDescent="0.25">
      <c r="H11329">
        <v>132</v>
      </c>
      <c r="I11329">
        <v>496</v>
      </c>
      <c r="J11329">
        <v>108</v>
      </c>
      <c r="K11329" t="b">
        <v>1</v>
      </c>
    </row>
    <row r="11330" spans="8:11" x14ac:dyDescent="0.25">
      <c r="H11330">
        <v>132</v>
      </c>
      <c r="I11330">
        <v>504</v>
      </c>
      <c r="J11330">
        <v>108</v>
      </c>
      <c r="K11330" t="b">
        <v>1</v>
      </c>
    </row>
    <row r="11331" spans="8:11" x14ac:dyDescent="0.25">
      <c r="H11331">
        <v>132</v>
      </c>
      <c r="I11331">
        <v>512</v>
      </c>
      <c r="J11331">
        <v>108</v>
      </c>
      <c r="K11331" t="b">
        <v>1</v>
      </c>
    </row>
    <row r="11332" spans="8:11" x14ac:dyDescent="0.25">
      <c r="H11332">
        <v>132</v>
      </c>
      <c r="I11332">
        <v>520</v>
      </c>
      <c r="J11332">
        <v>108</v>
      </c>
      <c r="K11332" t="b">
        <v>1</v>
      </c>
    </row>
    <row r="11333" spans="8:11" x14ac:dyDescent="0.25">
      <c r="H11333">
        <v>132</v>
      </c>
      <c r="I11333">
        <v>528</v>
      </c>
      <c r="J11333">
        <v>108</v>
      </c>
      <c r="K11333" t="b">
        <v>1</v>
      </c>
    </row>
    <row r="11334" spans="8:11" x14ac:dyDescent="0.25">
      <c r="H11334">
        <v>132</v>
      </c>
      <c r="I11334">
        <v>536</v>
      </c>
      <c r="J11334">
        <v>108</v>
      </c>
      <c r="K11334" t="b">
        <v>1</v>
      </c>
    </row>
    <row r="11335" spans="8:11" x14ac:dyDescent="0.25">
      <c r="H11335">
        <v>132</v>
      </c>
      <c r="I11335">
        <v>544</v>
      </c>
      <c r="J11335">
        <v>108</v>
      </c>
      <c r="K11335" t="b">
        <v>1</v>
      </c>
    </row>
    <row r="11336" spans="8:11" x14ac:dyDescent="0.25">
      <c r="H11336">
        <v>132</v>
      </c>
      <c r="I11336">
        <v>552</v>
      </c>
      <c r="J11336">
        <v>108</v>
      </c>
      <c r="K11336" t="b">
        <v>1</v>
      </c>
    </row>
    <row r="11337" spans="8:11" x14ac:dyDescent="0.25">
      <c r="H11337">
        <v>132</v>
      </c>
      <c r="I11337">
        <v>560</v>
      </c>
      <c r="J11337">
        <v>108</v>
      </c>
      <c r="K11337" t="b">
        <v>1</v>
      </c>
    </row>
    <row r="11338" spans="8:11" x14ac:dyDescent="0.25">
      <c r="H11338">
        <v>132</v>
      </c>
      <c r="I11338">
        <v>568</v>
      </c>
      <c r="J11338">
        <v>108</v>
      </c>
      <c r="K11338" t="b">
        <v>1</v>
      </c>
    </row>
    <row r="11339" spans="8:11" x14ac:dyDescent="0.25">
      <c r="H11339">
        <v>132</v>
      </c>
      <c r="I11339">
        <v>576</v>
      </c>
      <c r="J11339">
        <v>108</v>
      </c>
      <c r="K11339" t="b">
        <v>1</v>
      </c>
    </row>
    <row r="11340" spans="8:11" x14ac:dyDescent="0.25">
      <c r="H11340">
        <v>132</v>
      </c>
      <c r="I11340">
        <v>584</v>
      </c>
      <c r="J11340">
        <v>108</v>
      </c>
      <c r="K11340" t="b">
        <v>1</v>
      </c>
    </row>
    <row r="11341" spans="8:11" x14ac:dyDescent="0.25">
      <c r="H11341">
        <v>132</v>
      </c>
      <c r="I11341">
        <v>592</v>
      </c>
      <c r="J11341">
        <v>108</v>
      </c>
      <c r="K11341" t="b">
        <v>1</v>
      </c>
    </row>
    <row r="11342" spans="8:11" x14ac:dyDescent="0.25">
      <c r="H11342">
        <v>132</v>
      </c>
      <c r="I11342">
        <v>600</v>
      </c>
      <c r="J11342">
        <v>108</v>
      </c>
      <c r="K11342" t="b">
        <v>1</v>
      </c>
    </row>
    <row r="11343" spans="8:11" x14ac:dyDescent="0.25">
      <c r="H11343">
        <v>132</v>
      </c>
      <c r="I11343">
        <v>608</v>
      </c>
      <c r="J11343">
        <v>108</v>
      </c>
      <c r="K11343" t="b">
        <v>1</v>
      </c>
    </row>
    <row r="11344" spans="8:11" x14ac:dyDescent="0.25">
      <c r="H11344">
        <v>132</v>
      </c>
      <c r="I11344">
        <v>616</v>
      </c>
      <c r="J11344">
        <v>108</v>
      </c>
      <c r="K11344" t="b">
        <v>1</v>
      </c>
    </row>
    <row r="11345" spans="8:11" x14ac:dyDescent="0.25">
      <c r="H11345">
        <v>132</v>
      </c>
      <c r="I11345">
        <v>624</v>
      </c>
      <c r="J11345">
        <v>108</v>
      </c>
      <c r="K11345" t="b">
        <v>1</v>
      </c>
    </row>
    <row r="11346" spans="8:11" x14ac:dyDescent="0.25">
      <c r="H11346">
        <v>132</v>
      </c>
      <c r="I11346">
        <v>632</v>
      </c>
      <c r="J11346">
        <v>108</v>
      </c>
      <c r="K11346" t="b">
        <v>1</v>
      </c>
    </row>
    <row r="11347" spans="8:11" x14ac:dyDescent="0.25">
      <c r="H11347">
        <v>132</v>
      </c>
      <c r="I11347">
        <v>640</v>
      </c>
      <c r="J11347">
        <v>108</v>
      </c>
      <c r="K11347" t="b">
        <v>1</v>
      </c>
    </row>
    <row r="11348" spans="8:11" x14ac:dyDescent="0.25">
      <c r="H11348">
        <v>132</v>
      </c>
      <c r="I11348">
        <v>648</v>
      </c>
      <c r="J11348">
        <v>108</v>
      </c>
      <c r="K11348" t="b">
        <v>1</v>
      </c>
    </row>
    <row r="11349" spans="8:11" x14ac:dyDescent="0.25">
      <c r="H11349">
        <v>132</v>
      </c>
      <c r="I11349">
        <v>656</v>
      </c>
      <c r="J11349">
        <v>108</v>
      </c>
      <c r="K11349" t="b">
        <v>1</v>
      </c>
    </row>
    <row r="11350" spans="8:11" x14ac:dyDescent="0.25">
      <c r="H11350">
        <v>132</v>
      </c>
      <c r="I11350">
        <v>664</v>
      </c>
      <c r="J11350">
        <v>108</v>
      </c>
      <c r="K11350" t="b">
        <v>1</v>
      </c>
    </row>
    <row r="11351" spans="8:11" x14ac:dyDescent="0.25">
      <c r="H11351">
        <v>132</v>
      </c>
      <c r="I11351">
        <v>672</v>
      </c>
      <c r="J11351">
        <v>108</v>
      </c>
      <c r="K11351" t="b">
        <v>1</v>
      </c>
    </row>
    <row r="11352" spans="8:11" x14ac:dyDescent="0.25">
      <c r="H11352">
        <v>132</v>
      </c>
      <c r="I11352">
        <v>680</v>
      </c>
      <c r="J11352">
        <v>108</v>
      </c>
      <c r="K11352" t="b">
        <v>1</v>
      </c>
    </row>
    <row r="11353" spans="8:11" x14ac:dyDescent="0.25">
      <c r="H11353">
        <v>132</v>
      </c>
      <c r="I11353">
        <v>688</v>
      </c>
      <c r="J11353">
        <v>108</v>
      </c>
      <c r="K11353" t="b">
        <v>1</v>
      </c>
    </row>
    <row r="11354" spans="8:11" x14ac:dyDescent="0.25">
      <c r="H11354">
        <v>132</v>
      </c>
      <c r="I11354">
        <v>696</v>
      </c>
      <c r="J11354">
        <v>108</v>
      </c>
      <c r="K11354" t="b">
        <v>1</v>
      </c>
    </row>
    <row r="11355" spans="8:11" x14ac:dyDescent="0.25">
      <c r="H11355">
        <v>132</v>
      </c>
      <c r="I11355">
        <v>704</v>
      </c>
      <c r="J11355">
        <v>108</v>
      </c>
      <c r="K11355" t="b">
        <v>1</v>
      </c>
    </row>
    <row r="11356" spans="8:11" x14ac:dyDescent="0.25">
      <c r="H11356">
        <v>132</v>
      </c>
      <c r="I11356">
        <v>712</v>
      </c>
      <c r="J11356">
        <v>108</v>
      </c>
      <c r="K11356" t="b">
        <v>1</v>
      </c>
    </row>
    <row r="11357" spans="8:11" x14ac:dyDescent="0.25">
      <c r="H11357">
        <v>132</v>
      </c>
      <c r="I11357">
        <v>720</v>
      </c>
      <c r="J11357">
        <v>108</v>
      </c>
      <c r="K11357" t="b">
        <v>1</v>
      </c>
    </row>
    <row r="11358" spans="8:11" x14ac:dyDescent="0.25">
      <c r="H11358">
        <v>132</v>
      </c>
      <c r="I11358">
        <v>728</v>
      </c>
      <c r="J11358">
        <v>108</v>
      </c>
      <c r="K11358" t="b">
        <v>1</v>
      </c>
    </row>
    <row r="11359" spans="8:11" x14ac:dyDescent="0.25">
      <c r="H11359">
        <v>132</v>
      </c>
      <c r="I11359">
        <v>736</v>
      </c>
      <c r="J11359">
        <v>108</v>
      </c>
      <c r="K11359" t="b">
        <v>1</v>
      </c>
    </row>
    <row r="11360" spans="8:11" x14ac:dyDescent="0.25">
      <c r="H11360">
        <v>132</v>
      </c>
      <c r="I11360">
        <v>744</v>
      </c>
      <c r="J11360">
        <v>108</v>
      </c>
      <c r="K11360" t="b">
        <v>1</v>
      </c>
    </row>
    <row r="11361" spans="8:11" x14ac:dyDescent="0.25">
      <c r="H11361">
        <v>132</v>
      </c>
      <c r="I11361">
        <v>752</v>
      </c>
      <c r="J11361">
        <v>108</v>
      </c>
      <c r="K11361" t="b">
        <v>1</v>
      </c>
    </row>
    <row r="11362" spans="8:11" x14ac:dyDescent="0.25">
      <c r="H11362">
        <v>132</v>
      </c>
      <c r="I11362">
        <v>760</v>
      </c>
      <c r="J11362">
        <v>108</v>
      </c>
      <c r="K11362" t="b">
        <v>1</v>
      </c>
    </row>
    <row r="11363" spans="8:11" x14ac:dyDescent="0.25">
      <c r="H11363">
        <v>132</v>
      </c>
      <c r="I11363">
        <v>768</v>
      </c>
      <c r="J11363">
        <v>108</v>
      </c>
      <c r="K11363" t="b">
        <v>1</v>
      </c>
    </row>
    <row r="11364" spans="8:11" x14ac:dyDescent="0.25">
      <c r="H11364">
        <v>132</v>
      </c>
      <c r="I11364">
        <v>776</v>
      </c>
      <c r="J11364">
        <v>108</v>
      </c>
      <c r="K11364" t="b">
        <v>1</v>
      </c>
    </row>
    <row r="11365" spans="8:11" x14ac:dyDescent="0.25">
      <c r="H11365">
        <v>132</v>
      </c>
      <c r="I11365">
        <v>784</v>
      </c>
      <c r="J11365">
        <v>108</v>
      </c>
      <c r="K11365" t="b">
        <v>1</v>
      </c>
    </row>
    <row r="11366" spans="8:11" x14ac:dyDescent="0.25">
      <c r="H11366">
        <v>132</v>
      </c>
      <c r="I11366">
        <v>792</v>
      </c>
      <c r="J11366">
        <v>108</v>
      </c>
      <c r="K11366" t="b">
        <v>1</v>
      </c>
    </row>
    <row r="11367" spans="8:11" x14ac:dyDescent="0.25">
      <c r="H11367">
        <v>132</v>
      </c>
      <c r="I11367">
        <v>800</v>
      </c>
      <c r="J11367">
        <v>108</v>
      </c>
      <c r="K11367" t="b">
        <v>1</v>
      </c>
    </row>
    <row r="11368" spans="8:11" x14ac:dyDescent="0.25">
      <c r="H11368">
        <v>132</v>
      </c>
      <c r="I11368">
        <v>808</v>
      </c>
      <c r="J11368">
        <v>108</v>
      </c>
      <c r="K11368" t="b">
        <v>1</v>
      </c>
    </row>
    <row r="11369" spans="8:11" x14ac:dyDescent="0.25">
      <c r="H11369">
        <v>132</v>
      </c>
      <c r="I11369">
        <v>816</v>
      </c>
      <c r="J11369">
        <v>108</v>
      </c>
      <c r="K11369" t="b">
        <v>1</v>
      </c>
    </row>
    <row r="11370" spans="8:11" x14ac:dyDescent="0.25">
      <c r="H11370">
        <v>132</v>
      </c>
      <c r="I11370">
        <v>824</v>
      </c>
      <c r="J11370">
        <v>108</v>
      </c>
      <c r="K11370" t="b">
        <v>1</v>
      </c>
    </row>
    <row r="11371" spans="8:11" x14ac:dyDescent="0.25">
      <c r="H11371">
        <v>132</v>
      </c>
      <c r="I11371">
        <v>832</v>
      </c>
      <c r="J11371">
        <v>108</v>
      </c>
      <c r="K11371" t="b">
        <v>1</v>
      </c>
    </row>
    <row r="11372" spans="8:11" x14ac:dyDescent="0.25">
      <c r="H11372">
        <v>132</v>
      </c>
      <c r="I11372">
        <v>840</v>
      </c>
      <c r="J11372">
        <v>108</v>
      </c>
      <c r="K11372" t="b">
        <v>1</v>
      </c>
    </row>
    <row r="11373" spans="8:11" x14ac:dyDescent="0.25">
      <c r="H11373">
        <v>132</v>
      </c>
      <c r="I11373">
        <v>848</v>
      </c>
      <c r="J11373">
        <v>108</v>
      </c>
      <c r="K11373" t="b">
        <v>1</v>
      </c>
    </row>
    <row r="11374" spans="8:11" x14ac:dyDescent="0.25">
      <c r="H11374">
        <v>132</v>
      </c>
      <c r="I11374">
        <v>856</v>
      </c>
      <c r="J11374">
        <v>108</v>
      </c>
      <c r="K11374" t="b">
        <v>1</v>
      </c>
    </row>
    <row r="11375" spans="8:11" x14ac:dyDescent="0.25">
      <c r="H11375">
        <v>132</v>
      </c>
      <c r="I11375">
        <v>864</v>
      </c>
      <c r="J11375">
        <v>108</v>
      </c>
      <c r="K11375" t="b">
        <v>1</v>
      </c>
    </row>
    <row r="11376" spans="8:11" x14ac:dyDescent="0.25">
      <c r="H11376">
        <v>132</v>
      </c>
      <c r="I11376">
        <v>872</v>
      </c>
      <c r="J11376">
        <v>108</v>
      </c>
      <c r="K11376" t="b">
        <v>1</v>
      </c>
    </row>
    <row r="11377" spans="8:11" x14ac:dyDescent="0.25">
      <c r="H11377">
        <v>132</v>
      </c>
      <c r="I11377">
        <v>880</v>
      </c>
      <c r="J11377">
        <v>108</v>
      </c>
      <c r="K11377" t="b">
        <v>1</v>
      </c>
    </row>
    <row r="11378" spans="8:11" x14ac:dyDescent="0.25">
      <c r="H11378">
        <v>132</v>
      </c>
      <c r="I11378">
        <v>888</v>
      </c>
      <c r="J11378">
        <v>108</v>
      </c>
      <c r="K11378" t="b">
        <v>1</v>
      </c>
    </row>
    <row r="11379" spans="8:11" x14ac:dyDescent="0.25">
      <c r="H11379">
        <v>132</v>
      </c>
      <c r="I11379">
        <v>896</v>
      </c>
      <c r="J11379">
        <v>108</v>
      </c>
      <c r="K11379" t="b">
        <v>1</v>
      </c>
    </row>
    <row r="11380" spans="8:11" x14ac:dyDescent="0.25">
      <c r="H11380">
        <v>132</v>
      </c>
      <c r="I11380">
        <v>904</v>
      </c>
      <c r="J11380">
        <v>108</v>
      </c>
      <c r="K11380" t="b">
        <v>1</v>
      </c>
    </row>
    <row r="11381" spans="8:11" x14ac:dyDescent="0.25">
      <c r="H11381">
        <v>132</v>
      </c>
      <c r="I11381">
        <v>912</v>
      </c>
      <c r="J11381">
        <v>108</v>
      </c>
      <c r="K11381" t="b">
        <v>1</v>
      </c>
    </row>
    <row r="11382" spans="8:11" x14ac:dyDescent="0.25">
      <c r="H11382">
        <v>132</v>
      </c>
      <c r="I11382">
        <v>920</v>
      </c>
      <c r="J11382">
        <v>108</v>
      </c>
      <c r="K11382" t="b">
        <v>1</v>
      </c>
    </row>
    <row r="11383" spans="8:11" x14ac:dyDescent="0.25">
      <c r="H11383">
        <v>132</v>
      </c>
      <c r="I11383">
        <v>928</v>
      </c>
      <c r="J11383">
        <v>108</v>
      </c>
      <c r="K11383" t="b">
        <v>1</v>
      </c>
    </row>
    <row r="11384" spans="8:11" x14ac:dyDescent="0.25">
      <c r="H11384">
        <v>132</v>
      </c>
      <c r="I11384">
        <v>936</v>
      </c>
      <c r="J11384">
        <v>108</v>
      </c>
      <c r="K11384" t="b">
        <v>1</v>
      </c>
    </row>
    <row r="11385" spans="8:11" x14ac:dyDescent="0.25">
      <c r="H11385">
        <v>132</v>
      </c>
      <c r="I11385">
        <v>944</v>
      </c>
      <c r="J11385">
        <v>108</v>
      </c>
      <c r="K11385" t="b">
        <v>1</v>
      </c>
    </row>
    <row r="11386" spans="8:11" x14ac:dyDescent="0.25">
      <c r="H11386">
        <v>132</v>
      </c>
      <c r="I11386">
        <v>952</v>
      </c>
      <c r="J11386">
        <v>108</v>
      </c>
      <c r="K11386" t="b">
        <v>1</v>
      </c>
    </row>
    <row r="11387" spans="8:11" x14ac:dyDescent="0.25">
      <c r="H11387">
        <v>133</v>
      </c>
      <c r="I11387">
        <v>0</v>
      </c>
      <c r="J11387">
        <v>39</v>
      </c>
      <c r="K11387" t="b">
        <v>1</v>
      </c>
    </row>
    <row r="11388" spans="8:11" x14ac:dyDescent="0.25">
      <c r="H11388">
        <v>133</v>
      </c>
      <c r="I11388">
        <v>4</v>
      </c>
      <c r="J11388">
        <v>39</v>
      </c>
      <c r="K11388" t="b">
        <v>1</v>
      </c>
    </row>
    <row r="11389" spans="8:11" x14ac:dyDescent="0.25">
      <c r="H11389">
        <v>133</v>
      </c>
      <c r="I11389">
        <v>8</v>
      </c>
      <c r="J11389">
        <v>39</v>
      </c>
      <c r="K11389" t="b">
        <v>1</v>
      </c>
    </row>
    <row r="11390" spans="8:11" x14ac:dyDescent="0.25">
      <c r="H11390">
        <v>133</v>
      </c>
      <c r="I11390">
        <v>12</v>
      </c>
      <c r="J11390">
        <v>39</v>
      </c>
      <c r="K11390" t="b">
        <v>1</v>
      </c>
    </row>
    <row r="11391" spans="8:11" x14ac:dyDescent="0.25">
      <c r="H11391">
        <v>133</v>
      </c>
      <c r="I11391">
        <v>16</v>
      </c>
      <c r="J11391">
        <v>39</v>
      </c>
      <c r="K11391" t="b">
        <v>1</v>
      </c>
    </row>
    <row r="11392" spans="8:11" x14ac:dyDescent="0.25">
      <c r="H11392">
        <v>133</v>
      </c>
      <c r="I11392">
        <v>20</v>
      </c>
      <c r="J11392">
        <v>39</v>
      </c>
      <c r="K11392" t="b">
        <v>1</v>
      </c>
    </row>
    <row r="11393" spans="8:11" x14ac:dyDescent="0.25">
      <c r="H11393">
        <v>133</v>
      </c>
      <c r="I11393">
        <v>24</v>
      </c>
      <c r="J11393">
        <v>39</v>
      </c>
      <c r="K11393" t="b">
        <v>1</v>
      </c>
    </row>
    <row r="11394" spans="8:11" x14ac:dyDescent="0.25">
      <c r="H11394">
        <v>133</v>
      </c>
      <c r="I11394">
        <v>28</v>
      </c>
      <c r="J11394">
        <v>39</v>
      </c>
      <c r="K11394" t="b">
        <v>1</v>
      </c>
    </row>
    <row r="11395" spans="8:11" x14ac:dyDescent="0.25">
      <c r="H11395">
        <v>133</v>
      </c>
      <c r="I11395">
        <v>32</v>
      </c>
      <c r="J11395">
        <v>39</v>
      </c>
      <c r="K11395" t="b">
        <v>1</v>
      </c>
    </row>
    <row r="11396" spans="8:11" x14ac:dyDescent="0.25">
      <c r="H11396">
        <v>133</v>
      </c>
      <c r="I11396">
        <v>36</v>
      </c>
      <c r="J11396">
        <v>39</v>
      </c>
      <c r="K11396" t="b">
        <v>1</v>
      </c>
    </row>
    <row r="11397" spans="8:11" x14ac:dyDescent="0.25">
      <c r="H11397">
        <v>133</v>
      </c>
      <c r="I11397">
        <v>40</v>
      </c>
      <c r="J11397">
        <v>39</v>
      </c>
      <c r="K11397" t="b">
        <v>1</v>
      </c>
    </row>
    <row r="11398" spans="8:11" x14ac:dyDescent="0.25">
      <c r="H11398">
        <v>133</v>
      </c>
      <c r="I11398">
        <v>44</v>
      </c>
      <c r="J11398">
        <v>39</v>
      </c>
      <c r="K11398" t="b">
        <v>1</v>
      </c>
    </row>
    <row r="11399" spans="8:11" x14ac:dyDescent="0.25">
      <c r="H11399">
        <v>133</v>
      </c>
      <c r="I11399">
        <v>48</v>
      </c>
      <c r="J11399">
        <v>39</v>
      </c>
      <c r="K11399" t="b">
        <v>1</v>
      </c>
    </row>
    <row r="11400" spans="8:11" x14ac:dyDescent="0.25">
      <c r="H11400">
        <v>133</v>
      </c>
      <c r="I11400">
        <v>52</v>
      </c>
      <c r="J11400">
        <v>39</v>
      </c>
      <c r="K11400" t="b">
        <v>1</v>
      </c>
    </row>
    <row r="11401" spans="8:11" x14ac:dyDescent="0.25">
      <c r="H11401">
        <v>133</v>
      </c>
      <c r="I11401">
        <v>56</v>
      </c>
      <c r="J11401">
        <v>39</v>
      </c>
      <c r="K11401" t="b">
        <v>1</v>
      </c>
    </row>
    <row r="11402" spans="8:11" x14ac:dyDescent="0.25">
      <c r="H11402">
        <v>133</v>
      </c>
      <c r="I11402">
        <v>60</v>
      </c>
      <c r="J11402">
        <v>39</v>
      </c>
      <c r="K11402" t="b">
        <v>1</v>
      </c>
    </row>
    <row r="11403" spans="8:11" x14ac:dyDescent="0.25">
      <c r="H11403">
        <v>133</v>
      </c>
      <c r="I11403">
        <v>64</v>
      </c>
      <c r="J11403">
        <v>39</v>
      </c>
      <c r="K11403" t="b">
        <v>1</v>
      </c>
    </row>
    <row r="11404" spans="8:11" x14ac:dyDescent="0.25">
      <c r="H11404">
        <v>133</v>
      </c>
      <c r="I11404">
        <v>68</v>
      </c>
      <c r="J11404">
        <v>39</v>
      </c>
      <c r="K11404" t="b">
        <v>1</v>
      </c>
    </row>
    <row r="11405" spans="8:11" x14ac:dyDescent="0.25">
      <c r="H11405">
        <v>133</v>
      </c>
      <c r="I11405">
        <v>72</v>
      </c>
      <c r="J11405">
        <v>39</v>
      </c>
      <c r="K11405" t="b">
        <v>1</v>
      </c>
    </row>
    <row r="11406" spans="8:11" x14ac:dyDescent="0.25">
      <c r="H11406">
        <v>133</v>
      </c>
      <c r="I11406">
        <v>76</v>
      </c>
      <c r="J11406">
        <v>39</v>
      </c>
      <c r="K11406" t="b">
        <v>1</v>
      </c>
    </row>
    <row r="11407" spans="8:11" x14ac:dyDescent="0.25">
      <c r="H11407">
        <v>133</v>
      </c>
      <c r="I11407">
        <v>80</v>
      </c>
      <c r="J11407">
        <v>39</v>
      </c>
      <c r="K11407" t="b">
        <v>1</v>
      </c>
    </row>
    <row r="11408" spans="8:11" x14ac:dyDescent="0.25">
      <c r="H11408">
        <v>133</v>
      </c>
      <c r="I11408">
        <v>84</v>
      </c>
      <c r="J11408">
        <v>39</v>
      </c>
      <c r="K11408" t="b">
        <v>1</v>
      </c>
    </row>
    <row r="11409" spans="8:11" x14ac:dyDescent="0.25">
      <c r="H11409">
        <v>133</v>
      </c>
      <c r="I11409">
        <v>88</v>
      </c>
      <c r="J11409">
        <v>39</v>
      </c>
      <c r="K11409" t="b">
        <v>1</v>
      </c>
    </row>
    <row r="11410" spans="8:11" x14ac:dyDescent="0.25">
      <c r="H11410">
        <v>133</v>
      </c>
      <c r="I11410">
        <v>92</v>
      </c>
      <c r="J11410">
        <v>39</v>
      </c>
      <c r="K11410" t="b">
        <v>1</v>
      </c>
    </row>
    <row r="11411" spans="8:11" x14ac:dyDescent="0.25">
      <c r="H11411">
        <v>133</v>
      </c>
      <c r="I11411">
        <v>96</v>
      </c>
      <c r="J11411">
        <v>39</v>
      </c>
      <c r="K11411" t="b">
        <v>1</v>
      </c>
    </row>
    <row r="11412" spans="8:11" x14ac:dyDescent="0.25">
      <c r="H11412">
        <v>133</v>
      </c>
      <c r="I11412">
        <v>100</v>
      </c>
      <c r="J11412">
        <v>39</v>
      </c>
      <c r="K11412" t="b">
        <v>1</v>
      </c>
    </row>
    <row r="11413" spans="8:11" x14ac:dyDescent="0.25">
      <c r="H11413">
        <v>133</v>
      </c>
      <c r="I11413">
        <v>104</v>
      </c>
      <c r="J11413">
        <v>39</v>
      </c>
      <c r="K11413" t="b">
        <v>1</v>
      </c>
    </row>
    <row r="11414" spans="8:11" x14ac:dyDescent="0.25">
      <c r="H11414">
        <v>133</v>
      </c>
      <c r="I11414">
        <v>108</v>
      </c>
      <c r="J11414">
        <v>39</v>
      </c>
      <c r="K11414" t="b">
        <v>1</v>
      </c>
    </row>
    <row r="11415" spans="8:11" x14ac:dyDescent="0.25">
      <c r="H11415">
        <v>133</v>
      </c>
      <c r="I11415">
        <v>112</v>
      </c>
      <c r="J11415">
        <v>39</v>
      </c>
      <c r="K11415" t="b">
        <v>1</v>
      </c>
    </row>
    <row r="11416" spans="8:11" x14ac:dyDescent="0.25">
      <c r="H11416">
        <v>133</v>
      </c>
      <c r="I11416">
        <v>116</v>
      </c>
      <c r="J11416">
        <v>39</v>
      </c>
      <c r="K11416" t="b">
        <v>1</v>
      </c>
    </row>
    <row r="11417" spans="8:11" x14ac:dyDescent="0.25">
      <c r="H11417">
        <v>133</v>
      </c>
      <c r="I11417">
        <v>120</v>
      </c>
      <c r="J11417">
        <v>39</v>
      </c>
      <c r="K11417" t="b">
        <v>1</v>
      </c>
    </row>
    <row r="11418" spans="8:11" x14ac:dyDescent="0.25">
      <c r="H11418">
        <v>133</v>
      </c>
      <c r="I11418">
        <v>124</v>
      </c>
      <c r="J11418">
        <v>39</v>
      </c>
      <c r="K11418" t="b">
        <v>1</v>
      </c>
    </row>
    <row r="11419" spans="8:11" x14ac:dyDescent="0.25">
      <c r="H11419">
        <v>133</v>
      </c>
      <c r="I11419">
        <v>128</v>
      </c>
      <c r="J11419">
        <v>39</v>
      </c>
      <c r="K11419" t="b">
        <v>1</v>
      </c>
    </row>
    <row r="11420" spans="8:11" x14ac:dyDescent="0.25">
      <c r="H11420">
        <v>133</v>
      </c>
      <c r="I11420">
        <v>132</v>
      </c>
      <c r="J11420">
        <v>39</v>
      </c>
      <c r="K11420" t="b">
        <v>1</v>
      </c>
    </row>
    <row r="11421" spans="8:11" x14ac:dyDescent="0.25">
      <c r="H11421">
        <v>133</v>
      </c>
      <c r="I11421">
        <v>136</v>
      </c>
      <c r="J11421">
        <v>39</v>
      </c>
      <c r="K11421" t="b">
        <v>1</v>
      </c>
    </row>
    <row r="11422" spans="8:11" x14ac:dyDescent="0.25">
      <c r="H11422">
        <v>133</v>
      </c>
      <c r="I11422">
        <v>140</v>
      </c>
      <c r="J11422">
        <v>39</v>
      </c>
      <c r="K11422" t="b">
        <v>1</v>
      </c>
    </row>
    <row r="11423" spans="8:11" x14ac:dyDescent="0.25">
      <c r="H11423">
        <v>133</v>
      </c>
      <c r="I11423">
        <v>144</v>
      </c>
      <c r="J11423">
        <v>39</v>
      </c>
      <c r="K11423" t="b">
        <v>1</v>
      </c>
    </row>
    <row r="11424" spans="8:11" x14ac:dyDescent="0.25">
      <c r="H11424">
        <v>133</v>
      </c>
      <c r="I11424">
        <v>148</v>
      </c>
      <c r="J11424">
        <v>39</v>
      </c>
      <c r="K11424" t="b">
        <v>1</v>
      </c>
    </row>
    <row r="11425" spans="8:11" x14ac:dyDescent="0.25">
      <c r="H11425">
        <v>133</v>
      </c>
      <c r="I11425">
        <v>152</v>
      </c>
      <c r="J11425">
        <v>39</v>
      </c>
      <c r="K11425" t="b">
        <v>1</v>
      </c>
    </row>
    <row r="11426" spans="8:11" x14ac:dyDescent="0.25">
      <c r="H11426">
        <v>133</v>
      </c>
      <c r="I11426">
        <v>156</v>
      </c>
      <c r="J11426">
        <v>39</v>
      </c>
      <c r="K11426" t="b">
        <v>1</v>
      </c>
    </row>
    <row r="11427" spans="8:11" x14ac:dyDescent="0.25">
      <c r="H11427">
        <v>133</v>
      </c>
      <c r="I11427">
        <v>160</v>
      </c>
      <c r="J11427">
        <v>39</v>
      </c>
      <c r="K11427" t="b">
        <v>1</v>
      </c>
    </row>
    <row r="11428" spans="8:11" x14ac:dyDescent="0.25">
      <c r="H11428">
        <v>133</v>
      </c>
      <c r="I11428">
        <v>164</v>
      </c>
      <c r="J11428">
        <v>39</v>
      </c>
      <c r="K11428" t="b">
        <v>1</v>
      </c>
    </row>
    <row r="11429" spans="8:11" x14ac:dyDescent="0.25">
      <c r="H11429">
        <v>133</v>
      </c>
      <c r="I11429">
        <v>168</v>
      </c>
      <c r="J11429">
        <v>39</v>
      </c>
      <c r="K11429" t="b">
        <v>1</v>
      </c>
    </row>
    <row r="11430" spans="8:11" x14ac:dyDescent="0.25">
      <c r="H11430">
        <v>133</v>
      </c>
      <c r="I11430">
        <v>172</v>
      </c>
      <c r="J11430">
        <v>39</v>
      </c>
      <c r="K11430" t="b">
        <v>1</v>
      </c>
    </row>
    <row r="11431" spans="8:11" x14ac:dyDescent="0.25">
      <c r="H11431">
        <v>133</v>
      </c>
      <c r="I11431">
        <v>176</v>
      </c>
      <c r="J11431">
        <v>39</v>
      </c>
      <c r="K11431" t="b">
        <v>1</v>
      </c>
    </row>
    <row r="11432" spans="8:11" x14ac:dyDescent="0.25">
      <c r="H11432">
        <v>133</v>
      </c>
      <c r="I11432">
        <v>180</v>
      </c>
      <c r="J11432">
        <v>39</v>
      </c>
      <c r="K11432" t="b">
        <v>1</v>
      </c>
    </row>
    <row r="11433" spans="8:11" x14ac:dyDescent="0.25">
      <c r="H11433">
        <v>133</v>
      </c>
      <c r="I11433">
        <v>184</v>
      </c>
      <c r="J11433">
        <v>39</v>
      </c>
      <c r="K11433" t="b">
        <v>1</v>
      </c>
    </row>
    <row r="11434" spans="8:11" x14ac:dyDescent="0.25">
      <c r="H11434">
        <v>133</v>
      </c>
      <c r="I11434">
        <v>188</v>
      </c>
      <c r="J11434">
        <v>39</v>
      </c>
      <c r="K11434" t="b">
        <v>1</v>
      </c>
    </row>
    <row r="11435" spans="8:11" x14ac:dyDescent="0.25">
      <c r="H11435">
        <v>133</v>
      </c>
      <c r="I11435">
        <v>192</v>
      </c>
      <c r="J11435">
        <v>39</v>
      </c>
      <c r="K11435" t="b">
        <v>1</v>
      </c>
    </row>
    <row r="11436" spans="8:11" x14ac:dyDescent="0.25">
      <c r="H11436">
        <v>133</v>
      </c>
      <c r="I11436">
        <v>196</v>
      </c>
      <c r="J11436">
        <v>39</v>
      </c>
      <c r="K11436" t="b">
        <v>1</v>
      </c>
    </row>
    <row r="11437" spans="8:11" x14ac:dyDescent="0.25">
      <c r="H11437">
        <v>133</v>
      </c>
      <c r="I11437">
        <v>200</v>
      </c>
      <c r="J11437">
        <v>39</v>
      </c>
      <c r="K11437" t="b">
        <v>1</v>
      </c>
    </row>
    <row r="11438" spans="8:11" x14ac:dyDescent="0.25">
      <c r="H11438">
        <v>133</v>
      </c>
      <c r="I11438">
        <v>204</v>
      </c>
      <c r="J11438">
        <v>39</v>
      </c>
      <c r="K11438" t="b">
        <v>1</v>
      </c>
    </row>
    <row r="11439" spans="8:11" x14ac:dyDescent="0.25">
      <c r="H11439">
        <v>133</v>
      </c>
      <c r="I11439">
        <v>208</v>
      </c>
      <c r="J11439">
        <v>39</v>
      </c>
      <c r="K11439" t="b">
        <v>1</v>
      </c>
    </row>
    <row r="11440" spans="8:11" x14ac:dyDescent="0.25">
      <c r="H11440">
        <v>133</v>
      </c>
      <c r="I11440">
        <v>212</v>
      </c>
      <c r="J11440">
        <v>39</v>
      </c>
      <c r="K11440" t="b">
        <v>1</v>
      </c>
    </row>
    <row r="11441" spans="8:11" x14ac:dyDescent="0.25">
      <c r="H11441">
        <v>133</v>
      </c>
      <c r="I11441">
        <v>216</v>
      </c>
      <c r="J11441">
        <v>39</v>
      </c>
      <c r="K11441" t="b">
        <v>1</v>
      </c>
    </row>
    <row r="11442" spans="8:11" x14ac:dyDescent="0.25">
      <c r="H11442">
        <v>133</v>
      </c>
      <c r="I11442">
        <v>220</v>
      </c>
      <c r="J11442">
        <v>39</v>
      </c>
      <c r="K11442" t="b">
        <v>1</v>
      </c>
    </row>
    <row r="11443" spans="8:11" x14ac:dyDescent="0.25">
      <c r="H11443">
        <v>133</v>
      </c>
      <c r="I11443">
        <v>224</v>
      </c>
      <c r="J11443">
        <v>39</v>
      </c>
      <c r="K11443" t="b">
        <v>1</v>
      </c>
    </row>
    <row r="11444" spans="8:11" x14ac:dyDescent="0.25">
      <c r="H11444">
        <v>133</v>
      </c>
      <c r="I11444">
        <v>228</v>
      </c>
      <c r="J11444">
        <v>39</v>
      </c>
      <c r="K11444" t="b">
        <v>1</v>
      </c>
    </row>
    <row r="11445" spans="8:11" x14ac:dyDescent="0.25">
      <c r="H11445">
        <v>133</v>
      </c>
      <c r="I11445">
        <v>232</v>
      </c>
      <c r="J11445">
        <v>39</v>
      </c>
      <c r="K11445" t="b">
        <v>1</v>
      </c>
    </row>
    <row r="11446" spans="8:11" x14ac:dyDescent="0.25">
      <c r="H11446">
        <v>133</v>
      </c>
      <c r="I11446">
        <v>236</v>
      </c>
      <c r="J11446">
        <v>39</v>
      </c>
      <c r="K11446" t="b">
        <v>1</v>
      </c>
    </row>
    <row r="11447" spans="8:11" x14ac:dyDescent="0.25">
      <c r="H11447">
        <v>133</v>
      </c>
      <c r="I11447">
        <v>240</v>
      </c>
      <c r="J11447">
        <v>39</v>
      </c>
      <c r="K11447" t="b">
        <v>1</v>
      </c>
    </row>
    <row r="11448" spans="8:11" x14ac:dyDescent="0.25">
      <c r="H11448">
        <v>133</v>
      </c>
      <c r="I11448">
        <v>244</v>
      </c>
      <c r="J11448">
        <v>39</v>
      </c>
      <c r="K11448" t="b">
        <v>1</v>
      </c>
    </row>
    <row r="11449" spans="8:11" x14ac:dyDescent="0.25">
      <c r="H11449">
        <v>133</v>
      </c>
      <c r="I11449">
        <v>248</v>
      </c>
      <c r="J11449">
        <v>39</v>
      </c>
      <c r="K11449" t="b">
        <v>1</v>
      </c>
    </row>
    <row r="11450" spans="8:11" x14ac:dyDescent="0.25">
      <c r="H11450">
        <v>133</v>
      </c>
      <c r="I11450">
        <v>252</v>
      </c>
      <c r="J11450">
        <v>39</v>
      </c>
      <c r="K11450" t="b">
        <v>1</v>
      </c>
    </row>
    <row r="11451" spans="8:11" x14ac:dyDescent="0.25">
      <c r="H11451">
        <v>133</v>
      </c>
      <c r="I11451">
        <v>256</v>
      </c>
      <c r="J11451">
        <v>39</v>
      </c>
      <c r="K11451" t="b">
        <v>1</v>
      </c>
    </row>
    <row r="11452" spans="8:11" x14ac:dyDescent="0.25">
      <c r="H11452">
        <v>133</v>
      </c>
      <c r="I11452">
        <v>260</v>
      </c>
      <c r="J11452">
        <v>39</v>
      </c>
      <c r="K11452" t="b">
        <v>1</v>
      </c>
    </row>
    <row r="11453" spans="8:11" x14ac:dyDescent="0.25">
      <c r="H11453">
        <v>133</v>
      </c>
      <c r="I11453">
        <v>264</v>
      </c>
      <c r="J11453">
        <v>39</v>
      </c>
      <c r="K11453" t="b">
        <v>1</v>
      </c>
    </row>
    <row r="11454" spans="8:11" x14ac:dyDescent="0.25">
      <c r="H11454">
        <v>133</v>
      </c>
      <c r="I11454">
        <v>268</v>
      </c>
      <c r="J11454">
        <v>39</v>
      </c>
      <c r="K11454" t="b">
        <v>1</v>
      </c>
    </row>
    <row r="11455" spans="8:11" x14ac:dyDescent="0.25">
      <c r="H11455">
        <v>133</v>
      </c>
      <c r="I11455">
        <v>272</v>
      </c>
      <c r="J11455">
        <v>39</v>
      </c>
      <c r="K11455" t="b">
        <v>1</v>
      </c>
    </row>
    <row r="11456" spans="8:11" x14ac:dyDescent="0.25">
      <c r="H11456">
        <v>133</v>
      </c>
      <c r="I11456">
        <v>276</v>
      </c>
      <c r="J11456">
        <v>39</v>
      </c>
      <c r="K11456" t="b">
        <v>1</v>
      </c>
    </row>
    <row r="11457" spans="8:11" x14ac:dyDescent="0.25">
      <c r="H11457">
        <v>133</v>
      </c>
      <c r="I11457">
        <v>280</v>
      </c>
      <c r="J11457">
        <v>39</v>
      </c>
      <c r="K11457" t="b">
        <v>1</v>
      </c>
    </row>
    <row r="11458" spans="8:11" x14ac:dyDescent="0.25">
      <c r="H11458">
        <v>133</v>
      </c>
      <c r="I11458">
        <v>284</v>
      </c>
      <c r="J11458">
        <v>39</v>
      </c>
      <c r="K11458" t="b">
        <v>1</v>
      </c>
    </row>
    <row r="11459" spans="8:11" x14ac:dyDescent="0.25">
      <c r="H11459">
        <v>133</v>
      </c>
      <c r="I11459">
        <v>288</v>
      </c>
      <c r="J11459">
        <v>39</v>
      </c>
      <c r="K11459" t="b">
        <v>1</v>
      </c>
    </row>
    <row r="11460" spans="8:11" x14ac:dyDescent="0.25">
      <c r="H11460">
        <v>133</v>
      </c>
      <c r="I11460">
        <v>292</v>
      </c>
      <c r="J11460">
        <v>39</v>
      </c>
      <c r="K11460" t="b">
        <v>1</v>
      </c>
    </row>
    <row r="11461" spans="8:11" x14ac:dyDescent="0.25">
      <c r="H11461">
        <v>133</v>
      </c>
      <c r="I11461">
        <v>296</v>
      </c>
      <c r="J11461">
        <v>39</v>
      </c>
      <c r="K11461" t="b">
        <v>1</v>
      </c>
    </row>
    <row r="11462" spans="8:11" x14ac:dyDescent="0.25">
      <c r="H11462">
        <v>133</v>
      </c>
      <c r="I11462">
        <v>300</v>
      </c>
      <c r="J11462">
        <v>39</v>
      </c>
      <c r="K11462" t="b">
        <v>1</v>
      </c>
    </row>
    <row r="11463" spans="8:11" x14ac:dyDescent="0.25">
      <c r="H11463">
        <v>133</v>
      </c>
      <c r="I11463">
        <v>304</v>
      </c>
      <c r="J11463">
        <v>39</v>
      </c>
      <c r="K11463" t="b">
        <v>1</v>
      </c>
    </row>
    <row r="11464" spans="8:11" x14ac:dyDescent="0.25">
      <c r="H11464">
        <v>133</v>
      </c>
      <c r="I11464">
        <v>308</v>
      </c>
      <c r="J11464">
        <v>39</v>
      </c>
      <c r="K11464" t="b">
        <v>1</v>
      </c>
    </row>
    <row r="11465" spans="8:11" x14ac:dyDescent="0.25">
      <c r="H11465">
        <v>133</v>
      </c>
      <c r="I11465">
        <v>312</v>
      </c>
      <c r="J11465">
        <v>39</v>
      </c>
      <c r="K11465" t="b">
        <v>1</v>
      </c>
    </row>
    <row r="11466" spans="8:11" x14ac:dyDescent="0.25">
      <c r="H11466">
        <v>133</v>
      </c>
      <c r="I11466">
        <v>316</v>
      </c>
      <c r="J11466">
        <v>39</v>
      </c>
      <c r="K11466" t="b">
        <v>1</v>
      </c>
    </row>
    <row r="11467" spans="8:11" x14ac:dyDescent="0.25">
      <c r="H11467">
        <v>133</v>
      </c>
      <c r="I11467">
        <v>320</v>
      </c>
      <c r="J11467">
        <v>39</v>
      </c>
      <c r="K11467" t="b">
        <v>1</v>
      </c>
    </row>
    <row r="11468" spans="8:11" x14ac:dyDescent="0.25">
      <c r="H11468">
        <v>133</v>
      </c>
      <c r="I11468">
        <v>324</v>
      </c>
      <c r="J11468">
        <v>39</v>
      </c>
      <c r="K11468" t="b">
        <v>1</v>
      </c>
    </row>
    <row r="11469" spans="8:11" x14ac:dyDescent="0.25">
      <c r="H11469">
        <v>133</v>
      </c>
      <c r="I11469">
        <v>328</v>
      </c>
      <c r="J11469">
        <v>39</v>
      </c>
      <c r="K11469" t="b">
        <v>1</v>
      </c>
    </row>
    <row r="11470" spans="8:11" x14ac:dyDescent="0.25">
      <c r="H11470">
        <v>133</v>
      </c>
      <c r="I11470">
        <v>332</v>
      </c>
      <c r="J11470">
        <v>39</v>
      </c>
      <c r="K11470" t="b">
        <v>1</v>
      </c>
    </row>
    <row r="11471" spans="8:11" x14ac:dyDescent="0.25">
      <c r="H11471">
        <v>133</v>
      </c>
      <c r="I11471">
        <v>336</v>
      </c>
      <c r="J11471">
        <v>39</v>
      </c>
      <c r="K11471" t="b">
        <v>1</v>
      </c>
    </row>
    <row r="11472" spans="8:11" x14ac:dyDescent="0.25">
      <c r="H11472">
        <v>133</v>
      </c>
      <c r="I11472">
        <v>340</v>
      </c>
      <c r="J11472">
        <v>39</v>
      </c>
      <c r="K11472" t="b">
        <v>1</v>
      </c>
    </row>
    <row r="11473" spans="8:11" x14ac:dyDescent="0.25">
      <c r="H11473">
        <v>133</v>
      </c>
      <c r="I11473">
        <v>344</v>
      </c>
      <c r="J11473">
        <v>39</v>
      </c>
      <c r="K11473" t="b">
        <v>1</v>
      </c>
    </row>
    <row r="11474" spans="8:11" x14ac:dyDescent="0.25">
      <c r="H11474">
        <v>133</v>
      </c>
      <c r="I11474">
        <v>348</v>
      </c>
      <c r="J11474">
        <v>39</v>
      </c>
      <c r="K11474" t="b">
        <v>1</v>
      </c>
    </row>
    <row r="11475" spans="8:11" x14ac:dyDescent="0.25">
      <c r="H11475">
        <v>133</v>
      </c>
      <c r="I11475">
        <v>352</v>
      </c>
      <c r="J11475">
        <v>39</v>
      </c>
      <c r="K11475" t="b">
        <v>1</v>
      </c>
    </row>
    <row r="11476" spans="8:11" x14ac:dyDescent="0.25">
      <c r="H11476">
        <v>133</v>
      </c>
      <c r="I11476">
        <v>356</v>
      </c>
      <c r="J11476">
        <v>39</v>
      </c>
      <c r="K11476" t="b">
        <v>1</v>
      </c>
    </row>
    <row r="11477" spans="8:11" x14ac:dyDescent="0.25">
      <c r="H11477">
        <v>133</v>
      </c>
      <c r="I11477">
        <v>360</v>
      </c>
      <c r="J11477">
        <v>39</v>
      </c>
      <c r="K11477" t="b">
        <v>1</v>
      </c>
    </row>
    <row r="11478" spans="8:11" x14ac:dyDescent="0.25">
      <c r="H11478">
        <v>133</v>
      </c>
      <c r="I11478">
        <v>364</v>
      </c>
      <c r="J11478">
        <v>39</v>
      </c>
      <c r="K11478" t="b">
        <v>1</v>
      </c>
    </row>
    <row r="11479" spans="8:11" x14ac:dyDescent="0.25">
      <c r="H11479">
        <v>133</v>
      </c>
      <c r="I11479">
        <v>368</v>
      </c>
      <c r="J11479">
        <v>39</v>
      </c>
      <c r="K11479" t="b">
        <v>1</v>
      </c>
    </row>
    <row r="11480" spans="8:11" x14ac:dyDescent="0.25">
      <c r="H11480">
        <v>133</v>
      </c>
      <c r="I11480">
        <v>372</v>
      </c>
      <c r="J11480">
        <v>39</v>
      </c>
      <c r="K11480" t="b">
        <v>1</v>
      </c>
    </row>
    <row r="11481" spans="8:11" x14ac:dyDescent="0.25">
      <c r="H11481">
        <v>133</v>
      </c>
      <c r="I11481">
        <v>376</v>
      </c>
      <c r="J11481">
        <v>39</v>
      </c>
      <c r="K11481" t="b">
        <v>1</v>
      </c>
    </row>
    <row r="11482" spans="8:11" x14ac:dyDescent="0.25">
      <c r="H11482">
        <v>133</v>
      </c>
      <c r="I11482">
        <v>380</v>
      </c>
      <c r="J11482">
        <v>39</v>
      </c>
      <c r="K11482" t="b">
        <v>1</v>
      </c>
    </row>
    <row r="11483" spans="8:11" x14ac:dyDescent="0.25">
      <c r="H11483">
        <v>133</v>
      </c>
      <c r="I11483">
        <v>384</v>
      </c>
      <c r="J11483">
        <v>39</v>
      </c>
      <c r="K11483" t="b">
        <v>1</v>
      </c>
    </row>
    <row r="11484" spans="8:11" x14ac:dyDescent="0.25">
      <c r="H11484">
        <v>133</v>
      </c>
      <c r="I11484">
        <v>388</v>
      </c>
      <c r="J11484">
        <v>39</v>
      </c>
      <c r="K11484" t="b">
        <v>1</v>
      </c>
    </row>
    <row r="11485" spans="8:11" x14ac:dyDescent="0.25">
      <c r="H11485">
        <v>133</v>
      </c>
      <c r="I11485">
        <v>392</v>
      </c>
      <c r="J11485">
        <v>39</v>
      </c>
      <c r="K11485" t="b">
        <v>1</v>
      </c>
    </row>
    <row r="11486" spans="8:11" x14ac:dyDescent="0.25">
      <c r="H11486">
        <v>133</v>
      </c>
      <c r="I11486">
        <v>396</v>
      </c>
      <c r="J11486">
        <v>39</v>
      </c>
      <c r="K11486" t="b">
        <v>1</v>
      </c>
    </row>
    <row r="11487" spans="8:11" x14ac:dyDescent="0.25">
      <c r="H11487">
        <v>133</v>
      </c>
      <c r="I11487">
        <v>400</v>
      </c>
      <c r="J11487">
        <v>39</v>
      </c>
      <c r="K11487" t="b">
        <v>1</v>
      </c>
    </row>
    <row r="11488" spans="8:11" x14ac:dyDescent="0.25">
      <c r="H11488">
        <v>133</v>
      </c>
      <c r="I11488">
        <v>404</v>
      </c>
      <c r="J11488">
        <v>39</v>
      </c>
      <c r="K11488" t="b">
        <v>1</v>
      </c>
    </row>
    <row r="11489" spans="8:11" x14ac:dyDescent="0.25">
      <c r="H11489">
        <v>133</v>
      </c>
      <c r="I11489">
        <v>408</v>
      </c>
      <c r="J11489">
        <v>39</v>
      </c>
      <c r="K11489" t="b">
        <v>1</v>
      </c>
    </row>
    <row r="11490" spans="8:11" x14ac:dyDescent="0.25">
      <c r="H11490">
        <v>133</v>
      </c>
      <c r="I11490">
        <v>412</v>
      </c>
      <c r="J11490">
        <v>39</v>
      </c>
      <c r="K11490" t="b">
        <v>1</v>
      </c>
    </row>
    <row r="11491" spans="8:11" x14ac:dyDescent="0.25">
      <c r="H11491">
        <v>133</v>
      </c>
      <c r="I11491">
        <v>416</v>
      </c>
      <c r="J11491">
        <v>39</v>
      </c>
      <c r="K11491" t="b">
        <v>1</v>
      </c>
    </row>
    <row r="11492" spans="8:11" x14ac:dyDescent="0.25">
      <c r="H11492">
        <v>133</v>
      </c>
      <c r="I11492">
        <v>420</v>
      </c>
      <c r="J11492">
        <v>39</v>
      </c>
      <c r="K11492" t="b">
        <v>1</v>
      </c>
    </row>
    <row r="11493" spans="8:11" x14ac:dyDescent="0.25">
      <c r="H11493">
        <v>133</v>
      </c>
      <c r="I11493">
        <v>424</v>
      </c>
      <c r="J11493">
        <v>39</v>
      </c>
      <c r="K11493" t="b">
        <v>1</v>
      </c>
    </row>
    <row r="11494" spans="8:11" x14ac:dyDescent="0.25">
      <c r="H11494">
        <v>133</v>
      </c>
      <c r="I11494">
        <v>428</v>
      </c>
      <c r="J11494">
        <v>39</v>
      </c>
      <c r="K11494" t="b">
        <v>1</v>
      </c>
    </row>
    <row r="11495" spans="8:11" x14ac:dyDescent="0.25">
      <c r="H11495">
        <v>133</v>
      </c>
      <c r="I11495">
        <v>432</v>
      </c>
      <c r="J11495">
        <v>39</v>
      </c>
      <c r="K11495" t="b">
        <v>1</v>
      </c>
    </row>
    <row r="11496" spans="8:11" x14ac:dyDescent="0.25">
      <c r="H11496">
        <v>133</v>
      </c>
      <c r="I11496">
        <v>436</v>
      </c>
      <c r="J11496">
        <v>39</v>
      </c>
      <c r="K11496" t="b">
        <v>1</v>
      </c>
    </row>
    <row r="11497" spans="8:11" x14ac:dyDescent="0.25">
      <c r="H11497">
        <v>133</v>
      </c>
      <c r="I11497">
        <v>440</v>
      </c>
      <c r="J11497">
        <v>39</v>
      </c>
      <c r="K11497" t="b">
        <v>1</v>
      </c>
    </row>
    <row r="11498" spans="8:11" x14ac:dyDescent="0.25">
      <c r="H11498">
        <v>133</v>
      </c>
      <c r="I11498">
        <v>444</v>
      </c>
      <c r="J11498">
        <v>39</v>
      </c>
      <c r="K11498" t="b">
        <v>1</v>
      </c>
    </row>
    <row r="11499" spans="8:11" x14ac:dyDescent="0.25">
      <c r="H11499">
        <v>133</v>
      </c>
      <c r="I11499">
        <v>448</v>
      </c>
      <c r="J11499">
        <v>39</v>
      </c>
      <c r="K11499" t="b">
        <v>1</v>
      </c>
    </row>
    <row r="11500" spans="8:11" x14ac:dyDescent="0.25">
      <c r="H11500">
        <v>133</v>
      </c>
      <c r="I11500">
        <v>452</v>
      </c>
      <c r="J11500">
        <v>39</v>
      </c>
      <c r="K11500" t="b">
        <v>1</v>
      </c>
    </row>
    <row r="11501" spans="8:11" x14ac:dyDescent="0.25">
      <c r="H11501">
        <v>133</v>
      </c>
      <c r="I11501">
        <v>456</v>
      </c>
      <c r="J11501">
        <v>39</v>
      </c>
      <c r="K11501" t="b">
        <v>1</v>
      </c>
    </row>
    <row r="11502" spans="8:11" x14ac:dyDescent="0.25">
      <c r="H11502">
        <v>133</v>
      </c>
      <c r="I11502">
        <v>460</v>
      </c>
      <c r="J11502">
        <v>39</v>
      </c>
      <c r="K11502" t="b">
        <v>1</v>
      </c>
    </row>
    <row r="11503" spans="8:11" x14ac:dyDescent="0.25">
      <c r="H11503">
        <v>133</v>
      </c>
      <c r="I11503">
        <v>464</v>
      </c>
      <c r="J11503">
        <v>39</v>
      </c>
      <c r="K11503" t="b">
        <v>1</v>
      </c>
    </row>
    <row r="11504" spans="8:11" x14ac:dyDescent="0.25">
      <c r="H11504">
        <v>133</v>
      </c>
      <c r="I11504">
        <v>468</v>
      </c>
      <c r="J11504">
        <v>39</v>
      </c>
      <c r="K11504" t="b">
        <v>1</v>
      </c>
    </row>
    <row r="11505" spans="8:11" x14ac:dyDescent="0.25">
      <c r="H11505">
        <v>133</v>
      </c>
      <c r="I11505">
        <v>472</v>
      </c>
      <c r="J11505">
        <v>39</v>
      </c>
      <c r="K11505" t="b">
        <v>1</v>
      </c>
    </row>
    <row r="11506" spans="8:11" x14ac:dyDescent="0.25">
      <c r="H11506">
        <v>133</v>
      </c>
      <c r="I11506">
        <v>476</v>
      </c>
      <c r="J11506">
        <v>39</v>
      </c>
      <c r="K11506" t="b">
        <v>1</v>
      </c>
    </row>
    <row r="11507" spans="8:11" x14ac:dyDescent="0.25">
      <c r="H11507">
        <v>133</v>
      </c>
      <c r="I11507">
        <v>480</v>
      </c>
      <c r="J11507">
        <v>39</v>
      </c>
      <c r="K11507" t="b">
        <v>1</v>
      </c>
    </row>
    <row r="11508" spans="8:11" x14ac:dyDescent="0.25">
      <c r="H11508">
        <v>133</v>
      </c>
      <c r="I11508">
        <v>484</v>
      </c>
      <c r="J11508">
        <v>39</v>
      </c>
      <c r="K11508" t="b">
        <v>1</v>
      </c>
    </row>
    <row r="11509" spans="8:11" x14ac:dyDescent="0.25">
      <c r="H11509">
        <v>133</v>
      </c>
      <c r="I11509">
        <v>488</v>
      </c>
      <c r="J11509">
        <v>39</v>
      </c>
      <c r="K11509" t="b">
        <v>1</v>
      </c>
    </row>
    <row r="11510" spans="8:11" x14ac:dyDescent="0.25">
      <c r="H11510">
        <v>133</v>
      </c>
      <c r="I11510">
        <v>492</v>
      </c>
      <c r="J11510">
        <v>39</v>
      </c>
      <c r="K11510" t="b">
        <v>1</v>
      </c>
    </row>
    <row r="11511" spans="8:11" x14ac:dyDescent="0.25">
      <c r="H11511">
        <v>133</v>
      </c>
      <c r="I11511">
        <v>496</v>
      </c>
      <c r="J11511">
        <v>39</v>
      </c>
      <c r="K11511" t="b">
        <v>1</v>
      </c>
    </row>
    <row r="11512" spans="8:11" x14ac:dyDescent="0.25">
      <c r="H11512">
        <v>133</v>
      </c>
      <c r="I11512">
        <v>500</v>
      </c>
      <c r="J11512">
        <v>39</v>
      </c>
      <c r="K11512" t="b">
        <v>1</v>
      </c>
    </row>
    <row r="11513" spans="8:11" x14ac:dyDescent="0.25">
      <c r="H11513">
        <v>133</v>
      </c>
      <c r="I11513">
        <v>504</v>
      </c>
      <c r="J11513">
        <v>39</v>
      </c>
      <c r="K11513" t="b">
        <v>1</v>
      </c>
    </row>
    <row r="11514" spans="8:11" x14ac:dyDescent="0.25">
      <c r="H11514">
        <v>133</v>
      </c>
      <c r="I11514">
        <v>508</v>
      </c>
      <c r="J11514">
        <v>39</v>
      </c>
      <c r="K11514" t="b">
        <v>1</v>
      </c>
    </row>
    <row r="11515" spans="8:11" x14ac:dyDescent="0.25">
      <c r="H11515">
        <v>133</v>
      </c>
      <c r="I11515">
        <v>512</v>
      </c>
      <c r="J11515">
        <v>39</v>
      </c>
      <c r="K11515" t="b">
        <v>1</v>
      </c>
    </row>
    <row r="11516" spans="8:11" x14ac:dyDescent="0.25">
      <c r="H11516">
        <v>133</v>
      </c>
      <c r="I11516">
        <v>516</v>
      </c>
      <c r="J11516">
        <v>39</v>
      </c>
      <c r="K11516" t="b">
        <v>1</v>
      </c>
    </row>
    <row r="11517" spans="8:11" x14ac:dyDescent="0.25">
      <c r="H11517">
        <v>133</v>
      </c>
      <c r="I11517">
        <v>520</v>
      </c>
      <c r="J11517">
        <v>39</v>
      </c>
      <c r="K11517" t="b">
        <v>1</v>
      </c>
    </row>
    <row r="11518" spans="8:11" x14ac:dyDescent="0.25">
      <c r="H11518">
        <v>133</v>
      </c>
      <c r="I11518">
        <v>524</v>
      </c>
      <c r="J11518">
        <v>39</v>
      </c>
      <c r="K11518" t="b">
        <v>1</v>
      </c>
    </row>
    <row r="11519" spans="8:11" x14ac:dyDescent="0.25">
      <c r="H11519">
        <v>133</v>
      </c>
      <c r="I11519">
        <v>528</v>
      </c>
      <c r="J11519">
        <v>39</v>
      </c>
      <c r="K11519" t="b">
        <v>1</v>
      </c>
    </row>
    <row r="11520" spans="8:11" x14ac:dyDescent="0.25">
      <c r="H11520">
        <v>133</v>
      </c>
      <c r="I11520">
        <v>532</v>
      </c>
      <c r="J11520">
        <v>39</v>
      </c>
      <c r="K11520" t="b">
        <v>1</v>
      </c>
    </row>
    <row r="11521" spans="8:11" x14ac:dyDescent="0.25">
      <c r="H11521">
        <v>133</v>
      </c>
      <c r="I11521">
        <v>536</v>
      </c>
      <c r="J11521">
        <v>39</v>
      </c>
      <c r="K11521" t="b">
        <v>1</v>
      </c>
    </row>
    <row r="11522" spans="8:11" x14ac:dyDescent="0.25">
      <c r="H11522">
        <v>133</v>
      </c>
      <c r="I11522">
        <v>540</v>
      </c>
      <c r="J11522">
        <v>39</v>
      </c>
      <c r="K11522" t="b">
        <v>1</v>
      </c>
    </row>
    <row r="11523" spans="8:11" x14ac:dyDescent="0.25">
      <c r="H11523">
        <v>133</v>
      </c>
      <c r="I11523">
        <v>544</v>
      </c>
      <c r="J11523">
        <v>39</v>
      </c>
      <c r="K11523" t="b">
        <v>1</v>
      </c>
    </row>
    <row r="11524" spans="8:11" x14ac:dyDescent="0.25">
      <c r="H11524">
        <v>133</v>
      </c>
      <c r="I11524">
        <v>548</v>
      </c>
      <c r="J11524">
        <v>39</v>
      </c>
      <c r="K11524" t="b">
        <v>1</v>
      </c>
    </row>
    <row r="11525" spans="8:11" x14ac:dyDescent="0.25">
      <c r="H11525">
        <v>133</v>
      </c>
      <c r="I11525">
        <v>552</v>
      </c>
      <c r="J11525">
        <v>39</v>
      </c>
      <c r="K11525" t="b">
        <v>1</v>
      </c>
    </row>
    <row r="11526" spans="8:11" x14ac:dyDescent="0.25">
      <c r="H11526">
        <v>133</v>
      </c>
      <c r="I11526">
        <v>556</v>
      </c>
      <c r="J11526">
        <v>39</v>
      </c>
      <c r="K11526" t="b">
        <v>1</v>
      </c>
    </row>
    <row r="11527" spans="8:11" x14ac:dyDescent="0.25">
      <c r="H11527">
        <v>133</v>
      </c>
      <c r="I11527">
        <v>560</v>
      </c>
      <c r="J11527">
        <v>39</v>
      </c>
      <c r="K11527" t="b">
        <v>1</v>
      </c>
    </row>
    <row r="11528" spans="8:11" x14ac:dyDescent="0.25">
      <c r="H11528">
        <v>133</v>
      </c>
      <c r="I11528">
        <v>564</v>
      </c>
      <c r="J11528">
        <v>39</v>
      </c>
      <c r="K11528" t="b">
        <v>1</v>
      </c>
    </row>
    <row r="11529" spans="8:11" x14ac:dyDescent="0.25">
      <c r="H11529">
        <v>133</v>
      </c>
      <c r="I11529">
        <v>568</v>
      </c>
      <c r="J11529">
        <v>39</v>
      </c>
      <c r="K11529" t="b">
        <v>1</v>
      </c>
    </row>
    <row r="11530" spans="8:11" x14ac:dyDescent="0.25">
      <c r="H11530">
        <v>133</v>
      </c>
      <c r="I11530">
        <v>572</v>
      </c>
      <c r="J11530">
        <v>39</v>
      </c>
      <c r="K11530" t="b">
        <v>1</v>
      </c>
    </row>
    <row r="11531" spans="8:11" x14ac:dyDescent="0.25">
      <c r="H11531">
        <v>133</v>
      </c>
      <c r="I11531">
        <v>576</v>
      </c>
      <c r="J11531">
        <v>39</v>
      </c>
      <c r="K11531" t="b">
        <v>1</v>
      </c>
    </row>
    <row r="11532" spans="8:11" x14ac:dyDescent="0.25">
      <c r="H11532">
        <v>133</v>
      </c>
      <c r="I11532">
        <v>580</v>
      </c>
      <c r="J11532">
        <v>39</v>
      </c>
      <c r="K11532" t="b">
        <v>1</v>
      </c>
    </row>
    <row r="11533" spans="8:11" x14ac:dyDescent="0.25">
      <c r="H11533">
        <v>133</v>
      </c>
      <c r="I11533">
        <v>584</v>
      </c>
      <c r="J11533">
        <v>39</v>
      </c>
      <c r="K11533" t="b">
        <v>1</v>
      </c>
    </row>
    <row r="11534" spans="8:11" x14ac:dyDescent="0.25">
      <c r="H11534">
        <v>133</v>
      </c>
      <c r="I11534">
        <v>588</v>
      </c>
      <c r="J11534">
        <v>39</v>
      </c>
      <c r="K11534" t="b">
        <v>1</v>
      </c>
    </row>
    <row r="11535" spans="8:11" x14ac:dyDescent="0.25">
      <c r="H11535">
        <v>133</v>
      </c>
      <c r="I11535">
        <v>592</v>
      </c>
      <c r="J11535">
        <v>39</v>
      </c>
      <c r="K11535" t="b">
        <v>1</v>
      </c>
    </row>
    <row r="11536" spans="8:11" x14ac:dyDescent="0.25">
      <c r="H11536">
        <v>133</v>
      </c>
      <c r="I11536">
        <v>596</v>
      </c>
      <c r="J11536">
        <v>39</v>
      </c>
      <c r="K11536" t="b">
        <v>1</v>
      </c>
    </row>
    <row r="11537" spans="8:11" x14ac:dyDescent="0.25">
      <c r="H11537">
        <v>133</v>
      </c>
      <c r="I11537">
        <v>600</v>
      </c>
      <c r="J11537">
        <v>39</v>
      </c>
      <c r="K11537" t="b">
        <v>1</v>
      </c>
    </row>
    <row r="11538" spans="8:11" x14ac:dyDescent="0.25">
      <c r="H11538">
        <v>133</v>
      </c>
      <c r="I11538">
        <v>604</v>
      </c>
      <c r="J11538">
        <v>39</v>
      </c>
      <c r="K11538" t="b">
        <v>1</v>
      </c>
    </row>
    <row r="11539" spans="8:11" x14ac:dyDescent="0.25">
      <c r="H11539">
        <v>133</v>
      </c>
      <c r="I11539">
        <v>608</v>
      </c>
      <c r="J11539">
        <v>39</v>
      </c>
      <c r="K11539" t="b">
        <v>1</v>
      </c>
    </row>
    <row r="11540" spans="8:11" x14ac:dyDescent="0.25">
      <c r="H11540">
        <v>133</v>
      </c>
      <c r="I11540">
        <v>612</v>
      </c>
      <c r="J11540">
        <v>39</v>
      </c>
      <c r="K11540" t="b">
        <v>1</v>
      </c>
    </row>
    <row r="11541" spans="8:11" x14ac:dyDescent="0.25">
      <c r="H11541">
        <v>133</v>
      </c>
      <c r="I11541">
        <v>616</v>
      </c>
      <c r="J11541">
        <v>39</v>
      </c>
      <c r="K11541" t="b">
        <v>1</v>
      </c>
    </row>
    <row r="11542" spans="8:11" x14ac:dyDescent="0.25">
      <c r="H11542">
        <v>133</v>
      </c>
      <c r="I11542">
        <v>620</v>
      </c>
      <c r="J11542">
        <v>39</v>
      </c>
      <c r="K11542" t="b">
        <v>1</v>
      </c>
    </row>
    <row r="11543" spans="8:11" x14ac:dyDescent="0.25">
      <c r="H11543">
        <v>133</v>
      </c>
      <c r="I11543">
        <v>624</v>
      </c>
      <c r="J11543">
        <v>39</v>
      </c>
      <c r="K11543" t="b">
        <v>1</v>
      </c>
    </row>
    <row r="11544" spans="8:11" x14ac:dyDescent="0.25">
      <c r="H11544">
        <v>133</v>
      </c>
      <c r="I11544">
        <v>628</v>
      </c>
      <c r="J11544">
        <v>39</v>
      </c>
      <c r="K11544" t="b">
        <v>1</v>
      </c>
    </row>
    <row r="11545" spans="8:11" x14ac:dyDescent="0.25">
      <c r="H11545">
        <v>133</v>
      </c>
      <c r="I11545">
        <v>632</v>
      </c>
      <c r="J11545">
        <v>39</v>
      </c>
      <c r="K11545" t="b">
        <v>1</v>
      </c>
    </row>
    <row r="11546" spans="8:11" x14ac:dyDescent="0.25">
      <c r="H11546">
        <v>133</v>
      </c>
      <c r="I11546">
        <v>636</v>
      </c>
      <c r="J11546">
        <v>39</v>
      </c>
      <c r="K11546" t="b">
        <v>1</v>
      </c>
    </row>
    <row r="11547" spans="8:11" x14ac:dyDescent="0.25">
      <c r="H11547">
        <v>133</v>
      </c>
      <c r="I11547">
        <v>640</v>
      </c>
      <c r="J11547">
        <v>39</v>
      </c>
      <c r="K11547" t="b">
        <v>1</v>
      </c>
    </row>
    <row r="11548" spans="8:11" x14ac:dyDescent="0.25">
      <c r="H11548">
        <v>133</v>
      </c>
      <c r="I11548">
        <v>644</v>
      </c>
      <c r="J11548">
        <v>39</v>
      </c>
      <c r="K11548" t="b">
        <v>1</v>
      </c>
    </row>
    <row r="11549" spans="8:11" x14ac:dyDescent="0.25">
      <c r="H11549">
        <v>133</v>
      </c>
      <c r="I11549">
        <v>648</v>
      </c>
      <c r="J11549">
        <v>39</v>
      </c>
      <c r="K11549" t="b">
        <v>1</v>
      </c>
    </row>
    <row r="11550" spans="8:11" x14ac:dyDescent="0.25">
      <c r="H11550">
        <v>133</v>
      </c>
      <c r="I11550">
        <v>652</v>
      </c>
      <c r="J11550">
        <v>39</v>
      </c>
      <c r="K11550" t="b">
        <v>1</v>
      </c>
    </row>
    <row r="11551" spans="8:11" x14ac:dyDescent="0.25">
      <c r="H11551">
        <v>133</v>
      </c>
      <c r="I11551">
        <v>656</v>
      </c>
      <c r="J11551">
        <v>39</v>
      </c>
      <c r="K11551" t="b">
        <v>1</v>
      </c>
    </row>
    <row r="11552" spans="8:11" x14ac:dyDescent="0.25">
      <c r="H11552">
        <v>133</v>
      </c>
      <c r="I11552">
        <v>660</v>
      </c>
      <c r="J11552">
        <v>39</v>
      </c>
      <c r="K11552" t="b">
        <v>1</v>
      </c>
    </row>
    <row r="11553" spans="8:11" x14ac:dyDescent="0.25">
      <c r="H11553">
        <v>133</v>
      </c>
      <c r="I11553">
        <v>664</v>
      </c>
      <c r="J11553">
        <v>39</v>
      </c>
      <c r="K11553" t="b">
        <v>1</v>
      </c>
    </row>
    <row r="11554" spans="8:11" x14ac:dyDescent="0.25">
      <c r="H11554">
        <v>133</v>
      </c>
      <c r="I11554">
        <v>668</v>
      </c>
      <c r="J11554">
        <v>39</v>
      </c>
      <c r="K11554" t="b">
        <v>1</v>
      </c>
    </row>
    <row r="11555" spans="8:11" x14ac:dyDescent="0.25">
      <c r="H11555">
        <v>133</v>
      </c>
      <c r="I11555">
        <v>672</v>
      </c>
      <c r="J11555">
        <v>39</v>
      </c>
      <c r="K11555" t="b">
        <v>1</v>
      </c>
    </row>
    <row r="11556" spans="8:11" x14ac:dyDescent="0.25">
      <c r="H11556">
        <v>133</v>
      </c>
      <c r="I11556">
        <v>676</v>
      </c>
      <c r="J11556">
        <v>39</v>
      </c>
      <c r="K11556" t="b">
        <v>1</v>
      </c>
    </row>
    <row r="11557" spans="8:11" x14ac:dyDescent="0.25">
      <c r="H11557">
        <v>133</v>
      </c>
      <c r="I11557">
        <v>680</v>
      </c>
      <c r="J11557">
        <v>39</v>
      </c>
      <c r="K11557" t="b">
        <v>1</v>
      </c>
    </row>
    <row r="11558" spans="8:11" x14ac:dyDescent="0.25">
      <c r="H11558">
        <v>133</v>
      </c>
      <c r="I11558">
        <v>684</v>
      </c>
      <c r="J11558">
        <v>39</v>
      </c>
      <c r="K11558" t="b">
        <v>1</v>
      </c>
    </row>
    <row r="11559" spans="8:11" x14ac:dyDescent="0.25">
      <c r="H11559">
        <v>133</v>
      </c>
      <c r="I11559">
        <v>688</v>
      </c>
      <c r="J11559">
        <v>39</v>
      </c>
      <c r="K11559" t="b">
        <v>1</v>
      </c>
    </row>
    <row r="11560" spans="8:11" x14ac:dyDescent="0.25">
      <c r="H11560">
        <v>133</v>
      </c>
      <c r="I11560">
        <v>692</v>
      </c>
      <c r="J11560">
        <v>39</v>
      </c>
      <c r="K11560" t="b">
        <v>1</v>
      </c>
    </row>
    <row r="11561" spans="8:11" x14ac:dyDescent="0.25">
      <c r="H11561">
        <v>133</v>
      </c>
      <c r="I11561">
        <v>696</v>
      </c>
      <c r="J11561">
        <v>39</v>
      </c>
      <c r="K11561" t="b">
        <v>1</v>
      </c>
    </row>
    <row r="11562" spans="8:11" x14ac:dyDescent="0.25">
      <c r="H11562">
        <v>133</v>
      </c>
      <c r="I11562">
        <v>700</v>
      </c>
      <c r="J11562">
        <v>39</v>
      </c>
      <c r="K11562" t="b">
        <v>1</v>
      </c>
    </row>
    <row r="11563" spans="8:11" x14ac:dyDescent="0.25">
      <c r="H11563">
        <v>133</v>
      </c>
      <c r="I11563">
        <v>704</v>
      </c>
      <c r="J11563">
        <v>39</v>
      </c>
      <c r="K11563" t="b">
        <v>1</v>
      </c>
    </row>
    <row r="11564" spans="8:11" x14ac:dyDescent="0.25">
      <c r="H11564">
        <v>133</v>
      </c>
      <c r="I11564">
        <v>708</v>
      </c>
      <c r="J11564">
        <v>39</v>
      </c>
      <c r="K11564" t="b">
        <v>1</v>
      </c>
    </row>
    <row r="11565" spans="8:11" x14ac:dyDescent="0.25">
      <c r="H11565">
        <v>133</v>
      </c>
      <c r="I11565">
        <v>712</v>
      </c>
      <c r="J11565">
        <v>39</v>
      </c>
      <c r="K11565" t="b">
        <v>1</v>
      </c>
    </row>
    <row r="11566" spans="8:11" x14ac:dyDescent="0.25">
      <c r="H11566">
        <v>133</v>
      </c>
      <c r="I11566">
        <v>716</v>
      </c>
      <c r="J11566">
        <v>39</v>
      </c>
      <c r="K11566" t="b">
        <v>1</v>
      </c>
    </row>
    <row r="11567" spans="8:11" x14ac:dyDescent="0.25">
      <c r="H11567">
        <v>133</v>
      </c>
      <c r="I11567">
        <v>720</v>
      </c>
      <c r="J11567">
        <v>39</v>
      </c>
      <c r="K11567" t="b">
        <v>1</v>
      </c>
    </row>
    <row r="11568" spans="8:11" x14ac:dyDescent="0.25">
      <c r="H11568">
        <v>133</v>
      </c>
      <c r="I11568">
        <v>724</v>
      </c>
      <c r="J11568">
        <v>39</v>
      </c>
      <c r="K11568" t="b">
        <v>1</v>
      </c>
    </row>
    <row r="11569" spans="8:11" x14ac:dyDescent="0.25">
      <c r="H11569">
        <v>133</v>
      </c>
      <c r="I11569">
        <v>728</v>
      </c>
      <c r="J11569">
        <v>39</v>
      </c>
      <c r="K11569" t="b">
        <v>1</v>
      </c>
    </row>
    <row r="11570" spans="8:11" x14ac:dyDescent="0.25">
      <c r="H11570">
        <v>133</v>
      </c>
      <c r="I11570">
        <v>732</v>
      </c>
      <c r="J11570">
        <v>39</v>
      </c>
      <c r="K11570" t="b">
        <v>1</v>
      </c>
    </row>
    <row r="11571" spans="8:11" x14ac:dyDescent="0.25">
      <c r="H11571">
        <v>133</v>
      </c>
      <c r="I11571">
        <v>736</v>
      </c>
      <c r="J11571">
        <v>39</v>
      </c>
      <c r="K11571" t="b">
        <v>1</v>
      </c>
    </row>
    <row r="11572" spans="8:11" x14ac:dyDescent="0.25">
      <c r="H11572">
        <v>133</v>
      </c>
      <c r="I11572">
        <v>740</v>
      </c>
      <c r="J11572">
        <v>39</v>
      </c>
      <c r="K11572" t="b">
        <v>1</v>
      </c>
    </row>
    <row r="11573" spans="8:11" x14ac:dyDescent="0.25">
      <c r="H11573">
        <v>133</v>
      </c>
      <c r="I11573">
        <v>744</v>
      </c>
      <c r="J11573">
        <v>39</v>
      </c>
      <c r="K11573" t="b">
        <v>1</v>
      </c>
    </row>
    <row r="11574" spans="8:11" x14ac:dyDescent="0.25">
      <c r="H11574">
        <v>133</v>
      </c>
      <c r="I11574">
        <v>748</v>
      </c>
      <c r="J11574">
        <v>39</v>
      </c>
      <c r="K11574" t="b">
        <v>1</v>
      </c>
    </row>
    <row r="11575" spans="8:11" x14ac:dyDescent="0.25">
      <c r="H11575">
        <v>133</v>
      </c>
      <c r="I11575">
        <v>752</v>
      </c>
      <c r="J11575">
        <v>39</v>
      </c>
      <c r="K11575" t="b">
        <v>1</v>
      </c>
    </row>
    <row r="11576" spans="8:11" x14ac:dyDescent="0.25">
      <c r="H11576">
        <v>133</v>
      </c>
      <c r="I11576">
        <v>756</v>
      </c>
      <c r="J11576">
        <v>39</v>
      </c>
      <c r="K11576" t="b">
        <v>1</v>
      </c>
    </row>
    <row r="11577" spans="8:11" x14ac:dyDescent="0.25">
      <c r="H11577">
        <v>133</v>
      </c>
      <c r="I11577">
        <v>760</v>
      </c>
      <c r="J11577">
        <v>39</v>
      </c>
      <c r="K11577" t="b">
        <v>1</v>
      </c>
    </row>
    <row r="11578" spans="8:11" x14ac:dyDescent="0.25">
      <c r="H11578">
        <v>133</v>
      </c>
      <c r="I11578">
        <v>764</v>
      </c>
      <c r="J11578">
        <v>39</v>
      </c>
      <c r="K11578" t="b">
        <v>1</v>
      </c>
    </row>
    <row r="11579" spans="8:11" x14ac:dyDescent="0.25">
      <c r="H11579">
        <v>133</v>
      </c>
      <c r="I11579">
        <v>768</v>
      </c>
      <c r="J11579">
        <v>39</v>
      </c>
      <c r="K11579" t="b">
        <v>1</v>
      </c>
    </row>
    <row r="11580" spans="8:11" x14ac:dyDescent="0.25">
      <c r="H11580">
        <v>133</v>
      </c>
      <c r="I11580">
        <v>772</v>
      </c>
      <c r="J11580">
        <v>39</v>
      </c>
      <c r="K11580" t="b">
        <v>1</v>
      </c>
    </row>
    <row r="11581" spans="8:11" x14ac:dyDescent="0.25">
      <c r="H11581">
        <v>133</v>
      </c>
      <c r="I11581">
        <v>776</v>
      </c>
      <c r="J11581">
        <v>39</v>
      </c>
      <c r="K11581" t="b">
        <v>1</v>
      </c>
    </row>
    <row r="11582" spans="8:11" x14ac:dyDescent="0.25">
      <c r="H11582">
        <v>133</v>
      </c>
      <c r="I11582">
        <v>780</v>
      </c>
      <c r="J11582">
        <v>39</v>
      </c>
      <c r="K11582" t="b">
        <v>1</v>
      </c>
    </row>
    <row r="11583" spans="8:11" x14ac:dyDescent="0.25">
      <c r="H11583">
        <v>133</v>
      </c>
      <c r="I11583">
        <v>784</v>
      </c>
      <c r="J11583">
        <v>39</v>
      </c>
      <c r="K11583" t="b">
        <v>1</v>
      </c>
    </row>
    <row r="11584" spans="8:11" x14ac:dyDescent="0.25">
      <c r="H11584">
        <v>133</v>
      </c>
      <c r="I11584">
        <v>788</v>
      </c>
      <c r="J11584">
        <v>39</v>
      </c>
      <c r="K11584" t="b">
        <v>1</v>
      </c>
    </row>
    <row r="11585" spans="8:11" x14ac:dyDescent="0.25">
      <c r="H11585">
        <v>133</v>
      </c>
      <c r="I11585">
        <v>792</v>
      </c>
      <c r="J11585">
        <v>39</v>
      </c>
      <c r="K11585" t="b">
        <v>1</v>
      </c>
    </row>
    <row r="11586" spans="8:11" x14ac:dyDescent="0.25">
      <c r="H11586">
        <v>133</v>
      </c>
      <c r="I11586">
        <v>796</v>
      </c>
      <c r="J11586">
        <v>39</v>
      </c>
      <c r="K11586" t="b">
        <v>1</v>
      </c>
    </row>
    <row r="11587" spans="8:11" x14ac:dyDescent="0.25">
      <c r="H11587">
        <v>133</v>
      </c>
      <c r="I11587">
        <v>800</v>
      </c>
      <c r="J11587">
        <v>39</v>
      </c>
      <c r="K11587" t="b">
        <v>1</v>
      </c>
    </row>
    <row r="11588" spans="8:11" x14ac:dyDescent="0.25">
      <c r="H11588">
        <v>133</v>
      </c>
      <c r="I11588">
        <v>804</v>
      </c>
      <c r="J11588">
        <v>39</v>
      </c>
      <c r="K11588" t="b">
        <v>1</v>
      </c>
    </row>
    <row r="11589" spans="8:11" x14ac:dyDescent="0.25">
      <c r="H11589">
        <v>133</v>
      </c>
      <c r="I11589">
        <v>808</v>
      </c>
      <c r="J11589">
        <v>39</v>
      </c>
      <c r="K11589" t="b">
        <v>1</v>
      </c>
    </row>
    <row r="11590" spans="8:11" x14ac:dyDescent="0.25">
      <c r="H11590">
        <v>133</v>
      </c>
      <c r="I11590">
        <v>812</v>
      </c>
      <c r="J11590">
        <v>39</v>
      </c>
      <c r="K11590" t="b">
        <v>1</v>
      </c>
    </row>
    <row r="11591" spans="8:11" x14ac:dyDescent="0.25">
      <c r="H11591">
        <v>133</v>
      </c>
      <c r="I11591">
        <v>816</v>
      </c>
      <c r="J11591">
        <v>39</v>
      </c>
      <c r="K11591" t="b">
        <v>1</v>
      </c>
    </row>
    <row r="11592" spans="8:11" x14ac:dyDescent="0.25">
      <c r="H11592">
        <v>133</v>
      </c>
      <c r="I11592">
        <v>820</v>
      </c>
      <c r="J11592">
        <v>39</v>
      </c>
      <c r="K11592" t="b">
        <v>1</v>
      </c>
    </row>
    <row r="11593" spans="8:11" x14ac:dyDescent="0.25">
      <c r="H11593">
        <v>133</v>
      </c>
      <c r="I11593">
        <v>824</v>
      </c>
      <c r="J11593">
        <v>39</v>
      </c>
      <c r="K11593" t="b">
        <v>1</v>
      </c>
    </row>
    <row r="11594" spans="8:11" x14ac:dyDescent="0.25">
      <c r="H11594">
        <v>133</v>
      </c>
      <c r="I11594">
        <v>828</v>
      </c>
      <c r="J11594">
        <v>39</v>
      </c>
      <c r="K11594" t="b">
        <v>1</v>
      </c>
    </row>
    <row r="11595" spans="8:11" x14ac:dyDescent="0.25">
      <c r="H11595">
        <v>133</v>
      </c>
      <c r="I11595">
        <v>832</v>
      </c>
      <c r="J11595">
        <v>39</v>
      </c>
      <c r="K11595" t="b">
        <v>1</v>
      </c>
    </row>
    <row r="11596" spans="8:11" x14ac:dyDescent="0.25">
      <c r="H11596">
        <v>133</v>
      </c>
      <c r="I11596">
        <v>836</v>
      </c>
      <c r="J11596">
        <v>39</v>
      </c>
      <c r="K11596" t="b">
        <v>1</v>
      </c>
    </row>
    <row r="11597" spans="8:11" x14ac:dyDescent="0.25">
      <c r="H11597">
        <v>133</v>
      </c>
      <c r="I11597">
        <v>840</v>
      </c>
      <c r="J11597">
        <v>39</v>
      </c>
      <c r="K11597" t="b">
        <v>1</v>
      </c>
    </row>
    <row r="11598" spans="8:11" x14ac:dyDescent="0.25">
      <c r="H11598">
        <v>133</v>
      </c>
      <c r="I11598">
        <v>844</v>
      </c>
      <c r="J11598">
        <v>39</v>
      </c>
      <c r="K11598" t="b">
        <v>1</v>
      </c>
    </row>
    <row r="11599" spans="8:11" x14ac:dyDescent="0.25">
      <c r="H11599">
        <v>133</v>
      </c>
      <c r="I11599">
        <v>848</v>
      </c>
      <c r="J11599">
        <v>39</v>
      </c>
      <c r="K11599" t="b">
        <v>1</v>
      </c>
    </row>
    <row r="11600" spans="8:11" x14ac:dyDescent="0.25">
      <c r="H11600">
        <v>133</v>
      </c>
      <c r="I11600">
        <v>852</v>
      </c>
      <c r="J11600">
        <v>39</v>
      </c>
      <c r="K11600" t="b">
        <v>1</v>
      </c>
    </row>
    <row r="11601" spans="8:11" x14ac:dyDescent="0.25">
      <c r="H11601">
        <v>133</v>
      </c>
      <c r="I11601">
        <v>856</v>
      </c>
      <c r="J11601">
        <v>39</v>
      </c>
      <c r="K11601" t="b">
        <v>1</v>
      </c>
    </row>
    <row r="11602" spans="8:11" x14ac:dyDescent="0.25">
      <c r="H11602">
        <v>133</v>
      </c>
      <c r="I11602">
        <v>860</v>
      </c>
      <c r="J11602">
        <v>39</v>
      </c>
      <c r="K11602" t="b">
        <v>1</v>
      </c>
    </row>
    <row r="11603" spans="8:11" x14ac:dyDescent="0.25">
      <c r="H11603">
        <v>133</v>
      </c>
      <c r="I11603">
        <v>864</v>
      </c>
      <c r="J11603">
        <v>39</v>
      </c>
      <c r="K11603" t="b">
        <v>1</v>
      </c>
    </row>
    <row r="11604" spans="8:11" x14ac:dyDescent="0.25">
      <c r="H11604">
        <v>133</v>
      </c>
      <c r="I11604">
        <v>868</v>
      </c>
      <c r="J11604">
        <v>39</v>
      </c>
      <c r="K11604" t="b">
        <v>1</v>
      </c>
    </row>
    <row r="11605" spans="8:11" x14ac:dyDescent="0.25">
      <c r="H11605">
        <v>133</v>
      </c>
      <c r="I11605">
        <v>872</v>
      </c>
      <c r="J11605">
        <v>39</v>
      </c>
      <c r="K11605" t="b">
        <v>1</v>
      </c>
    </row>
    <row r="11606" spans="8:11" x14ac:dyDescent="0.25">
      <c r="H11606">
        <v>133</v>
      </c>
      <c r="I11606">
        <v>876</v>
      </c>
      <c r="J11606">
        <v>39</v>
      </c>
      <c r="K11606" t="b">
        <v>1</v>
      </c>
    </row>
    <row r="11607" spans="8:11" x14ac:dyDescent="0.25">
      <c r="H11607">
        <v>133</v>
      </c>
      <c r="I11607">
        <v>880</v>
      </c>
      <c r="J11607">
        <v>39</v>
      </c>
      <c r="K11607" t="b">
        <v>1</v>
      </c>
    </row>
    <row r="11608" spans="8:11" x14ac:dyDescent="0.25">
      <c r="H11608">
        <v>133</v>
      </c>
      <c r="I11608">
        <v>884</v>
      </c>
      <c r="J11608">
        <v>39</v>
      </c>
      <c r="K11608" t="b">
        <v>1</v>
      </c>
    </row>
    <row r="11609" spans="8:11" x14ac:dyDescent="0.25">
      <c r="H11609">
        <v>133</v>
      </c>
      <c r="I11609">
        <v>888</v>
      </c>
      <c r="J11609">
        <v>39</v>
      </c>
      <c r="K11609" t="b">
        <v>1</v>
      </c>
    </row>
    <row r="11610" spans="8:11" x14ac:dyDescent="0.25">
      <c r="H11610">
        <v>133</v>
      </c>
      <c r="I11610">
        <v>892</v>
      </c>
      <c r="J11610">
        <v>39</v>
      </c>
      <c r="K11610" t="b">
        <v>1</v>
      </c>
    </row>
    <row r="11611" spans="8:11" x14ac:dyDescent="0.25">
      <c r="H11611">
        <v>133</v>
      </c>
      <c r="I11611">
        <v>896</v>
      </c>
      <c r="J11611">
        <v>39</v>
      </c>
      <c r="K11611" t="b">
        <v>1</v>
      </c>
    </row>
    <row r="11612" spans="8:11" x14ac:dyDescent="0.25">
      <c r="H11612">
        <v>133</v>
      </c>
      <c r="I11612">
        <v>900</v>
      </c>
      <c r="J11612">
        <v>39</v>
      </c>
      <c r="K11612" t="b">
        <v>1</v>
      </c>
    </row>
    <row r="11613" spans="8:11" x14ac:dyDescent="0.25">
      <c r="H11613">
        <v>133</v>
      </c>
      <c r="I11613">
        <v>904</v>
      </c>
      <c r="J11613">
        <v>39</v>
      </c>
      <c r="K11613" t="b">
        <v>1</v>
      </c>
    </row>
    <row r="11614" spans="8:11" x14ac:dyDescent="0.25">
      <c r="H11614">
        <v>133</v>
      </c>
      <c r="I11614">
        <v>908</v>
      </c>
      <c r="J11614">
        <v>39</v>
      </c>
      <c r="K11614" t="b">
        <v>1</v>
      </c>
    </row>
    <row r="11615" spans="8:11" x14ac:dyDescent="0.25">
      <c r="H11615">
        <v>133</v>
      </c>
      <c r="I11615">
        <v>912</v>
      </c>
      <c r="J11615">
        <v>39</v>
      </c>
      <c r="K11615" t="b">
        <v>1</v>
      </c>
    </row>
    <row r="11616" spans="8:11" x14ac:dyDescent="0.25">
      <c r="H11616">
        <v>133</v>
      </c>
      <c r="I11616">
        <v>916</v>
      </c>
      <c r="J11616">
        <v>39</v>
      </c>
      <c r="K11616" t="b">
        <v>1</v>
      </c>
    </row>
    <row r="11617" spans="8:11" x14ac:dyDescent="0.25">
      <c r="H11617">
        <v>133</v>
      </c>
      <c r="I11617">
        <v>920</v>
      </c>
      <c r="J11617">
        <v>39</v>
      </c>
      <c r="K11617" t="b">
        <v>1</v>
      </c>
    </row>
    <row r="11618" spans="8:11" x14ac:dyDescent="0.25">
      <c r="H11618">
        <v>133</v>
      </c>
      <c r="I11618">
        <v>924</v>
      </c>
      <c r="J11618">
        <v>39</v>
      </c>
      <c r="K11618" t="b">
        <v>1</v>
      </c>
    </row>
    <row r="11619" spans="8:11" x14ac:dyDescent="0.25">
      <c r="H11619">
        <v>133</v>
      </c>
      <c r="I11619">
        <v>928</v>
      </c>
      <c r="J11619">
        <v>39</v>
      </c>
      <c r="K11619" t="b">
        <v>1</v>
      </c>
    </row>
    <row r="11620" spans="8:11" x14ac:dyDescent="0.25">
      <c r="H11620">
        <v>133</v>
      </c>
      <c r="I11620">
        <v>932</v>
      </c>
      <c r="J11620">
        <v>39</v>
      </c>
      <c r="K11620" t="b">
        <v>1</v>
      </c>
    </row>
    <row r="11621" spans="8:11" x14ac:dyDescent="0.25">
      <c r="H11621">
        <v>133</v>
      </c>
      <c r="I11621">
        <v>936</v>
      </c>
      <c r="J11621">
        <v>39</v>
      </c>
      <c r="K11621" t="b">
        <v>1</v>
      </c>
    </row>
    <row r="11622" spans="8:11" x14ac:dyDescent="0.25">
      <c r="H11622">
        <v>133</v>
      </c>
      <c r="I11622">
        <v>940</v>
      </c>
      <c r="J11622">
        <v>39</v>
      </c>
      <c r="K11622" t="b">
        <v>1</v>
      </c>
    </row>
    <row r="11623" spans="8:11" x14ac:dyDescent="0.25">
      <c r="H11623">
        <v>133</v>
      </c>
      <c r="I11623">
        <v>944</v>
      </c>
      <c r="J11623">
        <v>39</v>
      </c>
      <c r="K11623" t="b">
        <v>1</v>
      </c>
    </row>
    <row r="11624" spans="8:11" x14ac:dyDescent="0.25">
      <c r="H11624">
        <v>133</v>
      </c>
      <c r="I11624">
        <v>948</v>
      </c>
      <c r="J11624">
        <v>39</v>
      </c>
      <c r="K11624" t="b">
        <v>1</v>
      </c>
    </row>
    <row r="11625" spans="8:11" x14ac:dyDescent="0.25">
      <c r="H11625">
        <v>133</v>
      </c>
      <c r="I11625">
        <v>952</v>
      </c>
      <c r="J11625">
        <v>39</v>
      </c>
      <c r="K11625" t="b">
        <v>1</v>
      </c>
    </row>
    <row r="11626" spans="8:11" x14ac:dyDescent="0.25">
      <c r="H11626">
        <v>133</v>
      </c>
      <c r="I11626">
        <v>956</v>
      </c>
      <c r="J11626">
        <v>39</v>
      </c>
      <c r="K11626" t="b">
        <v>1</v>
      </c>
    </row>
    <row r="11627" spans="8:11" x14ac:dyDescent="0.25">
      <c r="H11627">
        <v>134</v>
      </c>
      <c r="I11627">
        <v>0</v>
      </c>
      <c r="J11627">
        <v>39</v>
      </c>
      <c r="K11627" t="b">
        <v>1</v>
      </c>
    </row>
    <row r="11628" spans="8:11" x14ac:dyDescent="0.25">
      <c r="H11628">
        <v>134</v>
      </c>
      <c r="I11628">
        <v>4</v>
      </c>
      <c r="J11628">
        <v>39</v>
      </c>
      <c r="K11628" t="b">
        <v>1</v>
      </c>
    </row>
    <row r="11629" spans="8:11" x14ac:dyDescent="0.25">
      <c r="H11629">
        <v>134</v>
      </c>
      <c r="I11629">
        <v>8</v>
      </c>
      <c r="J11629">
        <v>39</v>
      </c>
      <c r="K11629" t="b">
        <v>1</v>
      </c>
    </row>
    <row r="11630" spans="8:11" x14ac:dyDescent="0.25">
      <c r="H11630">
        <v>134</v>
      </c>
      <c r="I11630">
        <v>12</v>
      </c>
      <c r="J11630">
        <v>39</v>
      </c>
      <c r="K11630" t="b">
        <v>1</v>
      </c>
    </row>
    <row r="11631" spans="8:11" x14ac:dyDescent="0.25">
      <c r="H11631">
        <v>134</v>
      </c>
      <c r="I11631">
        <v>16</v>
      </c>
      <c r="J11631">
        <v>39</v>
      </c>
      <c r="K11631" t="b">
        <v>1</v>
      </c>
    </row>
    <row r="11632" spans="8:11" x14ac:dyDescent="0.25">
      <c r="H11632">
        <v>134</v>
      </c>
      <c r="I11632">
        <v>20</v>
      </c>
      <c r="J11632">
        <v>39</v>
      </c>
      <c r="K11632" t="b">
        <v>1</v>
      </c>
    </row>
    <row r="11633" spans="8:11" x14ac:dyDescent="0.25">
      <c r="H11633">
        <v>134</v>
      </c>
      <c r="I11633">
        <v>24</v>
      </c>
      <c r="J11633">
        <v>39</v>
      </c>
      <c r="K11633" t="b">
        <v>1</v>
      </c>
    </row>
    <row r="11634" spans="8:11" x14ac:dyDescent="0.25">
      <c r="H11634">
        <v>134</v>
      </c>
      <c r="I11634">
        <v>28</v>
      </c>
      <c r="J11634">
        <v>39</v>
      </c>
      <c r="K11634" t="b">
        <v>1</v>
      </c>
    </row>
    <row r="11635" spans="8:11" x14ac:dyDescent="0.25">
      <c r="H11635">
        <v>134</v>
      </c>
      <c r="I11635">
        <v>32</v>
      </c>
      <c r="J11635">
        <v>39</v>
      </c>
      <c r="K11635" t="b">
        <v>1</v>
      </c>
    </row>
    <row r="11636" spans="8:11" x14ac:dyDescent="0.25">
      <c r="H11636">
        <v>134</v>
      </c>
      <c r="I11636">
        <v>36</v>
      </c>
      <c r="J11636">
        <v>39</v>
      </c>
      <c r="K11636" t="b">
        <v>1</v>
      </c>
    </row>
    <row r="11637" spans="8:11" x14ac:dyDescent="0.25">
      <c r="H11637">
        <v>134</v>
      </c>
      <c r="I11637">
        <v>40</v>
      </c>
      <c r="J11637">
        <v>39</v>
      </c>
      <c r="K11637" t="b">
        <v>1</v>
      </c>
    </row>
    <row r="11638" spans="8:11" x14ac:dyDescent="0.25">
      <c r="H11638">
        <v>134</v>
      </c>
      <c r="I11638">
        <v>44</v>
      </c>
      <c r="J11638">
        <v>39</v>
      </c>
      <c r="K11638" t="b">
        <v>1</v>
      </c>
    </row>
    <row r="11639" spans="8:11" x14ac:dyDescent="0.25">
      <c r="H11639">
        <v>134</v>
      </c>
      <c r="I11639">
        <v>48</v>
      </c>
      <c r="J11639">
        <v>39</v>
      </c>
      <c r="K11639" t="b">
        <v>1</v>
      </c>
    </row>
    <row r="11640" spans="8:11" x14ac:dyDescent="0.25">
      <c r="H11640">
        <v>134</v>
      </c>
      <c r="I11640">
        <v>52</v>
      </c>
      <c r="J11640">
        <v>39</v>
      </c>
      <c r="K11640" t="b">
        <v>1</v>
      </c>
    </row>
    <row r="11641" spans="8:11" x14ac:dyDescent="0.25">
      <c r="H11641">
        <v>134</v>
      </c>
      <c r="I11641">
        <v>56</v>
      </c>
      <c r="J11641">
        <v>39</v>
      </c>
      <c r="K11641" t="b">
        <v>1</v>
      </c>
    </row>
    <row r="11642" spans="8:11" x14ac:dyDescent="0.25">
      <c r="H11642">
        <v>134</v>
      </c>
      <c r="I11642">
        <v>60</v>
      </c>
      <c r="J11642">
        <v>39</v>
      </c>
      <c r="K11642" t="b">
        <v>1</v>
      </c>
    </row>
    <row r="11643" spans="8:11" x14ac:dyDescent="0.25">
      <c r="H11643">
        <v>134</v>
      </c>
      <c r="I11643">
        <v>64</v>
      </c>
      <c r="J11643">
        <v>39</v>
      </c>
      <c r="K11643" t="b">
        <v>1</v>
      </c>
    </row>
    <row r="11644" spans="8:11" x14ac:dyDescent="0.25">
      <c r="H11644">
        <v>134</v>
      </c>
      <c r="I11644">
        <v>68</v>
      </c>
      <c r="J11644">
        <v>39</v>
      </c>
      <c r="K11644" t="b">
        <v>1</v>
      </c>
    </row>
    <row r="11645" spans="8:11" x14ac:dyDescent="0.25">
      <c r="H11645">
        <v>134</v>
      </c>
      <c r="I11645">
        <v>72</v>
      </c>
      <c r="J11645">
        <v>39</v>
      </c>
      <c r="K11645" t="b">
        <v>1</v>
      </c>
    </row>
    <row r="11646" spans="8:11" x14ac:dyDescent="0.25">
      <c r="H11646">
        <v>134</v>
      </c>
      <c r="I11646">
        <v>76</v>
      </c>
      <c r="J11646">
        <v>39</v>
      </c>
      <c r="K11646" t="b">
        <v>1</v>
      </c>
    </row>
    <row r="11647" spans="8:11" x14ac:dyDescent="0.25">
      <c r="H11647">
        <v>134</v>
      </c>
      <c r="I11647">
        <v>80</v>
      </c>
      <c r="J11647">
        <v>39</v>
      </c>
      <c r="K11647" t="b">
        <v>1</v>
      </c>
    </row>
    <row r="11648" spans="8:11" x14ac:dyDescent="0.25">
      <c r="H11648">
        <v>134</v>
      </c>
      <c r="I11648">
        <v>84</v>
      </c>
      <c r="J11648">
        <v>39</v>
      </c>
      <c r="K11648" t="b">
        <v>1</v>
      </c>
    </row>
    <row r="11649" spans="8:11" x14ac:dyDescent="0.25">
      <c r="H11649">
        <v>134</v>
      </c>
      <c r="I11649">
        <v>88</v>
      </c>
      <c r="J11649">
        <v>39</v>
      </c>
      <c r="K11649" t="b">
        <v>1</v>
      </c>
    </row>
    <row r="11650" spans="8:11" x14ac:dyDescent="0.25">
      <c r="H11650">
        <v>134</v>
      </c>
      <c r="I11650">
        <v>92</v>
      </c>
      <c r="J11650">
        <v>39</v>
      </c>
      <c r="K11650" t="b">
        <v>1</v>
      </c>
    </row>
    <row r="11651" spans="8:11" x14ac:dyDescent="0.25">
      <c r="H11651">
        <v>134</v>
      </c>
      <c r="I11651">
        <v>96</v>
      </c>
      <c r="J11651">
        <v>39</v>
      </c>
      <c r="K11651" t="b">
        <v>1</v>
      </c>
    </row>
    <row r="11652" spans="8:11" x14ac:dyDescent="0.25">
      <c r="H11652">
        <v>134</v>
      </c>
      <c r="I11652">
        <v>100</v>
      </c>
      <c r="J11652">
        <v>39</v>
      </c>
      <c r="K11652" t="b">
        <v>1</v>
      </c>
    </row>
    <row r="11653" spans="8:11" x14ac:dyDescent="0.25">
      <c r="H11653">
        <v>134</v>
      </c>
      <c r="I11653">
        <v>104</v>
      </c>
      <c r="J11653">
        <v>39</v>
      </c>
      <c r="K11653" t="b">
        <v>1</v>
      </c>
    </row>
    <row r="11654" spans="8:11" x14ac:dyDescent="0.25">
      <c r="H11654">
        <v>134</v>
      </c>
      <c r="I11654">
        <v>108</v>
      </c>
      <c r="J11654">
        <v>39</v>
      </c>
      <c r="K11654" t="b">
        <v>1</v>
      </c>
    </row>
    <row r="11655" spans="8:11" x14ac:dyDescent="0.25">
      <c r="H11655">
        <v>134</v>
      </c>
      <c r="I11655">
        <v>112</v>
      </c>
      <c r="J11655">
        <v>39</v>
      </c>
      <c r="K11655" t="b">
        <v>1</v>
      </c>
    </row>
    <row r="11656" spans="8:11" x14ac:dyDescent="0.25">
      <c r="H11656">
        <v>134</v>
      </c>
      <c r="I11656">
        <v>116</v>
      </c>
      <c r="J11656">
        <v>39</v>
      </c>
      <c r="K11656" t="b">
        <v>1</v>
      </c>
    </row>
    <row r="11657" spans="8:11" x14ac:dyDescent="0.25">
      <c r="H11657">
        <v>134</v>
      </c>
      <c r="I11657">
        <v>120</v>
      </c>
      <c r="J11657">
        <v>39</v>
      </c>
      <c r="K11657" t="b">
        <v>1</v>
      </c>
    </row>
    <row r="11658" spans="8:11" x14ac:dyDescent="0.25">
      <c r="H11658">
        <v>134</v>
      </c>
      <c r="I11658">
        <v>124</v>
      </c>
      <c r="J11658">
        <v>39</v>
      </c>
      <c r="K11658" t="b">
        <v>1</v>
      </c>
    </row>
    <row r="11659" spans="8:11" x14ac:dyDescent="0.25">
      <c r="H11659">
        <v>134</v>
      </c>
      <c r="I11659">
        <v>128</v>
      </c>
      <c r="J11659">
        <v>39</v>
      </c>
      <c r="K11659" t="b">
        <v>1</v>
      </c>
    </row>
    <row r="11660" spans="8:11" x14ac:dyDescent="0.25">
      <c r="H11660">
        <v>134</v>
      </c>
      <c r="I11660">
        <v>132</v>
      </c>
      <c r="J11660">
        <v>39</v>
      </c>
      <c r="K11660" t="b">
        <v>1</v>
      </c>
    </row>
    <row r="11661" spans="8:11" x14ac:dyDescent="0.25">
      <c r="H11661">
        <v>134</v>
      </c>
      <c r="I11661">
        <v>136</v>
      </c>
      <c r="J11661">
        <v>39</v>
      </c>
      <c r="K11661" t="b">
        <v>1</v>
      </c>
    </row>
    <row r="11662" spans="8:11" x14ac:dyDescent="0.25">
      <c r="H11662">
        <v>134</v>
      </c>
      <c r="I11662">
        <v>140</v>
      </c>
      <c r="J11662">
        <v>39</v>
      </c>
      <c r="K11662" t="b">
        <v>1</v>
      </c>
    </row>
    <row r="11663" spans="8:11" x14ac:dyDescent="0.25">
      <c r="H11663">
        <v>134</v>
      </c>
      <c r="I11663">
        <v>144</v>
      </c>
      <c r="J11663">
        <v>39</v>
      </c>
      <c r="K11663" t="b">
        <v>1</v>
      </c>
    </row>
    <row r="11664" spans="8:11" x14ac:dyDescent="0.25">
      <c r="H11664">
        <v>134</v>
      </c>
      <c r="I11664">
        <v>148</v>
      </c>
      <c r="J11664">
        <v>39</v>
      </c>
      <c r="K11664" t="b">
        <v>1</v>
      </c>
    </row>
    <row r="11665" spans="8:11" x14ac:dyDescent="0.25">
      <c r="H11665">
        <v>134</v>
      </c>
      <c r="I11665">
        <v>152</v>
      </c>
      <c r="J11665">
        <v>39</v>
      </c>
      <c r="K11665" t="b">
        <v>1</v>
      </c>
    </row>
    <row r="11666" spans="8:11" x14ac:dyDescent="0.25">
      <c r="H11666">
        <v>134</v>
      </c>
      <c r="I11666">
        <v>156</v>
      </c>
      <c r="J11666">
        <v>39</v>
      </c>
      <c r="K11666" t="b">
        <v>1</v>
      </c>
    </row>
    <row r="11667" spans="8:11" x14ac:dyDescent="0.25">
      <c r="H11667">
        <v>134</v>
      </c>
      <c r="I11667">
        <v>160</v>
      </c>
      <c r="J11667">
        <v>39</v>
      </c>
      <c r="K11667" t="b">
        <v>1</v>
      </c>
    </row>
    <row r="11668" spans="8:11" x14ac:dyDescent="0.25">
      <c r="H11668">
        <v>134</v>
      </c>
      <c r="I11668">
        <v>164</v>
      </c>
      <c r="J11668">
        <v>39</v>
      </c>
      <c r="K11668" t="b">
        <v>1</v>
      </c>
    </row>
    <row r="11669" spans="8:11" x14ac:dyDescent="0.25">
      <c r="H11669">
        <v>134</v>
      </c>
      <c r="I11669">
        <v>168</v>
      </c>
      <c r="J11669">
        <v>39</v>
      </c>
      <c r="K11669" t="b">
        <v>1</v>
      </c>
    </row>
    <row r="11670" spans="8:11" x14ac:dyDescent="0.25">
      <c r="H11670">
        <v>134</v>
      </c>
      <c r="I11670">
        <v>172</v>
      </c>
      <c r="J11670">
        <v>39</v>
      </c>
      <c r="K11670" t="b">
        <v>1</v>
      </c>
    </row>
    <row r="11671" spans="8:11" x14ac:dyDescent="0.25">
      <c r="H11671">
        <v>134</v>
      </c>
      <c r="I11671">
        <v>176</v>
      </c>
      <c r="J11671">
        <v>39</v>
      </c>
      <c r="K11671" t="b">
        <v>1</v>
      </c>
    </row>
    <row r="11672" spans="8:11" x14ac:dyDescent="0.25">
      <c r="H11672">
        <v>134</v>
      </c>
      <c r="I11672">
        <v>180</v>
      </c>
      <c r="J11672">
        <v>39</v>
      </c>
      <c r="K11672" t="b">
        <v>1</v>
      </c>
    </row>
    <row r="11673" spans="8:11" x14ac:dyDescent="0.25">
      <c r="H11673">
        <v>134</v>
      </c>
      <c r="I11673">
        <v>184</v>
      </c>
      <c r="J11673">
        <v>39</v>
      </c>
      <c r="K11673" t="b">
        <v>1</v>
      </c>
    </row>
    <row r="11674" spans="8:11" x14ac:dyDescent="0.25">
      <c r="H11674">
        <v>134</v>
      </c>
      <c r="I11674">
        <v>188</v>
      </c>
      <c r="J11674">
        <v>39</v>
      </c>
      <c r="K11674" t="b">
        <v>1</v>
      </c>
    </row>
    <row r="11675" spans="8:11" x14ac:dyDescent="0.25">
      <c r="H11675">
        <v>134</v>
      </c>
      <c r="I11675">
        <v>192</v>
      </c>
      <c r="J11675">
        <v>39</v>
      </c>
      <c r="K11675" t="b">
        <v>1</v>
      </c>
    </row>
    <row r="11676" spans="8:11" x14ac:dyDescent="0.25">
      <c r="H11676">
        <v>134</v>
      </c>
      <c r="I11676">
        <v>196</v>
      </c>
      <c r="J11676">
        <v>39</v>
      </c>
      <c r="K11676" t="b">
        <v>1</v>
      </c>
    </row>
    <row r="11677" spans="8:11" x14ac:dyDescent="0.25">
      <c r="H11677">
        <v>134</v>
      </c>
      <c r="I11677">
        <v>200</v>
      </c>
      <c r="J11677">
        <v>39</v>
      </c>
      <c r="K11677" t="b">
        <v>1</v>
      </c>
    </row>
    <row r="11678" spans="8:11" x14ac:dyDescent="0.25">
      <c r="H11678">
        <v>134</v>
      </c>
      <c r="I11678">
        <v>204</v>
      </c>
      <c r="J11678">
        <v>39</v>
      </c>
      <c r="K11678" t="b">
        <v>1</v>
      </c>
    </row>
    <row r="11679" spans="8:11" x14ac:dyDescent="0.25">
      <c r="H11679">
        <v>134</v>
      </c>
      <c r="I11679">
        <v>208</v>
      </c>
      <c r="J11679">
        <v>39</v>
      </c>
      <c r="K11679" t="b">
        <v>1</v>
      </c>
    </row>
    <row r="11680" spans="8:11" x14ac:dyDescent="0.25">
      <c r="H11680">
        <v>134</v>
      </c>
      <c r="I11680">
        <v>212</v>
      </c>
      <c r="J11680">
        <v>39</v>
      </c>
      <c r="K11680" t="b">
        <v>1</v>
      </c>
    </row>
    <row r="11681" spans="8:11" x14ac:dyDescent="0.25">
      <c r="H11681">
        <v>134</v>
      </c>
      <c r="I11681">
        <v>216</v>
      </c>
      <c r="J11681">
        <v>39</v>
      </c>
      <c r="K11681" t="b">
        <v>1</v>
      </c>
    </row>
    <row r="11682" spans="8:11" x14ac:dyDescent="0.25">
      <c r="H11682">
        <v>134</v>
      </c>
      <c r="I11682">
        <v>220</v>
      </c>
      <c r="J11682">
        <v>39</v>
      </c>
      <c r="K11682" t="b">
        <v>1</v>
      </c>
    </row>
    <row r="11683" spans="8:11" x14ac:dyDescent="0.25">
      <c r="H11683">
        <v>134</v>
      </c>
      <c r="I11683">
        <v>224</v>
      </c>
      <c r="J11683">
        <v>39</v>
      </c>
      <c r="K11683" t="b">
        <v>1</v>
      </c>
    </row>
    <row r="11684" spans="8:11" x14ac:dyDescent="0.25">
      <c r="H11684">
        <v>134</v>
      </c>
      <c r="I11684">
        <v>228</v>
      </c>
      <c r="J11684">
        <v>39</v>
      </c>
      <c r="K11684" t="b">
        <v>1</v>
      </c>
    </row>
    <row r="11685" spans="8:11" x14ac:dyDescent="0.25">
      <c r="H11685">
        <v>134</v>
      </c>
      <c r="I11685">
        <v>232</v>
      </c>
      <c r="J11685">
        <v>39</v>
      </c>
      <c r="K11685" t="b">
        <v>1</v>
      </c>
    </row>
    <row r="11686" spans="8:11" x14ac:dyDescent="0.25">
      <c r="H11686">
        <v>134</v>
      </c>
      <c r="I11686">
        <v>236</v>
      </c>
      <c r="J11686">
        <v>39</v>
      </c>
      <c r="K11686" t="b">
        <v>1</v>
      </c>
    </row>
    <row r="11687" spans="8:11" x14ac:dyDescent="0.25">
      <c r="H11687">
        <v>134</v>
      </c>
      <c r="I11687">
        <v>240</v>
      </c>
      <c r="J11687">
        <v>39</v>
      </c>
      <c r="K11687" t="b">
        <v>1</v>
      </c>
    </row>
    <row r="11688" spans="8:11" x14ac:dyDescent="0.25">
      <c r="H11688">
        <v>134</v>
      </c>
      <c r="I11688">
        <v>244</v>
      </c>
      <c r="J11688">
        <v>39</v>
      </c>
      <c r="K11688" t="b">
        <v>1</v>
      </c>
    </row>
    <row r="11689" spans="8:11" x14ac:dyDescent="0.25">
      <c r="H11689">
        <v>134</v>
      </c>
      <c r="I11689">
        <v>248</v>
      </c>
      <c r="J11689">
        <v>39</v>
      </c>
      <c r="K11689" t="b">
        <v>1</v>
      </c>
    </row>
    <row r="11690" spans="8:11" x14ac:dyDescent="0.25">
      <c r="H11690">
        <v>134</v>
      </c>
      <c r="I11690">
        <v>252</v>
      </c>
      <c r="J11690">
        <v>39</v>
      </c>
      <c r="K11690" t="b">
        <v>1</v>
      </c>
    </row>
    <row r="11691" spans="8:11" x14ac:dyDescent="0.25">
      <c r="H11691">
        <v>134</v>
      </c>
      <c r="I11691">
        <v>256</v>
      </c>
      <c r="J11691">
        <v>39</v>
      </c>
      <c r="K11691" t="b">
        <v>1</v>
      </c>
    </row>
    <row r="11692" spans="8:11" x14ac:dyDescent="0.25">
      <c r="H11692">
        <v>134</v>
      </c>
      <c r="I11692">
        <v>260</v>
      </c>
      <c r="J11692">
        <v>39</v>
      </c>
      <c r="K11692" t="b">
        <v>1</v>
      </c>
    </row>
    <row r="11693" spans="8:11" x14ac:dyDescent="0.25">
      <c r="H11693">
        <v>134</v>
      </c>
      <c r="I11693">
        <v>264</v>
      </c>
      <c r="J11693">
        <v>39</v>
      </c>
      <c r="K11693" t="b">
        <v>1</v>
      </c>
    </row>
    <row r="11694" spans="8:11" x14ac:dyDescent="0.25">
      <c r="H11694">
        <v>134</v>
      </c>
      <c r="I11694">
        <v>268</v>
      </c>
      <c r="J11694">
        <v>39</v>
      </c>
      <c r="K11694" t="b">
        <v>1</v>
      </c>
    </row>
    <row r="11695" spans="8:11" x14ac:dyDescent="0.25">
      <c r="H11695">
        <v>134</v>
      </c>
      <c r="I11695">
        <v>272</v>
      </c>
      <c r="J11695">
        <v>39</v>
      </c>
      <c r="K11695" t="b">
        <v>1</v>
      </c>
    </row>
    <row r="11696" spans="8:11" x14ac:dyDescent="0.25">
      <c r="H11696">
        <v>134</v>
      </c>
      <c r="I11696">
        <v>276</v>
      </c>
      <c r="J11696">
        <v>39</v>
      </c>
      <c r="K11696" t="b">
        <v>1</v>
      </c>
    </row>
    <row r="11697" spans="8:11" x14ac:dyDescent="0.25">
      <c r="H11697">
        <v>134</v>
      </c>
      <c r="I11697">
        <v>280</v>
      </c>
      <c r="J11697">
        <v>39</v>
      </c>
      <c r="K11697" t="b">
        <v>1</v>
      </c>
    </row>
    <row r="11698" spans="8:11" x14ac:dyDescent="0.25">
      <c r="H11698">
        <v>134</v>
      </c>
      <c r="I11698">
        <v>284</v>
      </c>
      <c r="J11698">
        <v>39</v>
      </c>
      <c r="K11698" t="b">
        <v>1</v>
      </c>
    </row>
    <row r="11699" spans="8:11" x14ac:dyDescent="0.25">
      <c r="H11699">
        <v>134</v>
      </c>
      <c r="I11699">
        <v>288</v>
      </c>
      <c r="J11699">
        <v>39</v>
      </c>
      <c r="K11699" t="b">
        <v>1</v>
      </c>
    </row>
    <row r="11700" spans="8:11" x14ac:dyDescent="0.25">
      <c r="H11700">
        <v>134</v>
      </c>
      <c r="I11700">
        <v>292</v>
      </c>
      <c r="J11700">
        <v>39</v>
      </c>
      <c r="K11700" t="b">
        <v>1</v>
      </c>
    </row>
    <row r="11701" spans="8:11" x14ac:dyDescent="0.25">
      <c r="H11701">
        <v>134</v>
      </c>
      <c r="I11701">
        <v>296</v>
      </c>
      <c r="J11701">
        <v>39</v>
      </c>
      <c r="K11701" t="b">
        <v>1</v>
      </c>
    </row>
    <row r="11702" spans="8:11" x14ac:dyDescent="0.25">
      <c r="H11702">
        <v>134</v>
      </c>
      <c r="I11702">
        <v>300</v>
      </c>
      <c r="J11702">
        <v>39</v>
      </c>
      <c r="K11702" t="b">
        <v>1</v>
      </c>
    </row>
    <row r="11703" spans="8:11" x14ac:dyDescent="0.25">
      <c r="H11703">
        <v>134</v>
      </c>
      <c r="I11703">
        <v>304</v>
      </c>
      <c r="J11703">
        <v>39</v>
      </c>
      <c r="K11703" t="b">
        <v>1</v>
      </c>
    </row>
    <row r="11704" spans="8:11" x14ac:dyDescent="0.25">
      <c r="H11704">
        <v>134</v>
      </c>
      <c r="I11704">
        <v>308</v>
      </c>
      <c r="J11704">
        <v>39</v>
      </c>
      <c r="K11704" t="b">
        <v>1</v>
      </c>
    </row>
    <row r="11705" spans="8:11" x14ac:dyDescent="0.25">
      <c r="H11705">
        <v>134</v>
      </c>
      <c r="I11705">
        <v>312</v>
      </c>
      <c r="J11705">
        <v>39</v>
      </c>
      <c r="K11705" t="b">
        <v>1</v>
      </c>
    </row>
    <row r="11706" spans="8:11" x14ac:dyDescent="0.25">
      <c r="H11706">
        <v>134</v>
      </c>
      <c r="I11706">
        <v>316</v>
      </c>
      <c r="J11706">
        <v>39</v>
      </c>
      <c r="K11706" t="b">
        <v>1</v>
      </c>
    </row>
    <row r="11707" spans="8:11" x14ac:dyDescent="0.25">
      <c r="H11707">
        <v>134</v>
      </c>
      <c r="I11707">
        <v>320</v>
      </c>
      <c r="J11707">
        <v>39</v>
      </c>
      <c r="K11707" t="b">
        <v>1</v>
      </c>
    </row>
    <row r="11708" spans="8:11" x14ac:dyDescent="0.25">
      <c r="H11708">
        <v>134</v>
      </c>
      <c r="I11708">
        <v>324</v>
      </c>
      <c r="J11708">
        <v>39</v>
      </c>
      <c r="K11708" t="b">
        <v>1</v>
      </c>
    </row>
    <row r="11709" spans="8:11" x14ac:dyDescent="0.25">
      <c r="H11709">
        <v>134</v>
      </c>
      <c r="I11709">
        <v>328</v>
      </c>
      <c r="J11709">
        <v>39</v>
      </c>
      <c r="K11709" t="b">
        <v>1</v>
      </c>
    </row>
    <row r="11710" spans="8:11" x14ac:dyDescent="0.25">
      <c r="H11710">
        <v>134</v>
      </c>
      <c r="I11710">
        <v>332</v>
      </c>
      <c r="J11710">
        <v>39</v>
      </c>
      <c r="K11710" t="b">
        <v>1</v>
      </c>
    </row>
    <row r="11711" spans="8:11" x14ac:dyDescent="0.25">
      <c r="H11711">
        <v>134</v>
      </c>
      <c r="I11711">
        <v>336</v>
      </c>
      <c r="J11711">
        <v>39</v>
      </c>
      <c r="K11711" t="b">
        <v>1</v>
      </c>
    </row>
    <row r="11712" spans="8:11" x14ac:dyDescent="0.25">
      <c r="H11712">
        <v>134</v>
      </c>
      <c r="I11712">
        <v>340</v>
      </c>
      <c r="J11712">
        <v>39</v>
      </c>
      <c r="K11712" t="b">
        <v>1</v>
      </c>
    </row>
    <row r="11713" spans="8:11" x14ac:dyDescent="0.25">
      <c r="H11713">
        <v>134</v>
      </c>
      <c r="I11713">
        <v>344</v>
      </c>
      <c r="J11713">
        <v>39</v>
      </c>
      <c r="K11713" t="b">
        <v>1</v>
      </c>
    </row>
    <row r="11714" spans="8:11" x14ac:dyDescent="0.25">
      <c r="H11714">
        <v>134</v>
      </c>
      <c r="I11714">
        <v>348</v>
      </c>
      <c r="J11714">
        <v>39</v>
      </c>
      <c r="K11714" t="b">
        <v>1</v>
      </c>
    </row>
    <row r="11715" spans="8:11" x14ac:dyDescent="0.25">
      <c r="H11715">
        <v>134</v>
      </c>
      <c r="I11715">
        <v>352</v>
      </c>
      <c r="J11715">
        <v>39</v>
      </c>
      <c r="K11715" t="b">
        <v>1</v>
      </c>
    </row>
    <row r="11716" spans="8:11" x14ac:dyDescent="0.25">
      <c r="H11716">
        <v>134</v>
      </c>
      <c r="I11716">
        <v>356</v>
      </c>
      <c r="J11716">
        <v>39</v>
      </c>
      <c r="K11716" t="b">
        <v>1</v>
      </c>
    </row>
    <row r="11717" spans="8:11" x14ac:dyDescent="0.25">
      <c r="H11717">
        <v>134</v>
      </c>
      <c r="I11717">
        <v>360</v>
      </c>
      <c r="J11717">
        <v>39</v>
      </c>
      <c r="K11717" t="b">
        <v>1</v>
      </c>
    </row>
    <row r="11718" spans="8:11" x14ac:dyDescent="0.25">
      <c r="H11718">
        <v>134</v>
      </c>
      <c r="I11718">
        <v>364</v>
      </c>
      <c r="J11718">
        <v>39</v>
      </c>
      <c r="K11718" t="b">
        <v>1</v>
      </c>
    </row>
    <row r="11719" spans="8:11" x14ac:dyDescent="0.25">
      <c r="H11719">
        <v>134</v>
      </c>
      <c r="I11719">
        <v>368</v>
      </c>
      <c r="J11719">
        <v>39</v>
      </c>
      <c r="K11719" t="b">
        <v>1</v>
      </c>
    </row>
    <row r="11720" spans="8:11" x14ac:dyDescent="0.25">
      <c r="H11720">
        <v>134</v>
      </c>
      <c r="I11720">
        <v>372</v>
      </c>
      <c r="J11720">
        <v>39</v>
      </c>
      <c r="K11720" t="b">
        <v>1</v>
      </c>
    </row>
    <row r="11721" spans="8:11" x14ac:dyDescent="0.25">
      <c r="H11721">
        <v>134</v>
      </c>
      <c r="I11721">
        <v>376</v>
      </c>
      <c r="J11721">
        <v>39</v>
      </c>
      <c r="K11721" t="b">
        <v>1</v>
      </c>
    </row>
    <row r="11722" spans="8:11" x14ac:dyDescent="0.25">
      <c r="H11722">
        <v>134</v>
      </c>
      <c r="I11722">
        <v>380</v>
      </c>
      <c r="J11722">
        <v>39</v>
      </c>
      <c r="K11722" t="b">
        <v>1</v>
      </c>
    </row>
    <row r="11723" spans="8:11" x14ac:dyDescent="0.25">
      <c r="H11723">
        <v>134</v>
      </c>
      <c r="I11723">
        <v>384</v>
      </c>
      <c r="J11723">
        <v>39</v>
      </c>
      <c r="K11723" t="b">
        <v>1</v>
      </c>
    </row>
    <row r="11724" spans="8:11" x14ac:dyDescent="0.25">
      <c r="H11724">
        <v>134</v>
      </c>
      <c r="I11724">
        <v>388</v>
      </c>
      <c r="J11724">
        <v>39</v>
      </c>
      <c r="K11724" t="b">
        <v>1</v>
      </c>
    </row>
    <row r="11725" spans="8:11" x14ac:dyDescent="0.25">
      <c r="H11725">
        <v>134</v>
      </c>
      <c r="I11725">
        <v>392</v>
      </c>
      <c r="J11725">
        <v>39</v>
      </c>
      <c r="K11725" t="b">
        <v>1</v>
      </c>
    </row>
    <row r="11726" spans="8:11" x14ac:dyDescent="0.25">
      <c r="H11726">
        <v>134</v>
      </c>
      <c r="I11726">
        <v>396</v>
      </c>
      <c r="J11726">
        <v>39</v>
      </c>
      <c r="K11726" t="b">
        <v>1</v>
      </c>
    </row>
    <row r="11727" spans="8:11" x14ac:dyDescent="0.25">
      <c r="H11727">
        <v>134</v>
      </c>
      <c r="I11727">
        <v>400</v>
      </c>
      <c r="J11727">
        <v>39</v>
      </c>
      <c r="K11727" t="b">
        <v>1</v>
      </c>
    </row>
    <row r="11728" spans="8:11" x14ac:dyDescent="0.25">
      <c r="H11728">
        <v>134</v>
      </c>
      <c r="I11728">
        <v>404</v>
      </c>
      <c r="J11728">
        <v>39</v>
      </c>
      <c r="K11728" t="b">
        <v>1</v>
      </c>
    </row>
    <row r="11729" spans="8:11" x14ac:dyDescent="0.25">
      <c r="H11729">
        <v>134</v>
      </c>
      <c r="I11729">
        <v>408</v>
      </c>
      <c r="J11729">
        <v>39</v>
      </c>
      <c r="K11729" t="b">
        <v>1</v>
      </c>
    </row>
    <row r="11730" spans="8:11" x14ac:dyDescent="0.25">
      <c r="H11730">
        <v>134</v>
      </c>
      <c r="I11730">
        <v>412</v>
      </c>
      <c r="J11730">
        <v>39</v>
      </c>
      <c r="K11730" t="b">
        <v>1</v>
      </c>
    </row>
    <row r="11731" spans="8:11" x14ac:dyDescent="0.25">
      <c r="H11731">
        <v>134</v>
      </c>
      <c r="I11731">
        <v>416</v>
      </c>
      <c r="J11731">
        <v>39</v>
      </c>
      <c r="K11731" t="b">
        <v>1</v>
      </c>
    </row>
    <row r="11732" spans="8:11" x14ac:dyDescent="0.25">
      <c r="H11732">
        <v>134</v>
      </c>
      <c r="I11732">
        <v>420</v>
      </c>
      <c r="J11732">
        <v>39</v>
      </c>
      <c r="K11732" t="b">
        <v>1</v>
      </c>
    </row>
    <row r="11733" spans="8:11" x14ac:dyDescent="0.25">
      <c r="H11733">
        <v>134</v>
      </c>
      <c r="I11733">
        <v>424</v>
      </c>
      <c r="J11733">
        <v>39</v>
      </c>
      <c r="K11733" t="b">
        <v>1</v>
      </c>
    </row>
    <row r="11734" spans="8:11" x14ac:dyDescent="0.25">
      <c r="H11734">
        <v>134</v>
      </c>
      <c r="I11734">
        <v>428</v>
      </c>
      <c r="J11734">
        <v>39</v>
      </c>
      <c r="K11734" t="b">
        <v>1</v>
      </c>
    </row>
    <row r="11735" spans="8:11" x14ac:dyDescent="0.25">
      <c r="H11735">
        <v>134</v>
      </c>
      <c r="I11735">
        <v>432</v>
      </c>
      <c r="J11735">
        <v>39</v>
      </c>
      <c r="K11735" t="b">
        <v>1</v>
      </c>
    </row>
    <row r="11736" spans="8:11" x14ac:dyDescent="0.25">
      <c r="H11736">
        <v>134</v>
      </c>
      <c r="I11736">
        <v>436</v>
      </c>
      <c r="J11736">
        <v>39</v>
      </c>
      <c r="K11736" t="b">
        <v>1</v>
      </c>
    </row>
    <row r="11737" spans="8:11" x14ac:dyDescent="0.25">
      <c r="H11737">
        <v>134</v>
      </c>
      <c r="I11737">
        <v>440</v>
      </c>
      <c r="J11737">
        <v>39</v>
      </c>
      <c r="K11737" t="b">
        <v>1</v>
      </c>
    </row>
    <row r="11738" spans="8:11" x14ac:dyDescent="0.25">
      <c r="H11738">
        <v>134</v>
      </c>
      <c r="I11738">
        <v>444</v>
      </c>
      <c r="J11738">
        <v>39</v>
      </c>
      <c r="K11738" t="b">
        <v>1</v>
      </c>
    </row>
    <row r="11739" spans="8:11" x14ac:dyDescent="0.25">
      <c r="H11739">
        <v>134</v>
      </c>
      <c r="I11739">
        <v>448</v>
      </c>
      <c r="J11739">
        <v>39</v>
      </c>
      <c r="K11739" t="b">
        <v>1</v>
      </c>
    </row>
    <row r="11740" spans="8:11" x14ac:dyDescent="0.25">
      <c r="H11740">
        <v>134</v>
      </c>
      <c r="I11740">
        <v>452</v>
      </c>
      <c r="J11740">
        <v>39</v>
      </c>
      <c r="K11740" t="b">
        <v>1</v>
      </c>
    </row>
    <row r="11741" spans="8:11" x14ac:dyDescent="0.25">
      <c r="H11741">
        <v>134</v>
      </c>
      <c r="I11741">
        <v>456</v>
      </c>
      <c r="J11741">
        <v>39</v>
      </c>
      <c r="K11741" t="b">
        <v>1</v>
      </c>
    </row>
    <row r="11742" spans="8:11" x14ac:dyDescent="0.25">
      <c r="H11742">
        <v>134</v>
      </c>
      <c r="I11742">
        <v>460</v>
      </c>
      <c r="J11742">
        <v>39</v>
      </c>
      <c r="K11742" t="b">
        <v>1</v>
      </c>
    </row>
    <row r="11743" spans="8:11" x14ac:dyDescent="0.25">
      <c r="H11743">
        <v>134</v>
      </c>
      <c r="I11743">
        <v>464</v>
      </c>
      <c r="J11743">
        <v>39</v>
      </c>
      <c r="K11743" t="b">
        <v>1</v>
      </c>
    </row>
    <row r="11744" spans="8:11" x14ac:dyDescent="0.25">
      <c r="H11744">
        <v>134</v>
      </c>
      <c r="I11744">
        <v>468</v>
      </c>
      <c r="J11744">
        <v>39</v>
      </c>
      <c r="K11744" t="b">
        <v>1</v>
      </c>
    </row>
    <row r="11745" spans="8:11" x14ac:dyDescent="0.25">
      <c r="H11745">
        <v>134</v>
      </c>
      <c r="I11745">
        <v>472</v>
      </c>
      <c r="J11745">
        <v>39</v>
      </c>
      <c r="K11745" t="b">
        <v>1</v>
      </c>
    </row>
    <row r="11746" spans="8:11" x14ac:dyDescent="0.25">
      <c r="H11746">
        <v>134</v>
      </c>
      <c r="I11746">
        <v>476</v>
      </c>
      <c r="J11746">
        <v>39</v>
      </c>
      <c r="K11746" t="b">
        <v>1</v>
      </c>
    </row>
    <row r="11747" spans="8:11" x14ac:dyDescent="0.25">
      <c r="H11747">
        <v>134</v>
      </c>
      <c r="I11747">
        <v>480</v>
      </c>
      <c r="J11747">
        <v>39</v>
      </c>
      <c r="K11747" t="b">
        <v>1</v>
      </c>
    </row>
    <row r="11748" spans="8:11" x14ac:dyDescent="0.25">
      <c r="H11748">
        <v>134</v>
      </c>
      <c r="I11748">
        <v>484</v>
      </c>
      <c r="J11748">
        <v>39</v>
      </c>
      <c r="K11748" t="b">
        <v>1</v>
      </c>
    </row>
    <row r="11749" spans="8:11" x14ac:dyDescent="0.25">
      <c r="H11749">
        <v>134</v>
      </c>
      <c r="I11749">
        <v>488</v>
      </c>
      <c r="J11749">
        <v>39</v>
      </c>
      <c r="K11749" t="b">
        <v>1</v>
      </c>
    </row>
    <row r="11750" spans="8:11" x14ac:dyDescent="0.25">
      <c r="H11750">
        <v>134</v>
      </c>
      <c r="I11750">
        <v>492</v>
      </c>
      <c r="J11750">
        <v>39</v>
      </c>
      <c r="K11750" t="b">
        <v>1</v>
      </c>
    </row>
    <row r="11751" spans="8:11" x14ac:dyDescent="0.25">
      <c r="H11751">
        <v>134</v>
      </c>
      <c r="I11751">
        <v>496</v>
      </c>
      <c r="J11751">
        <v>39</v>
      </c>
      <c r="K11751" t="b">
        <v>1</v>
      </c>
    </row>
    <row r="11752" spans="8:11" x14ac:dyDescent="0.25">
      <c r="H11752">
        <v>134</v>
      </c>
      <c r="I11752">
        <v>500</v>
      </c>
      <c r="J11752">
        <v>39</v>
      </c>
      <c r="K11752" t="b">
        <v>1</v>
      </c>
    </row>
    <row r="11753" spans="8:11" x14ac:dyDescent="0.25">
      <c r="H11753">
        <v>134</v>
      </c>
      <c r="I11753">
        <v>504</v>
      </c>
      <c r="J11753">
        <v>39</v>
      </c>
      <c r="K11753" t="b">
        <v>1</v>
      </c>
    </row>
    <row r="11754" spans="8:11" x14ac:dyDescent="0.25">
      <c r="H11754">
        <v>134</v>
      </c>
      <c r="I11754">
        <v>508</v>
      </c>
      <c r="J11754">
        <v>39</v>
      </c>
      <c r="K11754" t="b">
        <v>1</v>
      </c>
    </row>
    <row r="11755" spans="8:11" x14ac:dyDescent="0.25">
      <c r="H11755">
        <v>134</v>
      </c>
      <c r="I11755">
        <v>512</v>
      </c>
      <c r="J11755">
        <v>39</v>
      </c>
      <c r="K11755" t="b">
        <v>1</v>
      </c>
    </row>
    <row r="11756" spans="8:11" x14ac:dyDescent="0.25">
      <c r="H11756">
        <v>134</v>
      </c>
      <c r="I11756">
        <v>516</v>
      </c>
      <c r="J11756">
        <v>39</v>
      </c>
      <c r="K11756" t="b">
        <v>1</v>
      </c>
    </row>
    <row r="11757" spans="8:11" x14ac:dyDescent="0.25">
      <c r="H11757">
        <v>134</v>
      </c>
      <c r="I11757">
        <v>520</v>
      </c>
      <c r="J11757">
        <v>39</v>
      </c>
      <c r="K11757" t="b">
        <v>1</v>
      </c>
    </row>
    <row r="11758" spans="8:11" x14ac:dyDescent="0.25">
      <c r="H11758">
        <v>134</v>
      </c>
      <c r="I11758">
        <v>524</v>
      </c>
      <c r="J11758">
        <v>39</v>
      </c>
      <c r="K11758" t="b">
        <v>1</v>
      </c>
    </row>
    <row r="11759" spans="8:11" x14ac:dyDescent="0.25">
      <c r="H11759">
        <v>134</v>
      </c>
      <c r="I11759">
        <v>528</v>
      </c>
      <c r="J11759">
        <v>39</v>
      </c>
      <c r="K11759" t="b">
        <v>1</v>
      </c>
    </row>
    <row r="11760" spans="8:11" x14ac:dyDescent="0.25">
      <c r="H11760">
        <v>134</v>
      </c>
      <c r="I11760">
        <v>532</v>
      </c>
      <c r="J11760">
        <v>39</v>
      </c>
      <c r="K11760" t="b">
        <v>1</v>
      </c>
    </row>
    <row r="11761" spans="8:11" x14ac:dyDescent="0.25">
      <c r="H11761">
        <v>134</v>
      </c>
      <c r="I11761">
        <v>536</v>
      </c>
      <c r="J11761">
        <v>39</v>
      </c>
      <c r="K11761" t="b">
        <v>1</v>
      </c>
    </row>
    <row r="11762" spans="8:11" x14ac:dyDescent="0.25">
      <c r="H11762">
        <v>134</v>
      </c>
      <c r="I11762">
        <v>540</v>
      </c>
      <c r="J11762">
        <v>39</v>
      </c>
      <c r="K11762" t="b">
        <v>1</v>
      </c>
    </row>
    <row r="11763" spans="8:11" x14ac:dyDescent="0.25">
      <c r="H11763">
        <v>134</v>
      </c>
      <c r="I11763">
        <v>544</v>
      </c>
      <c r="J11763">
        <v>39</v>
      </c>
      <c r="K11763" t="b">
        <v>1</v>
      </c>
    </row>
    <row r="11764" spans="8:11" x14ac:dyDescent="0.25">
      <c r="H11764">
        <v>134</v>
      </c>
      <c r="I11764">
        <v>548</v>
      </c>
      <c r="J11764">
        <v>39</v>
      </c>
      <c r="K11764" t="b">
        <v>1</v>
      </c>
    </row>
    <row r="11765" spans="8:11" x14ac:dyDescent="0.25">
      <c r="H11765">
        <v>134</v>
      </c>
      <c r="I11765">
        <v>552</v>
      </c>
      <c r="J11765">
        <v>39</v>
      </c>
      <c r="K11765" t="b">
        <v>1</v>
      </c>
    </row>
    <row r="11766" spans="8:11" x14ac:dyDescent="0.25">
      <c r="H11766">
        <v>134</v>
      </c>
      <c r="I11766">
        <v>556</v>
      </c>
      <c r="J11766">
        <v>39</v>
      </c>
      <c r="K11766" t="b">
        <v>1</v>
      </c>
    </row>
    <row r="11767" spans="8:11" x14ac:dyDescent="0.25">
      <c r="H11767">
        <v>134</v>
      </c>
      <c r="I11767">
        <v>560</v>
      </c>
      <c r="J11767">
        <v>39</v>
      </c>
      <c r="K11767" t="b">
        <v>1</v>
      </c>
    </row>
    <row r="11768" spans="8:11" x14ac:dyDescent="0.25">
      <c r="H11768">
        <v>134</v>
      </c>
      <c r="I11768">
        <v>564</v>
      </c>
      <c r="J11768">
        <v>39</v>
      </c>
      <c r="K11768" t="b">
        <v>1</v>
      </c>
    </row>
    <row r="11769" spans="8:11" x14ac:dyDescent="0.25">
      <c r="H11769">
        <v>134</v>
      </c>
      <c r="I11769">
        <v>568</v>
      </c>
      <c r="J11769">
        <v>39</v>
      </c>
      <c r="K11769" t="b">
        <v>1</v>
      </c>
    </row>
    <row r="11770" spans="8:11" x14ac:dyDescent="0.25">
      <c r="H11770">
        <v>134</v>
      </c>
      <c r="I11770">
        <v>572</v>
      </c>
      <c r="J11770">
        <v>39</v>
      </c>
      <c r="K11770" t="b">
        <v>1</v>
      </c>
    </row>
    <row r="11771" spans="8:11" x14ac:dyDescent="0.25">
      <c r="H11771">
        <v>134</v>
      </c>
      <c r="I11771">
        <v>576</v>
      </c>
      <c r="J11771">
        <v>39</v>
      </c>
      <c r="K11771" t="b">
        <v>1</v>
      </c>
    </row>
    <row r="11772" spans="8:11" x14ac:dyDescent="0.25">
      <c r="H11772">
        <v>134</v>
      </c>
      <c r="I11772">
        <v>580</v>
      </c>
      <c r="J11772">
        <v>39</v>
      </c>
      <c r="K11772" t="b">
        <v>1</v>
      </c>
    </row>
    <row r="11773" spans="8:11" x14ac:dyDescent="0.25">
      <c r="H11773">
        <v>134</v>
      </c>
      <c r="I11773">
        <v>584</v>
      </c>
      <c r="J11773">
        <v>39</v>
      </c>
      <c r="K11773" t="b">
        <v>1</v>
      </c>
    </row>
    <row r="11774" spans="8:11" x14ac:dyDescent="0.25">
      <c r="H11774">
        <v>134</v>
      </c>
      <c r="I11774">
        <v>588</v>
      </c>
      <c r="J11774">
        <v>39</v>
      </c>
      <c r="K11774" t="b">
        <v>1</v>
      </c>
    </row>
    <row r="11775" spans="8:11" x14ac:dyDescent="0.25">
      <c r="H11775">
        <v>134</v>
      </c>
      <c r="I11775">
        <v>592</v>
      </c>
      <c r="J11775">
        <v>39</v>
      </c>
      <c r="K11775" t="b">
        <v>1</v>
      </c>
    </row>
    <row r="11776" spans="8:11" x14ac:dyDescent="0.25">
      <c r="H11776">
        <v>134</v>
      </c>
      <c r="I11776">
        <v>596</v>
      </c>
      <c r="J11776">
        <v>39</v>
      </c>
      <c r="K11776" t="b">
        <v>1</v>
      </c>
    </row>
    <row r="11777" spans="8:11" x14ac:dyDescent="0.25">
      <c r="H11777">
        <v>134</v>
      </c>
      <c r="I11777">
        <v>600</v>
      </c>
      <c r="J11777">
        <v>39</v>
      </c>
      <c r="K11777" t="b">
        <v>1</v>
      </c>
    </row>
    <row r="11778" spans="8:11" x14ac:dyDescent="0.25">
      <c r="H11778">
        <v>134</v>
      </c>
      <c r="I11778">
        <v>604</v>
      </c>
      <c r="J11778">
        <v>39</v>
      </c>
      <c r="K11778" t="b">
        <v>1</v>
      </c>
    </row>
    <row r="11779" spans="8:11" x14ac:dyDescent="0.25">
      <c r="H11779">
        <v>134</v>
      </c>
      <c r="I11779">
        <v>608</v>
      </c>
      <c r="J11779">
        <v>39</v>
      </c>
      <c r="K11779" t="b">
        <v>1</v>
      </c>
    </row>
    <row r="11780" spans="8:11" x14ac:dyDescent="0.25">
      <c r="H11780">
        <v>134</v>
      </c>
      <c r="I11780">
        <v>612</v>
      </c>
      <c r="J11780">
        <v>39</v>
      </c>
      <c r="K11780" t="b">
        <v>1</v>
      </c>
    </row>
    <row r="11781" spans="8:11" x14ac:dyDescent="0.25">
      <c r="H11781">
        <v>134</v>
      </c>
      <c r="I11781">
        <v>616</v>
      </c>
      <c r="J11781">
        <v>39</v>
      </c>
      <c r="K11781" t="b">
        <v>1</v>
      </c>
    </row>
    <row r="11782" spans="8:11" x14ac:dyDescent="0.25">
      <c r="H11782">
        <v>134</v>
      </c>
      <c r="I11782">
        <v>620</v>
      </c>
      <c r="J11782">
        <v>39</v>
      </c>
      <c r="K11782" t="b">
        <v>1</v>
      </c>
    </row>
    <row r="11783" spans="8:11" x14ac:dyDescent="0.25">
      <c r="H11783">
        <v>134</v>
      </c>
      <c r="I11783">
        <v>624</v>
      </c>
      <c r="J11783">
        <v>39</v>
      </c>
      <c r="K11783" t="b">
        <v>1</v>
      </c>
    </row>
    <row r="11784" spans="8:11" x14ac:dyDescent="0.25">
      <c r="H11784">
        <v>134</v>
      </c>
      <c r="I11784">
        <v>628</v>
      </c>
      <c r="J11784">
        <v>39</v>
      </c>
      <c r="K11784" t="b">
        <v>1</v>
      </c>
    </row>
    <row r="11785" spans="8:11" x14ac:dyDescent="0.25">
      <c r="H11785">
        <v>134</v>
      </c>
      <c r="I11785">
        <v>632</v>
      </c>
      <c r="J11785">
        <v>39</v>
      </c>
      <c r="K11785" t="b">
        <v>1</v>
      </c>
    </row>
    <row r="11786" spans="8:11" x14ac:dyDescent="0.25">
      <c r="H11786">
        <v>134</v>
      </c>
      <c r="I11786">
        <v>636</v>
      </c>
      <c r="J11786">
        <v>39</v>
      </c>
      <c r="K11786" t="b">
        <v>1</v>
      </c>
    </row>
    <row r="11787" spans="8:11" x14ac:dyDescent="0.25">
      <c r="H11787">
        <v>134</v>
      </c>
      <c r="I11787">
        <v>640</v>
      </c>
      <c r="J11787">
        <v>39</v>
      </c>
      <c r="K11787" t="b">
        <v>1</v>
      </c>
    </row>
    <row r="11788" spans="8:11" x14ac:dyDescent="0.25">
      <c r="H11788">
        <v>134</v>
      </c>
      <c r="I11788">
        <v>644</v>
      </c>
      <c r="J11788">
        <v>39</v>
      </c>
      <c r="K11788" t="b">
        <v>1</v>
      </c>
    </row>
    <row r="11789" spans="8:11" x14ac:dyDescent="0.25">
      <c r="H11789">
        <v>134</v>
      </c>
      <c r="I11789">
        <v>648</v>
      </c>
      <c r="J11789">
        <v>39</v>
      </c>
      <c r="K11789" t="b">
        <v>1</v>
      </c>
    </row>
    <row r="11790" spans="8:11" x14ac:dyDescent="0.25">
      <c r="H11790">
        <v>134</v>
      </c>
      <c r="I11790">
        <v>652</v>
      </c>
      <c r="J11790">
        <v>39</v>
      </c>
      <c r="K11790" t="b">
        <v>1</v>
      </c>
    </row>
    <row r="11791" spans="8:11" x14ac:dyDescent="0.25">
      <c r="H11791">
        <v>134</v>
      </c>
      <c r="I11791">
        <v>656</v>
      </c>
      <c r="J11791">
        <v>39</v>
      </c>
      <c r="K11791" t="b">
        <v>1</v>
      </c>
    </row>
    <row r="11792" spans="8:11" x14ac:dyDescent="0.25">
      <c r="H11792">
        <v>134</v>
      </c>
      <c r="I11792">
        <v>660</v>
      </c>
      <c r="J11792">
        <v>39</v>
      </c>
      <c r="K11792" t="b">
        <v>1</v>
      </c>
    </row>
    <row r="11793" spans="8:11" x14ac:dyDescent="0.25">
      <c r="H11793">
        <v>134</v>
      </c>
      <c r="I11793">
        <v>664</v>
      </c>
      <c r="J11793">
        <v>39</v>
      </c>
      <c r="K11793" t="b">
        <v>1</v>
      </c>
    </row>
    <row r="11794" spans="8:11" x14ac:dyDescent="0.25">
      <c r="H11794">
        <v>134</v>
      </c>
      <c r="I11794">
        <v>668</v>
      </c>
      <c r="J11794">
        <v>39</v>
      </c>
      <c r="K11794" t="b">
        <v>1</v>
      </c>
    </row>
    <row r="11795" spans="8:11" x14ac:dyDescent="0.25">
      <c r="H11795">
        <v>134</v>
      </c>
      <c r="I11795">
        <v>672</v>
      </c>
      <c r="J11795">
        <v>39</v>
      </c>
      <c r="K11795" t="b">
        <v>1</v>
      </c>
    </row>
    <row r="11796" spans="8:11" x14ac:dyDescent="0.25">
      <c r="H11796">
        <v>134</v>
      </c>
      <c r="I11796">
        <v>676</v>
      </c>
      <c r="J11796">
        <v>39</v>
      </c>
      <c r="K11796" t="b">
        <v>1</v>
      </c>
    </row>
    <row r="11797" spans="8:11" x14ac:dyDescent="0.25">
      <c r="H11797">
        <v>134</v>
      </c>
      <c r="I11797">
        <v>680</v>
      </c>
      <c r="J11797">
        <v>39</v>
      </c>
      <c r="K11797" t="b">
        <v>1</v>
      </c>
    </row>
    <row r="11798" spans="8:11" x14ac:dyDescent="0.25">
      <c r="H11798">
        <v>134</v>
      </c>
      <c r="I11798">
        <v>684</v>
      </c>
      <c r="J11798">
        <v>39</v>
      </c>
      <c r="K11798" t="b">
        <v>1</v>
      </c>
    </row>
    <row r="11799" spans="8:11" x14ac:dyDescent="0.25">
      <c r="H11799">
        <v>134</v>
      </c>
      <c r="I11799">
        <v>688</v>
      </c>
      <c r="J11799">
        <v>39</v>
      </c>
      <c r="K11799" t="b">
        <v>1</v>
      </c>
    </row>
    <row r="11800" spans="8:11" x14ac:dyDescent="0.25">
      <c r="H11800">
        <v>134</v>
      </c>
      <c r="I11800">
        <v>692</v>
      </c>
      <c r="J11800">
        <v>39</v>
      </c>
      <c r="K11800" t="b">
        <v>1</v>
      </c>
    </row>
    <row r="11801" spans="8:11" x14ac:dyDescent="0.25">
      <c r="H11801">
        <v>134</v>
      </c>
      <c r="I11801">
        <v>696</v>
      </c>
      <c r="J11801">
        <v>39</v>
      </c>
      <c r="K11801" t="b">
        <v>1</v>
      </c>
    </row>
    <row r="11802" spans="8:11" x14ac:dyDescent="0.25">
      <c r="H11802">
        <v>134</v>
      </c>
      <c r="I11802">
        <v>700</v>
      </c>
      <c r="J11802">
        <v>39</v>
      </c>
      <c r="K11802" t="b">
        <v>1</v>
      </c>
    </row>
    <row r="11803" spans="8:11" x14ac:dyDescent="0.25">
      <c r="H11803">
        <v>134</v>
      </c>
      <c r="I11803">
        <v>704</v>
      </c>
      <c r="J11803">
        <v>39</v>
      </c>
      <c r="K11803" t="b">
        <v>1</v>
      </c>
    </row>
    <row r="11804" spans="8:11" x14ac:dyDescent="0.25">
      <c r="H11804">
        <v>134</v>
      </c>
      <c r="I11804">
        <v>708</v>
      </c>
      <c r="J11804">
        <v>39</v>
      </c>
      <c r="K11804" t="b">
        <v>1</v>
      </c>
    </row>
    <row r="11805" spans="8:11" x14ac:dyDescent="0.25">
      <c r="H11805">
        <v>134</v>
      </c>
      <c r="I11805">
        <v>712</v>
      </c>
      <c r="J11805">
        <v>39</v>
      </c>
      <c r="K11805" t="b">
        <v>1</v>
      </c>
    </row>
    <row r="11806" spans="8:11" x14ac:dyDescent="0.25">
      <c r="H11806">
        <v>134</v>
      </c>
      <c r="I11806">
        <v>716</v>
      </c>
      <c r="J11806">
        <v>39</v>
      </c>
      <c r="K11806" t="b">
        <v>1</v>
      </c>
    </row>
    <row r="11807" spans="8:11" x14ac:dyDescent="0.25">
      <c r="H11807">
        <v>134</v>
      </c>
      <c r="I11807">
        <v>720</v>
      </c>
      <c r="J11807">
        <v>39</v>
      </c>
      <c r="K11807" t="b">
        <v>1</v>
      </c>
    </row>
    <row r="11808" spans="8:11" x14ac:dyDescent="0.25">
      <c r="H11808">
        <v>134</v>
      </c>
      <c r="I11808">
        <v>724</v>
      </c>
      <c r="J11808">
        <v>39</v>
      </c>
      <c r="K11808" t="b">
        <v>1</v>
      </c>
    </row>
    <row r="11809" spans="8:11" x14ac:dyDescent="0.25">
      <c r="H11809">
        <v>134</v>
      </c>
      <c r="I11809">
        <v>728</v>
      </c>
      <c r="J11809">
        <v>39</v>
      </c>
      <c r="K11809" t="b">
        <v>1</v>
      </c>
    </row>
    <row r="11810" spans="8:11" x14ac:dyDescent="0.25">
      <c r="H11810">
        <v>134</v>
      </c>
      <c r="I11810">
        <v>732</v>
      </c>
      <c r="J11810">
        <v>39</v>
      </c>
      <c r="K11810" t="b">
        <v>1</v>
      </c>
    </row>
    <row r="11811" spans="8:11" x14ac:dyDescent="0.25">
      <c r="H11811">
        <v>134</v>
      </c>
      <c r="I11811">
        <v>736</v>
      </c>
      <c r="J11811">
        <v>39</v>
      </c>
      <c r="K11811" t="b">
        <v>1</v>
      </c>
    </row>
    <row r="11812" spans="8:11" x14ac:dyDescent="0.25">
      <c r="H11812">
        <v>134</v>
      </c>
      <c r="I11812">
        <v>740</v>
      </c>
      <c r="J11812">
        <v>39</v>
      </c>
      <c r="K11812" t="b">
        <v>1</v>
      </c>
    </row>
    <row r="11813" spans="8:11" x14ac:dyDescent="0.25">
      <c r="H11813">
        <v>134</v>
      </c>
      <c r="I11813">
        <v>744</v>
      </c>
      <c r="J11813">
        <v>39</v>
      </c>
      <c r="K11813" t="b">
        <v>1</v>
      </c>
    </row>
    <row r="11814" spans="8:11" x14ac:dyDescent="0.25">
      <c r="H11814">
        <v>134</v>
      </c>
      <c r="I11814">
        <v>748</v>
      </c>
      <c r="J11814">
        <v>39</v>
      </c>
      <c r="K11814" t="b">
        <v>1</v>
      </c>
    </row>
    <row r="11815" spans="8:11" x14ac:dyDescent="0.25">
      <c r="H11815">
        <v>134</v>
      </c>
      <c r="I11815">
        <v>752</v>
      </c>
      <c r="J11815">
        <v>39</v>
      </c>
      <c r="K11815" t="b">
        <v>1</v>
      </c>
    </row>
    <row r="11816" spans="8:11" x14ac:dyDescent="0.25">
      <c r="H11816">
        <v>134</v>
      </c>
      <c r="I11816">
        <v>756</v>
      </c>
      <c r="J11816">
        <v>39</v>
      </c>
      <c r="K11816" t="b">
        <v>1</v>
      </c>
    </row>
    <row r="11817" spans="8:11" x14ac:dyDescent="0.25">
      <c r="H11817">
        <v>134</v>
      </c>
      <c r="I11817">
        <v>760</v>
      </c>
      <c r="J11817">
        <v>39</v>
      </c>
      <c r="K11817" t="b">
        <v>1</v>
      </c>
    </row>
    <row r="11818" spans="8:11" x14ac:dyDescent="0.25">
      <c r="H11818">
        <v>134</v>
      </c>
      <c r="I11818">
        <v>764</v>
      </c>
      <c r="J11818">
        <v>39</v>
      </c>
      <c r="K11818" t="b">
        <v>1</v>
      </c>
    </row>
    <row r="11819" spans="8:11" x14ac:dyDescent="0.25">
      <c r="H11819">
        <v>134</v>
      </c>
      <c r="I11819">
        <v>768</v>
      </c>
      <c r="J11819">
        <v>39</v>
      </c>
      <c r="K11819" t="b">
        <v>1</v>
      </c>
    </row>
    <row r="11820" spans="8:11" x14ac:dyDescent="0.25">
      <c r="H11820">
        <v>134</v>
      </c>
      <c r="I11820">
        <v>772</v>
      </c>
      <c r="J11820">
        <v>39</v>
      </c>
      <c r="K11820" t="b">
        <v>1</v>
      </c>
    </row>
    <row r="11821" spans="8:11" x14ac:dyDescent="0.25">
      <c r="H11821">
        <v>134</v>
      </c>
      <c r="I11821">
        <v>776</v>
      </c>
      <c r="J11821">
        <v>39</v>
      </c>
      <c r="K11821" t="b">
        <v>1</v>
      </c>
    </row>
    <row r="11822" spans="8:11" x14ac:dyDescent="0.25">
      <c r="H11822">
        <v>134</v>
      </c>
      <c r="I11822">
        <v>780</v>
      </c>
      <c r="J11822">
        <v>39</v>
      </c>
      <c r="K11822" t="b">
        <v>1</v>
      </c>
    </row>
    <row r="11823" spans="8:11" x14ac:dyDescent="0.25">
      <c r="H11823">
        <v>134</v>
      </c>
      <c r="I11823">
        <v>784</v>
      </c>
      <c r="J11823">
        <v>39</v>
      </c>
      <c r="K11823" t="b">
        <v>1</v>
      </c>
    </row>
    <row r="11824" spans="8:11" x14ac:dyDescent="0.25">
      <c r="H11824">
        <v>134</v>
      </c>
      <c r="I11824">
        <v>788</v>
      </c>
      <c r="J11824">
        <v>39</v>
      </c>
      <c r="K11824" t="b">
        <v>1</v>
      </c>
    </row>
    <row r="11825" spans="8:11" x14ac:dyDescent="0.25">
      <c r="H11825">
        <v>134</v>
      </c>
      <c r="I11825">
        <v>792</v>
      </c>
      <c r="J11825">
        <v>39</v>
      </c>
      <c r="K11825" t="b">
        <v>1</v>
      </c>
    </row>
    <row r="11826" spans="8:11" x14ac:dyDescent="0.25">
      <c r="H11826">
        <v>134</v>
      </c>
      <c r="I11826">
        <v>796</v>
      </c>
      <c r="J11826">
        <v>39</v>
      </c>
      <c r="K11826" t="b">
        <v>1</v>
      </c>
    </row>
    <row r="11827" spans="8:11" x14ac:dyDescent="0.25">
      <c r="H11827">
        <v>134</v>
      </c>
      <c r="I11827">
        <v>800</v>
      </c>
      <c r="J11827">
        <v>39</v>
      </c>
      <c r="K11827" t="b">
        <v>1</v>
      </c>
    </row>
    <row r="11828" spans="8:11" x14ac:dyDescent="0.25">
      <c r="H11828">
        <v>134</v>
      </c>
      <c r="I11828">
        <v>804</v>
      </c>
      <c r="J11828">
        <v>39</v>
      </c>
      <c r="K11828" t="b">
        <v>1</v>
      </c>
    </row>
    <row r="11829" spans="8:11" x14ac:dyDescent="0.25">
      <c r="H11829">
        <v>134</v>
      </c>
      <c r="I11829">
        <v>808</v>
      </c>
      <c r="J11829">
        <v>39</v>
      </c>
      <c r="K11829" t="b">
        <v>1</v>
      </c>
    </row>
    <row r="11830" spans="8:11" x14ac:dyDescent="0.25">
      <c r="H11830">
        <v>134</v>
      </c>
      <c r="I11830">
        <v>812</v>
      </c>
      <c r="J11830">
        <v>39</v>
      </c>
      <c r="K11830" t="b">
        <v>1</v>
      </c>
    </row>
    <row r="11831" spans="8:11" x14ac:dyDescent="0.25">
      <c r="H11831">
        <v>134</v>
      </c>
      <c r="I11831">
        <v>816</v>
      </c>
      <c r="J11831">
        <v>39</v>
      </c>
      <c r="K11831" t="b">
        <v>1</v>
      </c>
    </row>
    <row r="11832" spans="8:11" x14ac:dyDescent="0.25">
      <c r="H11832">
        <v>134</v>
      </c>
      <c r="I11832">
        <v>820</v>
      </c>
      <c r="J11832">
        <v>39</v>
      </c>
      <c r="K11832" t="b">
        <v>1</v>
      </c>
    </row>
    <row r="11833" spans="8:11" x14ac:dyDescent="0.25">
      <c r="H11833">
        <v>134</v>
      </c>
      <c r="I11833">
        <v>824</v>
      </c>
      <c r="J11833">
        <v>39</v>
      </c>
      <c r="K11833" t="b">
        <v>1</v>
      </c>
    </row>
    <row r="11834" spans="8:11" x14ac:dyDescent="0.25">
      <c r="H11834">
        <v>134</v>
      </c>
      <c r="I11834">
        <v>828</v>
      </c>
      <c r="J11834">
        <v>39</v>
      </c>
      <c r="K11834" t="b">
        <v>1</v>
      </c>
    </row>
    <row r="11835" spans="8:11" x14ac:dyDescent="0.25">
      <c r="H11835">
        <v>134</v>
      </c>
      <c r="I11835">
        <v>832</v>
      </c>
      <c r="J11835">
        <v>39</v>
      </c>
      <c r="K11835" t="b">
        <v>1</v>
      </c>
    </row>
    <row r="11836" spans="8:11" x14ac:dyDescent="0.25">
      <c r="H11836">
        <v>134</v>
      </c>
      <c r="I11836">
        <v>836</v>
      </c>
      <c r="J11836">
        <v>39</v>
      </c>
      <c r="K11836" t="b">
        <v>1</v>
      </c>
    </row>
    <row r="11837" spans="8:11" x14ac:dyDescent="0.25">
      <c r="H11837">
        <v>134</v>
      </c>
      <c r="I11837">
        <v>840</v>
      </c>
      <c r="J11837">
        <v>39</v>
      </c>
      <c r="K11837" t="b">
        <v>1</v>
      </c>
    </row>
    <row r="11838" spans="8:11" x14ac:dyDescent="0.25">
      <c r="H11838">
        <v>134</v>
      </c>
      <c r="I11838">
        <v>844</v>
      </c>
      <c r="J11838">
        <v>39</v>
      </c>
      <c r="K11838" t="b">
        <v>1</v>
      </c>
    </row>
    <row r="11839" spans="8:11" x14ac:dyDescent="0.25">
      <c r="H11839">
        <v>134</v>
      </c>
      <c r="I11839">
        <v>848</v>
      </c>
      <c r="J11839">
        <v>39</v>
      </c>
      <c r="K11839" t="b">
        <v>1</v>
      </c>
    </row>
    <row r="11840" spans="8:11" x14ac:dyDescent="0.25">
      <c r="H11840">
        <v>134</v>
      </c>
      <c r="I11840">
        <v>852</v>
      </c>
      <c r="J11840">
        <v>39</v>
      </c>
      <c r="K11840" t="b">
        <v>1</v>
      </c>
    </row>
    <row r="11841" spans="8:11" x14ac:dyDescent="0.25">
      <c r="H11841">
        <v>134</v>
      </c>
      <c r="I11841">
        <v>856</v>
      </c>
      <c r="J11841">
        <v>39</v>
      </c>
      <c r="K11841" t="b">
        <v>1</v>
      </c>
    </row>
    <row r="11842" spans="8:11" x14ac:dyDescent="0.25">
      <c r="H11842">
        <v>134</v>
      </c>
      <c r="I11842">
        <v>860</v>
      </c>
      <c r="J11842">
        <v>39</v>
      </c>
      <c r="K11842" t="b">
        <v>1</v>
      </c>
    </row>
    <row r="11843" spans="8:11" x14ac:dyDescent="0.25">
      <c r="H11843">
        <v>134</v>
      </c>
      <c r="I11843">
        <v>864</v>
      </c>
      <c r="J11843">
        <v>39</v>
      </c>
      <c r="K11843" t="b">
        <v>1</v>
      </c>
    </row>
    <row r="11844" spans="8:11" x14ac:dyDescent="0.25">
      <c r="H11844">
        <v>134</v>
      </c>
      <c r="I11844">
        <v>868</v>
      </c>
      <c r="J11844">
        <v>39</v>
      </c>
      <c r="K11844" t="b">
        <v>1</v>
      </c>
    </row>
    <row r="11845" spans="8:11" x14ac:dyDescent="0.25">
      <c r="H11845">
        <v>134</v>
      </c>
      <c r="I11845">
        <v>872</v>
      </c>
      <c r="J11845">
        <v>39</v>
      </c>
      <c r="K11845" t="b">
        <v>1</v>
      </c>
    </row>
    <row r="11846" spans="8:11" x14ac:dyDescent="0.25">
      <c r="H11846">
        <v>134</v>
      </c>
      <c r="I11846">
        <v>876</v>
      </c>
      <c r="J11846">
        <v>39</v>
      </c>
      <c r="K11846" t="b">
        <v>1</v>
      </c>
    </row>
    <row r="11847" spans="8:11" x14ac:dyDescent="0.25">
      <c r="H11847">
        <v>134</v>
      </c>
      <c r="I11847">
        <v>880</v>
      </c>
      <c r="J11847">
        <v>39</v>
      </c>
      <c r="K11847" t="b">
        <v>1</v>
      </c>
    </row>
    <row r="11848" spans="8:11" x14ac:dyDescent="0.25">
      <c r="H11848">
        <v>134</v>
      </c>
      <c r="I11848">
        <v>884</v>
      </c>
      <c r="J11848">
        <v>39</v>
      </c>
      <c r="K11848" t="b">
        <v>1</v>
      </c>
    </row>
    <row r="11849" spans="8:11" x14ac:dyDescent="0.25">
      <c r="H11849">
        <v>134</v>
      </c>
      <c r="I11849">
        <v>888</v>
      </c>
      <c r="J11849">
        <v>39</v>
      </c>
      <c r="K11849" t="b">
        <v>1</v>
      </c>
    </row>
    <row r="11850" spans="8:11" x14ac:dyDescent="0.25">
      <c r="H11850">
        <v>134</v>
      </c>
      <c r="I11850">
        <v>892</v>
      </c>
      <c r="J11850">
        <v>39</v>
      </c>
      <c r="K11850" t="b">
        <v>1</v>
      </c>
    </row>
    <row r="11851" spans="8:11" x14ac:dyDescent="0.25">
      <c r="H11851">
        <v>134</v>
      </c>
      <c r="I11851">
        <v>896</v>
      </c>
      <c r="J11851">
        <v>39</v>
      </c>
      <c r="K11851" t="b">
        <v>1</v>
      </c>
    </row>
    <row r="11852" spans="8:11" x14ac:dyDescent="0.25">
      <c r="H11852">
        <v>134</v>
      </c>
      <c r="I11852">
        <v>900</v>
      </c>
      <c r="J11852">
        <v>39</v>
      </c>
      <c r="K11852" t="b">
        <v>1</v>
      </c>
    </row>
    <row r="11853" spans="8:11" x14ac:dyDescent="0.25">
      <c r="H11853">
        <v>134</v>
      </c>
      <c r="I11853">
        <v>904</v>
      </c>
      <c r="J11853">
        <v>39</v>
      </c>
      <c r="K11853" t="b">
        <v>1</v>
      </c>
    </row>
    <row r="11854" spans="8:11" x14ac:dyDescent="0.25">
      <c r="H11854">
        <v>134</v>
      </c>
      <c r="I11854">
        <v>908</v>
      </c>
      <c r="J11854">
        <v>39</v>
      </c>
      <c r="K11854" t="b">
        <v>1</v>
      </c>
    </row>
    <row r="11855" spans="8:11" x14ac:dyDescent="0.25">
      <c r="H11855">
        <v>134</v>
      </c>
      <c r="I11855">
        <v>912</v>
      </c>
      <c r="J11855">
        <v>39</v>
      </c>
      <c r="K11855" t="b">
        <v>1</v>
      </c>
    </row>
    <row r="11856" spans="8:11" x14ac:dyDescent="0.25">
      <c r="H11856">
        <v>134</v>
      </c>
      <c r="I11856">
        <v>916</v>
      </c>
      <c r="J11856">
        <v>39</v>
      </c>
      <c r="K11856" t="b">
        <v>1</v>
      </c>
    </row>
    <row r="11857" spans="8:11" x14ac:dyDescent="0.25">
      <c r="H11857">
        <v>134</v>
      </c>
      <c r="I11857">
        <v>920</v>
      </c>
      <c r="J11857">
        <v>39</v>
      </c>
      <c r="K11857" t="b">
        <v>1</v>
      </c>
    </row>
    <row r="11858" spans="8:11" x14ac:dyDescent="0.25">
      <c r="H11858">
        <v>134</v>
      </c>
      <c r="I11858">
        <v>924</v>
      </c>
      <c r="J11858">
        <v>39</v>
      </c>
      <c r="K11858" t="b">
        <v>1</v>
      </c>
    </row>
    <row r="11859" spans="8:11" x14ac:dyDescent="0.25">
      <c r="H11859">
        <v>134</v>
      </c>
      <c r="I11859">
        <v>928</v>
      </c>
      <c r="J11859">
        <v>39</v>
      </c>
      <c r="K11859" t="b">
        <v>1</v>
      </c>
    </row>
    <row r="11860" spans="8:11" x14ac:dyDescent="0.25">
      <c r="H11860">
        <v>134</v>
      </c>
      <c r="I11860">
        <v>932</v>
      </c>
      <c r="J11860">
        <v>39</v>
      </c>
      <c r="K11860" t="b">
        <v>1</v>
      </c>
    </row>
    <row r="11861" spans="8:11" x14ac:dyDescent="0.25">
      <c r="H11861">
        <v>134</v>
      </c>
      <c r="I11861">
        <v>936</v>
      </c>
      <c r="J11861">
        <v>39</v>
      </c>
      <c r="K11861" t="b">
        <v>1</v>
      </c>
    </row>
    <row r="11862" spans="8:11" x14ac:dyDescent="0.25">
      <c r="H11862">
        <v>134</v>
      </c>
      <c r="I11862">
        <v>940</v>
      </c>
      <c r="J11862">
        <v>39</v>
      </c>
      <c r="K11862" t="b">
        <v>1</v>
      </c>
    </row>
    <row r="11863" spans="8:11" x14ac:dyDescent="0.25">
      <c r="H11863">
        <v>134</v>
      </c>
      <c r="I11863">
        <v>944</v>
      </c>
      <c r="J11863">
        <v>39</v>
      </c>
      <c r="K11863" t="b">
        <v>1</v>
      </c>
    </row>
    <row r="11864" spans="8:11" x14ac:dyDescent="0.25">
      <c r="H11864">
        <v>134</v>
      </c>
      <c r="I11864">
        <v>948</v>
      </c>
      <c r="J11864">
        <v>39</v>
      </c>
      <c r="K11864" t="b">
        <v>1</v>
      </c>
    </row>
    <row r="11865" spans="8:11" x14ac:dyDescent="0.25">
      <c r="H11865">
        <v>134</v>
      </c>
      <c r="I11865">
        <v>952</v>
      </c>
      <c r="J11865">
        <v>39</v>
      </c>
      <c r="K11865" t="b">
        <v>1</v>
      </c>
    </row>
    <row r="11866" spans="8:11" x14ac:dyDescent="0.25">
      <c r="H11866">
        <v>134</v>
      </c>
      <c r="I11866">
        <v>956</v>
      </c>
      <c r="J11866">
        <v>39</v>
      </c>
      <c r="K11866" t="b">
        <v>1</v>
      </c>
    </row>
    <row r="11867" spans="8:11" x14ac:dyDescent="0.25">
      <c r="H11867">
        <v>135</v>
      </c>
      <c r="I11867">
        <v>0</v>
      </c>
      <c r="J11867">
        <v>39</v>
      </c>
      <c r="K11867" t="b">
        <v>1</v>
      </c>
    </row>
    <row r="11868" spans="8:11" x14ac:dyDescent="0.25">
      <c r="H11868">
        <v>135</v>
      </c>
      <c r="I11868">
        <v>7</v>
      </c>
      <c r="J11868">
        <v>39</v>
      </c>
      <c r="K11868" t="b">
        <v>1</v>
      </c>
    </row>
    <row r="11869" spans="8:11" x14ac:dyDescent="0.25">
      <c r="H11869">
        <v>135</v>
      </c>
      <c r="I11869">
        <v>14</v>
      </c>
      <c r="J11869">
        <v>39</v>
      </c>
      <c r="K11869" t="b">
        <v>1</v>
      </c>
    </row>
    <row r="11870" spans="8:11" x14ac:dyDescent="0.25">
      <c r="H11870">
        <v>135</v>
      </c>
      <c r="I11870">
        <v>21</v>
      </c>
      <c r="J11870">
        <v>39</v>
      </c>
      <c r="K11870" t="b">
        <v>1</v>
      </c>
    </row>
    <row r="11871" spans="8:11" x14ac:dyDescent="0.25">
      <c r="H11871">
        <v>135</v>
      </c>
      <c r="I11871">
        <v>28</v>
      </c>
      <c r="J11871">
        <v>39</v>
      </c>
      <c r="K11871" t="b">
        <v>1</v>
      </c>
    </row>
    <row r="11872" spans="8:11" x14ac:dyDescent="0.25">
      <c r="H11872">
        <v>135</v>
      </c>
      <c r="I11872">
        <v>35</v>
      </c>
      <c r="J11872">
        <v>39</v>
      </c>
      <c r="K11872" t="b">
        <v>1</v>
      </c>
    </row>
    <row r="11873" spans="8:11" x14ac:dyDescent="0.25">
      <c r="H11873">
        <v>135</v>
      </c>
      <c r="I11873">
        <v>42</v>
      </c>
      <c r="J11873">
        <v>39</v>
      </c>
      <c r="K11873" t="b">
        <v>1</v>
      </c>
    </row>
    <row r="11874" spans="8:11" x14ac:dyDescent="0.25">
      <c r="H11874">
        <v>135</v>
      </c>
      <c r="I11874">
        <v>49</v>
      </c>
      <c r="J11874">
        <v>39</v>
      </c>
      <c r="K11874" t="b">
        <v>1</v>
      </c>
    </row>
    <row r="11875" spans="8:11" x14ac:dyDescent="0.25">
      <c r="H11875">
        <v>135</v>
      </c>
      <c r="I11875">
        <v>56</v>
      </c>
      <c r="J11875">
        <v>39</v>
      </c>
      <c r="K11875" t="b">
        <v>1</v>
      </c>
    </row>
    <row r="11876" spans="8:11" x14ac:dyDescent="0.25">
      <c r="H11876">
        <v>135</v>
      </c>
      <c r="I11876">
        <v>63</v>
      </c>
      <c r="J11876">
        <v>39</v>
      </c>
      <c r="K11876" t="b">
        <v>1</v>
      </c>
    </row>
    <row r="11877" spans="8:11" x14ac:dyDescent="0.25">
      <c r="H11877">
        <v>135</v>
      </c>
      <c r="I11877">
        <v>70</v>
      </c>
      <c r="J11877">
        <v>39</v>
      </c>
      <c r="K11877" t="b">
        <v>1</v>
      </c>
    </row>
    <row r="11878" spans="8:11" x14ac:dyDescent="0.25">
      <c r="H11878">
        <v>135</v>
      </c>
      <c r="I11878">
        <v>77</v>
      </c>
      <c r="J11878">
        <v>39</v>
      </c>
      <c r="K11878" t="b">
        <v>1</v>
      </c>
    </row>
    <row r="11879" spans="8:11" x14ac:dyDescent="0.25">
      <c r="H11879">
        <v>135</v>
      </c>
      <c r="I11879">
        <v>84</v>
      </c>
      <c r="J11879">
        <v>39</v>
      </c>
      <c r="K11879" t="b">
        <v>1</v>
      </c>
    </row>
    <row r="11880" spans="8:11" x14ac:dyDescent="0.25">
      <c r="H11880">
        <v>135</v>
      </c>
      <c r="I11880">
        <v>91</v>
      </c>
      <c r="J11880">
        <v>39</v>
      </c>
      <c r="K11880" t="b">
        <v>1</v>
      </c>
    </row>
    <row r="11881" spans="8:11" x14ac:dyDescent="0.25">
      <c r="H11881">
        <v>135</v>
      </c>
      <c r="I11881">
        <v>98</v>
      </c>
      <c r="J11881">
        <v>39</v>
      </c>
      <c r="K11881" t="b">
        <v>1</v>
      </c>
    </row>
    <row r="11882" spans="8:11" x14ac:dyDescent="0.25">
      <c r="H11882">
        <v>135</v>
      </c>
      <c r="I11882">
        <v>105</v>
      </c>
      <c r="J11882">
        <v>39</v>
      </c>
      <c r="K11882" t="b">
        <v>1</v>
      </c>
    </row>
    <row r="11883" spans="8:11" x14ac:dyDescent="0.25">
      <c r="H11883">
        <v>135</v>
      </c>
      <c r="I11883">
        <v>112</v>
      </c>
      <c r="J11883">
        <v>39</v>
      </c>
      <c r="K11883" t="b">
        <v>1</v>
      </c>
    </row>
    <row r="11884" spans="8:11" x14ac:dyDescent="0.25">
      <c r="H11884">
        <v>135</v>
      </c>
      <c r="I11884">
        <v>119</v>
      </c>
      <c r="J11884">
        <v>39</v>
      </c>
      <c r="K11884" t="b">
        <v>1</v>
      </c>
    </row>
    <row r="11885" spans="8:11" x14ac:dyDescent="0.25">
      <c r="H11885">
        <v>135</v>
      </c>
      <c r="I11885">
        <v>126</v>
      </c>
      <c r="J11885">
        <v>39</v>
      </c>
      <c r="K11885" t="b">
        <v>1</v>
      </c>
    </row>
    <row r="11886" spans="8:11" x14ac:dyDescent="0.25">
      <c r="H11886">
        <v>135</v>
      </c>
      <c r="I11886">
        <v>133</v>
      </c>
      <c r="J11886">
        <v>39</v>
      </c>
      <c r="K11886" t="b">
        <v>1</v>
      </c>
    </row>
    <row r="11887" spans="8:11" x14ac:dyDescent="0.25">
      <c r="H11887">
        <v>135</v>
      </c>
      <c r="I11887">
        <v>140</v>
      </c>
      <c r="J11887">
        <v>39</v>
      </c>
      <c r="K11887" t="b">
        <v>1</v>
      </c>
    </row>
    <row r="11888" spans="8:11" x14ac:dyDescent="0.25">
      <c r="H11888">
        <v>135</v>
      </c>
      <c r="I11888">
        <v>147</v>
      </c>
      <c r="J11888">
        <v>39</v>
      </c>
      <c r="K11888" t="b">
        <v>1</v>
      </c>
    </row>
    <row r="11889" spans="8:11" x14ac:dyDescent="0.25">
      <c r="H11889">
        <v>135</v>
      </c>
      <c r="I11889">
        <v>154</v>
      </c>
      <c r="J11889">
        <v>39</v>
      </c>
      <c r="K11889" t="b">
        <v>1</v>
      </c>
    </row>
    <row r="11890" spans="8:11" x14ac:dyDescent="0.25">
      <c r="H11890">
        <v>135</v>
      </c>
      <c r="I11890">
        <v>161</v>
      </c>
      <c r="J11890">
        <v>39</v>
      </c>
      <c r="K11890" t="b">
        <v>1</v>
      </c>
    </row>
    <row r="11891" spans="8:11" x14ac:dyDescent="0.25">
      <c r="H11891">
        <v>135</v>
      </c>
      <c r="I11891">
        <v>168</v>
      </c>
      <c r="J11891">
        <v>39</v>
      </c>
      <c r="K11891" t="b">
        <v>1</v>
      </c>
    </row>
    <row r="11892" spans="8:11" x14ac:dyDescent="0.25">
      <c r="H11892">
        <v>135</v>
      </c>
      <c r="I11892">
        <v>175</v>
      </c>
      <c r="J11892">
        <v>39</v>
      </c>
      <c r="K11892" t="b">
        <v>1</v>
      </c>
    </row>
    <row r="11893" spans="8:11" x14ac:dyDescent="0.25">
      <c r="H11893">
        <v>135</v>
      </c>
      <c r="I11893">
        <v>182</v>
      </c>
      <c r="J11893">
        <v>39</v>
      </c>
      <c r="K11893" t="b">
        <v>1</v>
      </c>
    </row>
    <row r="11894" spans="8:11" x14ac:dyDescent="0.25">
      <c r="H11894">
        <v>135</v>
      </c>
      <c r="I11894">
        <v>189</v>
      </c>
      <c r="J11894">
        <v>39</v>
      </c>
      <c r="K11894" t="b">
        <v>1</v>
      </c>
    </row>
    <row r="11895" spans="8:11" x14ac:dyDescent="0.25">
      <c r="H11895">
        <v>135</v>
      </c>
      <c r="I11895">
        <v>196</v>
      </c>
      <c r="J11895">
        <v>39</v>
      </c>
      <c r="K11895" t="b">
        <v>1</v>
      </c>
    </row>
    <row r="11896" spans="8:11" x14ac:dyDescent="0.25">
      <c r="H11896">
        <v>135</v>
      </c>
      <c r="I11896">
        <v>203</v>
      </c>
      <c r="J11896">
        <v>39</v>
      </c>
      <c r="K11896" t="b">
        <v>1</v>
      </c>
    </row>
    <row r="11897" spans="8:11" x14ac:dyDescent="0.25">
      <c r="H11897">
        <v>135</v>
      </c>
      <c r="I11897">
        <v>210</v>
      </c>
      <c r="J11897">
        <v>39</v>
      </c>
      <c r="K11897" t="b">
        <v>1</v>
      </c>
    </row>
    <row r="11898" spans="8:11" x14ac:dyDescent="0.25">
      <c r="H11898">
        <v>135</v>
      </c>
      <c r="I11898">
        <v>217</v>
      </c>
      <c r="J11898">
        <v>39</v>
      </c>
      <c r="K11898" t="b">
        <v>1</v>
      </c>
    </row>
    <row r="11899" spans="8:11" x14ac:dyDescent="0.25">
      <c r="H11899">
        <v>135</v>
      </c>
      <c r="I11899">
        <v>224</v>
      </c>
      <c r="J11899">
        <v>39</v>
      </c>
      <c r="K11899" t="b">
        <v>1</v>
      </c>
    </row>
    <row r="11900" spans="8:11" x14ac:dyDescent="0.25">
      <c r="H11900">
        <v>135</v>
      </c>
      <c r="I11900">
        <v>231</v>
      </c>
      <c r="J11900">
        <v>39</v>
      </c>
      <c r="K11900" t="b">
        <v>1</v>
      </c>
    </row>
    <row r="11901" spans="8:11" x14ac:dyDescent="0.25">
      <c r="H11901">
        <v>135</v>
      </c>
      <c r="I11901">
        <v>238</v>
      </c>
      <c r="J11901">
        <v>39</v>
      </c>
      <c r="K11901" t="b">
        <v>1</v>
      </c>
    </row>
    <row r="11902" spans="8:11" x14ac:dyDescent="0.25">
      <c r="H11902">
        <v>135</v>
      </c>
      <c r="I11902">
        <v>245</v>
      </c>
      <c r="J11902">
        <v>39</v>
      </c>
      <c r="K11902" t="b">
        <v>1</v>
      </c>
    </row>
    <row r="11903" spans="8:11" x14ac:dyDescent="0.25">
      <c r="H11903">
        <v>135</v>
      </c>
      <c r="I11903">
        <v>252</v>
      </c>
      <c r="J11903">
        <v>39</v>
      </c>
      <c r="K11903" t="b">
        <v>1</v>
      </c>
    </row>
    <row r="11904" spans="8:11" x14ac:dyDescent="0.25">
      <c r="H11904">
        <v>135</v>
      </c>
      <c r="I11904">
        <v>259</v>
      </c>
      <c r="J11904">
        <v>39</v>
      </c>
      <c r="K11904" t="b">
        <v>1</v>
      </c>
    </row>
    <row r="11905" spans="8:11" x14ac:dyDescent="0.25">
      <c r="H11905">
        <v>135</v>
      </c>
      <c r="I11905">
        <v>266</v>
      </c>
      <c r="J11905">
        <v>39</v>
      </c>
      <c r="K11905" t="b">
        <v>1</v>
      </c>
    </row>
    <row r="11906" spans="8:11" x14ac:dyDescent="0.25">
      <c r="H11906">
        <v>135</v>
      </c>
      <c r="I11906">
        <v>273</v>
      </c>
      <c r="J11906">
        <v>39</v>
      </c>
      <c r="K11906" t="b">
        <v>1</v>
      </c>
    </row>
    <row r="11907" spans="8:11" x14ac:dyDescent="0.25">
      <c r="H11907">
        <v>135</v>
      </c>
      <c r="I11907">
        <v>280</v>
      </c>
      <c r="J11907">
        <v>39</v>
      </c>
      <c r="K11907" t="b">
        <v>1</v>
      </c>
    </row>
    <row r="11908" spans="8:11" x14ac:dyDescent="0.25">
      <c r="H11908">
        <v>135</v>
      </c>
      <c r="I11908">
        <v>287</v>
      </c>
      <c r="J11908">
        <v>39</v>
      </c>
      <c r="K11908" t="b">
        <v>1</v>
      </c>
    </row>
    <row r="11909" spans="8:11" x14ac:dyDescent="0.25">
      <c r="H11909">
        <v>135</v>
      </c>
      <c r="I11909">
        <v>294</v>
      </c>
      <c r="J11909">
        <v>39</v>
      </c>
      <c r="K11909" t="b">
        <v>1</v>
      </c>
    </row>
    <row r="11910" spans="8:11" x14ac:dyDescent="0.25">
      <c r="H11910">
        <v>135</v>
      </c>
      <c r="I11910">
        <v>301</v>
      </c>
      <c r="J11910">
        <v>39</v>
      </c>
      <c r="K11910" t="b">
        <v>1</v>
      </c>
    </row>
    <row r="11911" spans="8:11" x14ac:dyDescent="0.25">
      <c r="H11911">
        <v>135</v>
      </c>
      <c r="I11911">
        <v>308</v>
      </c>
      <c r="J11911">
        <v>39</v>
      </c>
      <c r="K11911" t="b">
        <v>1</v>
      </c>
    </row>
    <row r="11912" spans="8:11" x14ac:dyDescent="0.25">
      <c r="H11912">
        <v>135</v>
      </c>
      <c r="I11912">
        <v>315</v>
      </c>
      <c r="J11912">
        <v>39</v>
      </c>
      <c r="K11912" t="b">
        <v>1</v>
      </c>
    </row>
    <row r="11913" spans="8:11" x14ac:dyDescent="0.25">
      <c r="H11913">
        <v>135</v>
      </c>
      <c r="I11913">
        <v>322</v>
      </c>
      <c r="J11913">
        <v>39</v>
      </c>
      <c r="K11913" t="b">
        <v>1</v>
      </c>
    </row>
    <row r="11914" spans="8:11" x14ac:dyDescent="0.25">
      <c r="H11914">
        <v>135</v>
      </c>
      <c r="I11914">
        <v>329</v>
      </c>
      <c r="J11914">
        <v>39</v>
      </c>
      <c r="K11914" t="b">
        <v>1</v>
      </c>
    </row>
    <row r="11915" spans="8:11" x14ac:dyDescent="0.25">
      <c r="H11915">
        <v>135</v>
      </c>
      <c r="I11915">
        <v>336</v>
      </c>
      <c r="J11915">
        <v>39</v>
      </c>
      <c r="K11915" t="b">
        <v>1</v>
      </c>
    </row>
    <row r="11916" spans="8:11" x14ac:dyDescent="0.25">
      <c r="H11916">
        <v>135</v>
      </c>
      <c r="I11916">
        <v>343</v>
      </c>
      <c r="J11916">
        <v>39</v>
      </c>
      <c r="K11916" t="b">
        <v>1</v>
      </c>
    </row>
    <row r="11917" spans="8:11" x14ac:dyDescent="0.25">
      <c r="H11917">
        <v>135</v>
      </c>
      <c r="I11917">
        <v>350</v>
      </c>
      <c r="J11917">
        <v>39</v>
      </c>
      <c r="K11917" t="b">
        <v>1</v>
      </c>
    </row>
    <row r="11918" spans="8:11" x14ac:dyDescent="0.25">
      <c r="H11918">
        <v>135</v>
      </c>
      <c r="I11918">
        <v>357</v>
      </c>
      <c r="J11918">
        <v>39</v>
      </c>
      <c r="K11918" t="b">
        <v>1</v>
      </c>
    </row>
    <row r="11919" spans="8:11" x14ac:dyDescent="0.25">
      <c r="H11919">
        <v>135</v>
      </c>
      <c r="I11919">
        <v>364</v>
      </c>
      <c r="J11919">
        <v>39</v>
      </c>
      <c r="K11919" t="b">
        <v>1</v>
      </c>
    </row>
    <row r="11920" spans="8:11" x14ac:dyDescent="0.25">
      <c r="H11920">
        <v>135</v>
      </c>
      <c r="I11920">
        <v>371</v>
      </c>
      <c r="J11920">
        <v>39</v>
      </c>
      <c r="K11920" t="b">
        <v>1</v>
      </c>
    </row>
    <row r="11921" spans="8:11" x14ac:dyDescent="0.25">
      <c r="H11921">
        <v>135</v>
      </c>
      <c r="I11921">
        <v>378</v>
      </c>
      <c r="J11921">
        <v>39</v>
      </c>
      <c r="K11921" t="b">
        <v>1</v>
      </c>
    </row>
    <row r="11922" spans="8:11" x14ac:dyDescent="0.25">
      <c r="H11922">
        <v>135</v>
      </c>
      <c r="I11922">
        <v>385</v>
      </c>
      <c r="J11922">
        <v>39</v>
      </c>
      <c r="K11922" t="b">
        <v>1</v>
      </c>
    </row>
    <row r="11923" spans="8:11" x14ac:dyDescent="0.25">
      <c r="H11923">
        <v>135</v>
      </c>
      <c r="I11923">
        <v>392</v>
      </c>
      <c r="J11923">
        <v>39</v>
      </c>
      <c r="K11923" t="b">
        <v>1</v>
      </c>
    </row>
    <row r="11924" spans="8:11" x14ac:dyDescent="0.25">
      <c r="H11924">
        <v>135</v>
      </c>
      <c r="I11924">
        <v>399</v>
      </c>
      <c r="J11924">
        <v>39</v>
      </c>
      <c r="K11924" t="b">
        <v>1</v>
      </c>
    </row>
    <row r="11925" spans="8:11" x14ac:dyDescent="0.25">
      <c r="H11925">
        <v>135</v>
      </c>
      <c r="I11925">
        <v>406</v>
      </c>
      <c r="J11925">
        <v>39</v>
      </c>
      <c r="K11925" t="b">
        <v>1</v>
      </c>
    </row>
    <row r="11926" spans="8:11" x14ac:dyDescent="0.25">
      <c r="H11926">
        <v>135</v>
      </c>
      <c r="I11926">
        <v>413</v>
      </c>
      <c r="J11926">
        <v>39</v>
      </c>
      <c r="K11926" t="b">
        <v>1</v>
      </c>
    </row>
    <row r="11927" spans="8:11" x14ac:dyDescent="0.25">
      <c r="H11927">
        <v>135</v>
      </c>
      <c r="I11927">
        <v>420</v>
      </c>
      <c r="J11927">
        <v>39</v>
      </c>
      <c r="K11927" t="b">
        <v>1</v>
      </c>
    </row>
    <row r="11928" spans="8:11" x14ac:dyDescent="0.25">
      <c r="H11928">
        <v>135</v>
      </c>
      <c r="I11928">
        <v>427</v>
      </c>
      <c r="J11928">
        <v>39</v>
      </c>
      <c r="K11928" t="b">
        <v>1</v>
      </c>
    </row>
    <row r="11929" spans="8:11" x14ac:dyDescent="0.25">
      <c r="H11929">
        <v>135</v>
      </c>
      <c r="I11929">
        <v>434</v>
      </c>
      <c r="J11929">
        <v>39</v>
      </c>
      <c r="K11929" t="b">
        <v>1</v>
      </c>
    </row>
    <row r="11930" spans="8:11" x14ac:dyDescent="0.25">
      <c r="H11930">
        <v>135</v>
      </c>
      <c r="I11930">
        <v>441</v>
      </c>
      <c r="J11930">
        <v>39</v>
      </c>
      <c r="K11930" t="b">
        <v>1</v>
      </c>
    </row>
    <row r="11931" spans="8:11" x14ac:dyDescent="0.25">
      <c r="H11931">
        <v>135</v>
      </c>
      <c r="I11931">
        <v>448</v>
      </c>
      <c r="J11931">
        <v>39</v>
      </c>
      <c r="K11931" t="b">
        <v>1</v>
      </c>
    </row>
    <row r="11932" spans="8:11" x14ac:dyDescent="0.25">
      <c r="H11932">
        <v>135</v>
      </c>
      <c r="I11932">
        <v>455</v>
      </c>
      <c r="J11932">
        <v>39</v>
      </c>
      <c r="K11932" t="b">
        <v>1</v>
      </c>
    </row>
    <row r="11933" spans="8:11" x14ac:dyDescent="0.25">
      <c r="H11933">
        <v>135</v>
      </c>
      <c r="I11933">
        <v>462</v>
      </c>
      <c r="J11933">
        <v>39</v>
      </c>
      <c r="K11933" t="b">
        <v>1</v>
      </c>
    </row>
    <row r="11934" spans="8:11" x14ac:dyDescent="0.25">
      <c r="H11934">
        <v>135</v>
      </c>
      <c r="I11934">
        <v>469</v>
      </c>
      <c r="J11934">
        <v>39</v>
      </c>
      <c r="K11934" t="b">
        <v>1</v>
      </c>
    </row>
    <row r="11935" spans="8:11" x14ac:dyDescent="0.25">
      <c r="H11935">
        <v>135</v>
      </c>
      <c r="I11935">
        <v>476</v>
      </c>
      <c r="J11935">
        <v>39</v>
      </c>
      <c r="K11935" t="b">
        <v>1</v>
      </c>
    </row>
    <row r="11936" spans="8:11" x14ac:dyDescent="0.25">
      <c r="H11936">
        <v>135</v>
      </c>
      <c r="I11936">
        <v>483</v>
      </c>
      <c r="J11936">
        <v>39</v>
      </c>
      <c r="K11936" t="b">
        <v>1</v>
      </c>
    </row>
    <row r="11937" spans="8:11" x14ac:dyDescent="0.25">
      <c r="H11937">
        <v>135</v>
      </c>
      <c r="I11937">
        <v>490</v>
      </c>
      <c r="J11937">
        <v>39</v>
      </c>
      <c r="K11937" t="b">
        <v>1</v>
      </c>
    </row>
    <row r="11938" spans="8:11" x14ac:dyDescent="0.25">
      <c r="H11938">
        <v>135</v>
      </c>
      <c r="I11938">
        <v>497</v>
      </c>
      <c r="J11938">
        <v>39</v>
      </c>
      <c r="K11938" t="b">
        <v>1</v>
      </c>
    </row>
    <row r="11939" spans="8:11" x14ac:dyDescent="0.25">
      <c r="H11939">
        <v>135</v>
      </c>
      <c r="I11939">
        <v>504</v>
      </c>
      <c r="J11939">
        <v>39</v>
      </c>
      <c r="K11939" t="b">
        <v>1</v>
      </c>
    </row>
    <row r="11940" spans="8:11" x14ac:dyDescent="0.25">
      <c r="H11940">
        <v>135</v>
      </c>
      <c r="I11940">
        <v>511</v>
      </c>
      <c r="J11940">
        <v>39</v>
      </c>
      <c r="K11940" t="b">
        <v>1</v>
      </c>
    </row>
    <row r="11941" spans="8:11" x14ac:dyDescent="0.25">
      <c r="H11941">
        <v>135</v>
      </c>
      <c r="I11941">
        <v>518</v>
      </c>
      <c r="J11941">
        <v>39</v>
      </c>
      <c r="K11941" t="b">
        <v>1</v>
      </c>
    </row>
    <row r="11942" spans="8:11" x14ac:dyDescent="0.25">
      <c r="H11942">
        <v>135</v>
      </c>
      <c r="I11942">
        <v>525</v>
      </c>
      <c r="J11942">
        <v>39</v>
      </c>
      <c r="K11942" t="b">
        <v>1</v>
      </c>
    </row>
    <row r="11943" spans="8:11" x14ac:dyDescent="0.25">
      <c r="H11943">
        <v>135</v>
      </c>
      <c r="I11943">
        <v>532</v>
      </c>
      <c r="J11943">
        <v>39</v>
      </c>
      <c r="K11943" t="b">
        <v>1</v>
      </c>
    </row>
    <row r="11944" spans="8:11" x14ac:dyDescent="0.25">
      <c r="H11944">
        <v>135</v>
      </c>
      <c r="I11944">
        <v>539</v>
      </c>
      <c r="J11944">
        <v>39</v>
      </c>
      <c r="K11944" t="b">
        <v>1</v>
      </c>
    </row>
    <row r="11945" spans="8:11" x14ac:dyDescent="0.25">
      <c r="H11945">
        <v>135</v>
      </c>
      <c r="I11945">
        <v>546</v>
      </c>
      <c r="J11945">
        <v>39</v>
      </c>
      <c r="K11945" t="b">
        <v>1</v>
      </c>
    </row>
    <row r="11946" spans="8:11" x14ac:dyDescent="0.25">
      <c r="H11946">
        <v>135</v>
      </c>
      <c r="I11946">
        <v>553</v>
      </c>
      <c r="J11946">
        <v>39</v>
      </c>
      <c r="K11946" t="b">
        <v>1</v>
      </c>
    </row>
    <row r="11947" spans="8:11" x14ac:dyDescent="0.25">
      <c r="H11947">
        <v>135</v>
      </c>
      <c r="I11947">
        <v>560</v>
      </c>
      <c r="J11947">
        <v>39</v>
      </c>
      <c r="K11947" t="b">
        <v>1</v>
      </c>
    </row>
    <row r="11948" spans="8:11" x14ac:dyDescent="0.25">
      <c r="H11948">
        <v>135</v>
      </c>
      <c r="I11948">
        <v>567</v>
      </c>
      <c r="J11948">
        <v>39</v>
      </c>
      <c r="K11948" t="b">
        <v>1</v>
      </c>
    </row>
    <row r="11949" spans="8:11" x14ac:dyDescent="0.25">
      <c r="H11949">
        <v>135</v>
      </c>
      <c r="I11949">
        <v>574</v>
      </c>
      <c r="J11949">
        <v>39</v>
      </c>
      <c r="K11949" t="b">
        <v>1</v>
      </c>
    </row>
    <row r="11950" spans="8:11" x14ac:dyDescent="0.25">
      <c r="H11950">
        <v>135</v>
      </c>
      <c r="I11950">
        <v>581</v>
      </c>
      <c r="J11950">
        <v>39</v>
      </c>
      <c r="K11950" t="b">
        <v>1</v>
      </c>
    </row>
    <row r="11951" spans="8:11" x14ac:dyDescent="0.25">
      <c r="H11951">
        <v>135</v>
      </c>
      <c r="I11951">
        <v>588</v>
      </c>
      <c r="J11951">
        <v>39</v>
      </c>
      <c r="K11951" t="b">
        <v>1</v>
      </c>
    </row>
    <row r="11952" spans="8:11" x14ac:dyDescent="0.25">
      <c r="H11952">
        <v>135</v>
      </c>
      <c r="I11952">
        <v>595</v>
      </c>
      <c r="J11952">
        <v>39</v>
      </c>
      <c r="K11952" t="b">
        <v>1</v>
      </c>
    </row>
    <row r="11953" spans="8:11" x14ac:dyDescent="0.25">
      <c r="H11953">
        <v>135</v>
      </c>
      <c r="I11953">
        <v>602</v>
      </c>
      <c r="J11953">
        <v>39</v>
      </c>
      <c r="K11953" t="b">
        <v>1</v>
      </c>
    </row>
    <row r="11954" spans="8:11" x14ac:dyDescent="0.25">
      <c r="H11954">
        <v>135</v>
      </c>
      <c r="I11954">
        <v>609</v>
      </c>
      <c r="J11954">
        <v>39</v>
      </c>
      <c r="K11954" t="b">
        <v>1</v>
      </c>
    </row>
    <row r="11955" spans="8:11" x14ac:dyDescent="0.25">
      <c r="H11955">
        <v>135</v>
      </c>
      <c r="I11955">
        <v>616</v>
      </c>
      <c r="J11955">
        <v>39</v>
      </c>
      <c r="K11955" t="b">
        <v>1</v>
      </c>
    </row>
    <row r="11956" spans="8:11" x14ac:dyDescent="0.25">
      <c r="H11956">
        <v>135</v>
      </c>
      <c r="I11956">
        <v>623</v>
      </c>
      <c r="J11956">
        <v>39</v>
      </c>
      <c r="K11956" t="b">
        <v>1</v>
      </c>
    </row>
    <row r="11957" spans="8:11" x14ac:dyDescent="0.25">
      <c r="H11957">
        <v>135</v>
      </c>
      <c r="I11957">
        <v>630</v>
      </c>
      <c r="J11957">
        <v>39</v>
      </c>
      <c r="K11957" t="b">
        <v>1</v>
      </c>
    </row>
    <row r="11958" spans="8:11" x14ac:dyDescent="0.25">
      <c r="H11958">
        <v>135</v>
      </c>
      <c r="I11958">
        <v>637</v>
      </c>
      <c r="J11958">
        <v>39</v>
      </c>
      <c r="K11958" t="b">
        <v>1</v>
      </c>
    </row>
    <row r="11959" spans="8:11" x14ac:dyDescent="0.25">
      <c r="H11959">
        <v>135</v>
      </c>
      <c r="I11959">
        <v>644</v>
      </c>
      <c r="J11959">
        <v>39</v>
      </c>
      <c r="K11959" t="b">
        <v>1</v>
      </c>
    </row>
    <row r="11960" spans="8:11" x14ac:dyDescent="0.25">
      <c r="H11960">
        <v>135</v>
      </c>
      <c r="I11960">
        <v>651</v>
      </c>
      <c r="J11960">
        <v>39</v>
      </c>
      <c r="K11960" t="b">
        <v>1</v>
      </c>
    </row>
    <row r="11961" spans="8:11" x14ac:dyDescent="0.25">
      <c r="H11961">
        <v>135</v>
      </c>
      <c r="I11961">
        <v>658</v>
      </c>
      <c r="J11961">
        <v>39</v>
      </c>
      <c r="K11961" t="b">
        <v>1</v>
      </c>
    </row>
    <row r="11962" spans="8:11" x14ac:dyDescent="0.25">
      <c r="H11962">
        <v>135</v>
      </c>
      <c r="I11962">
        <v>665</v>
      </c>
      <c r="J11962">
        <v>39</v>
      </c>
      <c r="K11962" t="b">
        <v>1</v>
      </c>
    </row>
    <row r="11963" spans="8:11" x14ac:dyDescent="0.25">
      <c r="H11963">
        <v>135</v>
      </c>
      <c r="I11963">
        <v>672</v>
      </c>
      <c r="J11963">
        <v>39</v>
      </c>
      <c r="K11963" t="b">
        <v>1</v>
      </c>
    </row>
    <row r="11964" spans="8:11" x14ac:dyDescent="0.25">
      <c r="H11964">
        <v>135</v>
      </c>
      <c r="I11964">
        <v>679</v>
      </c>
      <c r="J11964">
        <v>39</v>
      </c>
      <c r="K11964" t="b">
        <v>1</v>
      </c>
    </row>
    <row r="11965" spans="8:11" x14ac:dyDescent="0.25">
      <c r="H11965">
        <v>135</v>
      </c>
      <c r="I11965">
        <v>686</v>
      </c>
      <c r="J11965">
        <v>39</v>
      </c>
      <c r="K11965" t="b">
        <v>1</v>
      </c>
    </row>
    <row r="11966" spans="8:11" x14ac:dyDescent="0.25">
      <c r="H11966">
        <v>135</v>
      </c>
      <c r="I11966">
        <v>693</v>
      </c>
      <c r="J11966">
        <v>39</v>
      </c>
      <c r="K11966" t="b">
        <v>1</v>
      </c>
    </row>
    <row r="11967" spans="8:11" x14ac:dyDescent="0.25">
      <c r="H11967">
        <v>135</v>
      </c>
      <c r="I11967">
        <v>700</v>
      </c>
      <c r="J11967">
        <v>39</v>
      </c>
      <c r="K11967" t="b">
        <v>1</v>
      </c>
    </row>
    <row r="11968" spans="8:11" x14ac:dyDescent="0.25">
      <c r="H11968">
        <v>135</v>
      </c>
      <c r="I11968">
        <v>707</v>
      </c>
      <c r="J11968">
        <v>39</v>
      </c>
      <c r="K11968" t="b">
        <v>1</v>
      </c>
    </row>
    <row r="11969" spans="8:11" x14ac:dyDescent="0.25">
      <c r="H11969">
        <v>135</v>
      </c>
      <c r="I11969">
        <v>714</v>
      </c>
      <c r="J11969">
        <v>39</v>
      </c>
      <c r="K11969" t="b">
        <v>1</v>
      </c>
    </row>
    <row r="11970" spans="8:11" x14ac:dyDescent="0.25">
      <c r="H11970">
        <v>135</v>
      </c>
      <c r="I11970">
        <v>721</v>
      </c>
      <c r="J11970">
        <v>39</v>
      </c>
      <c r="K11970" t="b">
        <v>1</v>
      </c>
    </row>
    <row r="11971" spans="8:11" x14ac:dyDescent="0.25">
      <c r="H11971">
        <v>135</v>
      </c>
      <c r="I11971">
        <v>728</v>
      </c>
      <c r="J11971">
        <v>39</v>
      </c>
      <c r="K11971" t="b">
        <v>1</v>
      </c>
    </row>
    <row r="11972" spans="8:11" x14ac:dyDescent="0.25">
      <c r="H11972">
        <v>135</v>
      </c>
      <c r="I11972">
        <v>735</v>
      </c>
      <c r="J11972">
        <v>39</v>
      </c>
      <c r="K11972" t="b">
        <v>1</v>
      </c>
    </row>
    <row r="11973" spans="8:11" x14ac:dyDescent="0.25">
      <c r="H11973">
        <v>135</v>
      </c>
      <c r="I11973">
        <v>742</v>
      </c>
      <c r="J11973">
        <v>39</v>
      </c>
      <c r="K11973" t="b">
        <v>1</v>
      </c>
    </row>
    <row r="11974" spans="8:11" x14ac:dyDescent="0.25">
      <c r="H11974">
        <v>135</v>
      </c>
      <c r="I11974">
        <v>749</v>
      </c>
      <c r="J11974">
        <v>39</v>
      </c>
      <c r="K11974" t="b">
        <v>1</v>
      </c>
    </row>
    <row r="11975" spans="8:11" x14ac:dyDescent="0.25">
      <c r="H11975">
        <v>135</v>
      </c>
      <c r="I11975">
        <v>756</v>
      </c>
      <c r="J11975">
        <v>39</v>
      </c>
      <c r="K11975" t="b">
        <v>1</v>
      </c>
    </row>
    <row r="11976" spans="8:11" x14ac:dyDescent="0.25">
      <c r="H11976">
        <v>135</v>
      </c>
      <c r="I11976">
        <v>763</v>
      </c>
      <c r="J11976">
        <v>39</v>
      </c>
      <c r="K11976" t="b">
        <v>1</v>
      </c>
    </row>
    <row r="11977" spans="8:11" x14ac:dyDescent="0.25">
      <c r="H11977">
        <v>135</v>
      </c>
      <c r="I11977">
        <v>770</v>
      </c>
      <c r="J11977">
        <v>39</v>
      </c>
      <c r="K11977" t="b">
        <v>1</v>
      </c>
    </row>
    <row r="11978" spans="8:11" x14ac:dyDescent="0.25">
      <c r="H11978">
        <v>135</v>
      </c>
      <c r="I11978">
        <v>777</v>
      </c>
      <c r="J11978">
        <v>39</v>
      </c>
      <c r="K11978" t="b">
        <v>1</v>
      </c>
    </row>
    <row r="11979" spans="8:11" x14ac:dyDescent="0.25">
      <c r="H11979">
        <v>135</v>
      </c>
      <c r="I11979">
        <v>784</v>
      </c>
      <c r="J11979">
        <v>39</v>
      </c>
      <c r="K11979" t="b">
        <v>1</v>
      </c>
    </row>
    <row r="11980" spans="8:11" x14ac:dyDescent="0.25">
      <c r="H11980">
        <v>135</v>
      </c>
      <c r="I11980">
        <v>791</v>
      </c>
      <c r="J11980">
        <v>39</v>
      </c>
      <c r="K11980" t="b">
        <v>1</v>
      </c>
    </row>
    <row r="11981" spans="8:11" x14ac:dyDescent="0.25">
      <c r="H11981">
        <v>135</v>
      </c>
      <c r="I11981">
        <v>798</v>
      </c>
      <c r="J11981">
        <v>39</v>
      </c>
      <c r="K11981" t="b">
        <v>1</v>
      </c>
    </row>
    <row r="11982" spans="8:11" x14ac:dyDescent="0.25">
      <c r="H11982">
        <v>135</v>
      </c>
      <c r="I11982">
        <v>805</v>
      </c>
      <c r="J11982">
        <v>39</v>
      </c>
      <c r="K11982" t="b">
        <v>1</v>
      </c>
    </row>
    <row r="11983" spans="8:11" x14ac:dyDescent="0.25">
      <c r="H11983">
        <v>135</v>
      </c>
      <c r="I11983">
        <v>812</v>
      </c>
      <c r="J11983">
        <v>39</v>
      </c>
      <c r="K11983" t="b">
        <v>1</v>
      </c>
    </row>
    <row r="11984" spans="8:11" x14ac:dyDescent="0.25">
      <c r="H11984">
        <v>135</v>
      </c>
      <c r="I11984">
        <v>819</v>
      </c>
      <c r="J11984">
        <v>39</v>
      </c>
      <c r="K11984" t="b">
        <v>1</v>
      </c>
    </row>
    <row r="11985" spans="8:11" x14ac:dyDescent="0.25">
      <c r="H11985">
        <v>135</v>
      </c>
      <c r="I11985">
        <v>826</v>
      </c>
      <c r="J11985">
        <v>39</v>
      </c>
      <c r="K11985" t="b">
        <v>1</v>
      </c>
    </row>
    <row r="11986" spans="8:11" x14ac:dyDescent="0.25">
      <c r="H11986">
        <v>135</v>
      </c>
      <c r="I11986">
        <v>833</v>
      </c>
      <c r="J11986">
        <v>39</v>
      </c>
      <c r="K11986" t="b">
        <v>1</v>
      </c>
    </row>
    <row r="11987" spans="8:11" x14ac:dyDescent="0.25">
      <c r="H11987">
        <v>135</v>
      </c>
      <c r="I11987">
        <v>840</v>
      </c>
      <c r="J11987">
        <v>39</v>
      </c>
      <c r="K11987" t="b">
        <v>1</v>
      </c>
    </row>
    <row r="11988" spans="8:11" x14ac:dyDescent="0.25">
      <c r="H11988">
        <v>135</v>
      </c>
      <c r="I11988">
        <v>847</v>
      </c>
      <c r="J11988">
        <v>39</v>
      </c>
      <c r="K11988" t="b">
        <v>1</v>
      </c>
    </row>
    <row r="11989" spans="8:11" x14ac:dyDescent="0.25">
      <c r="H11989">
        <v>135</v>
      </c>
      <c r="I11989">
        <v>854</v>
      </c>
      <c r="J11989">
        <v>39</v>
      </c>
      <c r="K11989" t="b">
        <v>1</v>
      </c>
    </row>
    <row r="11990" spans="8:11" x14ac:dyDescent="0.25">
      <c r="H11990">
        <v>135</v>
      </c>
      <c r="I11990">
        <v>861</v>
      </c>
      <c r="J11990">
        <v>39</v>
      </c>
      <c r="K11990" t="b">
        <v>1</v>
      </c>
    </row>
    <row r="11991" spans="8:11" x14ac:dyDescent="0.25">
      <c r="H11991">
        <v>135</v>
      </c>
      <c r="I11991">
        <v>868</v>
      </c>
      <c r="J11991">
        <v>39</v>
      </c>
      <c r="K11991" t="b">
        <v>1</v>
      </c>
    </row>
    <row r="11992" spans="8:11" x14ac:dyDescent="0.25">
      <c r="H11992">
        <v>135</v>
      </c>
      <c r="I11992">
        <v>875</v>
      </c>
      <c r="J11992">
        <v>39</v>
      </c>
      <c r="K11992" t="b">
        <v>1</v>
      </c>
    </row>
    <row r="11993" spans="8:11" x14ac:dyDescent="0.25">
      <c r="H11993">
        <v>135</v>
      </c>
      <c r="I11993">
        <v>882</v>
      </c>
      <c r="J11993">
        <v>39</v>
      </c>
      <c r="K11993" t="b">
        <v>1</v>
      </c>
    </row>
    <row r="11994" spans="8:11" x14ac:dyDescent="0.25">
      <c r="H11994">
        <v>135</v>
      </c>
      <c r="I11994">
        <v>889</v>
      </c>
      <c r="J11994">
        <v>39</v>
      </c>
      <c r="K11994" t="b">
        <v>1</v>
      </c>
    </row>
    <row r="11995" spans="8:11" x14ac:dyDescent="0.25">
      <c r="H11995">
        <v>135</v>
      </c>
      <c r="I11995">
        <v>896</v>
      </c>
      <c r="J11995">
        <v>39</v>
      </c>
      <c r="K11995" t="b">
        <v>1</v>
      </c>
    </row>
    <row r="11996" spans="8:11" x14ac:dyDescent="0.25">
      <c r="H11996">
        <v>135</v>
      </c>
      <c r="I11996">
        <v>903</v>
      </c>
      <c r="J11996">
        <v>39</v>
      </c>
      <c r="K11996" t="b">
        <v>1</v>
      </c>
    </row>
    <row r="11997" spans="8:11" x14ac:dyDescent="0.25">
      <c r="H11997">
        <v>135</v>
      </c>
      <c r="I11997">
        <v>910</v>
      </c>
      <c r="J11997">
        <v>39</v>
      </c>
      <c r="K11997" t="b">
        <v>1</v>
      </c>
    </row>
    <row r="11998" spans="8:11" x14ac:dyDescent="0.25">
      <c r="H11998">
        <v>135</v>
      </c>
      <c r="I11998">
        <v>917</v>
      </c>
      <c r="J11998">
        <v>39</v>
      </c>
      <c r="K11998" t="b">
        <v>1</v>
      </c>
    </row>
    <row r="11999" spans="8:11" x14ac:dyDescent="0.25">
      <c r="H11999">
        <v>135</v>
      </c>
      <c r="I11999">
        <v>924</v>
      </c>
      <c r="J11999">
        <v>39</v>
      </c>
      <c r="K11999" t="b">
        <v>1</v>
      </c>
    </row>
    <row r="12000" spans="8:11" x14ac:dyDescent="0.25">
      <c r="H12000">
        <v>135</v>
      </c>
      <c r="I12000">
        <v>931</v>
      </c>
      <c r="J12000">
        <v>39</v>
      </c>
      <c r="K12000" t="b">
        <v>1</v>
      </c>
    </row>
    <row r="12001" spans="8:11" x14ac:dyDescent="0.25">
      <c r="H12001">
        <v>135</v>
      </c>
      <c r="I12001">
        <v>938</v>
      </c>
      <c r="J12001">
        <v>39</v>
      </c>
      <c r="K12001" t="b">
        <v>1</v>
      </c>
    </row>
    <row r="12002" spans="8:11" x14ac:dyDescent="0.25">
      <c r="H12002">
        <v>135</v>
      </c>
      <c r="I12002">
        <v>945</v>
      </c>
      <c r="J12002">
        <v>39</v>
      </c>
      <c r="K12002" t="b">
        <v>1</v>
      </c>
    </row>
    <row r="12003" spans="8:11" x14ac:dyDescent="0.25">
      <c r="H12003">
        <v>135</v>
      </c>
      <c r="I12003">
        <v>952</v>
      </c>
      <c r="J12003">
        <v>39</v>
      </c>
      <c r="K12003" t="b">
        <v>1</v>
      </c>
    </row>
    <row r="12004" spans="8:11" x14ac:dyDescent="0.25">
      <c r="H12004">
        <v>136</v>
      </c>
      <c r="I12004">
        <v>0</v>
      </c>
      <c r="J12004">
        <v>39</v>
      </c>
      <c r="K12004" t="b">
        <v>1</v>
      </c>
    </row>
    <row r="12005" spans="8:11" x14ac:dyDescent="0.25">
      <c r="H12005">
        <v>136</v>
      </c>
      <c r="I12005">
        <v>7</v>
      </c>
      <c r="J12005">
        <v>39</v>
      </c>
      <c r="K12005" t="b">
        <v>1</v>
      </c>
    </row>
    <row r="12006" spans="8:11" x14ac:dyDescent="0.25">
      <c r="H12006">
        <v>136</v>
      </c>
      <c r="I12006">
        <v>14</v>
      </c>
      <c r="J12006">
        <v>39</v>
      </c>
      <c r="K12006" t="b">
        <v>1</v>
      </c>
    </row>
    <row r="12007" spans="8:11" x14ac:dyDescent="0.25">
      <c r="H12007">
        <v>136</v>
      </c>
      <c r="I12007">
        <v>21</v>
      </c>
      <c r="J12007">
        <v>39</v>
      </c>
      <c r="K12007" t="b">
        <v>1</v>
      </c>
    </row>
    <row r="12008" spans="8:11" x14ac:dyDescent="0.25">
      <c r="H12008">
        <v>136</v>
      </c>
      <c r="I12008">
        <v>28</v>
      </c>
      <c r="J12008">
        <v>39</v>
      </c>
      <c r="K12008" t="b">
        <v>1</v>
      </c>
    </row>
    <row r="12009" spans="8:11" x14ac:dyDescent="0.25">
      <c r="H12009">
        <v>136</v>
      </c>
      <c r="I12009">
        <v>35</v>
      </c>
      <c r="J12009">
        <v>39</v>
      </c>
      <c r="K12009" t="b">
        <v>1</v>
      </c>
    </row>
    <row r="12010" spans="8:11" x14ac:dyDescent="0.25">
      <c r="H12010">
        <v>136</v>
      </c>
      <c r="I12010">
        <v>42</v>
      </c>
      <c r="J12010">
        <v>39</v>
      </c>
      <c r="K12010" t="b">
        <v>1</v>
      </c>
    </row>
    <row r="12011" spans="8:11" x14ac:dyDescent="0.25">
      <c r="H12011">
        <v>136</v>
      </c>
      <c r="I12011">
        <v>49</v>
      </c>
      <c r="J12011">
        <v>39</v>
      </c>
      <c r="K12011" t="b">
        <v>1</v>
      </c>
    </row>
    <row r="12012" spans="8:11" x14ac:dyDescent="0.25">
      <c r="H12012">
        <v>136</v>
      </c>
      <c r="I12012">
        <v>56</v>
      </c>
      <c r="J12012">
        <v>39</v>
      </c>
      <c r="K12012" t="b">
        <v>1</v>
      </c>
    </row>
    <row r="12013" spans="8:11" x14ac:dyDescent="0.25">
      <c r="H12013">
        <v>136</v>
      </c>
      <c r="I12013">
        <v>63</v>
      </c>
      <c r="J12013">
        <v>39</v>
      </c>
      <c r="K12013" t="b">
        <v>1</v>
      </c>
    </row>
    <row r="12014" spans="8:11" x14ac:dyDescent="0.25">
      <c r="H12014">
        <v>136</v>
      </c>
      <c r="I12014">
        <v>70</v>
      </c>
      <c r="J12014">
        <v>39</v>
      </c>
      <c r="K12014" t="b">
        <v>1</v>
      </c>
    </row>
    <row r="12015" spans="8:11" x14ac:dyDescent="0.25">
      <c r="H12015">
        <v>136</v>
      </c>
      <c r="I12015">
        <v>77</v>
      </c>
      <c r="J12015">
        <v>39</v>
      </c>
      <c r="K12015" t="b">
        <v>1</v>
      </c>
    </row>
    <row r="12016" spans="8:11" x14ac:dyDescent="0.25">
      <c r="H12016">
        <v>136</v>
      </c>
      <c r="I12016">
        <v>84</v>
      </c>
      <c r="J12016">
        <v>39</v>
      </c>
      <c r="K12016" t="b">
        <v>1</v>
      </c>
    </row>
    <row r="12017" spans="8:11" x14ac:dyDescent="0.25">
      <c r="H12017">
        <v>136</v>
      </c>
      <c r="I12017">
        <v>91</v>
      </c>
      <c r="J12017">
        <v>39</v>
      </c>
      <c r="K12017" t="b">
        <v>1</v>
      </c>
    </row>
    <row r="12018" spans="8:11" x14ac:dyDescent="0.25">
      <c r="H12018">
        <v>136</v>
      </c>
      <c r="I12018">
        <v>98</v>
      </c>
      <c r="J12018">
        <v>39</v>
      </c>
      <c r="K12018" t="b">
        <v>1</v>
      </c>
    </row>
    <row r="12019" spans="8:11" x14ac:dyDescent="0.25">
      <c r="H12019">
        <v>136</v>
      </c>
      <c r="I12019">
        <v>105</v>
      </c>
      <c r="J12019">
        <v>39</v>
      </c>
      <c r="K12019" t="b">
        <v>1</v>
      </c>
    </row>
    <row r="12020" spans="8:11" x14ac:dyDescent="0.25">
      <c r="H12020">
        <v>136</v>
      </c>
      <c r="I12020">
        <v>112</v>
      </c>
      <c r="J12020">
        <v>39</v>
      </c>
      <c r="K12020" t="b">
        <v>1</v>
      </c>
    </row>
    <row r="12021" spans="8:11" x14ac:dyDescent="0.25">
      <c r="H12021">
        <v>136</v>
      </c>
      <c r="I12021">
        <v>119</v>
      </c>
      <c r="J12021">
        <v>39</v>
      </c>
      <c r="K12021" t="b">
        <v>1</v>
      </c>
    </row>
    <row r="12022" spans="8:11" x14ac:dyDescent="0.25">
      <c r="H12022">
        <v>136</v>
      </c>
      <c r="I12022">
        <v>126</v>
      </c>
      <c r="J12022">
        <v>39</v>
      </c>
      <c r="K12022" t="b">
        <v>1</v>
      </c>
    </row>
    <row r="12023" spans="8:11" x14ac:dyDescent="0.25">
      <c r="H12023">
        <v>136</v>
      </c>
      <c r="I12023">
        <v>133</v>
      </c>
      <c r="J12023">
        <v>39</v>
      </c>
      <c r="K12023" t="b">
        <v>1</v>
      </c>
    </row>
    <row r="12024" spans="8:11" x14ac:dyDescent="0.25">
      <c r="H12024">
        <v>136</v>
      </c>
      <c r="I12024">
        <v>140</v>
      </c>
      <c r="J12024">
        <v>39</v>
      </c>
      <c r="K12024" t="b">
        <v>1</v>
      </c>
    </row>
    <row r="12025" spans="8:11" x14ac:dyDescent="0.25">
      <c r="H12025">
        <v>136</v>
      </c>
      <c r="I12025">
        <v>147</v>
      </c>
      <c r="J12025">
        <v>39</v>
      </c>
      <c r="K12025" t="b">
        <v>1</v>
      </c>
    </row>
    <row r="12026" spans="8:11" x14ac:dyDescent="0.25">
      <c r="H12026">
        <v>136</v>
      </c>
      <c r="I12026">
        <v>154</v>
      </c>
      <c r="J12026">
        <v>39</v>
      </c>
      <c r="K12026" t="b">
        <v>1</v>
      </c>
    </row>
    <row r="12027" spans="8:11" x14ac:dyDescent="0.25">
      <c r="H12027">
        <v>136</v>
      </c>
      <c r="I12027">
        <v>161</v>
      </c>
      <c r="J12027">
        <v>39</v>
      </c>
      <c r="K12027" t="b">
        <v>1</v>
      </c>
    </row>
    <row r="12028" spans="8:11" x14ac:dyDescent="0.25">
      <c r="H12028">
        <v>136</v>
      </c>
      <c r="I12028">
        <v>168</v>
      </c>
      <c r="J12028">
        <v>39</v>
      </c>
      <c r="K12028" t="b">
        <v>1</v>
      </c>
    </row>
    <row r="12029" spans="8:11" x14ac:dyDescent="0.25">
      <c r="H12029">
        <v>136</v>
      </c>
      <c r="I12029">
        <v>175</v>
      </c>
      <c r="J12029">
        <v>39</v>
      </c>
      <c r="K12029" t="b">
        <v>1</v>
      </c>
    </row>
    <row r="12030" spans="8:11" x14ac:dyDescent="0.25">
      <c r="H12030">
        <v>136</v>
      </c>
      <c r="I12030">
        <v>182</v>
      </c>
      <c r="J12030">
        <v>39</v>
      </c>
      <c r="K12030" t="b">
        <v>1</v>
      </c>
    </row>
    <row r="12031" spans="8:11" x14ac:dyDescent="0.25">
      <c r="H12031">
        <v>136</v>
      </c>
      <c r="I12031">
        <v>189</v>
      </c>
      <c r="J12031">
        <v>39</v>
      </c>
      <c r="K12031" t="b">
        <v>1</v>
      </c>
    </row>
    <row r="12032" spans="8:11" x14ac:dyDescent="0.25">
      <c r="H12032">
        <v>136</v>
      </c>
      <c r="I12032">
        <v>196</v>
      </c>
      <c r="J12032">
        <v>39</v>
      </c>
      <c r="K12032" t="b">
        <v>1</v>
      </c>
    </row>
    <row r="12033" spans="8:11" x14ac:dyDescent="0.25">
      <c r="H12033">
        <v>136</v>
      </c>
      <c r="I12033">
        <v>203</v>
      </c>
      <c r="J12033">
        <v>39</v>
      </c>
      <c r="K12033" t="b">
        <v>1</v>
      </c>
    </row>
    <row r="12034" spans="8:11" x14ac:dyDescent="0.25">
      <c r="H12034">
        <v>136</v>
      </c>
      <c r="I12034">
        <v>210</v>
      </c>
      <c r="J12034">
        <v>39</v>
      </c>
      <c r="K12034" t="b">
        <v>1</v>
      </c>
    </row>
    <row r="12035" spans="8:11" x14ac:dyDescent="0.25">
      <c r="H12035">
        <v>136</v>
      </c>
      <c r="I12035">
        <v>217</v>
      </c>
      <c r="J12035">
        <v>39</v>
      </c>
      <c r="K12035" t="b">
        <v>1</v>
      </c>
    </row>
    <row r="12036" spans="8:11" x14ac:dyDescent="0.25">
      <c r="H12036">
        <v>136</v>
      </c>
      <c r="I12036">
        <v>224</v>
      </c>
      <c r="J12036">
        <v>39</v>
      </c>
      <c r="K12036" t="b">
        <v>1</v>
      </c>
    </row>
    <row r="12037" spans="8:11" x14ac:dyDescent="0.25">
      <c r="H12037">
        <v>136</v>
      </c>
      <c r="I12037">
        <v>231</v>
      </c>
      <c r="J12037">
        <v>39</v>
      </c>
      <c r="K12037" t="b">
        <v>1</v>
      </c>
    </row>
    <row r="12038" spans="8:11" x14ac:dyDescent="0.25">
      <c r="H12038">
        <v>136</v>
      </c>
      <c r="I12038">
        <v>238</v>
      </c>
      <c r="J12038">
        <v>39</v>
      </c>
      <c r="K12038" t="b">
        <v>1</v>
      </c>
    </row>
    <row r="12039" spans="8:11" x14ac:dyDescent="0.25">
      <c r="H12039">
        <v>136</v>
      </c>
      <c r="I12039">
        <v>245</v>
      </c>
      <c r="J12039">
        <v>39</v>
      </c>
      <c r="K12039" t="b">
        <v>1</v>
      </c>
    </row>
    <row r="12040" spans="8:11" x14ac:dyDescent="0.25">
      <c r="H12040">
        <v>136</v>
      </c>
      <c r="I12040">
        <v>252</v>
      </c>
      <c r="J12040">
        <v>39</v>
      </c>
      <c r="K12040" t="b">
        <v>1</v>
      </c>
    </row>
    <row r="12041" spans="8:11" x14ac:dyDescent="0.25">
      <c r="H12041">
        <v>136</v>
      </c>
      <c r="I12041">
        <v>259</v>
      </c>
      <c r="J12041">
        <v>39</v>
      </c>
      <c r="K12041" t="b">
        <v>1</v>
      </c>
    </row>
    <row r="12042" spans="8:11" x14ac:dyDescent="0.25">
      <c r="H12042">
        <v>136</v>
      </c>
      <c r="I12042">
        <v>266</v>
      </c>
      <c r="J12042">
        <v>39</v>
      </c>
      <c r="K12042" t="b">
        <v>1</v>
      </c>
    </row>
    <row r="12043" spans="8:11" x14ac:dyDescent="0.25">
      <c r="H12043">
        <v>136</v>
      </c>
      <c r="I12043">
        <v>273</v>
      </c>
      <c r="J12043">
        <v>39</v>
      </c>
      <c r="K12043" t="b">
        <v>1</v>
      </c>
    </row>
    <row r="12044" spans="8:11" x14ac:dyDescent="0.25">
      <c r="H12044">
        <v>136</v>
      </c>
      <c r="I12044">
        <v>280</v>
      </c>
      <c r="J12044">
        <v>39</v>
      </c>
      <c r="K12044" t="b">
        <v>1</v>
      </c>
    </row>
    <row r="12045" spans="8:11" x14ac:dyDescent="0.25">
      <c r="H12045">
        <v>136</v>
      </c>
      <c r="I12045">
        <v>287</v>
      </c>
      <c r="J12045">
        <v>39</v>
      </c>
      <c r="K12045" t="b">
        <v>1</v>
      </c>
    </row>
    <row r="12046" spans="8:11" x14ac:dyDescent="0.25">
      <c r="H12046">
        <v>136</v>
      </c>
      <c r="I12046">
        <v>294</v>
      </c>
      <c r="J12046">
        <v>39</v>
      </c>
      <c r="K12046" t="b">
        <v>1</v>
      </c>
    </row>
    <row r="12047" spans="8:11" x14ac:dyDescent="0.25">
      <c r="H12047">
        <v>136</v>
      </c>
      <c r="I12047">
        <v>301</v>
      </c>
      <c r="J12047">
        <v>39</v>
      </c>
      <c r="K12047" t="b">
        <v>1</v>
      </c>
    </row>
    <row r="12048" spans="8:11" x14ac:dyDescent="0.25">
      <c r="H12048">
        <v>136</v>
      </c>
      <c r="I12048">
        <v>308</v>
      </c>
      <c r="J12048">
        <v>39</v>
      </c>
      <c r="K12048" t="b">
        <v>1</v>
      </c>
    </row>
    <row r="12049" spans="8:11" x14ac:dyDescent="0.25">
      <c r="H12049">
        <v>136</v>
      </c>
      <c r="I12049">
        <v>315</v>
      </c>
      <c r="J12049">
        <v>39</v>
      </c>
      <c r="K12049" t="b">
        <v>1</v>
      </c>
    </row>
    <row r="12050" spans="8:11" x14ac:dyDescent="0.25">
      <c r="H12050">
        <v>136</v>
      </c>
      <c r="I12050">
        <v>322</v>
      </c>
      <c r="J12050">
        <v>39</v>
      </c>
      <c r="K12050" t="b">
        <v>1</v>
      </c>
    </row>
    <row r="12051" spans="8:11" x14ac:dyDescent="0.25">
      <c r="H12051">
        <v>136</v>
      </c>
      <c r="I12051">
        <v>329</v>
      </c>
      <c r="J12051">
        <v>39</v>
      </c>
      <c r="K12051" t="b">
        <v>1</v>
      </c>
    </row>
    <row r="12052" spans="8:11" x14ac:dyDescent="0.25">
      <c r="H12052">
        <v>136</v>
      </c>
      <c r="I12052">
        <v>336</v>
      </c>
      <c r="J12052">
        <v>39</v>
      </c>
      <c r="K12052" t="b">
        <v>1</v>
      </c>
    </row>
    <row r="12053" spans="8:11" x14ac:dyDescent="0.25">
      <c r="H12053">
        <v>136</v>
      </c>
      <c r="I12053">
        <v>343</v>
      </c>
      <c r="J12053">
        <v>39</v>
      </c>
      <c r="K12053" t="b">
        <v>1</v>
      </c>
    </row>
    <row r="12054" spans="8:11" x14ac:dyDescent="0.25">
      <c r="H12054">
        <v>136</v>
      </c>
      <c r="I12054">
        <v>350</v>
      </c>
      <c r="J12054">
        <v>39</v>
      </c>
      <c r="K12054" t="b">
        <v>1</v>
      </c>
    </row>
    <row r="12055" spans="8:11" x14ac:dyDescent="0.25">
      <c r="H12055">
        <v>136</v>
      </c>
      <c r="I12055">
        <v>357</v>
      </c>
      <c r="J12055">
        <v>39</v>
      </c>
      <c r="K12055" t="b">
        <v>1</v>
      </c>
    </row>
    <row r="12056" spans="8:11" x14ac:dyDescent="0.25">
      <c r="H12056">
        <v>136</v>
      </c>
      <c r="I12056">
        <v>364</v>
      </c>
      <c r="J12056">
        <v>39</v>
      </c>
      <c r="K12056" t="b">
        <v>1</v>
      </c>
    </row>
    <row r="12057" spans="8:11" x14ac:dyDescent="0.25">
      <c r="H12057">
        <v>136</v>
      </c>
      <c r="I12057">
        <v>371</v>
      </c>
      <c r="J12057">
        <v>39</v>
      </c>
      <c r="K12057" t="b">
        <v>1</v>
      </c>
    </row>
    <row r="12058" spans="8:11" x14ac:dyDescent="0.25">
      <c r="H12058">
        <v>136</v>
      </c>
      <c r="I12058">
        <v>378</v>
      </c>
      <c r="J12058">
        <v>39</v>
      </c>
      <c r="K12058" t="b">
        <v>1</v>
      </c>
    </row>
    <row r="12059" spans="8:11" x14ac:dyDescent="0.25">
      <c r="H12059">
        <v>136</v>
      </c>
      <c r="I12059">
        <v>385</v>
      </c>
      <c r="J12059">
        <v>39</v>
      </c>
      <c r="K12059" t="b">
        <v>1</v>
      </c>
    </row>
    <row r="12060" spans="8:11" x14ac:dyDescent="0.25">
      <c r="H12060">
        <v>136</v>
      </c>
      <c r="I12060">
        <v>392</v>
      </c>
      <c r="J12060">
        <v>39</v>
      </c>
      <c r="K12060" t="b">
        <v>1</v>
      </c>
    </row>
    <row r="12061" spans="8:11" x14ac:dyDescent="0.25">
      <c r="H12061">
        <v>136</v>
      </c>
      <c r="I12061">
        <v>399</v>
      </c>
      <c r="J12061">
        <v>39</v>
      </c>
      <c r="K12061" t="b">
        <v>1</v>
      </c>
    </row>
    <row r="12062" spans="8:11" x14ac:dyDescent="0.25">
      <c r="H12062">
        <v>136</v>
      </c>
      <c r="I12062">
        <v>406</v>
      </c>
      <c r="J12062">
        <v>39</v>
      </c>
      <c r="K12062" t="b">
        <v>1</v>
      </c>
    </row>
    <row r="12063" spans="8:11" x14ac:dyDescent="0.25">
      <c r="H12063">
        <v>136</v>
      </c>
      <c r="I12063">
        <v>413</v>
      </c>
      <c r="J12063">
        <v>39</v>
      </c>
      <c r="K12063" t="b">
        <v>1</v>
      </c>
    </row>
    <row r="12064" spans="8:11" x14ac:dyDescent="0.25">
      <c r="H12064">
        <v>136</v>
      </c>
      <c r="I12064">
        <v>420</v>
      </c>
      <c r="J12064">
        <v>39</v>
      </c>
      <c r="K12064" t="b">
        <v>1</v>
      </c>
    </row>
    <row r="12065" spans="8:11" x14ac:dyDescent="0.25">
      <c r="H12065">
        <v>136</v>
      </c>
      <c r="I12065">
        <v>427</v>
      </c>
      <c r="J12065">
        <v>39</v>
      </c>
      <c r="K12065" t="b">
        <v>1</v>
      </c>
    </row>
    <row r="12066" spans="8:11" x14ac:dyDescent="0.25">
      <c r="H12066">
        <v>136</v>
      </c>
      <c r="I12066">
        <v>434</v>
      </c>
      <c r="J12066">
        <v>39</v>
      </c>
      <c r="K12066" t="b">
        <v>1</v>
      </c>
    </row>
    <row r="12067" spans="8:11" x14ac:dyDescent="0.25">
      <c r="H12067">
        <v>136</v>
      </c>
      <c r="I12067">
        <v>441</v>
      </c>
      <c r="J12067">
        <v>39</v>
      </c>
      <c r="K12067" t="b">
        <v>1</v>
      </c>
    </row>
    <row r="12068" spans="8:11" x14ac:dyDescent="0.25">
      <c r="H12068">
        <v>136</v>
      </c>
      <c r="I12068">
        <v>448</v>
      </c>
      <c r="J12068">
        <v>39</v>
      </c>
      <c r="K12068" t="b">
        <v>1</v>
      </c>
    </row>
    <row r="12069" spans="8:11" x14ac:dyDescent="0.25">
      <c r="H12069">
        <v>136</v>
      </c>
      <c r="I12069">
        <v>455</v>
      </c>
      <c r="J12069">
        <v>39</v>
      </c>
      <c r="K12069" t="b">
        <v>1</v>
      </c>
    </row>
    <row r="12070" spans="8:11" x14ac:dyDescent="0.25">
      <c r="H12070">
        <v>136</v>
      </c>
      <c r="I12070">
        <v>462</v>
      </c>
      <c r="J12070">
        <v>39</v>
      </c>
      <c r="K12070" t="b">
        <v>1</v>
      </c>
    </row>
    <row r="12071" spans="8:11" x14ac:dyDescent="0.25">
      <c r="H12071">
        <v>136</v>
      </c>
      <c r="I12071">
        <v>469</v>
      </c>
      <c r="J12071">
        <v>39</v>
      </c>
      <c r="K12071" t="b">
        <v>1</v>
      </c>
    </row>
    <row r="12072" spans="8:11" x14ac:dyDescent="0.25">
      <c r="H12072">
        <v>136</v>
      </c>
      <c r="I12072">
        <v>476</v>
      </c>
      <c r="J12072">
        <v>39</v>
      </c>
      <c r="K12072" t="b">
        <v>1</v>
      </c>
    </row>
    <row r="12073" spans="8:11" x14ac:dyDescent="0.25">
      <c r="H12073">
        <v>136</v>
      </c>
      <c r="I12073">
        <v>483</v>
      </c>
      <c r="J12073">
        <v>39</v>
      </c>
      <c r="K12073" t="b">
        <v>1</v>
      </c>
    </row>
    <row r="12074" spans="8:11" x14ac:dyDescent="0.25">
      <c r="H12074">
        <v>136</v>
      </c>
      <c r="I12074">
        <v>490</v>
      </c>
      <c r="J12074">
        <v>39</v>
      </c>
      <c r="K12074" t="b">
        <v>1</v>
      </c>
    </row>
    <row r="12075" spans="8:11" x14ac:dyDescent="0.25">
      <c r="H12075">
        <v>136</v>
      </c>
      <c r="I12075">
        <v>497</v>
      </c>
      <c r="J12075">
        <v>39</v>
      </c>
      <c r="K12075" t="b">
        <v>1</v>
      </c>
    </row>
    <row r="12076" spans="8:11" x14ac:dyDescent="0.25">
      <c r="H12076">
        <v>136</v>
      </c>
      <c r="I12076">
        <v>504</v>
      </c>
      <c r="J12076">
        <v>39</v>
      </c>
      <c r="K12076" t="b">
        <v>1</v>
      </c>
    </row>
    <row r="12077" spans="8:11" x14ac:dyDescent="0.25">
      <c r="H12077">
        <v>136</v>
      </c>
      <c r="I12077">
        <v>511</v>
      </c>
      <c r="J12077">
        <v>39</v>
      </c>
      <c r="K12077" t="b">
        <v>1</v>
      </c>
    </row>
    <row r="12078" spans="8:11" x14ac:dyDescent="0.25">
      <c r="H12078">
        <v>136</v>
      </c>
      <c r="I12078">
        <v>518</v>
      </c>
      <c r="J12078">
        <v>39</v>
      </c>
      <c r="K12078" t="b">
        <v>1</v>
      </c>
    </row>
    <row r="12079" spans="8:11" x14ac:dyDescent="0.25">
      <c r="H12079">
        <v>136</v>
      </c>
      <c r="I12079">
        <v>525</v>
      </c>
      <c r="J12079">
        <v>39</v>
      </c>
      <c r="K12079" t="b">
        <v>1</v>
      </c>
    </row>
    <row r="12080" spans="8:11" x14ac:dyDescent="0.25">
      <c r="H12080">
        <v>136</v>
      </c>
      <c r="I12080">
        <v>532</v>
      </c>
      <c r="J12080">
        <v>39</v>
      </c>
      <c r="K12080" t="b">
        <v>1</v>
      </c>
    </row>
    <row r="12081" spans="8:11" x14ac:dyDescent="0.25">
      <c r="H12081">
        <v>136</v>
      </c>
      <c r="I12081">
        <v>539</v>
      </c>
      <c r="J12081">
        <v>39</v>
      </c>
      <c r="K12081" t="b">
        <v>1</v>
      </c>
    </row>
    <row r="12082" spans="8:11" x14ac:dyDescent="0.25">
      <c r="H12082">
        <v>136</v>
      </c>
      <c r="I12082">
        <v>546</v>
      </c>
      <c r="J12082">
        <v>39</v>
      </c>
      <c r="K12082" t="b">
        <v>1</v>
      </c>
    </row>
    <row r="12083" spans="8:11" x14ac:dyDescent="0.25">
      <c r="H12083">
        <v>136</v>
      </c>
      <c r="I12083">
        <v>553</v>
      </c>
      <c r="J12083">
        <v>39</v>
      </c>
      <c r="K12083" t="b">
        <v>1</v>
      </c>
    </row>
    <row r="12084" spans="8:11" x14ac:dyDescent="0.25">
      <c r="H12084">
        <v>136</v>
      </c>
      <c r="I12084">
        <v>560</v>
      </c>
      <c r="J12084">
        <v>39</v>
      </c>
      <c r="K12084" t="b">
        <v>1</v>
      </c>
    </row>
    <row r="12085" spans="8:11" x14ac:dyDescent="0.25">
      <c r="H12085">
        <v>136</v>
      </c>
      <c r="I12085">
        <v>567</v>
      </c>
      <c r="J12085">
        <v>39</v>
      </c>
      <c r="K12085" t="b">
        <v>1</v>
      </c>
    </row>
    <row r="12086" spans="8:11" x14ac:dyDescent="0.25">
      <c r="H12086">
        <v>136</v>
      </c>
      <c r="I12086">
        <v>574</v>
      </c>
      <c r="J12086">
        <v>39</v>
      </c>
      <c r="K12086" t="b">
        <v>1</v>
      </c>
    </row>
    <row r="12087" spans="8:11" x14ac:dyDescent="0.25">
      <c r="H12087">
        <v>136</v>
      </c>
      <c r="I12087">
        <v>581</v>
      </c>
      <c r="J12087">
        <v>39</v>
      </c>
      <c r="K12087" t="b">
        <v>1</v>
      </c>
    </row>
    <row r="12088" spans="8:11" x14ac:dyDescent="0.25">
      <c r="H12088">
        <v>136</v>
      </c>
      <c r="I12088">
        <v>588</v>
      </c>
      <c r="J12088">
        <v>39</v>
      </c>
      <c r="K12088" t="b">
        <v>1</v>
      </c>
    </row>
    <row r="12089" spans="8:11" x14ac:dyDescent="0.25">
      <c r="H12089">
        <v>136</v>
      </c>
      <c r="I12089">
        <v>595</v>
      </c>
      <c r="J12089">
        <v>39</v>
      </c>
      <c r="K12089" t="b">
        <v>1</v>
      </c>
    </row>
    <row r="12090" spans="8:11" x14ac:dyDescent="0.25">
      <c r="H12090">
        <v>136</v>
      </c>
      <c r="I12090">
        <v>602</v>
      </c>
      <c r="J12090">
        <v>39</v>
      </c>
      <c r="K12090" t="b">
        <v>1</v>
      </c>
    </row>
    <row r="12091" spans="8:11" x14ac:dyDescent="0.25">
      <c r="H12091">
        <v>136</v>
      </c>
      <c r="I12091">
        <v>609</v>
      </c>
      <c r="J12091">
        <v>39</v>
      </c>
      <c r="K12091" t="b">
        <v>1</v>
      </c>
    </row>
    <row r="12092" spans="8:11" x14ac:dyDescent="0.25">
      <c r="H12092">
        <v>136</v>
      </c>
      <c r="I12092">
        <v>616</v>
      </c>
      <c r="J12092">
        <v>39</v>
      </c>
      <c r="K12092" t="b">
        <v>1</v>
      </c>
    </row>
    <row r="12093" spans="8:11" x14ac:dyDescent="0.25">
      <c r="H12093">
        <v>136</v>
      </c>
      <c r="I12093">
        <v>623</v>
      </c>
      <c r="J12093">
        <v>39</v>
      </c>
      <c r="K12093" t="b">
        <v>1</v>
      </c>
    </row>
    <row r="12094" spans="8:11" x14ac:dyDescent="0.25">
      <c r="H12094">
        <v>136</v>
      </c>
      <c r="I12094">
        <v>630</v>
      </c>
      <c r="J12094">
        <v>39</v>
      </c>
      <c r="K12094" t="b">
        <v>1</v>
      </c>
    </row>
    <row r="12095" spans="8:11" x14ac:dyDescent="0.25">
      <c r="H12095">
        <v>136</v>
      </c>
      <c r="I12095">
        <v>637</v>
      </c>
      <c r="J12095">
        <v>39</v>
      </c>
      <c r="K12095" t="b">
        <v>1</v>
      </c>
    </row>
    <row r="12096" spans="8:11" x14ac:dyDescent="0.25">
      <c r="H12096">
        <v>136</v>
      </c>
      <c r="I12096">
        <v>644</v>
      </c>
      <c r="J12096">
        <v>39</v>
      </c>
      <c r="K12096" t="b">
        <v>1</v>
      </c>
    </row>
    <row r="12097" spans="8:11" x14ac:dyDescent="0.25">
      <c r="H12097">
        <v>136</v>
      </c>
      <c r="I12097">
        <v>651</v>
      </c>
      <c r="J12097">
        <v>39</v>
      </c>
      <c r="K12097" t="b">
        <v>1</v>
      </c>
    </row>
    <row r="12098" spans="8:11" x14ac:dyDescent="0.25">
      <c r="H12098">
        <v>136</v>
      </c>
      <c r="I12098">
        <v>658</v>
      </c>
      <c r="J12098">
        <v>39</v>
      </c>
      <c r="K12098" t="b">
        <v>1</v>
      </c>
    </row>
    <row r="12099" spans="8:11" x14ac:dyDescent="0.25">
      <c r="H12099">
        <v>136</v>
      </c>
      <c r="I12099">
        <v>665</v>
      </c>
      <c r="J12099">
        <v>39</v>
      </c>
      <c r="K12099" t="b">
        <v>1</v>
      </c>
    </row>
    <row r="12100" spans="8:11" x14ac:dyDescent="0.25">
      <c r="H12100">
        <v>136</v>
      </c>
      <c r="I12100">
        <v>672</v>
      </c>
      <c r="J12100">
        <v>39</v>
      </c>
      <c r="K12100" t="b">
        <v>1</v>
      </c>
    </row>
    <row r="12101" spans="8:11" x14ac:dyDescent="0.25">
      <c r="H12101">
        <v>136</v>
      </c>
      <c r="I12101">
        <v>679</v>
      </c>
      <c r="J12101">
        <v>39</v>
      </c>
      <c r="K12101" t="b">
        <v>1</v>
      </c>
    </row>
    <row r="12102" spans="8:11" x14ac:dyDescent="0.25">
      <c r="H12102">
        <v>136</v>
      </c>
      <c r="I12102">
        <v>686</v>
      </c>
      <c r="J12102">
        <v>39</v>
      </c>
      <c r="K12102" t="b">
        <v>1</v>
      </c>
    </row>
    <row r="12103" spans="8:11" x14ac:dyDescent="0.25">
      <c r="H12103">
        <v>136</v>
      </c>
      <c r="I12103">
        <v>693</v>
      </c>
      <c r="J12103">
        <v>39</v>
      </c>
      <c r="K12103" t="b">
        <v>1</v>
      </c>
    </row>
    <row r="12104" spans="8:11" x14ac:dyDescent="0.25">
      <c r="H12104">
        <v>136</v>
      </c>
      <c r="I12104">
        <v>700</v>
      </c>
      <c r="J12104">
        <v>39</v>
      </c>
      <c r="K12104" t="b">
        <v>1</v>
      </c>
    </row>
    <row r="12105" spans="8:11" x14ac:dyDescent="0.25">
      <c r="H12105">
        <v>136</v>
      </c>
      <c r="I12105">
        <v>707</v>
      </c>
      <c r="J12105">
        <v>39</v>
      </c>
      <c r="K12105" t="b">
        <v>1</v>
      </c>
    </row>
    <row r="12106" spans="8:11" x14ac:dyDescent="0.25">
      <c r="H12106">
        <v>136</v>
      </c>
      <c r="I12106">
        <v>714</v>
      </c>
      <c r="J12106">
        <v>39</v>
      </c>
      <c r="K12106" t="b">
        <v>1</v>
      </c>
    </row>
    <row r="12107" spans="8:11" x14ac:dyDescent="0.25">
      <c r="H12107">
        <v>136</v>
      </c>
      <c r="I12107">
        <v>721</v>
      </c>
      <c r="J12107">
        <v>39</v>
      </c>
      <c r="K12107" t="b">
        <v>1</v>
      </c>
    </row>
    <row r="12108" spans="8:11" x14ac:dyDescent="0.25">
      <c r="H12108">
        <v>136</v>
      </c>
      <c r="I12108">
        <v>728</v>
      </c>
      <c r="J12108">
        <v>39</v>
      </c>
      <c r="K12108" t="b">
        <v>1</v>
      </c>
    </row>
    <row r="12109" spans="8:11" x14ac:dyDescent="0.25">
      <c r="H12109">
        <v>136</v>
      </c>
      <c r="I12109">
        <v>735</v>
      </c>
      <c r="J12109">
        <v>39</v>
      </c>
      <c r="K12109" t="b">
        <v>1</v>
      </c>
    </row>
    <row r="12110" spans="8:11" x14ac:dyDescent="0.25">
      <c r="H12110">
        <v>136</v>
      </c>
      <c r="I12110">
        <v>742</v>
      </c>
      <c r="J12110">
        <v>39</v>
      </c>
      <c r="K12110" t="b">
        <v>1</v>
      </c>
    </row>
    <row r="12111" spans="8:11" x14ac:dyDescent="0.25">
      <c r="H12111">
        <v>136</v>
      </c>
      <c r="I12111">
        <v>749</v>
      </c>
      <c r="J12111">
        <v>39</v>
      </c>
      <c r="K12111" t="b">
        <v>1</v>
      </c>
    </row>
    <row r="12112" spans="8:11" x14ac:dyDescent="0.25">
      <c r="H12112">
        <v>136</v>
      </c>
      <c r="I12112">
        <v>756</v>
      </c>
      <c r="J12112">
        <v>39</v>
      </c>
      <c r="K12112" t="b">
        <v>1</v>
      </c>
    </row>
    <row r="12113" spans="8:11" x14ac:dyDescent="0.25">
      <c r="H12113">
        <v>136</v>
      </c>
      <c r="I12113">
        <v>763</v>
      </c>
      <c r="J12113">
        <v>39</v>
      </c>
      <c r="K12113" t="b">
        <v>1</v>
      </c>
    </row>
    <row r="12114" spans="8:11" x14ac:dyDescent="0.25">
      <c r="H12114">
        <v>136</v>
      </c>
      <c r="I12114">
        <v>770</v>
      </c>
      <c r="J12114">
        <v>39</v>
      </c>
      <c r="K12114" t="b">
        <v>1</v>
      </c>
    </row>
    <row r="12115" spans="8:11" x14ac:dyDescent="0.25">
      <c r="H12115">
        <v>136</v>
      </c>
      <c r="I12115">
        <v>777</v>
      </c>
      <c r="J12115">
        <v>39</v>
      </c>
      <c r="K12115" t="b">
        <v>1</v>
      </c>
    </row>
    <row r="12116" spans="8:11" x14ac:dyDescent="0.25">
      <c r="H12116">
        <v>136</v>
      </c>
      <c r="I12116">
        <v>784</v>
      </c>
      <c r="J12116">
        <v>39</v>
      </c>
      <c r="K12116" t="b">
        <v>1</v>
      </c>
    </row>
    <row r="12117" spans="8:11" x14ac:dyDescent="0.25">
      <c r="H12117">
        <v>136</v>
      </c>
      <c r="I12117">
        <v>791</v>
      </c>
      <c r="J12117">
        <v>39</v>
      </c>
      <c r="K12117" t="b">
        <v>1</v>
      </c>
    </row>
    <row r="12118" spans="8:11" x14ac:dyDescent="0.25">
      <c r="H12118">
        <v>136</v>
      </c>
      <c r="I12118">
        <v>798</v>
      </c>
      <c r="J12118">
        <v>39</v>
      </c>
      <c r="K12118" t="b">
        <v>1</v>
      </c>
    </row>
    <row r="12119" spans="8:11" x14ac:dyDescent="0.25">
      <c r="H12119">
        <v>136</v>
      </c>
      <c r="I12119">
        <v>805</v>
      </c>
      <c r="J12119">
        <v>39</v>
      </c>
      <c r="K12119" t="b">
        <v>1</v>
      </c>
    </row>
    <row r="12120" spans="8:11" x14ac:dyDescent="0.25">
      <c r="H12120">
        <v>136</v>
      </c>
      <c r="I12120">
        <v>812</v>
      </c>
      <c r="J12120">
        <v>39</v>
      </c>
      <c r="K12120" t="b">
        <v>1</v>
      </c>
    </row>
    <row r="12121" spans="8:11" x14ac:dyDescent="0.25">
      <c r="H12121">
        <v>136</v>
      </c>
      <c r="I12121">
        <v>819</v>
      </c>
      <c r="J12121">
        <v>39</v>
      </c>
      <c r="K12121" t="b">
        <v>1</v>
      </c>
    </row>
    <row r="12122" spans="8:11" x14ac:dyDescent="0.25">
      <c r="H12122">
        <v>136</v>
      </c>
      <c r="I12122">
        <v>826</v>
      </c>
      <c r="J12122">
        <v>39</v>
      </c>
      <c r="K12122" t="b">
        <v>1</v>
      </c>
    </row>
    <row r="12123" spans="8:11" x14ac:dyDescent="0.25">
      <c r="H12123">
        <v>136</v>
      </c>
      <c r="I12123">
        <v>833</v>
      </c>
      <c r="J12123">
        <v>39</v>
      </c>
      <c r="K12123" t="b">
        <v>1</v>
      </c>
    </row>
    <row r="12124" spans="8:11" x14ac:dyDescent="0.25">
      <c r="H12124">
        <v>136</v>
      </c>
      <c r="I12124">
        <v>840</v>
      </c>
      <c r="J12124">
        <v>39</v>
      </c>
      <c r="K12124" t="b">
        <v>1</v>
      </c>
    </row>
    <row r="12125" spans="8:11" x14ac:dyDescent="0.25">
      <c r="H12125">
        <v>136</v>
      </c>
      <c r="I12125">
        <v>847</v>
      </c>
      <c r="J12125">
        <v>39</v>
      </c>
      <c r="K12125" t="b">
        <v>1</v>
      </c>
    </row>
    <row r="12126" spans="8:11" x14ac:dyDescent="0.25">
      <c r="H12126">
        <v>136</v>
      </c>
      <c r="I12126">
        <v>854</v>
      </c>
      <c r="J12126">
        <v>39</v>
      </c>
      <c r="K12126" t="b">
        <v>1</v>
      </c>
    </row>
    <row r="12127" spans="8:11" x14ac:dyDescent="0.25">
      <c r="H12127">
        <v>136</v>
      </c>
      <c r="I12127">
        <v>861</v>
      </c>
      <c r="J12127">
        <v>39</v>
      </c>
      <c r="K12127" t="b">
        <v>1</v>
      </c>
    </row>
    <row r="12128" spans="8:11" x14ac:dyDescent="0.25">
      <c r="H12128">
        <v>136</v>
      </c>
      <c r="I12128">
        <v>868</v>
      </c>
      <c r="J12128">
        <v>39</v>
      </c>
      <c r="K12128" t="b">
        <v>1</v>
      </c>
    </row>
    <row r="12129" spans="8:11" x14ac:dyDescent="0.25">
      <c r="H12129">
        <v>136</v>
      </c>
      <c r="I12129">
        <v>875</v>
      </c>
      <c r="J12129">
        <v>39</v>
      </c>
      <c r="K12129" t="b">
        <v>1</v>
      </c>
    </row>
    <row r="12130" spans="8:11" x14ac:dyDescent="0.25">
      <c r="H12130">
        <v>136</v>
      </c>
      <c r="I12130">
        <v>882</v>
      </c>
      <c r="J12130">
        <v>39</v>
      </c>
      <c r="K12130" t="b">
        <v>1</v>
      </c>
    </row>
    <row r="12131" spans="8:11" x14ac:dyDescent="0.25">
      <c r="H12131">
        <v>136</v>
      </c>
      <c r="I12131">
        <v>889</v>
      </c>
      <c r="J12131">
        <v>39</v>
      </c>
      <c r="K12131" t="b">
        <v>1</v>
      </c>
    </row>
    <row r="12132" spans="8:11" x14ac:dyDescent="0.25">
      <c r="H12132">
        <v>136</v>
      </c>
      <c r="I12132">
        <v>896</v>
      </c>
      <c r="J12132">
        <v>39</v>
      </c>
      <c r="K12132" t="b">
        <v>1</v>
      </c>
    </row>
    <row r="12133" spans="8:11" x14ac:dyDescent="0.25">
      <c r="H12133">
        <v>136</v>
      </c>
      <c r="I12133">
        <v>903</v>
      </c>
      <c r="J12133">
        <v>39</v>
      </c>
      <c r="K12133" t="b">
        <v>1</v>
      </c>
    </row>
    <row r="12134" spans="8:11" x14ac:dyDescent="0.25">
      <c r="H12134">
        <v>136</v>
      </c>
      <c r="I12134">
        <v>910</v>
      </c>
      <c r="J12134">
        <v>39</v>
      </c>
      <c r="K12134" t="b">
        <v>1</v>
      </c>
    </row>
    <row r="12135" spans="8:11" x14ac:dyDescent="0.25">
      <c r="H12135">
        <v>136</v>
      </c>
      <c r="I12135">
        <v>917</v>
      </c>
      <c r="J12135">
        <v>39</v>
      </c>
      <c r="K12135" t="b">
        <v>1</v>
      </c>
    </row>
    <row r="12136" spans="8:11" x14ac:dyDescent="0.25">
      <c r="H12136">
        <v>136</v>
      </c>
      <c r="I12136">
        <v>924</v>
      </c>
      <c r="J12136">
        <v>39</v>
      </c>
      <c r="K12136" t="b">
        <v>1</v>
      </c>
    </row>
    <row r="12137" spans="8:11" x14ac:dyDescent="0.25">
      <c r="H12137">
        <v>136</v>
      </c>
      <c r="I12137">
        <v>931</v>
      </c>
      <c r="J12137">
        <v>39</v>
      </c>
      <c r="K12137" t="b">
        <v>1</v>
      </c>
    </row>
    <row r="12138" spans="8:11" x14ac:dyDescent="0.25">
      <c r="H12138">
        <v>136</v>
      </c>
      <c r="I12138">
        <v>938</v>
      </c>
      <c r="J12138">
        <v>39</v>
      </c>
      <c r="K12138" t="b">
        <v>1</v>
      </c>
    </row>
    <row r="12139" spans="8:11" x14ac:dyDescent="0.25">
      <c r="H12139">
        <v>136</v>
      </c>
      <c r="I12139">
        <v>945</v>
      </c>
      <c r="J12139">
        <v>39</v>
      </c>
      <c r="K12139" t="b">
        <v>1</v>
      </c>
    </row>
    <row r="12140" spans="8:11" x14ac:dyDescent="0.25">
      <c r="H12140">
        <v>136</v>
      </c>
      <c r="I12140">
        <v>952</v>
      </c>
      <c r="J12140">
        <v>39</v>
      </c>
      <c r="K12140" t="b">
        <v>1</v>
      </c>
    </row>
    <row r="12141" spans="8:11" x14ac:dyDescent="0.25">
      <c r="H12141">
        <v>137</v>
      </c>
      <c r="I12141">
        <v>0</v>
      </c>
      <c r="J12141">
        <v>108</v>
      </c>
      <c r="K12141" t="b">
        <v>1</v>
      </c>
    </row>
    <row r="12142" spans="8:11" x14ac:dyDescent="0.25">
      <c r="H12142">
        <v>137</v>
      </c>
      <c r="I12142">
        <v>8</v>
      </c>
      <c r="J12142">
        <v>108</v>
      </c>
      <c r="K12142" t="b">
        <v>1</v>
      </c>
    </row>
    <row r="12143" spans="8:11" x14ac:dyDescent="0.25">
      <c r="H12143">
        <v>137</v>
      </c>
      <c r="I12143">
        <v>16</v>
      </c>
      <c r="J12143">
        <v>108</v>
      </c>
      <c r="K12143" t="b">
        <v>1</v>
      </c>
    </row>
    <row r="12144" spans="8:11" x14ac:dyDescent="0.25">
      <c r="H12144">
        <v>137</v>
      </c>
      <c r="I12144">
        <v>24</v>
      </c>
      <c r="J12144">
        <v>108</v>
      </c>
      <c r="K12144" t="b">
        <v>1</v>
      </c>
    </row>
    <row r="12145" spans="8:11" x14ac:dyDescent="0.25">
      <c r="H12145">
        <v>137</v>
      </c>
      <c r="I12145">
        <v>32</v>
      </c>
      <c r="J12145">
        <v>108</v>
      </c>
      <c r="K12145" t="b">
        <v>1</v>
      </c>
    </row>
    <row r="12146" spans="8:11" x14ac:dyDescent="0.25">
      <c r="H12146">
        <v>137</v>
      </c>
      <c r="I12146">
        <v>40</v>
      </c>
      <c r="J12146">
        <v>108</v>
      </c>
      <c r="K12146" t="b">
        <v>1</v>
      </c>
    </row>
    <row r="12147" spans="8:11" x14ac:dyDescent="0.25">
      <c r="H12147">
        <v>137</v>
      </c>
      <c r="I12147">
        <v>48</v>
      </c>
      <c r="J12147">
        <v>108</v>
      </c>
      <c r="K12147" t="b">
        <v>1</v>
      </c>
    </row>
    <row r="12148" spans="8:11" x14ac:dyDescent="0.25">
      <c r="H12148">
        <v>137</v>
      </c>
      <c r="I12148">
        <v>56</v>
      </c>
      <c r="J12148">
        <v>108</v>
      </c>
      <c r="K12148" t="b">
        <v>1</v>
      </c>
    </row>
    <row r="12149" spans="8:11" x14ac:dyDescent="0.25">
      <c r="H12149">
        <v>137</v>
      </c>
      <c r="I12149">
        <v>64</v>
      </c>
      <c r="J12149">
        <v>108</v>
      </c>
      <c r="K12149" t="b">
        <v>1</v>
      </c>
    </row>
    <row r="12150" spans="8:11" x14ac:dyDescent="0.25">
      <c r="H12150">
        <v>137</v>
      </c>
      <c r="I12150">
        <v>72</v>
      </c>
      <c r="J12150">
        <v>108</v>
      </c>
      <c r="K12150" t="b">
        <v>1</v>
      </c>
    </row>
    <row r="12151" spans="8:11" x14ac:dyDescent="0.25">
      <c r="H12151">
        <v>137</v>
      </c>
      <c r="I12151">
        <v>80</v>
      </c>
      <c r="J12151">
        <v>108</v>
      </c>
      <c r="K12151" t="b">
        <v>1</v>
      </c>
    </row>
    <row r="12152" spans="8:11" x14ac:dyDescent="0.25">
      <c r="H12152">
        <v>137</v>
      </c>
      <c r="I12152">
        <v>88</v>
      </c>
      <c r="J12152">
        <v>108</v>
      </c>
      <c r="K12152" t="b">
        <v>1</v>
      </c>
    </row>
    <row r="12153" spans="8:11" x14ac:dyDescent="0.25">
      <c r="H12153">
        <v>137</v>
      </c>
      <c r="I12153">
        <v>96</v>
      </c>
      <c r="J12153">
        <v>108</v>
      </c>
      <c r="K12153" t="b">
        <v>1</v>
      </c>
    </row>
    <row r="12154" spans="8:11" x14ac:dyDescent="0.25">
      <c r="H12154">
        <v>137</v>
      </c>
      <c r="I12154">
        <v>104</v>
      </c>
      <c r="J12154">
        <v>108</v>
      </c>
      <c r="K12154" t="b">
        <v>1</v>
      </c>
    </row>
    <row r="12155" spans="8:11" x14ac:dyDescent="0.25">
      <c r="H12155">
        <v>137</v>
      </c>
      <c r="I12155">
        <v>112</v>
      </c>
      <c r="J12155">
        <v>108</v>
      </c>
      <c r="K12155" t="b">
        <v>1</v>
      </c>
    </row>
    <row r="12156" spans="8:11" x14ac:dyDescent="0.25">
      <c r="H12156">
        <v>137</v>
      </c>
      <c r="I12156">
        <v>120</v>
      </c>
      <c r="J12156">
        <v>108</v>
      </c>
      <c r="K12156" t="b">
        <v>1</v>
      </c>
    </row>
    <row r="12157" spans="8:11" x14ac:dyDescent="0.25">
      <c r="H12157">
        <v>137</v>
      </c>
      <c r="I12157">
        <v>128</v>
      </c>
      <c r="J12157">
        <v>108</v>
      </c>
      <c r="K12157" t="b">
        <v>1</v>
      </c>
    </row>
    <row r="12158" spans="8:11" x14ac:dyDescent="0.25">
      <c r="H12158">
        <v>137</v>
      </c>
      <c r="I12158">
        <v>136</v>
      </c>
      <c r="J12158">
        <v>108</v>
      </c>
      <c r="K12158" t="b">
        <v>1</v>
      </c>
    </row>
    <row r="12159" spans="8:11" x14ac:dyDescent="0.25">
      <c r="H12159">
        <v>137</v>
      </c>
      <c r="I12159">
        <v>144</v>
      </c>
      <c r="J12159">
        <v>108</v>
      </c>
      <c r="K12159" t="b">
        <v>1</v>
      </c>
    </row>
    <row r="12160" spans="8:11" x14ac:dyDescent="0.25">
      <c r="H12160">
        <v>137</v>
      </c>
      <c r="I12160">
        <v>152</v>
      </c>
      <c r="J12160">
        <v>108</v>
      </c>
      <c r="K12160" t="b">
        <v>1</v>
      </c>
    </row>
    <row r="12161" spans="8:11" x14ac:dyDescent="0.25">
      <c r="H12161">
        <v>137</v>
      </c>
      <c r="I12161">
        <v>160</v>
      </c>
      <c r="J12161">
        <v>108</v>
      </c>
      <c r="K12161" t="b">
        <v>1</v>
      </c>
    </row>
    <row r="12162" spans="8:11" x14ac:dyDescent="0.25">
      <c r="H12162">
        <v>137</v>
      </c>
      <c r="I12162">
        <v>168</v>
      </c>
      <c r="J12162">
        <v>108</v>
      </c>
      <c r="K12162" t="b">
        <v>1</v>
      </c>
    </row>
    <row r="12163" spans="8:11" x14ac:dyDescent="0.25">
      <c r="H12163">
        <v>137</v>
      </c>
      <c r="I12163">
        <v>176</v>
      </c>
      <c r="J12163">
        <v>108</v>
      </c>
      <c r="K12163" t="b">
        <v>1</v>
      </c>
    </row>
    <row r="12164" spans="8:11" x14ac:dyDescent="0.25">
      <c r="H12164">
        <v>137</v>
      </c>
      <c r="I12164">
        <v>184</v>
      </c>
      <c r="J12164">
        <v>108</v>
      </c>
      <c r="K12164" t="b">
        <v>1</v>
      </c>
    </row>
    <row r="12165" spans="8:11" x14ac:dyDescent="0.25">
      <c r="H12165">
        <v>137</v>
      </c>
      <c r="I12165">
        <v>192</v>
      </c>
      <c r="J12165">
        <v>108</v>
      </c>
      <c r="K12165" t="b">
        <v>1</v>
      </c>
    </row>
    <row r="12166" spans="8:11" x14ac:dyDescent="0.25">
      <c r="H12166">
        <v>137</v>
      </c>
      <c r="I12166">
        <v>200</v>
      </c>
      <c r="J12166">
        <v>108</v>
      </c>
      <c r="K12166" t="b">
        <v>1</v>
      </c>
    </row>
    <row r="12167" spans="8:11" x14ac:dyDescent="0.25">
      <c r="H12167">
        <v>137</v>
      </c>
      <c r="I12167">
        <v>208</v>
      </c>
      <c r="J12167">
        <v>108</v>
      </c>
      <c r="K12167" t="b">
        <v>1</v>
      </c>
    </row>
    <row r="12168" spans="8:11" x14ac:dyDescent="0.25">
      <c r="H12168">
        <v>137</v>
      </c>
      <c r="I12168">
        <v>216</v>
      </c>
      <c r="J12168">
        <v>108</v>
      </c>
      <c r="K12168" t="b">
        <v>1</v>
      </c>
    </row>
    <row r="12169" spans="8:11" x14ac:dyDescent="0.25">
      <c r="H12169">
        <v>137</v>
      </c>
      <c r="I12169">
        <v>224</v>
      </c>
      <c r="J12169">
        <v>108</v>
      </c>
      <c r="K12169" t="b">
        <v>1</v>
      </c>
    </row>
    <row r="12170" spans="8:11" x14ac:dyDescent="0.25">
      <c r="H12170">
        <v>137</v>
      </c>
      <c r="I12170">
        <v>232</v>
      </c>
      <c r="J12170">
        <v>108</v>
      </c>
      <c r="K12170" t="b">
        <v>1</v>
      </c>
    </row>
    <row r="12171" spans="8:11" x14ac:dyDescent="0.25">
      <c r="H12171">
        <v>137</v>
      </c>
      <c r="I12171">
        <v>240</v>
      </c>
      <c r="J12171">
        <v>108</v>
      </c>
      <c r="K12171" t="b">
        <v>1</v>
      </c>
    </row>
    <row r="12172" spans="8:11" x14ac:dyDescent="0.25">
      <c r="H12172">
        <v>137</v>
      </c>
      <c r="I12172">
        <v>248</v>
      </c>
      <c r="J12172">
        <v>108</v>
      </c>
      <c r="K12172" t="b">
        <v>1</v>
      </c>
    </row>
    <row r="12173" spans="8:11" x14ac:dyDescent="0.25">
      <c r="H12173">
        <v>137</v>
      </c>
      <c r="I12173">
        <v>256</v>
      </c>
      <c r="J12173">
        <v>108</v>
      </c>
      <c r="K12173" t="b">
        <v>1</v>
      </c>
    </row>
    <row r="12174" spans="8:11" x14ac:dyDescent="0.25">
      <c r="H12174">
        <v>137</v>
      </c>
      <c r="I12174">
        <v>264</v>
      </c>
      <c r="J12174">
        <v>108</v>
      </c>
      <c r="K12174" t="b">
        <v>1</v>
      </c>
    </row>
    <row r="12175" spans="8:11" x14ac:dyDescent="0.25">
      <c r="H12175">
        <v>137</v>
      </c>
      <c r="I12175">
        <v>272</v>
      </c>
      <c r="J12175">
        <v>108</v>
      </c>
      <c r="K12175" t="b">
        <v>1</v>
      </c>
    </row>
    <row r="12176" spans="8:11" x14ac:dyDescent="0.25">
      <c r="H12176">
        <v>137</v>
      </c>
      <c r="I12176">
        <v>280</v>
      </c>
      <c r="J12176">
        <v>108</v>
      </c>
      <c r="K12176" t="b">
        <v>1</v>
      </c>
    </row>
    <row r="12177" spans="8:11" x14ac:dyDescent="0.25">
      <c r="H12177">
        <v>137</v>
      </c>
      <c r="I12177">
        <v>288</v>
      </c>
      <c r="J12177">
        <v>108</v>
      </c>
      <c r="K12177" t="b">
        <v>1</v>
      </c>
    </row>
    <row r="12178" spans="8:11" x14ac:dyDescent="0.25">
      <c r="H12178">
        <v>137</v>
      </c>
      <c r="I12178">
        <v>296</v>
      </c>
      <c r="J12178">
        <v>108</v>
      </c>
      <c r="K12178" t="b">
        <v>1</v>
      </c>
    </row>
    <row r="12179" spans="8:11" x14ac:dyDescent="0.25">
      <c r="H12179">
        <v>137</v>
      </c>
      <c r="I12179">
        <v>304</v>
      </c>
      <c r="J12179">
        <v>108</v>
      </c>
      <c r="K12179" t="b">
        <v>1</v>
      </c>
    </row>
    <row r="12180" spans="8:11" x14ac:dyDescent="0.25">
      <c r="H12180">
        <v>137</v>
      </c>
      <c r="I12180">
        <v>312</v>
      </c>
      <c r="J12180">
        <v>108</v>
      </c>
      <c r="K12180" t="b">
        <v>1</v>
      </c>
    </row>
    <row r="12181" spans="8:11" x14ac:dyDescent="0.25">
      <c r="H12181">
        <v>137</v>
      </c>
      <c r="I12181">
        <v>320</v>
      </c>
      <c r="J12181">
        <v>108</v>
      </c>
      <c r="K12181" t="b">
        <v>1</v>
      </c>
    </row>
    <row r="12182" spans="8:11" x14ac:dyDescent="0.25">
      <c r="H12182">
        <v>137</v>
      </c>
      <c r="I12182">
        <v>328</v>
      </c>
      <c r="J12182">
        <v>108</v>
      </c>
      <c r="K12182" t="b">
        <v>1</v>
      </c>
    </row>
    <row r="12183" spans="8:11" x14ac:dyDescent="0.25">
      <c r="H12183">
        <v>137</v>
      </c>
      <c r="I12183">
        <v>336</v>
      </c>
      <c r="J12183">
        <v>108</v>
      </c>
      <c r="K12183" t="b">
        <v>1</v>
      </c>
    </row>
    <row r="12184" spans="8:11" x14ac:dyDescent="0.25">
      <c r="H12184">
        <v>137</v>
      </c>
      <c r="I12184">
        <v>344</v>
      </c>
      <c r="J12184">
        <v>108</v>
      </c>
      <c r="K12184" t="b">
        <v>1</v>
      </c>
    </row>
    <row r="12185" spans="8:11" x14ac:dyDescent="0.25">
      <c r="H12185">
        <v>137</v>
      </c>
      <c r="I12185">
        <v>352</v>
      </c>
      <c r="J12185">
        <v>108</v>
      </c>
      <c r="K12185" t="b">
        <v>1</v>
      </c>
    </row>
    <row r="12186" spans="8:11" x14ac:dyDescent="0.25">
      <c r="H12186">
        <v>137</v>
      </c>
      <c r="I12186">
        <v>360</v>
      </c>
      <c r="J12186">
        <v>108</v>
      </c>
      <c r="K12186" t="b">
        <v>1</v>
      </c>
    </row>
    <row r="12187" spans="8:11" x14ac:dyDescent="0.25">
      <c r="H12187">
        <v>137</v>
      </c>
      <c r="I12187">
        <v>368</v>
      </c>
      <c r="J12187">
        <v>108</v>
      </c>
      <c r="K12187" t="b">
        <v>1</v>
      </c>
    </row>
    <row r="12188" spans="8:11" x14ac:dyDescent="0.25">
      <c r="H12188">
        <v>137</v>
      </c>
      <c r="I12188">
        <v>376</v>
      </c>
      <c r="J12188">
        <v>108</v>
      </c>
      <c r="K12188" t="b">
        <v>1</v>
      </c>
    </row>
    <row r="12189" spans="8:11" x14ac:dyDescent="0.25">
      <c r="H12189">
        <v>137</v>
      </c>
      <c r="I12189">
        <v>384</v>
      </c>
      <c r="J12189">
        <v>108</v>
      </c>
      <c r="K12189" t="b">
        <v>1</v>
      </c>
    </row>
    <row r="12190" spans="8:11" x14ac:dyDescent="0.25">
      <c r="H12190">
        <v>137</v>
      </c>
      <c r="I12190">
        <v>392</v>
      </c>
      <c r="J12190">
        <v>108</v>
      </c>
      <c r="K12190" t="b">
        <v>1</v>
      </c>
    </row>
    <row r="12191" spans="8:11" x14ac:dyDescent="0.25">
      <c r="H12191">
        <v>137</v>
      </c>
      <c r="I12191">
        <v>400</v>
      </c>
      <c r="J12191">
        <v>108</v>
      </c>
      <c r="K12191" t="b">
        <v>1</v>
      </c>
    </row>
    <row r="12192" spans="8:11" x14ac:dyDescent="0.25">
      <c r="H12192">
        <v>137</v>
      </c>
      <c r="I12192">
        <v>408</v>
      </c>
      <c r="J12192">
        <v>108</v>
      </c>
      <c r="K12192" t="b">
        <v>1</v>
      </c>
    </row>
    <row r="12193" spans="8:11" x14ac:dyDescent="0.25">
      <c r="H12193">
        <v>137</v>
      </c>
      <c r="I12193">
        <v>416</v>
      </c>
      <c r="J12193">
        <v>108</v>
      </c>
      <c r="K12193" t="b">
        <v>1</v>
      </c>
    </row>
    <row r="12194" spans="8:11" x14ac:dyDescent="0.25">
      <c r="H12194">
        <v>137</v>
      </c>
      <c r="I12194">
        <v>424</v>
      </c>
      <c r="J12194">
        <v>108</v>
      </c>
      <c r="K12194" t="b">
        <v>1</v>
      </c>
    </row>
    <row r="12195" spans="8:11" x14ac:dyDescent="0.25">
      <c r="H12195">
        <v>137</v>
      </c>
      <c r="I12195">
        <v>432</v>
      </c>
      <c r="J12195">
        <v>108</v>
      </c>
      <c r="K12195" t="b">
        <v>1</v>
      </c>
    </row>
    <row r="12196" spans="8:11" x14ac:dyDescent="0.25">
      <c r="H12196">
        <v>137</v>
      </c>
      <c r="I12196">
        <v>440</v>
      </c>
      <c r="J12196">
        <v>108</v>
      </c>
      <c r="K12196" t="b">
        <v>1</v>
      </c>
    </row>
    <row r="12197" spans="8:11" x14ac:dyDescent="0.25">
      <c r="H12197">
        <v>137</v>
      </c>
      <c r="I12197">
        <v>448</v>
      </c>
      <c r="J12197">
        <v>108</v>
      </c>
      <c r="K12197" t="b">
        <v>1</v>
      </c>
    </row>
    <row r="12198" spans="8:11" x14ac:dyDescent="0.25">
      <c r="H12198">
        <v>137</v>
      </c>
      <c r="I12198">
        <v>456</v>
      </c>
      <c r="J12198">
        <v>108</v>
      </c>
      <c r="K12198" t="b">
        <v>1</v>
      </c>
    </row>
    <row r="12199" spans="8:11" x14ac:dyDescent="0.25">
      <c r="H12199">
        <v>137</v>
      </c>
      <c r="I12199">
        <v>464</v>
      </c>
      <c r="J12199">
        <v>108</v>
      </c>
      <c r="K12199" t="b">
        <v>1</v>
      </c>
    </row>
    <row r="12200" spans="8:11" x14ac:dyDescent="0.25">
      <c r="H12200">
        <v>137</v>
      </c>
      <c r="I12200">
        <v>472</v>
      </c>
      <c r="J12200">
        <v>108</v>
      </c>
      <c r="K12200" t="b">
        <v>1</v>
      </c>
    </row>
    <row r="12201" spans="8:11" x14ac:dyDescent="0.25">
      <c r="H12201">
        <v>137</v>
      </c>
      <c r="I12201">
        <v>480</v>
      </c>
      <c r="J12201">
        <v>108</v>
      </c>
      <c r="K12201" t="b">
        <v>1</v>
      </c>
    </row>
    <row r="12202" spans="8:11" x14ac:dyDescent="0.25">
      <c r="H12202">
        <v>137</v>
      </c>
      <c r="I12202">
        <v>488</v>
      </c>
      <c r="J12202">
        <v>108</v>
      </c>
      <c r="K12202" t="b">
        <v>1</v>
      </c>
    </row>
    <row r="12203" spans="8:11" x14ac:dyDescent="0.25">
      <c r="H12203">
        <v>137</v>
      </c>
      <c r="I12203">
        <v>496</v>
      </c>
      <c r="J12203">
        <v>108</v>
      </c>
      <c r="K12203" t="b">
        <v>1</v>
      </c>
    </row>
    <row r="12204" spans="8:11" x14ac:dyDescent="0.25">
      <c r="H12204">
        <v>137</v>
      </c>
      <c r="I12204">
        <v>504</v>
      </c>
      <c r="J12204">
        <v>108</v>
      </c>
      <c r="K12204" t="b">
        <v>1</v>
      </c>
    </row>
    <row r="12205" spans="8:11" x14ac:dyDescent="0.25">
      <c r="H12205">
        <v>137</v>
      </c>
      <c r="I12205">
        <v>512</v>
      </c>
      <c r="J12205">
        <v>108</v>
      </c>
      <c r="K12205" t="b">
        <v>1</v>
      </c>
    </row>
    <row r="12206" spans="8:11" x14ac:dyDescent="0.25">
      <c r="H12206">
        <v>137</v>
      </c>
      <c r="I12206">
        <v>520</v>
      </c>
      <c r="J12206">
        <v>108</v>
      </c>
      <c r="K12206" t="b">
        <v>1</v>
      </c>
    </row>
    <row r="12207" spans="8:11" x14ac:dyDescent="0.25">
      <c r="H12207">
        <v>137</v>
      </c>
      <c r="I12207">
        <v>528</v>
      </c>
      <c r="J12207">
        <v>108</v>
      </c>
      <c r="K12207" t="b">
        <v>1</v>
      </c>
    </row>
    <row r="12208" spans="8:11" x14ac:dyDescent="0.25">
      <c r="H12208">
        <v>137</v>
      </c>
      <c r="I12208">
        <v>536</v>
      </c>
      <c r="J12208">
        <v>108</v>
      </c>
      <c r="K12208" t="b">
        <v>1</v>
      </c>
    </row>
    <row r="12209" spans="8:11" x14ac:dyDescent="0.25">
      <c r="H12209">
        <v>137</v>
      </c>
      <c r="I12209">
        <v>544</v>
      </c>
      <c r="J12209">
        <v>108</v>
      </c>
      <c r="K12209" t="b">
        <v>1</v>
      </c>
    </row>
    <row r="12210" spans="8:11" x14ac:dyDescent="0.25">
      <c r="H12210">
        <v>137</v>
      </c>
      <c r="I12210">
        <v>552</v>
      </c>
      <c r="J12210">
        <v>108</v>
      </c>
      <c r="K12210" t="b">
        <v>1</v>
      </c>
    </row>
    <row r="12211" spans="8:11" x14ac:dyDescent="0.25">
      <c r="H12211">
        <v>137</v>
      </c>
      <c r="I12211">
        <v>560</v>
      </c>
      <c r="J12211">
        <v>108</v>
      </c>
      <c r="K12211" t="b">
        <v>1</v>
      </c>
    </row>
    <row r="12212" spans="8:11" x14ac:dyDescent="0.25">
      <c r="H12212">
        <v>137</v>
      </c>
      <c r="I12212">
        <v>568</v>
      </c>
      <c r="J12212">
        <v>108</v>
      </c>
      <c r="K12212" t="b">
        <v>1</v>
      </c>
    </row>
    <row r="12213" spans="8:11" x14ac:dyDescent="0.25">
      <c r="H12213">
        <v>137</v>
      </c>
      <c r="I12213">
        <v>576</v>
      </c>
      <c r="J12213">
        <v>108</v>
      </c>
      <c r="K12213" t="b">
        <v>1</v>
      </c>
    </row>
    <row r="12214" spans="8:11" x14ac:dyDescent="0.25">
      <c r="H12214">
        <v>137</v>
      </c>
      <c r="I12214">
        <v>584</v>
      </c>
      <c r="J12214">
        <v>108</v>
      </c>
      <c r="K12214" t="b">
        <v>1</v>
      </c>
    </row>
    <row r="12215" spans="8:11" x14ac:dyDescent="0.25">
      <c r="H12215">
        <v>137</v>
      </c>
      <c r="I12215">
        <v>592</v>
      </c>
      <c r="J12215">
        <v>108</v>
      </c>
      <c r="K12215" t="b">
        <v>1</v>
      </c>
    </row>
    <row r="12216" spans="8:11" x14ac:dyDescent="0.25">
      <c r="H12216">
        <v>137</v>
      </c>
      <c r="I12216">
        <v>600</v>
      </c>
      <c r="J12216">
        <v>108</v>
      </c>
      <c r="K12216" t="b">
        <v>1</v>
      </c>
    </row>
    <row r="12217" spans="8:11" x14ac:dyDescent="0.25">
      <c r="H12217">
        <v>137</v>
      </c>
      <c r="I12217">
        <v>608</v>
      </c>
      <c r="J12217">
        <v>108</v>
      </c>
      <c r="K12217" t="b">
        <v>1</v>
      </c>
    </row>
    <row r="12218" spans="8:11" x14ac:dyDescent="0.25">
      <c r="H12218">
        <v>137</v>
      </c>
      <c r="I12218">
        <v>616</v>
      </c>
      <c r="J12218">
        <v>108</v>
      </c>
      <c r="K12218" t="b">
        <v>1</v>
      </c>
    </row>
    <row r="12219" spans="8:11" x14ac:dyDescent="0.25">
      <c r="H12219">
        <v>137</v>
      </c>
      <c r="I12219">
        <v>624</v>
      </c>
      <c r="J12219">
        <v>108</v>
      </c>
      <c r="K12219" t="b">
        <v>1</v>
      </c>
    </row>
    <row r="12220" spans="8:11" x14ac:dyDescent="0.25">
      <c r="H12220">
        <v>137</v>
      </c>
      <c r="I12220">
        <v>632</v>
      </c>
      <c r="J12220">
        <v>108</v>
      </c>
      <c r="K12220" t="b">
        <v>1</v>
      </c>
    </row>
    <row r="12221" spans="8:11" x14ac:dyDescent="0.25">
      <c r="H12221">
        <v>137</v>
      </c>
      <c r="I12221">
        <v>640</v>
      </c>
      <c r="J12221">
        <v>108</v>
      </c>
      <c r="K12221" t="b">
        <v>1</v>
      </c>
    </row>
    <row r="12222" spans="8:11" x14ac:dyDescent="0.25">
      <c r="H12222">
        <v>137</v>
      </c>
      <c r="I12222">
        <v>648</v>
      </c>
      <c r="J12222">
        <v>108</v>
      </c>
      <c r="K12222" t="b">
        <v>1</v>
      </c>
    </row>
    <row r="12223" spans="8:11" x14ac:dyDescent="0.25">
      <c r="H12223">
        <v>137</v>
      </c>
      <c r="I12223">
        <v>656</v>
      </c>
      <c r="J12223">
        <v>108</v>
      </c>
      <c r="K12223" t="b">
        <v>1</v>
      </c>
    </row>
    <row r="12224" spans="8:11" x14ac:dyDescent="0.25">
      <c r="H12224">
        <v>137</v>
      </c>
      <c r="I12224">
        <v>664</v>
      </c>
      <c r="J12224">
        <v>108</v>
      </c>
      <c r="K12224" t="b">
        <v>1</v>
      </c>
    </row>
    <row r="12225" spans="8:11" x14ac:dyDescent="0.25">
      <c r="H12225">
        <v>137</v>
      </c>
      <c r="I12225">
        <v>672</v>
      </c>
      <c r="J12225">
        <v>108</v>
      </c>
      <c r="K12225" t="b">
        <v>1</v>
      </c>
    </row>
    <row r="12226" spans="8:11" x14ac:dyDescent="0.25">
      <c r="H12226">
        <v>137</v>
      </c>
      <c r="I12226">
        <v>680</v>
      </c>
      <c r="J12226">
        <v>108</v>
      </c>
      <c r="K12226" t="b">
        <v>1</v>
      </c>
    </row>
    <row r="12227" spans="8:11" x14ac:dyDescent="0.25">
      <c r="H12227">
        <v>137</v>
      </c>
      <c r="I12227">
        <v>688</v>
      </c>
      <c r="J12227">
        <v>108</v>
      </c>
      <c r="K12227" t="b">
        <v>1</v>
      </c>
    </row>
    <row r="12228" spans="8:11" x14ac:dyDescent="0.25">
      <c r="H12228">
        <v>137</v>
      </c>
      <c r="I12228">
        <v>696</v>
      </c>
      <c r="J12228">
        <v>108</v>
      </c>
      <c r="K12228" t="b">
        <v>1</v>
      </c>
    </row>
    <row r="12229" spans="8:11" x14ac:dyDescent="0.25">
      <c r="H12229">
        <v>137</v>
      </c>
      <c r="I12229">
        <v>704</v>
      </c>
      <c r="J12229">
        <v>108</v>
      </c>
      <c r="K12229" t="b">
        <v>1</v>
      </c>
    </row>
    <row r="12230" spans="8:11" x14ac:dyDescent="0.25">
      <c r="H12230">
        <v>137</v>
      </c>
      <c r="I12230">
        <v>712</v>
      </c>
      <c r="J12230">
        <v>108</v>
      </c>
      <c r="K12230" t="b">
        <v>1</v>
      </c>
    </row>
    <row r="12231" spans="8:11" x14ac:dyDescent="0.25">
      <c r="H12231">
        <v>137</v>
      </c>
      <c r="I12231">
        <v>720</v>
      </c>
      <c r="J12231">
        <v>108</v>
      </c>
      <c r="K12231" t="b">
        <v>1</v>
      </c>
    </row>
    <row r="12232" spans="8:11" x14ac:dyDescent="0.25">
      <c r="H12232">
        <v>137</v>
      </c>
      <c r="I12232">
        <v>728</v>
      </c>
      <c r="J12232">
        <v>108</v>
      </c>
      <c r="K12232" t="b">
        <v>1</v>
      </c>
    </row>
    <row r="12233" spans="8:11" x14ac:dyDescent="0.25">
      <c r="H12233">
        <v>137</v>
      </c>
      <c r="I12233">
        <v>736</v>
      </c>
      <c r="J12233">
        <v>108</v>
      </c>
      <c r="K12233" t="b">
        <v>1</v>
      </c>
    </row>
    <row r="12234" spans="8:11" x14ac:dyDescent="0.25">
      <c r="H12234">
        <v>137</v>
      </c>
      <c r="I12234">
        <v>744</v>
      </c>
      <c r="J12234">
        <v>108</v>
      </c>
      <c r="K12234" t="b">
        <v>1</v>
      </c>
    </row>
    <row r="12235" spans="8:11" x14ac:dyDescent="0.25">
      <c r="H12235">
        <v>137</v>
      </c>
      <c r="I12235">
        <v>752</v>
      </c>
      <c r="J12235">
        <v>108</v>
      </c>
      <c r="K12235" t="b">
        <v>1</v>
      </c>
    </row>
    <row r="12236" spans="8:11" x14ac:dyDescent="0.25">
      <c r="H12236">
        <v>137</v>
      </c>
      <c r="I12236">
        <v>760</v>
      </c>
      <c r="J12236">
        <v>108</v>
      </c>
      <c r="K12236" t="b">
        <v>1</v>
      </c>
    </row>
    <row r="12237" spans="8:11" x14ac:dyDescent="0.25">
      <c r="H12237">
        <v>137</v>
      </c>
      <c r="I12237">
        <v>768</v>
      </c>
      <c r="J12237">
        <v>108</v>
      </c>
      <c r="K12237" t="b">
        <v>1</v>
      </c>
    </row>
    <row r="12238" spans="8:11" x14ac:dyDescent="0.25">
      <c r="H12238">
        <v>137</v>
      </c>
      <c r="I12238">
        <v>776</v>
      </c>
      <c r="J12238">
        <v>108</v>
      </c>
      <c r="K12238" t="b">
        <v>1</v>
      </c>
    </row>
    <row r="12239" spans="8:11" x14ac:dyDescent="0.25">
      <c r="H12239">
        <v>137</v>
      </c>
      <c r="I12239">
        <v>784</v>
      </c>
      <c r="J12239">
        <v>108</v>
      </c>
      <c r="K12239" t="b">
        <v>1</v>
      </c>
    </row>
    <row r="12240" spans="8:11" x14ac:dyDescent="0.25">
      <c r="H12240">
        <v>137</v>
      </c>
      <c r="I12240">
        <v>792</v>
      </c>
      <c r="J12240">
        <v>108</v>
      </c>
      <c r="K12240" t="b">
        <v>1</v>
      </c>
    </row>
    <row r="12241" spans="8:11" x14ac:dyDescent="0.25">
      <c r="H12241">
        <v>137</v>
      </c>
      <c r="I12241">
        <v>800</v>
      </c>
      <c r="J12241">
        <v>108</v>
      </c>
      <c r="K12241" t="b">
        <v>1</v>
      </c>
    </row>
    <row r="12242" spans="8:11" x14ac:dyDescent="0.25">
      <c r="H12242">
        <v>137</v>
      </c>
      <c r="I12242">
        <v>808</v>
      </c>
      <c r="J12242">
        <v>108</v>
      </c>
      <c r="K12242" t="b">
        <v>1</v>
      </c>
    </row>
    <row r="12243" spans="8:11" x14ac:dyDescent="0.25">
      <c r="H12243">
        <v>137</v>
      </c>
      <c r="I12243">
        <v>816</v>
      </c>
      <c r="J12243">
        <v>108</v>
      </c>
      <c r="K12243" t="b">
        <v>1</v>
      </c>
    </row>
    <row r="12244" spans="8:11" x14ac:dyDescent="0.25">
      <c r="H12244">
        <v>137</v>
      </c>
      <c r="I12244">
        <v>824</v>
      </c>
      <c r="J12244">
        <v>108</v>
      </c>
      <c r="K12244" t="b">
        <v>1</v>
      </c>
    </row>
    <row r="12245" spans="8:11" x14ac:dyDescent="0.25">
      <c r="H12245">
        <v>137</v>
      </c>
      <c r="I12245">
        <v>832</v>
      </c>
      <c r="J12245">
        <v>108</v>
      </c>
      <c r="K12245" t="b">
        <v>1</v>
      </c>
    </row>
    <row r="12246" spans="8:11" x14ac:dyDescent="0.25">
      <c r="H12246">
        <v>137</v>
      </c>
      <c r="I12246">
        <v>840</v>
      </c>
      <c r="J12246">
        <v>108</v>
      </c>
      <c r="K12246" t="b">
        <v>1</v>
      </c>
    </row>
    <row r="12247" spans="8:11" x14ac:dyDescent="0.25">
      <c r="H12247">
        <v>137</v>
      </c>
      <c r="I12247">
        <v>848</v>
      </c>
      <c r="J12247">
        <v>108</v>
      </c>
      <c r="K12247" t="b">
        <v>1</v>
      </c>
    </row>
    <row r="12248" spans="8:11" x14ac:dyDescent="0.25">
      <c r="H12248">
        <v>137</v>
      </c>
      <c r="I12248">
        <v>856</v>
      </c>
      <c r="J12248">
        <v>108</v>
      </c>
      <c r="K12248" t="b">
        <v>1</v>
      </c>
    </row>
    <row r="12249" spans="8:11" x14ac:dyDescent="0.25">
      <c r="H12249">
        <v>137</v>
      </c>
      <c r="I12249">
        <v>864</v>
      </c>
      <c r="J12249">
        <v>108</v>
      </c>
      <c r="K12249" t="b">
        <v>1</v>
      </c>
    </row>
    <row r="12250" spans="8:11" x14ac:dyDescent="0.25">
      <c r="H12250">
        <v>137</v>
      </c>
      <c r="I12250">
        <v>872</v>
      </c>
      <c r="J12250">
        <v>108</v>
      </c>
      <c r="K12250" t="b">
        <v>1</v>
      </c>
    </row>
    <row r="12251" spans="8:11" x14ac:dyDescent="0.25">
      <c r="H12251">
        <v>137</v>
      </c>
      <c r="I12251">
        <v>880</v>
      </c>
      <c r="J12251">
        <v>108</v>
      </c>
      <c r="K12251" t="b">
        <v>1</v>
      </c>
    </row>
    <row r="12252" spans="8:11" x14ac:dyDescent="0.25">
      <c r="H12252">
        <v>137</v>
      </c>
      <c r="I12252">
        <v>888</v>
      </c>
      <c r="J12252">
        <v>108</v>
      </c>
      <c r="K12252" t="b">
        <v>1</v>
      </c>
    </row>
    <row r="12253" spans="8:11" x14ac:dyDescent="0.25">
      <c r="H12253">
        <v>137</v>
      </c>
      <c r="I12253">
        <v>896</v>
      </c>
      <c r="J12253">
        <v>108</v>
      </c>
      <c r="K12253" t="b">
        <v>1</v>
      </c>
    </row>
    <row r="12254" spans="8:11" x14ac:dyDescent="0.25">
      <c r="H12254">
        <v>137</v>
      </c>
      <c r="I12254">
        <v>904</v>
      </c>
      <c r="J12254">
        <v>108</v>
      </c>
      <c r="K12254" t="b">
        <v>1</v>
      </c>
    </row>
    <row r="12255" spans="8:11" x14ac:dyDescent="0.25">
      <c r="H12255">
        <v>137</v>
      </c>
      <c r="I12255">
        <v>912</v>
      </c>
      <c r="J12255">
        <v>108</v>
      </c>
      <c r="K12255" t="b">
        <v>1</v>
      </c>
    </row>
    <row r="12256" spans="8:11" x14ac:dyDescent="0.25">
      <c r="H12256">
        <v>137</v>
      </c>
      <c r="I12256">
        <v>920</v>
      </c>
      <c r="J12256">
        <v>108</v>
      </c>
      <c r="K12256" t="b">
        <v>1</v>
      </c>
    </row>
    <row r="12257" spans="8:11" x14ac:dyDescent="0.25">
      <c r="H12257">
        <v>137</v>
      </c>
      <c r="I12257">
        <v>928</v>
      </c>
      <c r="J12257">
        <v>108</v>
      </c>
      <c r="K12257" t="b">
        <v>1</v>
      </c>
    </row>
    <row r="12258" spans="8:11" x14ac:dyDescent="0.25">
      <c r="H12258">
        <v>137</v>
      </c>
      <c r="I12258">
        <v>936</v>
      </c>
      <c r="J12258">
        <v>108</v>
      </c>
      <c r="K12258" t="b">
        <v>1</v>
      </c>
    </row>
    <row r="12259" spans="8:11" x14ac:dyDescent="0.25">
      <c r="H12259">
        <v>137</v>
      </c>
      <c r="I12259">
        <v>944</v>
      </c>
      <c r="J12259">
        <v>108</v>
      </c>
      <c r="K12259" t="b">
        <v>1</v>
      </c>
    </row>
    <row r="12260" spans="8:11" x14ac:dyDescent="0.25">
      <c r="H12260">
        <v>137</v>
      </c>
      <c r="I12260">
        <v>952</v>
      </c>
      <c r="J12260">
        <v>108</v>
      </c>
      <c r="K12260" t="b">
        <v>1</v>
      </c>
    </row>
    <row r="12261" spans="8:11" x14ac:dyDescent="0.25">
      <c r="H12261">
        <v>138</v>
      </c>
      <c r="I12261">
        <v>0</v>
      </c>
      <c r="J12261">
        <v>108</v>
      </c>
      <c r="K12261" t="b">
        <v>1</v>
      </c>
    </row>
    <row r="12262" spans="8:11" x14ac:dyDescent="0.25">
      <c r="H12262">
        <v>138</v>
      </c>
      <c r="I12262">
        <v>8</v>
      </c>
      <c r="J12262">
        <v>108</v>
      </c>
      <c r="K12262" t="b">
        <v>1</v>
      </c>
    </row>
    <row r="12263" spans="8:11" x14ac:dyDescent="0.25">
      <c r="H12263">
        <v>138</v>
      </c>
      <c r="I12263">
        <v>16</v>
      </c>
      <c r="J12263">
        <v>108</v>
      </c>
      <c r="K12263" t="b">
        <v>1</v>
      </c>
    </row>
    <row r="12264" spans="8:11" x14ac:dyDescent="0.25">
      <c r="H12264">
        <v>138</v>
      </c>
      <c r="I12264">
        <v>24</v>
      </c>
      <c r="J12264">
        <v>108</v>
      </c>
      <c r="K12264" t="b">
        <v>1</v>
      </c>
    </row>
    <row r="12265" spans="8:11" x14ac:dyDescent="0.25">
      <c r="H12265">
        <v>138</v>
      </c>
      <c r="I12265">
        <v>32</v>
      </c>
      <c r="J12265">
        <v>108</v>
      </c>
      <c r="K12265" t="b">
        <v>1</v>
      </c>
    </row>
    <row r="12266" spans="8:11" x14ac:dyDescent="0.25">
      <c r="H12266">
        <v>138</v>
      </c>
      <c r="I12266">
        <v>40</v>
      </c>
      <c r="J12266">
        <v>108</v>
      </c>
      <c r="K12266" t="b">
        <v>1</v>
      </c>
    </row>
    <row r="12267" spans="8:11" x14ac:dyDescent="0.25">
      <c r="H12267">
        <v>138</v>
      </c>
      <c r="I12267">
        <v>48</v>
      </c>
      <c r="J12267">
        <v>108</v>
      </c>
      <c r="K12267" t="b">
        <v>1</v>
      </c>
    </row>
    <row r="12268" spans="8:11" x14ac:dyDescent="0.25">
      <c r="H12268">
        <v>138</v>
      </c>
      <c r="I12268">
        <v>56</v>
      </c>
      <c r="J12268">
        <v>108</v>
      </c>
      <c r="K12268" t="b">
        <v>1</v>
      </c>
    </row>
    <row r="12269" spans="8:11" x14ac:dyDescent="0.25">
      <c r="H12269">
        <v>138</v>
      </c>
      <c r="I12269">
        <v>64</v>
      </c>
      <c r="J12269">
        <v>108</v>
      </c>
      <c r="K12269" t="b">
        <v>1</v>
      </c>
    </row>
    <row r="12270" spans="8:11" x14ac:dyDescent="0.25">
      <c r="H12270">
        <v>138</v>
      </c>
      <c r="I12270">
        <v>72</v>
      </c>
      <c r="J12270">
        <v>108</v>
      </c>
      <c r="K12270" t="b">
        <v>1</v>
      </c>
    </row>
    <row r="12271" spans="8:11" x14ac:dyDescent="0.25">
      <c r="H12271">
        <v>138</v>
      </c>
      <c r="I12271">
        <v>80</v>
      </c>
      <c r="J12271">
        <v>108</v>
      </c>
      <c r="K12271" t="b">
        <v>1</v>
      </c>
    </row>
    <row r="12272" spans="8:11" x14ac:dyDescent="0.25">
      <c r="H12272">
        <v>138</v>
      </c>
      <c r="I12272">
        <v>88</v>
      </c>
      <c r="J12272">
        <v>108</v>
      </c>
      <c r="K12272" t="b">
        <v>1</v>
      </c>
    </row>
    <row r="12273" spans="8:11" x14ac:dyDescent="0.25">
      <c r="H12273">
        <v>138</v>
      </c>
      <c r="I12273">
        <v>96</v>
      </c>
      <c r="J12273">
        <v>108</v>
      </c>
      <c r="K12273" t="b">
        <v>1</v>
      </c>
    </row>
    <row r="12274" spans="8:11" x14ac:dyDescent="0.25">
      <c r="H12274">
        <v>138</v>
      </c>
      <c r="I12274">
        <v>104</v>
      </c>
      <c r="J12274">
        <v>108</v>
      </c>
      <c r="K12274" t="b">
        <v>1</v>
      </c>
    </row>
    <row r="12275" spans="8:11" x14ac:dyDescent="0.25">
      <c r="H12275">
        <v>138</v>
      </c>
      <c r="I12275">
        <v>112</v>
      </c>
      <c r="J12275">
        <v>108</v>
      </c>
      <c r="K12275" t="b">
        <v>1</v>
      </c>
    </row>
    <row r="12276" spans="8:11" x14ac:dyDescent="0.25">
      <c r="H12276">
        <v>138</v>
      </c>
      <c r="I12276">
        <v>120</v>
      </c>
      <c r="J12276">
        <v>108</v>
      </c>
      <c r="K12276" t="b">
        <v>1</v>
      </c>
    </row>
    <row r="12277" spans="8:11" x14ac:dyDescent="0.25">
      <c r="H12277">
        <v>138</v>
      </c>
      <c r="I12277">
        <v>128</v>
      </c>
      <c r="J12277">
        <v>108</v>
      </c>
      <c r="K12277" t="b">
        <v>1</v>
      </c>
    </row>
    <row r="12278" spans="8:11" x14ac:dyDescent="0.25">
      <c r="H12278">
        <v>138</v>
      </c>
      <c r="I12278">
        <v>136</v>
      </c>
      <c r="J12278">
        <v>108</v>
      </c>
      <c r="K12278" t="b">
        <v>1</v>
      </c>
    </row>
    <row r="12279" spans="8:11" x14ac:dyDescent="0.25">
      <c r="H12279">
        <v>138</v>
      </c>
      <c r="I12279">
        <v>144</v>
      </c>
      <c r="J12279">
        <v>108</v>
      </c>
      <c r="K12279" t="b">
        <v>1</v>
      </c>
    </row>
    <row r="12280" spans="8:11" x14ac:dyDescent="0.25">
      <c r="H12280">
        <v>138</v>
      </c>
      <c r="I12280">
        <v>152</v>
      </c>
      <c r="J12280">
        <v>108</v>
      </c>
      <c r="K12280" t="b">
        <v>1</v>
      </c>
    </row>
    <row r="12281" spans="8:11" x14ac:dyDescent="0.25">
      <c r="H12281">
        <v>138</v>
      </c>
      <c r="I12281">
        <v>160</v>
      </c>
      <c r="J12281">
        <v>108</v>
      </c>
      <c r="K12281" t="b">
        <v>1</v>
      </c>
    </row>
    <row r="12282" spans="8:11" x14ac:dyDescent="0.25">
      <c r="H12282">
        <v>138</v>
      </c>
      <c r="I12282">
        <v>168</v>
      </c>
      <c r="J12282">
        <v>108</v>
      </c>
      <c r="K12282" t="b">
        <v>1</v>
      </c>
    </row>
    <row r="12283" spans="8:11" x14ac:dyDescent="0.25">
      <c r="H12283">
        <v>138</v>
      </c>
      <c r="I12283">
        <v>176</v>
      </c>
      <c r="J12283">
        <v>108</v>
      </c>
      <c r="K12283" t="b">
        <v>1</v>
      </c>
    </row>
    <row r="12284" spans="8:11" x14ac:dyDescent="0.25">
      <c r="H12284">
        <v>138</v>
      </c>
      <c r="I12284">
        <v>184</v>
      </c>
      <c r="J12284">
        <v>108</v>
      </c>
      <c r="K12284" t="b">
        <v>1</v>
      </c>
    </row>
    <row r="12285" spans="8:11" x14ac:dyDescent="0.25">
      <c r="H12285">
        <v>138</v>
      </c>
      <c r="I12285">
        <v>192</v>
      </c>
      <c r="J12285">
        <v>108</v>
      </c>
      <c r="K12285" t="b">
        <v>1</v>
      </c>
    </row>
    <row r="12286" spans="8:11" x14ac:dyDescent="0.25">
      <c r="H12286">
        <v>138</v>
      </c>
      <c r="I12286">
        <v>200</v>
      </c>
      <c r="J12286">
        <v>108</v>
      </c>
      <c r="K12286" t="b">
        <v>1</v>
      </c>
    </row>
    <row r="12287" spans="8:11" x14ac:dyDescent="0.25">
      <c r="H12287">
        <v>138</v>
      </c>
      <c r="I12287">
        <v>208</v>
      </c>
      <c r="J12287">
        <v>108</v>
      </c>
      <c r="K12287" t="b">
        <v>1</v>
      </c>
    </row>
    <row r="12288" spans="8:11" x14ac:dyDescent="0.25">
      <c r="H12288">
        <v>138</v>
      </c>
      <c r="I12288">
        <v>216</v>
      </c>
      <c r="J12288">
        <v>108</v>
      </c>
      <c r="K12288" t="b">
        <v>1</v>
      </c>
    </row>
    <row r="12289" spans="8:11" x14ac:dyDescent="0.25">
      <c r="H12289">
        <v>138</v>
      </c>
      <c r="I12289">
        <v>224</v>
      </c>
      <c r="J12289">
        <v>108</v>
      </c>
      <c r="K12289" t="b">
        <v>1</v>
      </c>
    </row>
    <row r="12290" spans="8:11" x14ac:dyDescent="0.25">
      <c r="H12290">
        <v>138</v>
      </c>
      <c r="I12290">
        <v>232</v>
      </c>
      <c r="J12290">
        <v>108</v>
      </c>
      <c r="K12290" t="b">
        <v>1</v>
      </c>
    </row>
    <row r="12291" spans="8:11" x14ac:dyDescent="0.25">
      <c r="H12291">
        <v>138</v>
      </c>
      <c r="I12291">
        <v>240</v>
      </c>
      <c r="J12291">
        <v>108</v>
      </c>
      <c r="K12291" t="b">
        <v>1</v>
      </c>
    </row>
    <row r="12292" spans="8:11" x14ac:dyDescent="0.25">
      <c r="H12292">
        <v>138</v>
      </c>
      <c r="I12292">
        <v>248</v>
      </c>
      <c r="J12292">
        <v>108</v>
      </c>
      <c r="K12292" t="b">
        <v>1</v>
      </c>
    </row>
    <row r="12293" spans="8:11" x14ac:dyDescent="0.25">
      <c r="H12293">
        <v>138</v>
      </c>
      <c r="I12293">
        <v>256</v>
      </c>
      <c r="J12293">
        <v>108</v>
      </c>
      <c r="K12293" t="b">
        <v>1</v>
      </c>
    </row>
    <row r="12294" spans="8:11" x14ac:dyDescent="0.25">
      <c r="H12294">
        <v>138</v>
      </c>
      <c r="I12294">
        <v>264</v>
      </c>
      <c r="J12294">
        <v>108</v>
      </c>
      <c r="K12294" t="b">
        <v>1</v>
      </c>
    </row>
    <row r="12295" spans="8:11" x14ac:dyDescent="0.25">
      <c r="H12295">
        <v>138</v>
      </c>
      <c r="I12295">
        <v>272</v>
      </c>
      <c r="J12295">
        <v>108</v>
      </c>
      <c r="K12295" t="b">
        <v>1</v>
      </c>
    </row>
    <row r="12296" spans="8:11" x14ac:dyDescent="0.25">
      <c r="H12296">
        <v>138</v>
      </c>
      <c r="I12296">
        <v>280</v>
      </c>
      <c r="J12296">
        <v>108</v>
      </c>
      <c r="K12296" t="b">
        <v>1</v>
      </c>
    </row>
    <row r="12297" spans="8:11" x14ac:dyDescent="0.25">
      <c r="H12297">
        <v>138</v>
      </c>
      <c r="I12297">
        <v>288</v>
      </c>
      <c r="J12297">
        <v>108</v>
      </c>
      <c r="K12297" t="b">
        <v>1</v>
      </c>
    </row>
    <row r="12298" spans="8:11" x14ac:dyDescent="0.25">
      <c r="H12298">
        <v>138</v>
      </c>
      <c r="I12298">
        <v>296</v>
      </c>
      <c r="J12298">
        <v>108</v>
      </c>
      <c r="K12298" t="b">
        <v>1</v>
      </c>
    </row>
    <row r="12299" spans="8:11" x14ac:dyDescent="0.25">
      <c r="H12299">
        <v>138</v>
      </c>
      <c r="I12299">
        <v>304</v>
      </c>
      <c r="J12299">
        <v>108</v>
      </c>
      <c r="K12299" t="b">
        <v>1</v>
      </c>
    </row>
    <row r="12300" spans="8:11" x14ac:dyDescent="0.25">
      <c r="H12300">
        <v>138</v>
      </c>
      <c r="I12300">
        <v>312</v>
      </c>
      <c r="J12300">
        <v>108</v>
      </c>
      <c r="K12300" t="b">
        <v>1</v>
      </c>
    </row>
    <row r="12301" spans="8:11" x14ac:dyDescent="0.25">
      <c r="H12301">
        <v>138</v>
      </c>
      <c r="I12301">
        <v>320</v>
      </c>
      <c r="J12301">
        <v>108</v>
      </c>
      <c r="K12301" t="b">
        <v>1</v>
      </c>
    </row>
    <row r="12302" spans="8:11" x14ac:dyDescent="0.25">
      <c r="H12302">
        <v>138</v>
      </c>
      <c r="I12302">
        <v>328</v>
      </c>
      <c r="J12302">
        <v>108</v>
      </c>
      <c r="K12302" t="b">
        <v>1</v>
      </c>
    </row>
    <row r="12303" spans="8:11" x14ac:dyDescent="0.25">
      <c r="H12303">
        <v>138</v>
      </c>
      <c r="I12303">
        <v>336</v>
      </c>
      <c r="J12303">
        <v>108</v>
      </c>
      <c r="K12303" t="b">
        <v>1</v>
      </c>
    </row>
    <row r="12304" spans="8:11" x14ac:dyDescent="0.25">
      <c r="H12304">
        <v>138</v>
      </c>
      <c r="I12304">
        <v>344</v>
      </c>
      <c r="J12304">
        <v>108</v>
      </c>
      <c r="K12304" t="b">
        <v>1</v>
      </c>
    </row>
    <row r="12305" spans="8:11" x14ac:dyDescent="0.25">
      <c r="H12305">
        <v>138</v>
      </c>
      <c r="I12305">
        <v>352</v>
      </c>
      <c r="J12305">
        <v>108</v>
      </c>
      <c r="K12305" t="b">
        <v>1</v>
      </c>
    </row>
    <row r="12306" spans="8:11" x14ac:dyDescent="0.25">
      <c r="H12306">
        <v>138</v>
      </c>
      <c r="I12306">
        <v>360</v>
      </c>
      <c r="J12306">
        <v>108</v>
      </c>
      <c r="K12306" t="b">
        <v>1</v>
      </c>
    </row>
    <row r="12307" spans="8:11" x14ac:dyDescent="0.25">
      <c r="H12307">
        <v>138</v>
      </c>
      <c r="I12307">
        <v>368</v>
      </c>
      <c r="J12307">
        <v>108</v>
      </c>
      <c r="K12307" t="b">
        <v>1</v>
      </c>
    </row>
    <row r="12308" spans="8:11" x14ac:dyDescent="0.25">
      <c r="H12308">
        <v>138</v>
      </c>
      <c r="I12308">
        <v>376</v>
      </c>
      <c r="J12308">
        <v>108</v>
      </c>
      <c r="K12308" t="b">
        <v>1</v>
      </c>
    </row>
    <row r="12309" spans="8:11" x14ac:dyDescent="0.25">
      <c r="H12309">
        <v>138</v>
      </c>
      <c r="I12309">
        <v>384</v>
      </c>
      <c r="J12309">
        <v>108</v>
      </c>
      <c r="K12309" t="b">
        <v>1</v>
      </c>
    </row>
    <row r="12310" spans="8:11" x14ac:dyDescent="0.25">
      <c r="H12310">
        <v>138</v>
      </c>
      <c r="I12310">
        <v>392</v>
      </c>
      <c r="J12310">
        <v>108</v>
      </c>
      <c r="K12310" t="b">
        <v>1</v>
      </c>
    </row>
    <row r="12311" spans="8:11" x14ac:dyDescent="0.25">
      <c r="H12311">
        <v>138</v>
      </c>
      <c r="I12311">
        <v>400</v>
      </c>
      <c r="J12311">
        <v>108</v>
      </c>
      <c r="K12311" t="b">
        <v>1</v>
      </c>
    </row>
    <row r="12312" spans="8:11" x14ac:dyDescent="0.25">
      <c r="H12312">
        <v>138</v>
      </c>
      <c r="I12312">
        <v>408</v>
      </c>
      <c r="J12312">
        <v>108</v>
      </c>
      <c r="K12312" t="b">
        <v>1</v>
      </c>
    </row>
    <row r="12313" spans="8:11" x14ac:dyDescent="0.25">
      <c r="H12313">
        <v>138</v>
      </c>
      <c r="I12313">
        <v>416</v>
      </c>
      <c r="J12313">
        <v>108</v>
      </c>
      <c r="K12313" t="b">
        <v>1</v>
      </c>
    </row>
    <row r="12314" spans="8:11" x14ac:dyDescent="0.25">
      <c r="H12314">
        <v>138</v>
      </c>
      <c r="I12314">
        <v>424</v>
      </c>
      <c r="J12314">
        <v>108</v>
      </c>
      <c r="K12314" t="b">
        <v>1</v>
      </c>
    </row>
    <row r="12315" spans="8:11" x14ac:dyDescent="0.25">
      <c r="H12315">
        <v>138</v>
      </c>
      <c r="I12315">
        <v>432</v>
      </c>
      <c r="J12315">
        <v>108</v>
      </c>
      <c r="K12315" t="b">
        <v>1</v>
      </c>
    </row>
    <row r="12316" spans="8:11" x14ac:dyDescent="0.25">
      <c r="H12316">
        <v>138</v>
      </c>
      <c r="I12316">
        <v>440</v>
      </c>
      <c r="J12316">
        <v>108</v>
      </c>
      <c r="K12316" t="b">
        <v>1</v>
      </c>
    </row>
    <row r="12317" spans="8:11" x14ac:dyDescent="0.25">
      <c r="H12317">
        <v>138</v>
      </c>
      <c r="I12317">
        <v>448</v>
      </c>
      <c r="J12317">
        <v>108</v>
      </c>
      <c r="K12317" t="b">
        <v>1</v>
      </c>
    </row>
    <row r="12318" spans="8:11" x14ac:dyDescent="0.25">
      <c r="H12318">
        <v>138</v>
      </c>
      <c r="I12318">
        <v>456</v>
      </c>
      <c r="J12318">
        <v>108</v>
      </c>
      <c r="K12318" t="b">
        <v>1</v>
      </c>
    </row>
    <row r="12319" spans="8:11" x14ac:dyDescent="0.25">
      <c r="H12319">
        <v>138</v>
      </c>
      <c r="I12319">
        <v>464</v>
      </c>
      <c r="J12319">
        <v>108</v>
      </c>
      <c r="K12319" t="b">
        <v>1</v>
      </c>
    </row>
    <row r="12320" spans="8:11" x14ac:dyDescent="0.25">
      <c r="H12320">
        <v>138</v>
      </c>
      <c r="I12320">
        <v>472</v>
      </c>
      <c r="J12320">
        <v>108</v>
      </c>
      <c r="K12320" t="b">
        <v>1</v>
      </c>
    </row>
    <row r="12321" spans="8:11" x14ac:dyDescent="0.25">
      <c r="H12321">
        <v>138</v>
      </c>
      <c r="I12321">
        <v>480</v>
      </c>
      <c r="J12321">
        <v>108</v>
      </c>
      <c r="K12321" t="b">
        <v>1</v>
      </c>
    </row>
    <row r="12322" spans="8:11" x14ac:dyDescent="0.25">
      <c r="H12322">
        <v>138</v>
      </c>
      <c r="I12322">
        <v>488</v>
      </c>
      <c r="J12322">
        <v>108</v>
      </c>
      <c r="K12322" t="b">
        <v>1</v>
      </c>
    </row>
    <row r="12323" spans="8:11" x14ac:dyDescent="0.25">
      <c r="H12323">
        <v>138</v>
      </c>
      <c r="I12323">
        <v>496</v>
      </c>
      <c r="J12323">
        <v>108</v>
      </c>
      <c r="K12323" t="b">
        <v>1</v>
      </c>
    </row>
    <row r="12324" spans="8:11" x14ac:dyDescent="0.25">
      <c r="H12324">
        <v>138</v>
      </c>
      <c r="I12324">
        <v>504</v>
      </c>
      <c r="J12324">
        <v>108</v>
      </c>
      <c r="K12324" t="b">
        <v>1</v>
      </c>
    </row>
    <row r="12325" spans="8:11" x14ac:dyDescent="0.25">
      <c r="H12325">
        <v>138</v>
      </c>
      <c r="I12325">
        <v>512</v>
      </c>
      <c r="J12325">
        <v>108</v>
      </c>
      <c r="K12325" t="b">
        <v>1</v>
      </c>
    </row>
    <row r="12326" spans="8:11" x14ac:dyDescent="0.25">
      <c r="H12326">
        <v>138</v>
      </c>
      <c r="I12326">
        <v>520</v>
      </c>
      <c r="J12326">
        <v>108</v>
      </c>
      <c r="K12326" t="b">
        <v>1</v>
      </c>
    </row>
    <row r="12327" spans="8:11" x14ac:dyDescent="0.25">
      <c r="H12327">
        <v>138</v>
      </c>
      <c r="I12327">
        <v>528</v>
      </c>
      <c r="J12327">
        <v>108</v>
      </c>
      <c r="K12327" t="b">
        <v>1</v>
      </c>
    </row>
    <row r="12328" spans="8:11" x14ac:dyDescent="0.25">
      <c r="H12328">
        <v>138</v>
      </c>
      <c r="I12328">
        <v>536</v>
      </c>
      <c r="J12328">
        <v>108</v>
      </c>
      <c r="K12328" t="b">
        <v>1</v>
      </c>
    </row>
    <row r="12329" spans="8:11" x14ac:dyDescent="0.25">
      <c r="H12329">
        <v>138</v>
      </c>
      <c r="I12329">
        <v>544</v>
      </c>
      <c r="J12329">
        <v>108</v>
      </c>
      <c r="K12329" t="b">
        <v>1</v>
      </c>
    </row>
    <row r="12330" spans="8:11" x14ac:dyDescent="0.25">
      <c r="H12330">
        <v>138</v>
      </c>
      <c r="I12330">
        <v>552</v>
      </c>
      <c r="J12330">
        <v>108</v>
      </c>
      <c r="K12330" t="b">
        <v>1</v>
      </c>
    </row>
    <row r="12331" spans="8:11" x14ac:dyDescent="0.25">
      <c r="H12331">
        <v>138</v>
      </c>
      <c r="I12331">
        <v>560</v>
      </c>
      <c r="J12331">
        <v>108</v>
      </c>
      <c r="K12331" t="b">
        <v>1</v>
      </c>
    </row>
    <row r="12332" spans="8:11" x14ac:dyDescent="0.25">
      <c r="H12332">
        <v>138</v>
      </c>
      <c r="I12332">
        <v>568</v>
      </c>
      <c r="J12332">
        <v>108</v>
      </c>
      <c r="K12332" t="b">
        <v>1</v>
      </c>
    </row>
    <row r="12333" spans="8:11" x14ac:dyDescent="0.25">
      <c r="H12333">
        <v>138</v>
      </c>
      <c r="I12333">
        <v>576</v>
      </c>
      <c r="J12333">
        <v>108</v>
      </c>
      <c r="K12333" t="b">
        <v>1</v>
      </c>
    </row>
    <row r="12334" spans="8:11" x14ac:dyDescent="0.25">
      <c r="H12334">
        <v>138</v>
      </c>
      <c r="I12334">
        <v>584</v>
      </c>
      <c r="J12334">
        <v>108</v>
      </c>
      <c r="K12334" t="b">
        <v>1</v>
      </c>
    </row>
    <row r="12335" spans="8:11" x14ac:dyDescent="0.25">
      <c r="H12335">
        <v>138</v>
      </c>
      <c r="I12335">
        <v>592</v>
      </c>
      <c r="J12335">
        <v>108</v>
      </c>
      <c r="K12335" t="b">
        <v>1</v>
      </c>
    </row>
    <row r="12336" spans="8:11" x14ac:dyDescent="0.25">
      <c r="H12336">
        <v>138</v>
      </c>
      <c r="I12336">
        <v>600</v>
      </c>
      <c r="J12336">
        <v>108</v>
      </c>
      <c r="K12336" t="b">
        <v>1</v>
      </c>
    </row>
    <row r="12337" spans="8:11" x14ac:dyDescent="0.25">
      <c r="H12337">
        <v>138</v>
      </c>
      <c r="I12337">
        <v>608</v>
      </c>
      <c r="J12337">
        <v>108</v>
      </c>
      <c r="K12337" t="b">
        <v>1</v>
      </c>
    </row>
    <row r="12338" spans="8:11" x14ac:dyDescent="0.25">
      <c r="H12338">
        <v>138</v>
      </c>
      <c r="I12338">
        <v>616</v>
      </c>
      <c r="J12338">
        <v>108</v>
      </c>
      <c r="K12338" t="b">
        <v>1</v>
      </c>
    </row>
    <row r="12339" spans="8:11" x14ac:dyDescent="0.25">
      <c r="H12339">
        <v>138</v>
      </c>
      <c r="I12339">
        <v>624</v>
      </c>
      <c r="J12339">
        <v>108</v>
      </c>
      <c r="K12339" t="b">
        <v>1</v>
      </c>
    </row>
    <row r="12340" spans="8:11" x14ac:dyDescent="0.25">
      <c r="H12340">
        <v>138</v>
      </c>
      <c r="I12340">
        <v>632</v>
      </c>
      <c r="J12340">
        <v>108</v>
      </c>
      <c r="K12340" t="b">
        <v>1</v>
      </c>
    </row>
    <row r="12341" spans="8:11" x14ac:dyDescent="0.25">
      <c r="H12341">
        <v>138</v>
      </c>
      <c r="I12341">
        <v>640</v>
      </c>
      <c r="J12341">
        <v>108</v>
      </c>
      <c r="K12341" t="b">
        <v>1</v>
      </c>
    </row>
    <row r="12342" spans="8:11" x14ac:dyDescent="0.25">
      <c r="H12342">
        <v>138</v>
      </c>
      <c r="I12342">
        <v>648</v>
      </c>
      <c r="J12342">
        <v>108</v>
      </c>
      <c r="K12342" t="b">
        <v>1</v>
      </c>
    </row>
    <row r="12343" spans="8:11" x14ac:dyDescent="0.25">
      <c r="H12343">
        <v>138</v>
      </c>
      <c r="I12343">
        <v>656</v>
      </c>
      <c r="J12343">
        <v>108</v>
      </c>
      <c r="K12343" t="b">
        <v>1</v>
      </c>
    </row>
    <row r="12344" spans="8:11" x14ac:dyDescent="0.25">
      <c r="H12344">
        <v>138</v>
      </c>
      <c r="I12344">
        <v>664</v>
      </c>
      <c r="J12344">
        <v>108</v>
      </c>
      <c r="K12344" t="b">
        <v>1</v>
      </c>
    </row>
    <row r="12345" spans="8:11" x14ac:dyDescent="0.25">
      <c r="H12345">
        <v>138</v>
      </c>
      <c r="I12345">
        <v>672</v>
      </c>
      <c r="J12345">
        <v>108</v>
      </c>
      <c r="K12345" t="b">
        <v>1</v>
      </c>
    </row>
    <row r="12346" spans="8:11" x14ac:dyDescent="0.25">
      <c r="H12346">
        <v>138</v>
      </c>
      <c r="I12346">
        <v>680</v>
      </c>
      <c r="J12346">
        <v>108</v>
      </c>
      <c r="K12346" t="b">
        <v>1</v>
      </c>
    </row>
    <row r="12347" spans="8:11" x14ac:dyDescent="0.25">
      <c r="H12347">
        <v>138</v>
      </c>
      <c r="I12347">
        <v>688</v>
      </c>
      <c r="J12347">
        <v>108</v>
      </c>
      <c r="K12347" t="b">
        <v>1</v>
      </c>
    </row>
    <row r="12348" spans="8:11" x14ac:dyDescent="0.25">
      <c r="H12348">
        <v>138</v>
      </c>
      <c r="I12348">
        <v>696</v>
      </c>
      <c r="J12348">
        <v>108</v>
      </c>
      <c r="K12348" t="b">
        <v>1</v>
      </c>
    </row>
    <row r="12349" spans="8:11" x14ac:dyDescent="0.25">
      <c r="H12349">
        <v>138</v>
      </c>
      <c r="I12349">
        <v>704</v>
      </c>
      <c r="J12349">
        <v>108</v>
      </c>
      <c r="K12349" t="b">
        <v>1</v>
      </c>
    </row>
    <row r="12350" spans="8:11" x14ac:dyDescent="0.25">
      <c r="H12350">
        <v>138</v>
      </c>
      <c r="I12350">
        <v>712</v>
      </c>
      <c r="J12350">
        <v>108</v>
      </c>
      <c r="K12350" t="b">
        <v>1</v>
      </c>
    </row>
    <row r="12351" spans="8:11" x14ac:dyDescent="0.25">
      <c r="H12351">
        <v>138</v>
      </c>
      <c r="I12351">
        <v>720</v>
      </c>
      <c r="J12351">
        <v>108</v>
      </c>
      <c r="K12351" t="b">
        <v>1</v>
      </c>
    </row>
    <row r="12352" spans="8:11" x14ac:dyDescent="0.25">
      <c r="H12352">
        <v>138</v>
      </c>
      <c r="I12352">
        <v>728</v>
      </c>
      <c r="J12352">
        <v>108</v>
      </c>
      <c r="K12352" t="b">
        <v>1</v>
      </c>
    </row>
    <row r="12353" spans="8:11" x14ac:dyDescent="0.25">
      <c r="H12353">
        <v>138</v>
      </c>
      <c r="I12353">
        <v>736</v>
      </c>
      <c r="J12353">
        <v>108</v>
      </c>
      <c r="K12353" t="b">
        <v>1</v>
      </c>
    </row>
    <row r="12354" spans="8:11" x14ac:dyDescent="0.25">
      <c r="H12354">
        <v>138</v>
      </c>
      <c r="I12354">
        <v>744</v>
      </c>
      <c r="J12354">
        <v>108</v>
      </c>
      <c r="K12354" t="b">
        <v>1</v>
      </c>
    </row>
    <row r="12355" spans="8:11" x14ac:dyDescent="0.25">
      <c r="H12355">
        <v>138</v>
      </c>
      <c r="I12355">
        <v>752</v>
      </c>
      <c r="J12355">
        <v>108</v>
      </c>
      <c r="K12355" t="b">
        <v>1</v>
      </c>
    </row>
    <row r="12356" spans="8:11" x14ac:dyDescent="0.25">
      <c r="H12356">
        <v>138</v>
      </c>
      <c r="I12356">
        <v>760</v>
      </c>
      <c r="J12356">
        <v>108</v>
      </c>
      <c r="K12356" t="b">
        <v>1</v>
      </c>
    </row>
    <row r="12357" spans="8:11" x14ac:dyDescent="0.25">
      <c r="H12357">
        <v>138</v>
      </c>
      <c r="I12357">
        <v>768</v>
      </c>
      <c r="J12357">
        <v>108</v>
      </c>
      <c r="K12357" t="b">
        <v>1</v>
      </c>
    </row>
    <row r="12358" spans="8:11" x14ac:dyDescent="0.25">
      <c r="H12358">
        <v>138</v>
      </c>
      <c r="I12358">
        <v>776</v>
      </c>
      <c r="J12358">
        <v>108</v>
      </c>
      <c r="K12358" t="b">
        <v>1</v>
      </c>
    </row>
    <row r="12359" spans="8:11" x14ac:dyDescent="0.25">
      <c r="H12359">
        <v>138</v>
      </c>
      <c r="I12359">
        <v>784</v>
      </c>
      <c r="J12359">
        <v>108</v>
      </c>
      <c r="K12359" t="b">
        <v>1</v>
      </c>
    </row>
    <row r="12360" spans="8:11" x14ac:dyDescent="0.25">
      <c r="H12360">
        <v>138</v>
      </c>
      <c r="I12360">
        <v>792</v>
      </c>
      <c r="J12360">
        <v>108</v>
      </c>
      <c r="K12360" t="b">
        <v>1</v>
      </c>
    </row>
    <row r="12361" spans="8:11" x14ac:dyDescent="0.25">
      <c r="H12361">
        <v>138</v>
      </c>
      <c r="I12361">
        <v>800</v>
      </c>
      <c r="J12361">
        <v>108</v>
      </c>
      <c r="K12361" t="b">
        <v>1</v>
      </c>
    </row>
    <row r="12362" spans="8:11" x14ac:dyDescent="0.25">
      <c r="H12362">
        <v>138</v>
      </c>
      <c r="I12362">
        <v>808</v>
      </c>
      <c r="J12362">
        <v>108</v>
      </c>
      <c r="K12362" t="b">
        <v>1</v>
      </c>
    </row>
    <row r="12363" spans="8:11" x14ac:dyDescent="0.25">
      <c r="H12363">
        <v>138</v>
      </c>
      <c r="I12363">
        <v>816</v>
      </c>
      <c r="J12363">
        <v>108</v>
      </c>
      <c r="K12363" t="b">
        <v>1</v>
      </c>
    </row>
    <row r="12364" spans="8:11" x14ac:dyDescent="0.25">
      <c r="H12364">
        <v>138</v>
      </c>
      <c r="I12364">
        <v>824</v>
      </c>
      <c r="J12364">
        <v>108</v>
      </c>
      <c r="K12364" t="b">
        <v>1</v>
      </c>
    </row>
    <row r="12365" spans="8:11" x14ac:dyDescent="0.25">
      <c r="H12365">
        <v>138</v>
      </c>
      <c r="I12365">
        <v>832</v>
      </c>
      <c r="J12365">
        <v>108</v>
      </c>
      <c r="K12365" t="b">
        <v>1</v>
      </c>
    </row>
    <row r="12366" spans="8:11" x14ac:dyDescent="0.25">
      <c r="H12366">
        <v>138</v>
      </c>
      <c r="I12366">
        <v>840</v>
      </c>
      <c r="J12366">
        <v>108</v>
      </c>
      <c r="K12366" t="b">
        <v>1</v>
      </c>
    </row>
    <row r="12367" spans="8:11" x14ac:dyDescent="0.25">
      <c r="H12367">
        <v>138</v>
      </c>
      <c r="I12367">
        <v>848</v>
      </c>
      <c r="J12367">
        <v>108</v>
      </c>
      <c r="K12367" t="b">
        <v>1</v>
      </c>
    </row>
    <row r="12368" spans="8:11" x14ac:dyDescent="0.25">
      <c r="H12368">
        <v>138</v>
      </c>
      <c r="I12368">
        <v>856</v>
      </c>
      <c r="J12368">
        <v>108</v>
      </c>
      <c r="K12368" t="b">
        <v>1</v>
      </c>
    </row>
    <row r="12369" spans="8:11" x14ac:dyDescent="0.25">
      <c r="H12369">
        <v>138</v>
      </c>
      <c r="I12369">
        <v>864</v>
      </c>
      <c r="J12369">
        <v>108</v>
      </c>
      <c r="K12369" t="b">
        <v>1</v>
      </c>
    </row>
    <row r="12370" spans="8:11" x14ac:dyDescent="0.25">
      <c r="H12370">
        <v>138</v>
      </c>
      <c r="I12370">
        <v>872</v>
      </c>
      <c r="J12370">
        <v>108</v>
      </c>
      <c r="K12370" t="b">
        <v>1</v>
      </c>
    </row>
    <row r="12371" spans="8:11" x14ac:dyDescent="0.25">
      <c r="H12371">
        <v>138</v>
      </c>
      <c r="I12371">
        <v>880</v>
      </c>
      <c r="J12371">
        <v>108</v>
      </c>
      <c r="K12371" t="b">
        <v>1</v>
      </c>
    </row>
    <row r="12372" spans="8:11" x14ac:dyDescent="0.25">
      <c r="H12372">
        <v>138</v>
      </c>
      <c r="I12372">
        <v>888</v>
      </c>
      <c r="J12372">
        <v>108</v>
      </c>
      <c r="K12372" t="b">
        <v>1</v>
      </c>
    </row>
    <row r="12373" spans="8:11" x14ac:dyDescent="0.25">
      <c r="H12373">
        <v>138</v>
      </c>
      <c r="I12373">
        <v>896</v>
      </c>
      <c r="J12373">
        <v>108</v>
      </c>
      <c r="K12373" t="b">
        <v>1</v>
      </c>
    </row>
    <row r="12374" spans="8:11" x14ac:dyDescent="0.25">
      <c r="H12374">
        <v>138</v>
      </c>
      <c r="I12374">
        <v>904</v>
      </c>
      <c r="J12374">
        <v>108</v>
      </c>
      <c r="K12374" t="b">
        <v>1</v>
      </c>
    </row>
    <row r="12375" spans="8:11" x14ac:dyDescent="0.25">
      <c r="H12375">
        <v>138</v>
      </c>
      <c r="I12375">
        <v>912</v>
      </c>
      <c r="J12375">
        <v>108</v>
      </c>
      <c r="K12375" t="b">
        <v>1</v>
      </c>
    </row>
    <row r="12376" spans="8:11" x14ac:dyDescent="0.25">
      <c r="H12376">
        <v>138</v>
      </c>
      <c r="I12376">
        <v>920</v>
      </c>
      <c r="J12376">
        <v>108</v>
      </c>
      <c r="K12376" t="b">
        <v>1</v>
      </c>
    </row>
    <row r="12377" spans="8:11" x14ac:dyDescent="0.25">
      <c r="H12377">
        <v>138</v>
      </c>
      <c r="I12377">
        <v>928</v>
      </c>
      <c r="J12377">
        <v>108</v>
      </c>
      <c r="K12377" t="b">
        <v>1</v>
      </c>
    </row>
    <row r="12378" spans="8:11" x14ac:dyDescent="0.25">
      <c r="H12378">
        <v>138</v>
      </c>
      <c r="I12378">
        <v>936</v>
      </c>
      <c r="J12378">
        <v>108</v>
      </c>
      <c r="K12378" t="b">
        <v>1</v>
      </c>
    </row>
    <row r="12379" spans="8:11" x14ac:dyDescent="0.25">
      <c r="H12379">
        <v>138</v>
      </c>
      <c r="I12379">
        <v>944</v>
      </c>
      <c r="J12379">
        <v>108</v>
      </c>
      <c r="K12379" t="b">
        <v>1</v>
      </c>
    </row>
    <row r="12380" spans="8:11" x14ac:dyDescent="0.25">
      <c r="H12380">
        <v>138</v>
      </c>
      <c r="I12380">
        <v>952</v>
      </c>
      <c r="J12380">
        <v>108</v>
      </c>
      <c r="K12380" t="b">
        <v>1</v>
      </c>
    </row>
    <row r="12381" spans="8:11" x14ac:dyDescent="0.25">
      <c r="H12381">
        <v>139</v>
      </c>
      <c r="I12381">
        <v>0</v>
      </c>
      <c r="J12381">
        <v>110</v>
      </c>
      <c r="K12381" t="b">
        <v>1</v>
      </c>
    </row>
    <row r="12382" spans="8:11" x14ac:dyDescent="0.25">
      <c r="H12382">
        <v>139</v>
      </c>
      <c r="I12382">
        <v>11</v>
      </c>
      <c r="J12382">
        <v>110</v>
      </c>
      <c r="K12382" t="b">
        <v>1</v>
      </c>
    </row>
    <row r="12383" spans="8:11" x14ac:dyDescent="0.25">
      <c r="H12383">
        <v>139</v>
      </c>
      <c r="I12383">
        <v>22</v>
      </c>
      <c r="J12383">
        <v>110</v>
      </c>
      <c r="K12383" t="b">
        <v>1</v>
      </c>
    </row>
    <row r="12384" spans="8:11" x14ac:dyDescent="0.25">
      <c r="H12384">
        <v>139</v>
      </c>
      <c r="I12384">
        <v>33</v>
      </c>
      <c r="J12384">
        <v>110</v>
      </c>
      <c r="K12384" t="b">
        <v>1</v>
      </c>
    </row>
    <row r="12385" spans="8:11" x14ac:dyDescent="0.25">
      <c r="H12385">
        <v>139</v>
      </c>
      <c r="I12385">
        <v>44</v>
      </c>
      <c r="J12385">
        <v>110</v>
      </c>
      <c r="K12385" t="b">
        <v>1</v>
      </c>
    </row>
    <row r="12386" spans="8:11" x14ac:dyDescent="0.25">
      <c r="H12386">
        <v>139</v>
      </c>
      <c r="I12386">
        <v>55</v>
      </c>
      <c r="J12386">
        <v>110</v>
      </c>
      <c r="K12386" t="b">
        <v>1</v>
      </c>
    </row>
    <row r="12387" spans="8:11" x14ac:dyDescent="0.25">
      <c r="H12387">
        <v>139</v>
      </c>
      <c r="I12387">
        <v>66</v>
      </c>
      <c r="J12387">
        <v>110</v>
      </c>
      <c r="K12387" t="b">
        <v>1</v>
      </c>
    </row>
    <row r="12388" spans="8:11" x14ac:dyDescent="0.25">
      <c r="H12388">
        <v>139</v>
      </c>
      <c r="I12388">
        <v>77</v>
      </c>
      <c r="J12388">
        <v>110</v>
      </c>
      <c r="K12388" t="b">
        <v>1</v>
      </c>
    </row>
    <row r="12389" spans="8:11" x14ac:dyDescent="0.25">
      <c r="H12389">
        <v>139</v>
      </c>
      <c r="I12389">
        <v>88</v>
      </c>
      <c r="J12389">
        <v>110</v>
      </c>
      <c r="K12389" t="b">
        <v>1</v>
      </c>
    </row>
    <row r="12390" spans="8:11" x14ac:dyDescent="0.25">
      <c r="H12390">
        <v>139</v>
      </c>
      <c r="I12390">
        <v>99</v>
      </c>
      <c r="J12390">
        <v>110</v>
      </c>
      <c r="K12390" t="b">
        <v>1</v>
      </c>
    </row>
    <row r="12391" spans="8:11" x14ac:dyDescent="0.25">
      <c r="H12391">
        <v>139</v>
      </c>
      <c r="I12391">
        <v>110</v>
      </c>
      <c r="J12391">
        <v>110</v>
      </c>
      <c r="K12391" t="b">
        <v>1</v>
      </c>
    </row>
    <row r="12392" spans="8:11" x14ac:dyDescent="0.25">
      <c r="H12392">
        <v>139</v>
      </c>
      <c r="I12392">
        <v>121</v>
      </c>
      <c r="J12392">
        <v>110</v>
      </c>
      <c r="K12392" t="b">
        <v>1</v>
      </c>
    </row>
    <row r="12393" spans="8:11" x14ac:dyDescent="0.25">
      <c r="H12393">
        <v>139</v>
      </c>
      <c r="I12393">
        <v>132</v>
      </c>
      <c r="J12393">
        <v>110</v>
      </c>
      <c r="K12393" t="b">
        <v>1</v>
      </c>
    </row>
    <row r="12394" spans="8:11" x14ac:dyDescent="0.25">
      <c r="H12394">
        <v>139</v>
      </c>
      <c r="I12394">
        <v>143</v>
      </c>
      <c r="J12394">
        <v>110</v>
      </c>
      <c r="K12394" t="b">
        <v>1</v>
      </c>
    </row>
    <row r="12395" spans="8:11" x14ac:dyDescent="0.25">
      <c r="H12395">
        <v>139</v>
      </c>
      <c r="I12395">
        <v>154</v>
      </c>
      <c r="J12395">
        <v>110</v>
      </c>
      <c r="K12395" t="b">
        <v>1</v>
      </c>
    </row>
    <row r="12396" spans="8:11" x14ac:dyDescent="0.25">
      <c r="H12396">
        <v>139</v>
      </c>
      <c r="I12396">
        <v>165</v>
      </c>
      <c r="J12396">
        <v>110</v>
      </c>
      <c r="K12396" t="b">
        <v>1</v>
      </c>
    </row>
    <row r="12397" spans="8:11" x14ac:dyDescent="0.25">
      <c r="H12397">
        <v>139</v>
      </c>
      <c r="I12397">
        <v>176</v>
      </c>
      <c r="J12397">
        <v>110</v>
      </c>
      <c r="K12397" t="b">
        <v>1</v>
      </c>
    </row>
    <row r="12398" spans="8:11" x14ac:dyDescent="0.25">
      <c r="H12398">
        <v>139</v>
      </c>
      <c r="I12398">
        <v>187</v>
      </c>
      <c r="J12398">
        <v>110</v>
      </c>
      <c r="K12398" t="b">
        <v>1</v>
      </c>
    </row>
    <row r="12399" spans="8:11" x14ac:dyDescent="0.25">
      <c r="H12399">
        <v>139</v>
      </c>
      <c r="I12399">
        <v>198</v>
      </c>
      <c r="J12399">
        <v>110</v>
      </c>
      <c r="K12399" t="b">
        <v>1</v>
      </c>
    </row>
    <row r="12400" spans="8:11" x14ac:dyDescent="0.25">
      <c r="H12400">
        <v>139</v>
      </c>
      <c r="I12400">
        <v>209</v>
      </c>
      <c r="J12400">
        <v>110</v>
      </c>
      <c r="K12400" t="b">
        <v>1</v>
      </c>
    </row>
    <row r="12401" spans="8:11" x14ac:dyDescent="0.25">
      <c r="H12401">
        <v>139</v>
      </c>
      <c r="I12401">
        <v>220</v>
      </c>
      <c r="J12401">
        <v>110</v>
      </c>
      <c r="K12401" t="b">
        <v>1</v>
      </c>
    </row>
    <row r="12402" spans="8:11" x14ac:dyDescent="0.25">
      <c r="H12402">
        <v>139</v>
      </c>
      <c r="I12402">
        <v>231</v>
      </c>
      <c r="J12402">
        <v>110</v>
      </c>
      <c r="K12402" t="b">
        <v>1</v>
      </c>
    </row>
    <row r="12403" spans="8:11" x14ac:dyDescent="0.25">
      <c r="H12403">
        <v>139</v>
      </c>
      <c r="I12403">
        <v>242</v>
      </c>
      <c r="J12403">
        <v>110</v>
      </c>
      <c r="K12403" t="b">
        <v>1</v>
      </c>
    </row>
    <row r="12404" spans="8:11" x14ac:dyDescent="0.25">
      <c r="H12404">
        <v>139</v>
      </c>
      <c r="I12404">
        <v>253</v>
      </c>
      <c r="J12404">
        <v>110</v>
      </c>
      <c r="K12404" t="b">
        <v>1</v>
      </c>
    </row>
    <row r="12405" spans="8:11" x14ac:dyDescent="0.25">
      <c r="H12405">
        <v>139</v>
      </c>
      <c r="I12405">
        <v>264</v>
      </c>
      <c r="J12405">
        <v>110</v>
      </c>
      <c r="K12405" t="b">
        <v>1</v>
      </c>
    </row>
    <row r="12406" spans="8:11" x14ac:dyDescent="0.25">
      <c r="H12406">
        <v>139</v>
      </c>
      <c r="I12406">
        <v>275</v>
      </c>
      <c r="J12406">
        <v>110</v>
      </c>
      <c r="K12406" t="b">
        <v>1</v>
      </c>
    </row>
    <row r="12407" spans="8:11" x14ac:dyDescent="0.25">
      <c r="H12407">
        <v>139</v>
      </c>
      <c r="I12407">
        <v>286</v>
      </c>
      <c r="J12407">
        <v>110</v>
      </c>
      <c r="K12407" t="b">
        <v>1</v>
      </c>
    </row>
    <row r="12408" spans="8:11" x14ac:dyDescent="0.25">
      <c r="H12408">
        <v>139</v>
      </c>
      <c r="I12408">
        <v>297</v>
      </c>
      <c r="J12408">
        <v>110</v>
      </c>
      <c r="K12408" t="b">
        <v>1</v>
      </c>
    </row>
    <row r="12409" spans="8:11" x14ac:dyDescent="0.25">
      <c r="H12409">
        <v>139</v>
      </c>
      <c r="I12409">
        <v>308</v>
      </c>
      <c r="J12409">
        <v>110</v>
      </c>
      <c r="K12409" t="b">
        <v>1</v>
      </c>
    </row>
    <row r="12410" spans="8:11" x14ac:dyDescent="0.25">
      <c r="H12410">
        <v>139</v>
      </c>
      <c r="I12410">
        <v>319</v>
      </c>
      <c r="J12410">
        <v>110</v>
      </c>
      <c r="K12410" t="b">
        <v>1</v>
      </c>
    </row>
    <row r="12411" spans="8:11" x14ac:dyDescent="0.25">
      <c r="H12411">
        <v>139</v>
      </c>
      <c r="I12411">
        <v>330</v>
      </c>
      <c r="J12411">
        <v>110</v>
      </c>
      <c r="K12411" t="b">
        <v>1</v>
      </c>
    </row>
    <row r="12412" spans="8:11" x14ac:dyDescent="0.25">
      <c r="H12412">
        <v>139</v>
      </c>
      <c r="I12412">
        <v>341</v>
      </c>
      <c r="J12412">
        <v>110</v>
      </c>
      <c r="K12412" t="b">
        <v>1</v>
      </c>
    </row>
    <row r="12413" spans="8:11" x14ac:dyDescent="0.25">
      <c r="H12413">
        <v>139</v>
      </c>
      <c r="I12413">
        <v>352</v>
      </c>
      <c r="J12413">
        <v>110</v>
      </c>
      <c r="K12413" t="b">
        <v>1</v>
      </c>
    </row>
    <row r="12414" spans="8:11" x14ac:dyDescent="0.25">
      <c r="H12414">
        <v>139</v>
      </c>
      <c r="I12414">
        <v>363</v>
      </c>
      <c r="J12414">
        <v>110</v>
      </c>
      <c r="K12414" t="b">
        <v>1</v>
      </c>
    </row>
    <row r="12415" spans="8:11" x14ac:dyDescent="0.25">
      <c r="H12415">
        <v>139</v>
      </c>
      <c r="I12415">
        <v>374</v>
      </c>
      <c r="J12415">
        <v>110</v>
      </c>
      <c r="K12415" t="b">
        <v>1</v>
      </c>
    </row>
    <row r="12416" spans="8:11" x14ac:dyDescent="0.25">
      <c r="H12416">
        <v>139</v>
      </c>
      <c r="I12416">
        <v>385</v>
      </c>
      <c r="J12416">
        <v>110</v>
      </c>
      <c r="K12416" t="b">
        <v>1</v>
      </c>
    </row>
    <row r="12417" spans="8:11" x14ac:dyDescent="0.25">
      <c r="H12417">
        <v>139</v>
      </c>
      <c r="I12417">
        <v>396</v>
      </c>
      <c r="J12417">
        <v>110</v>
      </c>
      <c r="K12417" t="b">
        <v>1</v>
      </c>
    </row>
    <row r="12418" spans="8:11" x14ac:dyDescent="0.25">
      <c r="H12418">
        <v>139</v>
      </c>
      <c r="I12418">
        <v>407</v>
      </c>
      <c r="J12418">
        <v>110</v>
      </c>
      <c r="K12418" t="b">
        <v>1</v>
      </c>
    </row>
    <row r="12419" spans="8:11" x14ac:dyDescent="0.25">
      <c r="H12419">
        <v>139</v>
      </c>
      <c r="I12419">
        <v>418</v>
      </c>
      <c r="J12419">
        <v>110</v>
      </c>
      <c r="K12419" t="b">
        <v>1</v>
      </c>
    </row>
    <row r="12420" spans="8:11" x14ac:dyDescent="0.25">
      <c r="H12420">
        <v>139</v>
      </c>
      <c r="I12420">
        <v>429</v>
      </c>
      <c r="J12420">
        <v>110</v>
      </c>
      <c r="K12420" t="b">
        <v>1</v>
      </c>
    </row>
    <row r="12421" spans="8:11" x14ac:dyDescent="0.25">
      <c r="H12421">
        <v>139</v>
      </c>
      <c r="I12421">
        <v>440</v>
      </c>
      <c r="J12421">
        <v>110</v>
      </c>
      <c r="K12421" t="b">
        <v>1</v>
      </c>
    </row>
    <row r="12422" spans="8:11" x14ac:dyDescent="0.25">
      <c r="H12422">
        <v>139</v>
      </c>
      <c r="I12422">
        <v>451</v>
      </c>
      <c r="J12422">
        <v>110</v>
      </c>
      <c r="K12422" t="b">
        <v>1</v>
      </c>
    </row>
    <row r="12423" spans="8:11" x14ac:dyDescent="0.25">
      <c r="H12423">
        <v>139</v>
      </c>
      <c r="I12423">
        <v>462</v>
      </c>
      <c r="J12423">
        <v>110</v>
      </c>
      <c r="K12423" t="b">
        <v>1</v>
      </c>
    </row>
    <row r="12424" spans="8:11" x14ac:dyDescent="0.25">
      <c r="H12424">
        <v>139</v>
      </c>
      <c r="I12424">
        <v>473</v>
      </c>
      <c r="J12424">
        <v>110</v>
      </c>
      <c r="K12424" t="b">
        <v>1</v>
      </c>
    </row>
    <row r="12425" spans="8:11" x14ac:dyDescent="0.25">
      <c r="H12425">
        <v>139</v>
      </c>
      <c r="I12425">
        <v>484</v>
      </c>
      <c r="J12425">
        <v>110</v>
      </c>
      <c r="K12425" t="b">
        <v>1</v>
      </c>
    </row>
    <row r="12426" spans="8:11" x14ac:dyDescent="0.25">
      <c r="H12426">
        <v>139</v>
      </c>
      <c r="I12426">
        <v>495</v>
      </c>
      <c r="J12426">
        <v>110</v>
      </c>
      <c r="K12426" t="b">
        <v>1</v>
      </c>
    </row>
    <row r="12427" spans="8:11" x14ac:dyDescent="0.25">
      <c r="H12427">
        <v>139</v>
      </c>
      <c r="I12427">
        <v>506</v>
      </c>
      <c r="J12427">
        <v>110</v>
      </c>
      <c r="K12427" t="b">
        <v>1</v>
      </c>
    </row>
    <row r="12428" spans="8:11" x14ac:dyDescent="0.25">
      <c r="H12428">
        <v>139</v>
      </c>
      <c r="I12428">
        <v>517</v>
      </c>
      <c r="J12428">
        <v>110</v>
      </c>
      <c r="K12428" t="b">
        <v>1</v>
      </c>
    </row>
    <row r="12429" spans="8:11" x14ac:dyDescent="0.25">
      <c r="H12429">
        <v>139</v>
      </c>
      <c r="I12429">
        <v>528</v>
      </c>
      <c r="J12429">
        <v>110</v>
      </c>
      <c r="K12429" t="b">
        <v>1</v>
      </c>
    </row>
    <row r="12430" spans="8:11" x14ac:dyDescent="0.25">
      <c r="H12430">
        <v>139</v>
      </c>
      <c r="I12430">
        <v>539</v>
      </c>
      <c r="J12430">
        <v>110</v>
      </c>
      <c r="K12430" t="b">
        <v>1</v>
      </c>
    </row>
    <row r="12431" spans="8:11" x14ac:dyDescent="0.25">
      <c r="H12431">
        <v>139</v>
      </c>
      <c r="I12431">
        <v>550</v>
      </c>
      <c r="J12431">
        <v>110</v>
      </c>
      <c r="K12431" t="b">
        <v>1</v>
      </c>
    </row>
    <row r="12432" spans="8:11" x14ac:dyDescent="0.25">
      <c r="H12432">
        <v>139</v>
      </c>
      <c r="I12432">
        <v>561</v>
      </c>
      <c r="J12432">
        <v>110</v>
      </c>
      <c r="K12432" t="b">
        <v>1</v>
      </c>
    </row>
    <row r="12433" spans="8:11" x14ac:dyDescent="0.25">
      <c r="H12433">
        <v>139</v>
      </c>
      <c r="I12433">
        <v>572</v>
      </c>
      <c r="J12433">
        <v>110</v>
      </c>
      <c r="K12433" t="b">
        <v>1</v>
      </c>
    </row>
    <row r="12434" spans="8:11" x14ac:dyDescent="0.25">
      <c r="H12434">
        <v>139</v>
      </c>
      <c r="I12434">
        <v>583</v>
      </c>
      <c r="J12434">
        <v>110</v>
      </c>
      <c r="K12434" t="b">
        <v>1</v>
      </c>
    </row>
    <row r="12435" spans="8:11" x14ac:dyDescent="0.25">
      <c r="H12435">
        <v>139</v>
      </c>
      <c r="I12435">
        <v>594</v>
      </c>
      <c r="J12435">
        <v>110</v>
      </c>
      <c r="K12435" t="b">
        <v>1</v>
      </c>
    </row>
    <row r="12436" spans="8:11" x14ac:dyDescent="0.25">
      <c r="H12436">
        <v>139</v>
      </c>
      <c r="I12436">
        <v>605</v>
      </c>
      <c r="J12436">
        <v>110</v>
      </c>
      <c r="K12436" t="b">
        <v>1</v>
      </c>
    </row>
    <row r="12437" spans="8:11" x14ac:dyDescent="0.25">
      <c r="H12437">
        <v>139</v>
      </c>
      <c r="I12437">
        <v>616</v>
      </c>
      <c r="J12437">
        <v>110</v>
      </c>
      <c r="K12437" t="b">
        <v>1</v>
      </c>
    </row>
    <row r="12438" spans="8:11" x14ac:dyDescent="0.25">
      <c r="H12438">
        <v>139</v>
      </c>
      <c r="I12438">
        <v>627</v>
      </c>
      <c r="J12438">
        <v>110</v>
      </c>
      <c r="K12438" t="b">
        <v>1</v>
      </c>
    </row>
    <row r="12439" spans="8:11" x14ac:dyDescent="0.25">
      <c r="H12439">
        <v>139</v>
      </c>
      <c r="I12439">
        <v>638</v>
      </c>
      <c r="J12439">
        <v>110</v>
      </c>
      <c r="K12439" t="b">
        <v>1</v>
      </c>
    </row>
    <row r="12440" spans="8:11" x14ac:dyDescent="0.25">
      <c r="H12440">
        <v>139</v>
      </c>
      <c r="I12440">
        <v>649</v>
      </c>
      <c r="J12440">
        <v>110</v>
      </c>
      <c r="K12440" t="b">
        <v>1</v>
      </c>
    </row>
    <row r="12441" spans="8:11" x14ac:dyDescent="0.25">
      <c r="H12441">
        <v>139</v>
      </c>
      <c r="I12441">
        <v>660</v>
      </c>
      <c r="J12441">
        <v>110</v>
      </c>
      <c r="K12441" t="b">
        <v>1</v>
      </c>
    </row>
    <row r="12442" spans="8:11" x14ac:dyDescent="0.25">
      <c r="H12442">
        <v>139</v>
      </c>
      <c r="I12442">
        <v>671</v>
      </c>
      <c r="J12442">
        <v>110</v>
      </c>
      <c r="K12442" t="b">
        <v>1</v>
      </c>
    </row>
    <row r="12443" spans="8:11" x14ac:dyDescent="0.25">
      <c r="H12443">
        <v>139</v>
      </c>
      <c r="I12443">
        <v>682</v>
      </c>
      <c r="J12443">
        <v>110</v>
      </c>
      <c r="K12443" t="b">
        <v>1</v>
      </c>
    </row>
    <row r="12444" spans="8:11" x14ac:dyDescent="0.25">
      <c r="H12444">
        <v>139</v>
      </c>
      <c r="I12444">
        <v>693</v>
      </c>
      <c r="J12444">
        <v>110</v>
      </c>
      <c r="K12444" t="b">
        <v>1</v>
      </c>
    </row>
    <row r="12445" spans="8:11" x14ac:dyDescent="0.25">
      <c r="H12445">
        <v>139</v>
      </c>
      <c r="I12445">
        <v>704</v>
      </c>
      <c r="J12445">
        <v>110</v>
      </c>
      <c r="K12445" t="b">
        <v>1</v>
      </c>
    </row>
    <row r="12446" spans="8:11" x14ac:dyDescent="0.25">
      <c r="H12446">
        <v>139</v>
      </c>
      <c r="I12446">
        <v>715</v>
      </c>
      <c r="J12446">
        <v>110</v>
      </c>
      <c r="K12446" t="b">
        <v>1</v>
      </c>
    </row>
    <row r="12447" spans="8:11" x14ac:dyDescent="0.25">
      <c r="H12447">
        <v>139</v>
      </c>
      <c r="I12447">
        <v>726</v>
      </c>
      <c r="J12447">
        <v>110</v>
      </c>
      <c r="K12447" t="b">
        <v>1</v>
      </c>
    </row>
    <row r="12448" spans="8:11" x14ac:dyDescent="0.25">
      <c r="H12448">
        <v>139</v>
      </c>
      <c r="I12448">
        <v>737</v>
      </c>
      <c r="J12448">
        <v>110</v>
      </c>
      <c r="K12448" t="b">
        <v>1</v>
      </c>
    </row>
    <row r="12449" spans="8:11" x14ac:dyDescent="0.25">
      <c r="H12449">
        <v>139</v>
      </c>
      <c r="I12449">
        <v>748</v>
      </c>
      <c r="J12449">
        <v>110</v>
      </c>
      <c r="K12449" t="b">
        <v>1</v>
      </c>
    </row>
    <row r="12450" spans="8:11" x14ac:dyDescent="0.25">
      <c r="H12450">
        <v>139</v>
      </c>
      <c r="I12450">
        <v>759</v>
      </c>
      <c r="J12450">
        <v>110</v>
      </c>
      <c r="K12450" t="b">
        <v>1</v>
      </c>
    </row>
    <row r="12451" spans="8:11" x14ac:dyDescent="0.25">
      <c r="H12451">
        <v>139</v>
      </c>
      <c r="I12451">
        <v>770</v>
      </c>
      <c r="J12451">
        <v>110</v>
      </c>
      <c r="K12451" t="b">
        <v>1</v>
      </c>
    </row>
    <row r="12452" spans="8:11" x14ac:dyDescent="0.25">
      <c r="H12452">
        <v>139</v>
      </c>
      <c r="I12452">
        <v>781</v>
      </c>
      <c r="J12452">
        <v>110</v>
      </c>
      <c r="K12452" t="b">
        <v>1</v>
      </c>
    </row>
    <row r="12453" spans="8:11" x14ac:dyDescent="0.25">
      <c r="H12453">
        <v>139</v>
      </c>
      <c r="I12453">
        <v>792</v>
      </c>
      <c r="J12453">
        <v>110</v>
      </c>
      <c r="K12453" t="b">
        <v>1</v>
      </c>
    </row>
    <row r="12454" spans="8:11" x14ac:dyDescent="0.25">
      <c r="H12454">
        <v>139</v>
      </c>
      <c r="I12454">
        <v>803</v>
      </c>
      <c r="J12454">
        <v>110</v>
      </c>
      <c r="K12454" t="b">
        <v>1</v>
      </c>
    </row>
    <row r="12455" spans="8:11" x14ac:dyDescent="0.25">
      <c r="H12455">
        <v>139</v>
      </c>
      <c r="I12455">
        <v>814</v>
      </c>
      <c r="J12455">
        <v>110</v>
      </c>
      <c r="K12455" t="b">
        <v>1</v>
      </c>
    </row>
    <row r="12456" spans="8:11" x14ac:dyDescent="0.25">
      <c r="H12456">
        <v>139</v>
      </c>
      <c r="I12456">
        <v>825</v>
      </c>
      <c r="J12456">
        <v>110</v>
      </c>
      <c r="K12456" t="b">
        <v>1</v>
      </c>
    </row>
    <row r="12457" spans="8:11" x14ac:dyDescent="0.25">
      <c r="H12457">
        <v>139</v>
      </c>
      <c r="I12457">
        <v>836</v>
      </c>
      <c r="J12457">
        <v>110</v>
      </c>
      <c r="K12457" t="b">
        <v>1</v>
      </c>
    </row>
    <row r="12458" spans="8:11" x14ac:dyDescent="0.25">
      <c r="H12458">
        <v>139</v>
      </c>
      <c r="I12458">
        <v>847</v>
      </c>
      <c r="J12458">
        <v>110</v>
      </c>
      <c r="K12458" t="b">
        <v>1</v>
      </c>
    </row>
    <row r="12459" spans="8:11" x14ac:dyDescent="0.25">
      <c r="H12459">
        <v>139</v>
      </c>
      <c r="I12459">
        <v>858</v>
      </c>
      <c r="J12459">
        <v>110</v>
      </c>
      <c r="K12459" t="b">
        <v>1</v>
      </c>
    </row>
    <row r="12460" spans="8:11" x14ac:dyDescent="0.25">
      <c r="H12460">
        <v>139</v>
      </c>
      <c r="I12460">
        <v>869</v>
      </c>
      <c r="J12460">
        <v>110</v>
      </c>
      <c r="K12460" t="b">
        <v>1</v>
      </c>
    </row>
    <row r="12461" spans="8:11" x14ac:dyDescent="0.25">
      <c r="H12461">
        <v>139</v>
      </c>
      <c r="I12461">
        <v>880</v>
      </c>
      <c r="J12461">
        <v>110</v>
      </c>
      <c r="K12461" t="b">
        <v>1</v>
      </c>
    </row>
    <row r="12462" spans="8:11" x14ac:dyDescent="0.25">
      <c r="H12462">
        <v>139</v>
      </c>
      <c r="I12462">
        <v>891</v>
      </c>
      <c r="J12462">
        <v>110</v>
      </c>
      <c r="K12462" t="b">
        <v>1</v>
      </c>
    </row>
    <row r="12463" spans="8:11" x14ac:dyDescent="0.25">
      <c r="H12463">
        <v>139</v>
      </c>
      <c r="I12463">
        <v>902</v>
      </c>
      <c r="J12463">
        <v>110</v>
      </c>
      <c r="K12463" t="b">
        <v>1</v>
      </c>
    </row>
    <row r="12464" spans="8:11" x14ac:dyDescent="0.25">
      <c r="H12464">
        <v>139</v>
      </c>
      <c r="I12464">
        <v>913</v>
      </c>
      <c r="J12464">
        <v>110</v>
      </c>
      <c r="K12464" t="b">
        <v>1</v>
      </c>
    </row>
    <row r="12465" spans="8:11" x14ac:dyDescent="0.25">
      <c r="H12465">
        <v>139</v>
      </c>
      <c r="I12465">
        <v>924</v>
      </c>
      <c r="J12465">
        <v>110</v>
      </c>
      <c r="K12465" t="b">
        <v>1</v>
      </c>
    </row>
    <row r="12466" spans="8:11" x14ac:dyDescent="0.25">
      <c r="H12466">
        <v>139</v>
      </c>
      <c r="I12466">
        <v>935</v>
      </c>
      <c r="J12466">
        <v>110</v>
      </c>
      <c r="K12466" t="b">
        <v>1</v>
      </c>
    </row>
    <row r="12467" spans="8:11" x14ac:dyDescent="0.25">
      <c r="H12467">
        <v>139</v>
      </c>
      <c r="I12467">
        <v>946</v>
      </c>
      <c r="J12467">
        <v>110</v>
      </c>
      <c r="K12467" t="b">
        <v>1</v>
      </c>
    </row>
    <row r="12468" spans="8:11" x14ac:dyDescent="0.25">
      <c r="H12468">
        <v>140</v>
      </c>
      <c r="I12468">
        <v>0</v>
      </c>
      <c r="J12468">
        <v>110</v>
      </c>
      <c r="K12468" t="b">
        <v>1</v>
      </c>
    </row>
    <row r="12469" spans="8:11" x14ac:dyDescent="0.25">
      <c r="H12469">
        <v>140</v>
      </c>
      <c r="I12469">
        <v>11</v>
      </c>
      <c r="J12469">
        <v>110</v>
      </c>
      <c r="K12469" t="b">
        <v>1</v>
      </c>
    </row>
    <row r="12470" spans="8:11" x14ac:dyDescent="0.25">
      <c r="H12470">
        <v>140</v>
      </c>
      <c r="I12470">
        <v>22</v>
      </c>
      <c r="J12470">
        <v>110</v>
      </c>
      <c r="K12470" t="b">
        <v>1</v>
      </c>
    </row>
    <row r="12471" spans="8:11" x14ac:dyDescent="0.25">
      <c r="H12471">
        <v>140</v>
      </c>
      <c r="I12471">
        <v>33</v>
      </c>
      <c r="J12471">
        <v>110</v>
      </c>
      <c r="K12471" t="b">
        <v>1</v>
      </c>
    </row>
    <row r="12472" spans="8:11" x14ac:dyDescent="0.25">
      <c r="H12472">
        <v>140</v>
      </c>
      <c r="I12472">
        <v>44</v>
      </c>
      <c r="J12472">
        <v>110</v>
      </c>
      <c r="K12472" t="b">
        <v>1</v>
      </c>
    </row>
    <row r="12473" spans="8:11" x14ac:dyDescent="0.25">
      <c r="H12473">
        <v>140</v>
      </c>
      <c r="I12473">
        <v>55</v>
      </c>
      <c r="J12473">
        <v>110</v>
      </c>
      <c r="K12473" t="b">
        <v>1</v>
      </c>
    </row>
    <row r="12474" spans="8:11" x14ac:dyDescent="0.25">
      <c r="H12474">
        <v>140</v>
      </c>
      <c r="I12474">
        <v>66</v>
      </c>
      <c r="J12474">
        <v>110</v>
      </c>
      <c r="K12474" t="b">
        <v>1</v>
      </c>
    </row>
    <row r="12475" spans="8:11" x14ac:dyDescent="0.25">
      <c r="H12475">
        <v>140</v>
      </c>
      <c r="I12475">
        <v>77</v>
      </c>
      <c r="J12475">
        <v>110</v>
      </c>
      <c r="K12475" t="b">
        <v>1</v>
      </c>
    </row>
    <row r="12476" spans="8:11" x14ac:dyDescent="0.25">
      <c r="H12476">
        <v>140</v>
      </c>
      <c r="I12476">
        <v>88</v>
      </c>
      <c r="J12476">
        <v>110</v>
      </c>
      <c r="K12476" t="b">
        <v>1</v>
      </c>
    </row>
    <row r="12477" spans="8:11" x14ac:dyDescent="0.25">
      <c r="H12477">
        <v>140</v>
      </c>
      <c r="I12477">
        <v>99</v>
      </c>
      <c r="J12477">
        <v>110</v>
      </c>
      <c r="K12477" t="b">
        <v>1</v>
      </c>
    </row>
    <row r="12478" spans="8:11" x14ac:dyDescent="0.25">
      <c r="H12478">
        <v>140</v>
      </c>
      <c r="I12478">
        <v>110</v>
      </c>
      <c r="J12478">
        <v>110</v>
      </c>
      <c r="K12478" t="b">
        <v>1</v>
      </c>
    </row>
    <row r="12479" spans="8:11" x14ac:dyDescent="0.25">
      <c r="H12479">
        <v>140</v>
      </c>
      <c r="I12479">
        <v>121</v>
      </c>
      <c r="J12479">
        <v>110</v>
      </c>
      <c r="K12479" t="b">
        <v>1</v>
      </c>
    </row>
    <row r="12480" spans="8:11" x14ac:dyDescent="0.25">
      <c r="H12480">
        <v>140</v>
      </c>
      <c r="I12480">
        <v>132</v>
      </c>
      <c r="J12480">
        <v>110</v>
      </c>
      <c r="K12480" t="b">
        <v>1</v>
      </c>
    </row>
    <row r="12481" spans="8:11" x14ac:dyDescent="0.25">
      <c r="H12481">
        <v>140</v>
      </c>
      <c r="I12481">
        <v>143</v>
      </c>
      <c r="J12481">
        <v>110</v>
      </c>
      <c r="K12481" t="b">
        <v>1</v>
      </c>
    </row>
    <row r="12482" spans="8:11" x14ac:dyDescent="0.25">
      <c r="H12482">
        <v>140</v>
      </c>
      <c r="I12482">
        <v>154</v>
      </c>
      <c r="J12482">
        <v>110</v>
      </c>
      <c r="K12482" t="b">
        <v>1</v>
      </c>
    </row>
    <row r="12483" spans="8:11" x14ac:dyDescent="0.25">
      <c r="H12483">
        <v>140</v>
      </c>
      <c r="I12483">
        <v>165</v>
      </c>
      <c r="J12483">
        <v>110</v>
      </c>
      <c r="K12483" t="b">
        <v>1</v>
      </c>
    </row>
    <row r="12484" spans="8:11" x14ac:dyDescent="0.25">
      <c r="H12484">
        <v>140</v>
      </c>
      <c r="I12484">
        <v>176</v>
      </c>
      <c r="J12484">
        <v>110</v>
      </c>
      <c r="K12484" t="b">
        <v>1</v>
      </c>
    </row>
    <row r="12485" spans="8:11" x14ac:dyDescent="0.25">
      <c r="H12485">
        <v>140</v>
      </c>
      <c r="I12485">
        <v>187</v>
      </c>
      <c r="J12485">
        <v>110</v>
      </c>
      <c r="K12485" t="b">
        <v>1</v>
      </c>
    </row>
    <row r="12486" spans="8:11" x14ac:dyDescent="0.25">
      <c r="H12486">
        <v>140</v>
      </c>
      <c r="I12486">
        <v>198</v>
      </c>
      <c r="J12486">
        <v>110</v>
      </c>
      <c r="K12486" t="b">
        <v>1</v>
      </c>
    </row>
    <row r="12487" spans="8:11" x14ac:dyDescent="0.25">
      <c r="H12487">
        <v>140</v>
      </c>
      <c r="I12487">
        <v>209</v>
      </c>
      <c r="J12487">
        <v>110</v>
      </c>
      <c r="K12487" t="b">
        <v>1</v>
      </c>
    </row>
    <row r="12488" spans="8:11" x14ac:dyDescent="0.25">
      <c r="H12488">
        <v>140</v>
      </c>
      <c r="I12488">
        <v>220</v>
      </c>
      <c r="J12488">
        <v>110</v>
      </c>
      <c r="K12488" t="b">
        <v>1</v>
      </c>
    </row>
    <row r="12489" spans="8:11" x14ac:dyDescent="0.25">
      <c r="H12489">
        <v>140</v>
      </c>
      <c r="I12489">
        <v>231</v>
      </c>
      <c r="J12489">
        <v>110</v>
      </c>
      <c r="K12489" t="b">
        <v>1</v>
      </c>
    </row>
    <row r="12490" spans="8:11" x14ac:dyDescent="0.25">
      <c r="H12490">
        <v>140</v>
      </c>
      <c r="I12490">
        <v>242</v>
      </c>
      <c r="J12490">
        <v>110</v>
      </c>
      <c r="K12490" t="b">
        <v>1</v>
      </c>
    </row>
    <row r="12491" spans="8:11" x14ac:dyDescent="0.25">
      <c r="H12491">
        <v>140</v>
      </c>
      <c r="I12491">
        <v>253</v>
      </c>
      <c r="J12491">
        <v>110</v>
      </c>
      <c r="K12491" t="b">
        <v>1</v>
      </c>
    </row>
    <row r="12492" spans="8:11" x14ac:dyDescent="0.25">
      <c r="H12492">
        <v>140</v>
      </c>
      <c r="I12492">
        <v>264</v>
      </c>
      <c r="J12492">
        <v>110</v>
      </c>
      <c r="K12492" t="b">
        <v>1</v>
      </c>
    </row>
    <row r="12493" spans="8:11" x14ac:dyDescent="0.25">
      <c r="H12493">
        <v>140</v>
      </c>
      <c r="I12493">
        <v>275</v>
      </c>
      <c r="J12493">
        <v>110</v>
      </c>
      <c r="K12493" t="b">
        <v>1</v>
      </c>
    </row>
    <row r="12494" spans="8:11" x14ac:dyDescent="0.25">
      <c r="H12494">
        <v>140</v>
      </c>
      <c r="I12494">
        <v>286</v>
      </c>
      <c r="J12494">
        <v>110</v>
      </c>
      <c r="K12494" t="b">
        <v>1</v>
      </c>
    </row>
    <row r="12495" spans="8:11" x14ac:dyDescent="0.25">
      <c r="H12495">
        <v>140</v>
      </c>
      <c r="I12495">
        <v>297</v>
      </c>
      <c r="J12495">
        <v>110</v>
      </c>
      <c r="K12495" t="b">
        <v>1</v>
      </c>
    </row>
    <row r="12496" spans="8:11" x14ac:dyDescent="0.25">
      <c r="H12496">
        <v>140</v>
      </c>
      <c r="I12496">
        <v>308</v>
      </c>
      <c r="J12496">
        <v>110</v>
      </c>
      <c r="K12496" t="b">
        <v>1</v>
      </c>
    </row>
    <row r="12497" spans="8:11" x14ac:dyDescent="0.25">
      <c r="H12497">
        <v>140</v>
      </c>
      <c r="I12497">
        <v>319</v>
      </c>
      <c r="J12497">
        <v>110</v>
      </c>
      <c r="K12497" t="b">
        <v>1</v>
      </c>
    </row>
    <row r="12498" spans="8:11" x14ac:dyDescent="0.25">
      <c r="H12498">
        <v>140</v>
      </c>
      <c r="I12498">
        <v>330</v>
      </c>
      <c r="J12498">
        <v>110</v>
      </c>
      <c r="K12498" t="b">
        <v>1</v>
      </c>
    </row>
    <row r="12499" spans="8:11" x14ac:dyDescent="0.25">
      <c r="H12499">
        <v>140</v>
      </c>
      <c r="I12499">
        <v>341</v>
      </c>
      <c r="J12499">
        <v>110</v>
      </c>
      <c r="K12499" t="b">
        <v>1</v>
      </c>
    </row>
    <row r="12500" spans="8:11" x14ac:dyDescent="0.25">
      <c r="H12500">
        <v>140</v>
      </c>
      <c r="I12500">
        <v>352</v>
      </c>
      <c r="J12500">
        <v>110</v>
      </c>
      <c r="K12500" t="b">
        <v>1</v>
      </c>
    </row>
    <row r="12501" spans="8:11" x14ac:dyDescent="0.25">
      <c r="H12501">
        <v>140</v>
      </c>
      <c r="I12501">
        <v>363</v>
      </c>
      <c r="J12501">
        <v>110</v>
      </c>
      <c r="K12501" t="b">
        <v>1</v>
      </c>
    </row>
    <row r="12502" spans="8:11" x14ac:dyDescent="0.25">
      <c r="H12502">
        <v>140</v>
      </c>
      <c r="I12502">
        <v>374</v>
      </c>
      <c r="J12502">
        <v>110</v>
      </c>
      <c r="K12502" t="b">
        <v>1</v>
      </c>
    </row>
    <row r="12503" spans="8:11" x14ac:dyDescent="0.25">
      <c r="H12503">
        <v>140</v>
      </c>
      <c r="I12503">
        <v>385</v>
      </c>
      <c r="J12503">
        <v>110</v>
      </c>
      <c r="K12503" t="b">
        <v>1</v>
      </c>
    </row>
    <row r="12504" spans="8:11" x14ac:dyDescent="0.25">
      <c r="H12504">
        <v>140</v>
      </c>
      <c r="I12504">
        <v>396</v>
      </c>
      <c r="J12504">
        <v>110</v>
      </c>
      <c r="K12504" t="b">
        <v>1</v>
      </c>
    </row>
    <row r="12505" spans="8:11" x14ac:dyDescent="0.25">
      <c r="H12505">
        <v>140</v>
      </c>
      <c r="I12505">
        <v>407</v>
      </c>
      <c r="J12505">
        <v>110</v>
      </c>
      <c r="K12505" t="b">
        <v>1</v>
      </c>
    </row>
    <row r="12506" spans="8:11" x14ac:dyDescent="0.25">
      <c r="H12506">
        <v>140</v>
      </c>
      <c r="I12506">
        <v>418</v>
      </c>
      <c r="J12506">
        <v>110</v>
      </c>
      <c r="K12506" t="b">
        <v>1</v>
      </c>
    </row>
    <row r="12507" spans="8:11" x14ac:dyDescent="0.25">
      <c r="H12507">
        <v>140</v>
      </c>
      <c r="I12507">
        <v>429</v>
      </c>
      <c r="J12507">
        <v>110</v>
      </c>
      <c r="K12507" t="b">
        <v>1</v>
      </c>
    </row>
    <row r="12508" spans="8:11" x14ac:dyDescent="0.25">
      <c r="H12508">
        <v>140</v>
      </c>
      <c r="I12508">
        <v>440</v>
      </c>
      <c r="J12508">
        <v>110</v>
      </c>
      <c r="K12508" t="b">
        <v>1</v>
      </c>
    </row>
    <row r="12509" spans="8:11" x14ac:dyDescent="0.25">
      <c r="H12509">
        <v>140</v>
      </c>
      <c r="I12509">
        <v>451</v>
      </c>
      <c r="J12509">
        <v>110</v>
      </c>
      <c r="K12509" t="b">
        <v>1</v>
      </c>
    </row>
    <row r="12510" spans="8:11" x14ac:dyDescent="0.25">
      <c r="H12510">
        <v>140</v>
      </c>
      <c r="I12510">
        <v>462</v>
      </c>
      <c r="J12510">
        <v>110</v>
      </c>
      <c r="K12510" t="b">
        <v>1</v>
      </c>
    </row>
    <row r="12511" spans="8:11" x14ac:dyDescent="0.25">
      <c r="H12511">
        <v>140</v>
      </c>
      <c r="I12511">
        <v>473</v>
      </c>
      <c r="J12511">
        <v>110</v>
      </c>
      <c r="K12511" t="b">
        <v>1</v>
      </c>
    </row>
    <row r="12512" spans="8:11" x14ac:dyDescent="0.25">
      <c r="H12512">
        <v>140</v>
      </c>
      <c r="I12512">
        <v>484</v>
      </c>
      <c r="J12512">
        <v>110</v>
      </c>
      <c r="K12512" t="b">
        <v>1</v>
      </c>
    </row>
    <row r="12513" spans="8:11" x14ac:dyDescent="0.25">
      <c r="H12513">
        <v>140</v>
      </c>
      <c r="I12513">
        <v>495</v>
      </c>
      <c r="J12513">
        <v>110</v>
      </c>
      <c r="K12513" t="b">
        <v>1</v>
      </c>
    </row>
    <row r="12514" spans="8:11" x14ac:dyDescent="0.25">
      <c r="H12514">
        <v>140</v>
      </c>
      <c r="I12514">
        <v>506</v>
      </c>
      <c r="J12514">
        <v>110</v>
      </c>
      <c r="K12514" t="b">
        <v>1</v>
      </c>
    </row>
    <row r="12515" spans="8:11" x14ac:dyDescent="0.25">
      <c r="H12515">
        <v>140</v>
      </c>
      <c r="I12515">
        <v>517</v>
      </c>
      <c r="J12515">
        <v>110</v>
      </c>
      <c r="K12515" t="b">
        <v>1</v>
      </c>
    </row>
    <row r="12516" spans="8:11" x14ac:dyDescent="0.25">
      <c r="H12516">
        <v>140</v>
      </c>
      <c r="I12516">
        <v>528</v>
      </c>
      <c r="J12516">
        <v>110</v>
      </c>
      <c r="K12516" t="b">
        <v>1</v>
      </c>
    </row>
    <row r="12517" spans="8:11" x14ac:dyDescent="0.25">
      <c r="H12517">
        <v>140</v>
      </c>
      <c r="I12517">
        <v>539</v>
      </c>
      <c r="J12517">
        <v>110</v>
      </c>
      <c r="K12517" t="b">
        <v>1</v>
      </c>
    </row>
    <row r="12518" spans="8:11" x14ac:dyDescent="0.25">
      <c r="H12518">
        <v>140</v>
      </c>
      <c r="I12518">
        <v>550</v>
      </c>
      <c r="J12518">
        <v>110</v>
      </c>
      <c r="K12518" t="b">
        <v>1</v>
      </c>
    </row>
    <row r="12519" spans="8:11" x14ac:dyDescent="0.25">
      <c r="H12519">
        <v>140</v>
      </c>
      <c r="I12519">
        <v>561</v>
      </c>
      <c r="J12519">
        <v>110</v>
      </c>
      <c r="K12519" t="b">
        <v>1</v>
      </c>
    </row>
    <row r="12520" spans="8:11" x14ac:dyDescent="0.25">
      <c r="H12520">
        <v>140</v>
      </c>
      <c r="I12520">
        <v>572</v>
      </c>
      <c r="J12520">
        <v>110</v>
      </c>
      <c r="K12520" t="b">
        <v>1</v>
      </c>
    </row>
    <row r="12521" spans="8:11" x14ac:dyDescent="0.25">
      <c r="H12521">
        <v>140</v>
      </c>
      <c r="I12521">
        <v>583</v>
      </c>
      <c r="J12521">
        <v>110</v>
      </c>
      <c r="K12521" t="b">
        <v>1</v>
      </c>
    </row>
    <row r="12522" spans="8:11" x14ac:dyDescent="0.25">
      <c r="H12522">
        <v>140</v>
      </c>
      <c r="I12522">
        <v>594</v>
      </c>
      <c r="J12522">
        <v>110</v>
      </c>
      <c r="K12522" t="b">
        <v>1</v>
      </c>
    </row>
    <row r="12523" spans="8:11" x14ac:dyDescent="0.25">
      <c r="H12523">
        <v>140</v>
      </c>
      <c r="I12523">
        <v>605</v>
      </c>
      <c r="J12523">
        <v>110</v>
      </c>
      <c r="K12523" t="b">
        <v>1</v>
      </c>
    </row>
    <row r="12524" spans="8:11" x14ac:dyDescent="0.25">
      <c r="H12524">
        <v>140</v>
      </c>
      <c r="I12524">
        <v>616</v>
      </c>
      <c r="J12524">
        <v>110</v>
      </c>
      <c r="K12524" t="b">
        <v>1</v>
      </c>
    </row>
    <row r="12525" spans="8:11" x14ac:dyDescent="0.25">
      <c r="H12525">
        <v>140</v>
      </c>
      <c r="I12525">
        <v>627</v>
      </c>
      <c r="J12525">
        <v>110</v>
      </c>
      <c r="K12525" t="b">
        <v>1</v>
      </c>
    </row>
    <row r="12526" spans="8:11" x14ac:dyDescent="0.25">
      <c r="H12526">
        <v>140</v>
      </c>
      <c r="I12526">
        <v>638</v>
      </c>
      <c r="J12526">
        <v>110</v>
      </c>
      <c r="K12526" t="b">
        <v>1</v>
      </c>
    </row>
    <row r="12527" spans="8:11" x14ac:dyDescent="0.25">
      <c r="H12527">
        <v>140</v>
      </c>
      <c r="I12527">
        <v>649</v>
      </c>
      <c r="J12527">
        <v>110</v>
      </c>
      <c r="K12527" t="b">
        <v>1</v>
      </c>
    </row>
    <row r="12528" spans="8:11" x14ac:dyDescent="0.25">
      <c r="H12528">
        <v>140</v>
      </c>
      <c r="I12528">
        <v>660</v>
      </c>
      <c r="J12528">
        <v>110</v>
      </c>
      <c r="K12528" t="b">
        <v>1</v>
      </c>
    </row>
    <row r="12529" spans="8:11" x14ac:dyDescent="0.25">
      <c r="H12529">
        <v>140</v>
      </c>
      <c r="I12529">
        <v>671</v>
      </c>
      <c r="J12529">
        <v>110</v>
      </c>
      <c r="K12529" t="b">
        <v>1</v>
      </c>
    </row>
    <row r="12530" spans="8:11" x14ac:dyDescent="0.25">
      <c r="H12530">
        <v>140</v>
      </c>
      <c r="I12530">
        <v>682</v>
      </c>
      <c r="J12530">
        <v>110</v>
      </c>
      <c r="K12530" t="b">
        <v>1</v>
      </c>
    </row>
    <row r="12531" spans="8:11" x14ac:dyDescent="0.25">
      <c r="H12531">
        <v>140</v>
      </c>
      <c r="I12531">
        <v>693</v>
      </c>
      <c r="J12531">
        <v>110</v>
      </c>
      <c r="K12531" t="b">
        <v>1</v>
      </c>
    </row>
    <row r="12532" spans="8:11" x14ac:dyDescent="0.25">
      <c r="H12532">
        <v>140</v>
      </c>
      <c r="I12532">
        <v>704</v>
      </c>
      <c r="J12532">
        <v>110</v>
      </c>
      <c r="K12532" t="b">
        <v>1</v>
      </c>
    </row>
    <row r="12533" spans="8:11" x14ac:dyDescent="0.25">
      <c r="H12533">
        <v>140</v>
      </c>
      <c r="I12533">
        <v>715</v>
      </c>
      <c r="J12533">
        <v>110</v>
      </c>
      <c r="K12533" t="b">
        <v>1</v>
      </c>
    </row>
    <row r="12534" spans="8:11" x14ac:dyDescent="0.25">
      <c r="H12534">
        <v>140</v>
      </c>
      <c r="I12534">
        <v>726</v>
      </c>
      <c r="J12534">
        <v>110</v>
      </c>
      <c r="K12534" t="b">
        <v>1</v>
      </c>
    </row>
    <row r="12535" spans="8:11" x14ac:dyDescent="0.25">
      <c r="H12535">
        <v>140</v>
      </c>
      <c r="I12535">
        <v>737</v>
      </c>
      <c r="J12535">
        <v>110</v>
      </c>
      <c r="K12535" t="b">
        <v>1</v>
      </c>
    </row>
    <row r="12536" spans="8:11" x14ac:dyDescent="0.25">
      <c r="H12536">
        <v>140</v>
      </c>
      <c r="I12536">
        <v>748</v>
      </c>
      <c r="J12536">
        <v>110</v>
      </c>
      <c r="K12536" t="b">
        <v>1</v>
      </c>
    </row>
    <row r="12537" spans="8:11" x14ac:dyDescent="0.25">
      <c r="H12537">
        <v>140</v>
      </c>
      <c r="I12537">
        <v>759</v>
      </c>
      <c r="J12537">
        <v>110</v>
      </c>
      <c r="K12537" t="b">
        <v>1</v>
      </c>
    </row>
    <row r="12538" spans="8:11" x14ac:dyDescent="0.25">
      <c r="H12538">
        <v>140</v>
      </c>
      <c r="I12538">
        <v>770</v>
      </c>
      <c r="J12538">
        <v>110</v>
      </c>
      <c r="K12538" t="b">
        <v>1</v>
      </c>
    </row>
    <row r="12539" spans="8:11" x14ac:dyDescent="0.25">
      <c r="H12539">
        <v>140</v>
      </c>
      <c r="I12539">
        <v>781</v>
      </c>
      <c r="J12539">
        <v>110</v>
      </c>
      <c r="K12539" t="b">
        <v>1</v>
      </c>
    </row>
    <row r="12540" spans="8:11" x14ac:dyDescent="0.25">
      <c r="H12540">
        <v>140</v>
      </c>
      <c r="I12540">
        <v>792</v>
      </c>
      <c r="J12540">
        <v>110</v>
      </c>
      <c r="K12540" t="b">
        <v>1</v>
      </c>
    </row>
    <row r="12541" spans="8:11" x14ac:dyDescent="0.25">
      <c r="H12541">
        <v>140</v>
      </c>
      <c r="I12541">
        <v>803</v>
      </c>
      <c r="J12541">
        <v>110</v>
      </c>
      <c r="K12541" t="b">
        <v>1</v>
      </c>
    </row>
    <row r="12542" spans="8:11" x14ac:dyDescent="0.25">
      <c r="H12542">
        <v>140</v>
      </c>
      <c r="I12542">
        <v>814</v>
      </c>
      <c r="J12542">
        <v>110</v>
      </c>
      <c r="K12542" t="b">
        <v>1</v>
      </c>
    </row>
    <row r="12543" spans="8:11" x14ac:dyDescent="0.25">
      <c r="H12543">
        <v>140</v>
      </c>
      <c r="I12543">
        <v>825</v>
      </c>
      <c r="J12543">
        <v>110</v>
      </c>
      <c r="K12543" t="b">
        <v>1</v>
      </c>
    </row>
    <row r="12544" spans="8:11" x14ac:dyDescent="0.25">
      <c r="H12544">
        <v>140</v>
      </c>
      <c r="I12544">
        <v>836</v>
      </c>
      <c r="J12544">
        <v>110</v>
      </c>
      <c r="K12544" t="b">
        <v>1</v>
      </c>
    </row>
    <row r="12545" spans="8:11" x14ac:dyDescent="0.25">
      <c r="H12545">
        <v>140</v>
      </c>
      <c r="I12545">
        <v>847</v>
      </c>
      <c r="J12545">
        <v>110</v>
      </c>
      <c r="K12545" t="b">
        <v>1</v>
      </c>
    </row>
    <row r="12546" spans="8:11" x14ac:dyDescent="0.25">
      <c r="H12546">
        <v>140</v>
      </c>
      <c r="I12546">
        <v>858</v>
      </c>
      <c r="J12546">
        <v>110</v>
      </c>
      <c r="K12546" t="b">
        <v>1</v>
      </c>
    </row>
    <row r="12547" spans="8:11" x14ac:dyDescent="0.25">
      <c r="H12547">
        <v>140</v>
      </c>
      <c r="I12547">
        <v>869</v>
      </c>
      <c r="J12547">
        <v>110</v>
      </c>
      <c r="K12547" t="b">
        <v>1</v>
      </c>
    </row>
    <row r="12548" spans="8:11" x14ac:dyDescent="0.25">
      <c r="H12548">
        <v>140</v>
      </c>
      <c r="I12548">
        <v>880</v>
      </c>
      <c r="J12548">
        <v>110</v>
      </c>
      <c r="K12548" t="b">
        <v>1</v>
      </c>
    </row>
    <row r="12549" spans="8:11" x14ac:dyDescent="0.25">
      <c r="H12549">
        <v>140</v>
      </c>
      <c r="I12549">
        <v>891</v>
      </c>
      <c r="J12549">
        <v>110</v>
      </c>
      <c r="K12549" t="b">
        <v>1</v>
      </c>
    </row>
    <row r="12550" spans="8:11" x14ac:dyDescent="0.25">
      <c r="H12550">
        <v>140</v>
      </c>
      <c r="I12550">
        <v>902</v>
      </c>
      <c r="J12550">
        <v>110</v>
      </c>
      <c r="K12550" t="b">
        <v>1</v>
      </c>
    </row>
    <row r="12551" spans="8:11" x14ac:dyDescent="0.25">
      <c r="H12551">
        <v>140</v>
      </c>
      <c r="I12551">
        <v>913</v>
      </c>
      <c r="J12551">
        <v>110</v>
      </c>
      <c r="K12551" t="b">
        <v>1</v>
      </c>
    </row>
    <row r="12552" spans="8:11" x14ac:dyDescent="0.25">
      <c r="H12552">
        <v>140</v>
      </c>
      <c r="I12552">
        <v>924</v>
      </c>
      <c r="J12552">
        <v>110</v>
      </c>
      <c r="K12552" t="b">
        <v>1</v>
      </c>
    </row>
    <row r="12553" spans="8:11" x14ac:dyDescent="0.25">
      <c r="H12553">
        <v>140</v>
      </c>
      <c r="I12553">
        <v>935</v>
      </c>
      <c r="J12553">
        <v>110</v>
      </c>
      <c r="K12553" t="b">
        <v>1</v>
      </c>
    </row>
    <row r="12554" spans="8:11" x14ac:dyDescent="0.25">
      <c r="H12554">
        <v>140</v>
      </c>
      <c r="I12554">
        <v>946</v>
      </c>
      <c r="J12554">
        <v>110</v>
      </c>
      <c r="K12554" t="b">
        <v>1</v>
      </c>
    </row>
    <row r="12555" spans="8:11" x14ac:dyDescent="0.25">
      <c r="H12555">
        <v>141</v>
      </c>
      <c r="I12555">
        <v>0</v>
      </c>
      <c r="J12555">
        <v>108</v>
      </c>
      <c r="K12555" t="b">
        <v>1</v>
      </c>
    </row>
    <row r="12556" spans="8:11" x14ac:dyDescent="0.25">
      <c r="H12556">
        <v>141</v>
      </c>
      <c r="I12556">
        <v>6</v>
      </c>
      <c r="J12556">
        <v>108</v>
      </c>
      <c r="K12556" t="b">
        <v>1</v>
      </c>
    </row>
    <row r="12557" spans="8:11" x14ac:dyDescent="0.25">
      <c r="H12557">
        <v>141</v>
      </c>
      <c r="I12557">
        <v>12</v>
      </c>
      <c r="J12557">
        <v>108</v>
      </c>
      <c r="K12557" t="b">
        <v>1</v>
      </c>
    </row>
    <row r="12558" spans="8:11" x14ac:dyDescent="0.25">
      <c r="H12558">
        <v>141</v>
      </c>
      <c r="I12558">
        <v>18</v>
      </c>
      <c r="J12558">
        <v>108</v>
      </c>
      <c r="K12558" t="b">
        <v>1</v>
      </c>
    </row>
    <row r="12559" spans="8:11" x14ac:dyDescent="0.25">
      <c r="H12559">
        <v>141</v>
      </c>
      <c r="I12559">
        <v>24</v>
      </c>
      <c r="J12559">
        <v>108</v>
      </c>
      <c r="K12559" t="b">
        <v>1</v>
      </c>
    </row>
    <row r="12560" spans="8:11" x14ac:dyDescent="0.25">
      <c r="H12560">
        <v>141</v>
      </c>
      <c r="I12560">
        <v>30</v>
      </c>
      <c r="J12560">
        <v>108</v>
      </c>
      <c r="K12560" t="b">
        <v>1</v>
      </c>
    </row>
    <row r="12561" spans="8:11" x14ac:dyDescent="0.25">
      <c r="H12561">
        <v>141</v>
      </c>
      <c r="I12561">
        <v>36</v>
      </c>
      <c r="J12561">
        <v>108</v>
      </c>
      <c r="K12561" t="b">
        <v>1</v>
      </c>
    </row>
    <row r="12562" spans="8:11" x14ac:dyDescent="0.25">
      <c r="H12562">
        <v>141</v>
      </c>
      <c r="I12562">
        <v>42</v>
      </c>
      <c r="J12562">
        <v>108</v>
      </c>
      <c r="K12562" t="b">
        <v>1</v>
      </c>
    </row>
    <row r="12563" spans="8:11" x14ac:dyDescent="0.25">
      <c r="H12563">
        <v>141</v>
      </c>
      <c r="I12563">
        <v>48</v>
      </c>
      <c r="J12563">
        <v>108</v>
      </c>
      <c r="K12563" t="b">
        <v>1</v>
      </c>
    </row>
    <row r="12564" spans="8:11" x14ac:dyDescent="0.25">
      <c r="H12564">
        <v>141</v>
      </c>
      <c r="I12564">
        <v>54</v>
      </c>
      <c r="J12564">
        <v>108</v>
      </c>
      <c r="K12564" t="b">
        <v>1</v>
      </c>
    </row>
    <row r="12565" spans="8:11" x14ac:dyDescent="0.25">
      <c r="H12565">
        <v>141</v>
      </c>
      <c r="I12565">
        <v>60</v>
      </c>
      <c r="J12565">
        <v>108</v>
      </c>
      <c r="K12565" t="b">
        <v>1</v>
      </c>
    </row>
    <row r="12566" spans="8:11" x14ac:dyDescent="0.25">
      <c r="H12566">
        <v>141</v>
      </c>
      <c r="I12566">
        <v>66</v>
      </c>
      <c r="J12566">
        <v>108</v>
      </c>
      <c r="K12566" t="b">
        <v>1</v>
      </c>
    </row>
    <row r="12567" spans="8:11" x14ac:dyDescent="0.25">
      <c r="H12567">
        <v>141</v>
      </c>
      <c r="I12567">
        <v>72</v>
      </c>
      <c r="J12567">
        <v>108</v>
      </c>
      <c r="K12567" t="b">
        <v>1</v>
      </c>
    </row>
    <row r="12568" spans="8:11" x14ac:dyDescent="0.25">
      <c r="H12568">
        <v>141</v>
      </c>
      <c r="I12568">
        <v>78</v>
      </c>
      <c r="J12568">
        <v>108</v>
      </c>
      <c r="K12568" t="b">
        <v>1</v>
      </c>
    </row>
    <row r="12569" spans="8:11" x14ac:dyDescent="0.25">
      <c r="H12569">
        <v>141</v>
      </c>
      <c r="I12569">
        <v>84</v>
      </c>
      <c r="J12569">
        <v>108</v>
      </c>
      <c r="K12569" t="b">
        <v>1</v>
      </c>
    </row>
    <row r="12570" spans="8:11" x14ac:dyDescent="0.25">
      <c r="H12570">
        <v>141</v>
      </c>
      <c r="I12570">
        <v>90</v>
      </c>
      <c r="J12570">
        <v>108</v>
      </c>
      <c r="K12570" t="b">
        <v>1</v>
      </c>
    </row>
    <row r="12571" spans="8:11" x14ac:dyDescent="0.25">
      <c r="H12571">
        <v>141</v>
      </c>
      <c r="I12571">
        <v>96</v>
      </c>
      <c r="J12571">
        <v>108</v>
      </c>
      <c r="K12571" t="b">
        <v>1</v>
      </c>
    </row>
    <row r="12572" spans="8:11" x14ac:dyDescent="0.25">
      <c r="H12572">
        <v>141</v>
      </c>
      <c r="I12572">
        <v>102</v>
      </c>
      <c r="J12572">
        <v>108</v>
      </c>
      <c r="K12572" t="b">
        <v>1</v>
      </c>
    </row>
    <row r="12573" spans="8:11" x14ac:dyDescent="0.25">
      <c r="H12573">
        <v>141</v>
      </c>
      <c r="I12573">
        <v>108</v>
      </c>
      <c r="J12573">
        <v>108</v>
      </c>
      <c r="K12573" t="b">
        <v>1</v>
      </c>
    </row>
    <row r="12574" spans="8:11" x14ac:dyDescent="0.25">
      <c r="H12574">
        <v>141</v>
      </c>
      <c r="I12574">
        <v>114</v>
      </c>
      <c r="J12574">
        <v>108</v>
      </c>
      <c r="K12574" t="b">
        <v>1</v>
      </c>
    </row>
    <row r="12575" spans="8:11" x14ac:dyDescent="0.25">
      <c r="H12575">
        <v>141</v>
      </c>
      <c r="I12575">
        <v>120</v>
      </c>
      <c r="J12575">
        <v>108</v>
      </c>
      <c r="K12575" t="b">
        <v>1</v>
      </c>
    </row>
    <row r="12576" spans="8:11" x14ac:dyDescent="0.25">
      <c r="H12576">
        <v>141</v>
      </c>
      <c r="I12576">
        <v>126</v>
      </c>
      <c r="J12576">
        <v>108</v>
      </c>
      <c r="K12576" t="b">
        <v>1</v>
      </c>
    </row>
    <row r="12577" spans="8:11" x14ac:dyDescent="0.25">
      <c r="H12577">
        <v>141</v>
      </c>
      <c r="I12577">
        <v>132</v>
      </c>
      <c r="J12577">
        <v>108</v>
      </c>
      <c r="K12577" t="b">
        <v>1</v>
      </c>
    </row>
    <row r="12578" spans="8:11" x14ac:dyDescent="0.25">
      <c r="H12578">
        <v>141</v>
      </c>
      <c r="I12578">
        <v>138</v>
      </c>
      <c r="J12578">
        <v>108</v>
      </c>
      <c r="K12578" t="b">
        <v>1</v>
      </c>
    </row>
    <row r="12579" spans="8:11" x14ac:dyDescent="0.25">
      <c r="H12579">
        <v>141</v>
      </c>
      <c r="I12579">
        <v>144</v>
      </c>
      <c r="J12579">
        <v>108</v>
      </c>
      <c r="K12579" t="b">
        <v>1</v>
      </c>
    </row>
    <row r="12580" spans="8:11" x14ac:dyDescent="0.25">
      <c r="H12580">
        <v>141</v>
      </c>
      <c r="I12580">
        <v>150</v>
      </c>
      <c r="J12580">
        <v>108</v>
      </c>
      <c r="K12580" t="b">
        <v>1</v>
      </c>
    </row>
    <row r="12581" spans="8:11" x14ac:dyDescent="0.25">
      <c r="H12581">
        <v>141</v>
      </c>
      <c r="I12581">
        <v>156</v>
      </c>
      <c r="J12581">
        <v>108</v>
      </c>
      <c r="K12581" t="b">
        <v>1</v>
      </c>
    </row>
    <row r="12582" spans="8:11" x14ac:dyDescent="0.25">
      <c r="H12582">
        <v>141</v>
      </c>
      <c r="I12582">
        <v>162</v>
      </c>
      <c r="J12582">
        <v>108</v>
      </c>
      <c r="K12582" t="b">
        <v>1</v>
      </c>
    </row>
    <row r="12583" spans="8:11" x14ac:dyDescent="0.25">
      <c r="H12583">
        <v>141</v>
      </c>
      <c r="I12583">
        <v>168</v>
      </c>
      <c r="J12583">
        <v>108</v>
      </c>
      <c r="K12583" t="b">
        <v>1</v>
      </c>
    </row>
    <row r="12584" spans="8:11" x14ac:dyDescent="0.25">
      <c r="H12584">
        <v>141</v>
      </c>
      <c r="I12584">
        <v>174</v>
      </c>
      <c r="J12584">
        <v>108</v>
      </c>
      <c r="K12584" t="b">
        <v>1</v>
      </c>
    </row>
    <row r="12585" spans="8:11" x14ac:dyDescent="0.25">
      <c r="H12585">
        <v>141</v>
      </c>
      <c r="I12585">
        <v>180</v>
      </c>
      <c r="J12585">
        <v>108</v>
      </c>
      <c r="K12585" t="b">
        <v>1</v>
      </c>
    </row>
    <row r="12586" spans="8:11" x14ac:dyDescent="0.25">
      <c r="H12586">
        <v>141</v>
      </c>
      <c r="I12586">
        <v>186</v>
      </c>
      <c r="J12586">
        <v>108</v>
      </c>
      <c r="K12586" t="b">
        <v>1</v>
      </c>
    </row>
    <row r="12587" spans="8:11" x14ac:dyDescent="0.25">
      <c r="H12587">
        <v>141</v>
      </c>
      <c r="I12587">
        <v>192</v>
      </c>
      <c r="J12587">
        <v>108</v>
      </c>
      <c r="K12587" t="b">
        <v>1</v>
      </c>
    </row>
    <row r="12588" spans="8:11" x14ac:dyDescent="0.25">
      <c r="H12588">
        <v>141</v>
      </c>
      <c r="I12588">
        <v>198</v>
      </c>
      <c r="J12588">
        <v>108</v>
      </c>
      <c r="K12588" t="b">
        <v>1</v>
      </c>
    </row>
    <row r="12589" spans="8:11" x14ac:dyDescent="0.25">
      <c r="H12589">
        <v>141</v>
      </c>
      <c r="I12589">
        <v>204</v>
      </c>
      <c r="J12589">
        <v>108</v>
      </c>
      <c r="K12589" t="b">
        <v>1</v>
      </c>
    </row>
    <row r="12590" spans="8:11" x14ac:dyDescent="0.25">
      <c r="H12590">
        <v>141</v>
      </c>
      <c r="I12590">
        <v>210</v>
      </c>
      <c r="J12590">
        <v>108</v>
      </c>
      <c r="K12590" t="b">
        <v>1</v>
      </c>
    </row>
    <row r="12591" spans="8:11" x14ac:dyDescent="0.25">
      <c r="H12591">
        <v>141</v>
      </c>
      <c r="I12591">
        <v>216</v>
      </c>
      <c r="J12591">
        <v>108</v>
      </c>
      <c r="K12591" t="b">
        <v>1</v>
      </c>
    </row>
    <row r="12592" spans="8:11" x14ac:dyDescent="0.25">
      <c r="H12592">
        <v>141</v>
      </c>
      <c r="I12592">
        <v>222</v>
      </c>
      <c r="J12592">
        <v>108</v>
      </c>
      <c r="K12592" t="b">
        <v>1</v>
      </c>
    </row>
    <row r="12593" spans="8:11" x14ac:dyDescent="0.25">
      <c r="H12593">
        <v>141</v>
      </c>
      <c r="I12593">
        <v>228</v>
      </c>
      <c r="J12593">
        <v>108</v>
      </c>
      <c r="K12593" t="b">
        <v>1</v>
      </c>
    </row>
    <row r="12594" spans="8:11" x14ac:dyDescent="0.25">
      <c r="H12594">
        <v>141</v>
      </c>
      <c r="I12594">
        <v>234</v>
      </c>
      <c r="J12594">
        <v>108</v>
      </c>
      <c r="K12594" t="b">
        <v>1</v>
      </c>
    </row>
    <row r="12595" spans="8:11" x14ac:dyDescent="0.25">
      <c r="H12595">
        <v>141</v>
      </c>
      <c r="I12595">
        <v>240</v>
      </c>
      <c r="J12595">
        <v>108</v>
      </c>
      <c r="K12595" t="b">
        <v>1</v>
      </c>
    </row>
    <row r="12596" spans="8:11" x14ac:dyDescent="0.25">
      <c r="H12596">
        <v>141</v>
      </c>
      <c r="I12596">
        <v>246</v>
      </c>
      <c r="J12596">
        <v>108</v>
      </c>
      <c r="K12596" t="b">
        <v>1</v>
      </c>
    </row>
    <row r="12597" spans="8:11" x14ac:dyDescent="0.25">
      <c r="H12597">
        <v>141</v>
      </c>
      <c r="I12597">
        <v>252</v>
      </c>
      <c r="J12597">
        <v>108</v>
      </c>
      <c r="K12597" t="b">
        <v>1</v>
      </c>
    </row>
    <row r="12598" spans="8:11" x14ac:dyDescent="0.25">
      <c r="H12598">
        <v>141</v>
      </c>
      <c r="I12598">
        <v>258</v>
      </c>
      <c r="J12598">
        <v>108</v>
      </c>
      <c r="K12598" t="b">
        <v>1</v>
      </c>
    </row>
    <row r="12599" spans="8:11" x14ac:dyDescent="0.25">
      <c r="H12599">
        <v>141</v>
      </c>
      <c r="I12599">
        <v>264</v>
      </c>
      <c r="J12599">
        <v>108</v>
      </c>
      <c r="K12599" t="b">
        <v>1</v>
      </c>
    </row>
    <row r="12600" spans="8:11" x14ac:dyDescent="0.25">
      <c r="H12600">
        <v>141</v>
      </c>
      <c r="I12600">
        <v>270</v>
      </c>
      <c r="J12600">
        <v>108</v>
      </c>
      <c r="K12600" t="b">
        <v>1</v>
      </c>
    </row>
    <row r="12601" spans="8:11" x14ac:dyDescent="0.25">
      <c r="H12601">
        <v>141</v>
      </c>
      <c r="I12601">
        <v>276</v>
      </c>
      <c r="J12601">
        <v>108</v>
      </c>
      <c r="K12601" t="b">
        <v>1</v>
      </c>
    </row>
    <row r="12602" spans="8:11" x14ac:dyDescent="0.25">
      <c r="H12602">
        <v>141</v>
      </c>
      <c r="I12602">
        <v>282</v>
      </c>
      <c r="J12602">
        <v>108</v>
      </c>
      <c r="K12602" t="b">
        <v>1</v>
      </c>
    </row>
    <row r="12603" spans="8:11" x14ac:dyDescent="0.25">
      <c r="H12603">
        <v>141</v>
      </c>
      <c r="I12603">
        <v>288</v>
      </c>
      <c r="J12603">
        <v>108</v>
      </c>
      <c r="K12603" t="b">
        <v>1</v>
      </c>
    </row>
    <row r="12604" spans="8:11" x14ac:dyDescent="0.25">
      <c r="H12604">
        <v>141</v>
      </c>
      <c r="I12604">
        <v>294</v>
      </c>
      <c r="J12604">
        <v>108</v>
      </c>
      <c r="K12604" t="b">
        <v>1</v>
      </c>
    </row>
    <row r="12605" spans="8:11" x14ac:dyDescent="0.25">
      <c r="H12605">
        <v>141</v>
      </c>
      <c r="I12605">
        <v>300</v>
      </c>
      <c r="J12605">
        <v>108</v>
      </c>
      <c r="K12605" t="b">
        <v>1</v>
      </c>
    </row>
    <row r="12606" spans="8:11" x14ac:dyDescent="0.25">
      <c r="H12606">
        <v>141</v>
      </c>
      <c r="I12606">
        <v>306</v>
      </c>
      <c r="J12606">
        <v>108</v>
      </c>
      <c r="K12606" t="b">
        <v>1</v>
      </c>
    </row>
    <row r="12607" spans="8:11" x14ac:dyDescent="0.25">
      <c r="H12607">
        <v>141</v>
      </c>
      <c r="I12607">
        <v>312</v>
      </c>
      <c r="J12607">
        <v>108</v>
      </c>
      <c r="K12607" t="b">
        <v>1</v>
      </c>
    </row>
    <row r="12608" spans="8:11" x14ac:dyDescent="0.25">
      <c r="H12608">
        <v>141</v>
      </c>
      <c r="I12608">
        <v>318</v>
      </c>
      <c r="J12608">
        <v>108</v>
      </c>
      <c r="K12608" t="b">
        <v>1</v>
      </c>
    </row>
    <row r="12609" spans="8:11" x14ac:dyDescent="0.25">
      <c r="H12609">
        <v>141</v>
      </c>
      <c r="I12609">
        <v>324</v>
      </c>
      <c r="J12609">
        <v>108</v>
      </c>
      <c r="K12609" t="b">
        <v>1</v>
      </c>
    </row>
    <row r="12610" spans="8:11" x14ac:dyDescent="0.25">
      <c r="H12610">
        <v>141</v>
      </c>
      <c r="I12610">
        <v>330</v>
      </c>
      <c r="J12610">
        <v>108</v>
      </c>
      <c r="K12610" t="b">
        <v>1</v>
      </c>
    </row>
    <row r="12611" spans="8:11" x14ac:dyDescent="0.25">
      <c r="H12611">
        <v>141</v>
      </c>
      <c r="I12611">
        <v>336</v>
      </c>
      <c r="J12611">
        <v>108</v>
      </c>
      <c r="K12611" t="b">
        <v>1</v>
      </c>
    </row>
    <row r="12612" spans="8:11" x14ac:dyDescent="0.25">
      <c r="H12612">
        <v>141</v>
      </c>
      <c r="I12612">
        <v>342</v>
      </c>
      <c r="J12612">
        <v>108</v>
      </c>
      <c r="K12612" t="b">
        <v>1</v>
      </c>
    </row>
    <row r="12613" spans="8:11" x14ac:dyDescent="0.25">
      <c r="H12613">
        <v>141</v>
      </c>
      <c r="I12613">
        <v>348</v>
      </c>
      <c r="J12613">
        <v>108</v>
      </c>
      <c r="K12613" t="b">
        <v>1</v>
      </c>
    </row>
    <row r="12614" spans="8:11" x14ac:dyDescent="0.25">
      <c r="H12614">
        <v>141</v>
      </c>
      <c r="I12614">
        <v>354</v>
      </c>
      <c r="J12614">
        <v>108</v>
      </c>
      <c r="K12614" t="b">
        <v>1</v>
      </c>
    </row>
    <row r="12615" spans="8:11" x14ac:dyDescent="0.25">
      <c r="H12615">
        <v>141</v>
      </c>
      <c r="I12615">
        <v>360</v>
      </c>
      <c r="J12615">
        <v>108</v>
      </c>
      <c r="K12615" t="b">
        <v>1</v>
      </c>
    </row>
    <row r="12616" spans="8:11" x14ac:dyDescent="0.25">
      <c r="H12616">
        <v>141</v>
      </c>
      <c r="I12616">
        <v>366</v>
      </c>
      <c r="J12616">
        <v>108</v>
      </c>
      <c r="K12616" t="b">
        <v>1</v>
      </c>
    </row>
    <row r="12617" spans="8:11" x14ac:dyDescent="0.25">
      <c r="H12617">
        <v>141</v>
      </c>
      <c r="I12617">
        <v>372</v>
      </c>
      <c r="J12617">
        <v>108</v>
      </c>
      <c r="K12617" t="b">
        <v>1</v>
      </c>
    </row>
    <row r="12618" spans="8:11" x14ac:dyDescent="0.25">
      <c r="H12618">
        <v>141</v>
      </c>
      <c r="I12618">
        <v>378</v>
      </c>
      <c r="J12618">
        <v>108</v>
      </c>
      <c r="K12618" t="b">
        <v>1</v>
      </c>
    </row>
    <row r="12619" spans="8:11" x14ac:dyDescent="0.25">
      <c r="H12619">
        <v>141</v>
      </c>
      <c r="I12619">
        <v>384</v>
      </c>
      <c r="J12619">
        <v>108</v>
      </c>
      <c r="K12619" t="b">
        <v>1</v>
      </c>
    </row>
    <row r="12620" spans="8:11" x14ac:dyDescent="0.25">
      <c r="H12620">
        <v>141</v>
      </c>
      <c r="I12620">
        <v>390</v>
      </c>
      <c r="J12620">
        <v>108</v>
      </c>
      <c r="K12620" t="b">
        <v>1</v>
      </c>
    </row>
    <row r="12621" spans="8:11" x14ac:dyDescent="0.25">
      <c r="H12621">
        <v>141</v>
      </c>
      <c r="I12621">
        <v>396</v>
      </c>
      <c r="J12621">
        <v>108</v>
      </c>
      <c r="K12621" t="b">
        <v>1</v>
      </c>
    </row>
    <row r="12622" spans="8:11" x14ac:dyDescent="0.25">
      <c r="H12622">
        <v>141</v>
      </c>
      <c r="I12622">
        <v>402</v>
      </c>
      <c r="J12622">
        <v>108</v>
      </c>
      <c r="K12622" t="b">
        <v>1</v>
      </c>
    </row>
    <row r="12623" spans="8:11" x14ac:dyDescent="0.25">
      <c r="H12623">
        <v>141</v>
      </c>
      <c r="I12623">
        <v>408</v>
      </c>
      <c r="J12623">
        <v>108</v>
      </c>
      <c r="K12623" t="b">
        <v>1</v>
      </c>
    </row>
    <row r="12624" spans="8:11" x14ac:dyDescent="0.25">
      <c r="H12624">
        <v>141</v>
      </c>
      <c r="I12624">
        <v>414</v>
      </c>
      <c r="J12624">
        <v>108</v>
      </c>
      <c r="K12624" t="b">
        <v>1</v>
      </c>
    </row>
    <row r="12625" spans="8:11" x14ac:dyDescent="0.25">
      <c r="H12625">
        <v>141</v>
      </c>
      <c r="I12625">
        <v>420</v>
      </c>
      <c r="J12625">
        <v>108</v>
      </c>
      <c r="K12625" t="b">
        <v>1</v>
      </c>
    </row>
    <row r="12626" spans="8:11" x14ac:dyDescent="0.25">
      <c r="H12626">
        <v>141</v>
      </c>
      <c r="I12626">
        <v>426</v>
      </c>
      <c r="J12626">
        <v>108</v>
      </c>
      <c r="K12626" t="b">
        <v>1</v>
      </c>
    </row>
    <row r="12627" spans="8:11" x14ac:dyDescent="0.25">
      <c r="H12627">
        <v>141</v>
      </c>
      <c r="I12627">
        <v>432</v>
      </c>
      <c r="J12627">
        <v>108</v>
      </c>
      <c r="K12627" t="b">
        <v>1</v>
      </c>
    </row>
    <row r="12628" spans="8:11" x14ac:dyDescent="0.25">
      <c r="H12628">
        <v>141</v>
      </c>
      <c r="I12628">
        <v>438</v>
      </c>
      <c r="J12628">
        <v>108</v>
      </c>
      <c r="K12628" t="b">
        <v>1</v>
      </c>
    </row>
    <row r="12629" spans="8:11" x14ac:dyDescent="0.25">
      <c r="H12629">
        <v>141</v>
      </c>
      <c r="I12629">
        <v>444</v>
      </c>
      <c r="J12629">
        <v>108</v>
      </c>
      <c r="K12629" t="b">
        <v>1</v>
      </c>
    </row>
    <row r="12630" spans="8:11" x14ac:dyDescent="0.25">
      <c r="H12630">
        <v>141</v>
      </c>
      <c r="I12630">
        <v>450</v>
      </c>
      <c r="J12630">
        <v>108</v>
      </c>
      <c r="K12630" t="b">
        <v>1</v>
      </c>
    </row>
    <row r="12631" spans="8:11" x14ac:dyDescent="0.25">
      <c r="H12631">
        <v>141</v>
      </c>
      <c r="I12631">
        <v>456</v>
      </c>
      <c r="J12631">
        <v>108</v>
      </c>
      <c r="K12631" t="b">
        <v>1</v>
      </c>
    </row>
    <row r="12632" spans="8:11" x14ac:dyDescent="0.25">
      <c r="H12632">
        <v>141</v>
      </c>
      <c r="I12632">
        <v>462</v>
      </c>
      <c r="J12632">
        <v>108</v>
      </c>
      <c r="K12632" t="b">
        <v>1</v>
      </c>
    </row>
    <row r="12633" spans="8:11" x14ac:dyDescent="0.25">
      <c r="H12633">
        <v>141</v>
      </c>
      <c r="I12633">
        <v>468</v>
      </c>
      <c r="J12633">
        <v>108</v>
      </c>
      <c r="K12633" t="b">
        <v>1</v>
      </c>
    </row>
    <row r="12634" spans="8:11" x14ac:dyDescent="0.25">
      <c r="H12634">
        <v>141</v>
      </c>
      <c r="I12634">
        <v>474</v>
      </c>
      <c r="J12634">
        <v>108</v>
      </c>
      <c r="K12634" t="b">
        <v>1</v>
      </c>
    </row>
    <row r="12635" spans="8:11" x14ac:dyDescent="0.25">
      <c r="H12635">
        <v>141</v>
      </c>
      <c r="I12635">
        <v>480</v>
      </c>
      <c r="J12635">
        <v>108</v>
      </c>
      <c r="K12635" t="b">
        <v>1</v>
      </c>
    </row>
    <row r="12636" spans="8:11" x14ac:dyDescent="0.25">
      <c r="H12636">
        <v>141</v>
      </c>
      <c r="I12636">
        <v>486</v>
      </c>
      <c r="J12636">
        <v>108</v>
      </c>
      <c r="K12636" t="b">
        <v>1</v>
      </c>
    </row>
    <row r="12637" spans="8:11" x14ac:dyDescent="0.25">
      <c r="H12637">
        <v>141</v>
      </c>
      <c r="I12637">
        <v>492</v>
      </c>
      <c r="J12637">
        <v>108</v>
      </c>
      <c r="K12637" t="b">
        <v>1</v>
      </c>
    </row>
    <row r="12638" spans="8:11" x14ac:dyDescent="0.25">
      <c r="H12638">
        <v>141</v>
      </c>
      <c r="I12638">
        <v>498</v>
      </c>
      <c r="J12638">
        <v>108</v>
      </c>
      <c r="K12638" t="b">
        <v>1</v>
      </c>
    </row>
    <row r="12639" spans="8:11" x14ac:dyDescent="0.25">
      <c r="H12639">
        <v>141</v>
      </c>
      <c r="I12639">
        <v>504</v>
      </c>
      <c r="J12639">
        <v>108</v>
      </c>
      <c r="K12639" t="b">
        <v>1</v>
      </c>
    </row>
    <row r="12640" spans="8:11" x14ac:dyDescent="0.25">
      <c r="H12640">
        <v>141</v>
      </c>
      <c r="I12640">
        <v>510</v>
      </c>
      <c r="J12640">
        <v>108</v>
      </c>
      <c r="K12640" t="b">
        <v>1</v>
      </c>
    </row>
    <row r="12641" spans="8:11" x14ac:dyDescent="0.25">
      <c r="H12641">
        <v>141</v>
      </c>
      <c r="I12641">
        <v>516</v>
      </c>
      <c r="J12641">
        <v>108</v>
      </c>
      <c r="K12641" t="b">
        <v>1</v>
      </c>
    </row>
    <row r="12642" spans="8:11" x14ac:dyDescent="0.25">
      <c r="H12642">
        <v>141</v>
      </c>
      <c r="I12642">
        <v>522</v>
      </c>
      <c r="J12642">
        <v>108</v>
      </c>
      <c r="K12642" t="b">
        <v>1</v>
      </c>
    </row>
    <row r="12643" spans="8:11" x14ac:dyDescent="0.25">
      <c r="H12643">
        <v>141</v>
      </c>
      <c r="I12643">
        <v>528</v>
      </c>
      <c r="J12643">
        <v>108</v>
      </c>
      <c r="K12643" t="b">
        <v>1</v>
      </c>
    </row>
    <row r="12644" spans="8:11" x14ac:dyDescent="0.25">
      <c r="H12644">
        <v>141</v>
      </c>
      <c r="I12644">
        <v>534</v>
      </c>
      <c r="J12644">
        <v>108</v>
      </c>
      <c r="K12644" t="b">
        <v>1</v>
      </c>
    </row>
    <row r="12645" spans="8:11" x14ac:dyDescent="0.25">
      <c r="H12645">
        <v>141</v>
      </c>
      <c r="I12645">
        <v>540</v>
      </c>
      <c r="J12645">
        <v>108</v>
      </c>
      <c r="K12645" t="b">
        <v>1</v>
      </c>
    </row>
    <row r="12646" spans="8:11" x14ac:dyDescent="0.25">
      <c r="H12646">
        <v>141</v>
      </c>
      <c r="I12646">
        <v>546</v>
      </c>
      <c r="J12646">
        <v>108</v>
      </c>
      <c r="K12646" t="b">
        <v>1</v>
      </c>
    </row>
    <row r="12647" spans="8:11" x14ac:dyDescent="0.25">
      <c r="H12647">
        <v>141</v>
      </c>
      <c r="I12647">
        <v>552</v>
      </c>
      <c r="J12647">
        <v>108</v>
      </c>
      <c r="K12647" t="b">
        <v>1</v>
      </c>
    </row>
    <row r="12648" spans="8:11" x14ac:dyDescent="0.25">
      <c r="H12648">
        <v>141</v>
      </c>
      <c r="I12648">
        <v>558</v>
      </c>
      <c r="J12648">
        <v>108</v>
      </c>
      <c r="K12648" t="b">
        <v>1</v>
      </c>
    </row>
    <row r="12649" spans="8:11" x14ac:dyDescent="0.25">
      <c r="H12649">
        <v>141</v>
      </c>
      <c r="I12649">
        <v>564</v>
      </c>
      <c r="J12649">
        <v>108</v>
      </c>
      <c r="K12649" t="b">
        <v>1</v>
      </c>
    </row>
    <row r="12650" spans="8:11" x14ac:dyDescent="0.25">
      <c r="H12650">
        <v>141</v>
      </c>
      <c r="I12650">
        <v>570</v>
      </c>
      <c r="J12650">
        <v>108</v>
      </c>
      <c r="K12650" t="b">
        <v>1</v>
      </c>
    </row>
    <row r="12651" spans="8:11" x14ac:dyDescent="0.25">
      <c r="H12651">
        <v>141</v>
      </c>
      <c r="I12651">
        <v>576</v>
      </c>
      <c r="J12651">
        <v>108</v>
      </c>
      <c r="K12651" t="b">
        <v>1</v>
      </c>
    </row>
    <row r="12652" spans="8:11" x14ac:dyDescent="0.25">
      <c r="H12652">
        <v>141</v>
      </c>
      <c r="I12652">
        <v>582</v>
      </c>
      <c r="J12652">
        <v>108</v>
      </c>
      <c r="K12652" t="b">
        <v>1</v>
      </c>
    </row>
    <row r="12653" spans="8:11" x14ac:dyDescent="0.25">
      <c r="H12653">
        <v>141</v>
      </c>
      <c r="I12653">
        <v>588</v>
      </c>
      <c r="J12653">
        <v>108</v>
      </c>
      <c r="K12653" t="b">
        <v>1</v>
      </c>
    </row>
    <row r="12654" spans="8:11" x14ac:dyDescent="0.25">
      <c r="H12654">
        <v>141</v>
      </c>
      <c r="I12654">
        <v>594</v>
      </c>
      <c r="J12654">
        <v>108</v>
      </c>
      <c r="K12654" t="b">
        <v>1</v>
      </c>
    </row>
    <row r="12655" spans="8:11" x14ac:dyDescent="0.25">
      <c r="H12655">
        <v>141</v>
      </c>
      <c r="I12655">
        <v>600</v>
      </c>
      <c r="J12655">
        <v>108</v>
      </c>
      <c r="K12655" t="b">
        <v>1</v>
      </c>
    </row>
    <row r="12656" spans="8:11" x14ac:dyDescent="0.25">
      <c r="H12656">
        <v>141</v>
      </c>
      <c r="I12656">
        <v>606</v>
      </c>
      <c r="J12656">
        <v>108</v>
      </c>
      <c r="K12656" t="b">
        <v>1</v>
      </c>
    </row>
    <row r="12657" spans="8:11" x14ac:dyDescent="0.25">
      <c r="H12657">
        <v>141</v>
      </c>
      <c r="I12657">
        <v>612</v>
      </c>
      <c r="J12657">
        <v>108</v>
      </c>
      <c r="K12657" t="b">
        <v>1</v>
      </c>
    </row>
    <row r="12658" spans="8:11" x14ac:dyDescent="0.25">
      <c r="H12658">
        <v>141</v>
      </c>
      <c r="I12658">
        <v>618</v>
      </c>
      <c r="J12658">
        <v>108</v>
      </c>
      <c r="K12658" t="b">
        <v>1</v>
      </c>
    </row>
    <row r="12659" spans="8:11" x14ac:dyDescent="0.25">
      <c r="H12659">
        <v>141</v>
      </c>
      <c r="I12659">
        <v>624</v>
      </c>
      <c r="J12659">
        <v>108</v>
      </c>
      <c r="K12659" t="b">
        <v>1</v>
      </c>
    </row>
    <row r="12660" spans="8:11" x14ac:dyDescent="0.25">
      <c r="H12660">
        <v>141</v>
      </c>
      <c r="I12660">
        <v>630</v>
      </c>
      <c r="J12660">
        <v>108</v>
      </c>
      <c r="K12660" t="b">
        <v>1</v>
      </c>
    </row>
    <row r="12661" spans="8:11" x14ac:dyDescent="0.25">
      <c r="H12661">
        <v>141</v>
      </c>
      <c r="I12661">
        <v>636</v>
      </c>
      <c r="J12661">
        <v>108</v>
      </c>
      <c r="K12661" t="b">
        <v>1</v>
      </c>
    </row>
    <row r="12662" spans="8:11" x14ac:dyDescent="0.25">
      <c r="H12662">
        <v>141</v>
      </c>
      <c r="I12662">
        <v>642</v>
      </c>
      <c r="J12662">
        <v>108</v>
      </c>
      <c r="K12662" t="b">
        <v>1</v>
      </c>
    </row>
    <row r="12663" spans="8:11" x14ac:dyDescent="0.25">
      <c r="H12663">
        <v>141</v>
      </c>
      <c r="I12663">
        <v>648</v>
      </c>
      <c r="J12663">
        <v>108</v>
      </c>
      <c r="K12663" t="b">
        <v>1</v>
      </c>
    </row>
    <row r="12664" spans="8:11" x14ac:dyDescent="0.25">
      <c r="H12664">
        <v>141</v>
      </c>
      <c r="I12664">
        <v>654</v>
      </c>
      <c r="J12664">
        <v>108</v>
      </c>
      <c r="K12664" t="b">
        <v>1</v>
      </c>
    </row>
    <row r="12665" spans="8:11" x14ac:dyDescent="0.25">
      <c r="H12665">
        <v>141</v>
      </c>
      <c r="I12665">
        <v>660</v>
      </c>
      <c r="J12665">
        <v>108</v>
      </c>
      <c r="K12665" t="b">
        <v>1</v>
      </c>
    </row>
    <row r="12666" spans="8:11" x14ac:dyDescent="0.25">
      <c r="H12666">
        <v>141</v>
      </c>
      <c r="I12666">
        <v>666</v>
      </c>
      <c r="J12666">
        <v>108</v>
      </c>
      <c r="K12666" t="b">
        <v>1</v>
      </c>
    </row>
    <row r="12667" spans="8:11" x14ac:dyDescent="0.25">
      <c r="H12667">
        <v>141</v>
      </c>
      <c r="I12667">
        <v>672</v>
      </c>
      <c r="J12667">
        <v>108</v>
      </c>
      <c r="K12667" t="b">
        <v>1</v>
      </c>
    </row>
    <row r="12668" spans="8:11" x14ac:dyDescent="0.25">
      <c r="H12668">
        <v>141</v>
      </c>
      <c r="I12668">
        <v>678</v>
      </c>
      <c r="J12668">
        <v>108</v>
      </c>
      <c r="K12668" t="b">
        <v>1</v>
      </c>
    </row>
    <row r="12669" spans="8:11" x14ac:dyDescent="0.25">
      <c r="H12669">
        <v>141</v>
      </c>
      <c r="I12669">
        <v>684</v>
      </c>
      <c r="J12669">
        <v>108</v>
      </c>
      <c r="K12669" t="b">
        <v>1</v>
      </c>
    </row>
    <row r="12670" spans="8:11" x14ac:dyDescent="0.25">
      <c r="H12670">
        <v>141</v>
      </c>
      <c r="I12670">
        <v>690</v>
      </c>
      <c r="J12670">
        <v>108</v>
      </c>
      <c r="K12670" t="b">
        <v>1</v>
      </c>
    </row>
    <row r="12671" spans="8:11" x14ac:dyDescent="0.25">
      <c r="H12671">
        <v>141</v>
      </c>
      <c r="I12671">
        <v>696</v>
      </c>
      <c r="J12671">
        <v>108</v>
      </c>
      <c r="K12671" t="b">
        <v>1</v>
      </c>
    </row>
    <row r="12672" spans="8:11" x14ac:dyDescent="0.25">
      <c r="H12672">
        <v>141</v>
      </c>
      <c r="I12672">
        <v>702</v>
      </c>
      <c r="J12672">
        <v>108</v>
      </c>
      <c r="K12672" t="b">
        <v>1</v>
      </c>
    </row>
    <row r="12673" spans="8:11" x14ac:dyDescent="0.25">
      <c r="H12673">
        <v>141</v>
      </c>
      <c r="I12673">
        <v>708</v>
      </c>
      <c r="J12673">
        <v>108</v>
      </c>
      <c r="K12673" t="b">
        <v>1</v>
      </c>
    </row>
    <row r="12674" spans="8:11" x14ac:dyDescent="0.25">
      <c r="H12674">
        <v>141</v>
      </c>
      <c r="I12674">
        <v>714</v>
      </c>
      <c r="J12674">
        <v>108</v>
      </c>
      <c r="K12674" t="b">
        <v>1</v>
      </c>
    </row>
    <row r="12675" spans="8:11" x14ac:dyDescent="0.25">
      <c r="H12675">
        <v>141</v>
      </c>
      <c r="I12675">
        <v>720</v>
      </c>
      <c r="J12675">
        <v>108</v>
      </c>
      <c r="K12675" t="b">
        <v>1</v>
      </c>
    </row>
    <row r="12676" spans="8:11" x14ac:dyDescent="0.25">
      <c r="H12676">
        <v>141</v>
      </c>
      <c r="I12676">
        <v>726</v>
      </c>
      <c r="J12676">
        <v>108</v>
      </c>
      <c r="K12676" t="b">
        <v>1</v>
      </c>
    </row>
    <row r="12677" spans="8:11" x14ac:dyDescent="0.25">
      <c r="H12677">
        <v>141</v>
      </c>
      <c r="I12677">
        <v>732</v>
      </c>
      <c r="J12677">
        <v>108</v>
      </c>
      <c r="K12677" t="b">
        <v>1</v>
      </c>
    </row>
    <row r="12678" spans="8:11" x14ac:dyDescent="0.25">
      <c r="H12678">
        <v>141</v>
      </c>
      <c r="I12678">
        <v>738</v>
      </c>
      <c r="J12678">
        <v>108</v>
      </c>
      <c r="K12678" t="b">
        <v>1</v>
      </c>
    </row>
    <row r="12679" spans="8:11" x14ac:dyDescent="0.25">
      <c r="H12679">
        <v>141</v>
      </c>
      <c r="I12679">
        <v>744</v>
      </c>
      <c r="J12679">
        <v>108</v>
      </c>
      <c r="K12679" t="b">
        <v>1</v>
      </c>
    </row>
    <row r="12680" spans="8:11" x14ac:dyDescent="0.25">
      <c r="H12680">
        <v>141</v>
      </c>
      <c r="I12680">
        <v>750</v>
      </c>
      <c r="J12680">
        <v>108</v>
      </c>
      <c r="K12680" t="b">
        <v>1</v>
      </c>
    </row>
    <row r="12681" spans="8:11" x14ac:dyDescent="0.25">
      <c r="H12681">
        <v>141</v>
      </c>
      <c r="I12681">
        <v>756</v>
      </c>
      <c r="J12681">
        <v>108</v>
      </c>
      <c r="K12681" t="b">
        <v>1</v>
      </c>
    </row>
    <row r="12682" spans="8:11" x14ac:dyDescent="0.25">
      <c r="H12682">
        <v>141</v>
      </c>
      <c r="I12682">
        <v>762</v>
      </c>
      <c r="J12682">
        <v>108</v>
      </c>
      <c r="K12682" t="b">
        <v>1</v>
      </c>
    </row>
    <row r="12683" spans="8:11" x14ac:dyDescent="0.25">
      <c r="H12683">
        <v>141</v>
      </c>
      <c r="I12683">
        <v>768</v>
      </c>
      <c r="J12683">
        <v>108</v>
      </c>
      <c r="K12683" t="b">
        <v>1</v>
      </c>
    </row>
    <row r="12684" spans="8:11" x14ac:dyDescent="0.25">
      <c r="H12684">
        <v>141</v>
      </c>
      <c r="I12684">
        <v>774</v>
      </c>
      <c r="J12684">
        <v>108</v>
      </c>
      <c r="K12684" t="b">
        <v>1</v>
      </c>
    </row>
    <row r="12685" spans="8:11" x14ac:dyDescent="0.25">
      <c r="H12685">
        <v>141</v>
      </c>
      <c r="I12685">
        <v>780</v>
      </c>
      <c r="J12685">
        <v>108</v>
      </c>
      <c r="K12685" t="b">
        <v>1</v>
      </c>
    </row>
    <row r="12686" spans="8:11" x14ac:dyDescent="0.25">
      <c r="H12686">
        <v>141</v>
      </c>
      <c r="I12686">
        <v>786</v>
      </c>
      <c r="J12686">
        <v>108</v>
      </c>
      <c r="K12686" t="b">
        <v>1</v>
      </c>
    </row>
    <row r="12687" spans="8:11" x14ac:dyDescent="0.25">
      <c r="H12687">
        <v>141</v>
      </c>
      <c r="I12687">
        <v>792</v>
      </c>
      <c r="J12687">
        <v>108</v>
      </c>
      <c r="K12687" t="b">
        <v>1</v>
      </c>
    </row>
    <row r="12688" spans="8:11" x14ac:dyDescent="0.25">
      <c r="H12688">
        <v>141</v>
      </c>
      <c r="I12688">
        <v>798</v>
      </c>
      <c r="J12688">
        <v>108</v>
      </c>
      <c r="K12688" t="b">
        <v>1</v>
      </c>
    </row>
    <row r="12689" spans="8:11" x14ac:dyDescent="0.25">
      <c r="H12689">
        <v>141</v>
      </c>
      <c r="I12689">
        <v>804</v>
      </c>
      <c r="J12689">
        <v>108</v>
      </c>
      <c r="K12689" t="b">
        <v>1</v>
      </c>
    </row>
    <row r="12690" spans="8:11" x14ac:dyDescent="0.25">
      <c r="H12690">
        <v>141</v>
      </c>
      <c r="I12690">
        <v>810</v>
      </c>
      <c r="J12690">
        <v>108</v>
      </c>
      <c r="K12690" t="b">
        <v>1</v>
      </c>
    </row>
    <row r="12691" spans="8:11" x14ac:dyDescent="0.25">
      <c r="H12691">
        <v>141</v>
      </c>
      <c r="I12691">
        <v>816</v>
      </c>
      <c r="J12691">
        <v>108</v>
      </c>
      <c r="K12691" t="b">
        <v>1</v>
      </c>
    </row>
    <row r="12692" spans="8:11" x14ac:dyDescent="0.25">
      <c r="H12692">
        <v>141</v>
      </c>
      <c r="I12692">
        <v>822</v>
      </c>
      <c r="J12692">
        <v>108</v>
      </c>
      <c r="K12692" t="b">
        <v>1</v>
      </c>
    </row>
    <row r="12693" spans="8:11" x14ac:dyDescent="0.25">
      <c r="H12693">
        <v>141</v>
      </c>
      <c r="I12693">
        <v>828</v>
      </c>
      <c r="J12693">
        <v>108</v>
      </c>
      <c r="K12693" t="b">
        <v>1</v>
      </c>
    </row>
    <row r="12694" spans="8:11" x14ac:dyDescent="0.25">
      <c r="H12694">
        <v>141</v>
      </c>
      <c r="I12694">
        <v>834</v>
      </c>
      <c r="J12694">
        <v>108</v>
      </c>
      <c r="K12694" t="b">
        <v>1</v>
      </c>
    </row>
    <row r="12695" spans="8:11" x14ac:dyDescent="0.25">
      <c r="H12695">
        <v>141</v>
      </c>
      <c r="I12695">
        <v>840</v>
      </c>
      <c r="J12695">
        <v>108</v>
      </c>
      <c r="K12695" t="b">
        <v>1</v>
      </c>
    </row>
    <row r="12696" spans="8:11" x14ac:dyDescent="0.25">
      <c r="H12696">
        <v>141</v>
      </c>
      <c r="I12696">
        <v>846</v>
      </c>
      <c r="J12696">
        <v>108</v>
      </c>
      <c r="K12696" t="b">
        <v>1</v>
      </c>
    </row>
    <row r="12697" spans="8:11" x14ac:dyDescent="0.25">
      <c r="H12697">
        <v>141</v>
      </c>
      <c r="I12697">
        <v>852</v>
      </c>
      <c r="J12697">
        <v>108</v>
      </c>
      <c r="K12697" t="b">
        <v>1</v>
      </c>
    </row>
    <row r="12698" spans="8:11" x14ac:dyDescent="0.25">
      <c r="H12698">
        <v>141</v>
      </c>
      <c r="I12698">
        <v>858</v>
      </c>
      <c r="J12698">
        <v>108</v>
      </c>
      <c r="K12698" t="b">
        <v>1</v>
      </c>
    </row>
    <row r="12699" spans="8:11" x14ac:dyDescent="0.25">
      <c r="H12699">
        <v>141</v>
      </c>
      <c r="I12699">
        <v>864</v>
      </c>
      <c r="J12699">
        <v>108</v>
      </c>
      <c r="K12699" t="b">
        <v>1</v>
      </c>
    </row>
    <row r="12700" spans="8:11" x14ac:dyDescent="0.25">
      <c r="H12700">
        <v>141</v>
      </c>
      <c r="I12700">
        <v>870</v>
      </c>
      <c r="J12700">
        <v>108</v>
      </c>
      <c r="K12700" t="b">
        <v>1</v>
      </c>
    </row>
    <row r="12701" spans="8:11" x14ac:dyDescent="0.25">
      <c r="H12701">
        <v>141</v>
      </c>
      <c r="I12701">
        <v>876</v>
      </c>
      <c r="J12701">
        <v>108</v>
      </c>
      <c r="K12701" t="b">
        <v>1</v>
      </c>
    </row>
    <row r="12702" spans="8:11" x14ac:dyDescent="0.25">
      <c r="H12702">
        <v>141</v>
      </c>
      <c r="I12702">
        <v>882</v>
      </c>
      <c r="J12702">
        <v>108</v>
      </c>
      <c r="K12702" t="b">
        <v>1</v>
      </c>
    </row>
    <row r="12703" spans="8:11" x14ac:dyDescent="0.25">
      <c r="H12703">
        <v>141</v>
      </c>
      <c r="I12703">
        <v>888</v>
      </c>
      <c r="J12703">
        <v>108</v>
      </c>
      <c r="K12703" t="b">
        <v>1</v>
      </c>
    </row>
    <row r="12704" spans="8:11" x14ac:dyDescent="0.25">
      <c r="H12704">
        <v>141</v>
      </c>
      <c r="I12704">
        <v>894</v>
      </c>
      <c r="J12704">
        <v>108</v>
      </c>
      <c r="K12704" t="b">
        <v>1</v>
      </c>
    </row>
    <row r="12705" spans="8:11" x14ac:dyDescent="0.25">
      <c r="H12705">
        <v>141</v>
      </c>
      <c r="I12705">
        <v>900</v>
      </c>
      <c r="J12705">
        <v>108</v>
      </c>
      <c r="K12705" t="b">
        <v>1</v>
      </c>
    </row>
    <row r="12706" spans="8:11" x14ac:dyDescent="0.25">
      <c r="H12706">
        <v>141</v>
      </c>
      <c r="I12706">
        <v>906</v>
      </c>
      <c r="J12706">
        <v>108</v>
      </c>
      <c r="K12706" t="b">
        <v>1</v>
      </c>
    </row>
    <row r="12707" spans="8:11" x14ac:dyDescent="0.25">
      <c r="H12707">
        <v>141</v>
      </c>
      <c r="I12707">
        <v>912</v>
      </c>
      <c r="J12707">
        <v>108</v>
      </c>
      <c r="K12707" t="b">
        <v>1</v>
      </c>
    </row>
    <row r="12708" spans="8:11" x14ac:dyDescent="0.25">
      <c r="H12708">
        <v>141</v>
      </c>
      <c r="I12708">
        <v>918</v>
      </c>
      <c r="J12708">
        <v>108</v>
      </c>
      <c r="K12708" t="b">
        <v>1</v>
      </c>
    </row>
    <row r="12709" spans="8:11" x14ac:dyDescent="0.25">
      <c r="H12709">
        <v>141</v>
      </c>
      <c r="I12709">
        <v>924</v>
      </c>
      <c r="J12709">
        <v>108</v>
      </c>
      <c r="K12709" t="b">
        <v>1</v>
      </c>
    </row>
    <row r="12710" spans="8:11" x14ac:dyDescent="0.25">
      <c r="H12710">
        <v>141</v>
      </c>
      <c r="I12710">
        <v>930</v>
      </c>
      <c r="J12710">
        <v>108</v>
      </c>
      <c r="K12710" t="b">
        <v>1</v>
      </c>
    </row>
    <row r="12711" spans="8:11" x14ac:dyDescent="0.25">
      <c r="H12711">
        <v>141</v>
      </c>
      <c r="I12711">
        <v>936</v>
      </c>
      <c r="J12711">
        <v>108</v>
      </c>
      <c r="K12711" t="b">
        <v>1</v>
      </c>
    </row>
    <row r="12712" spans="8:11" x14ac:dyDescent="0.25">
      <c r="H12712">
        <v>141</v>
      </c>
      <c r="I12712">
        <v>942</v>
      </c>
      <c r="J12712">
        <v>108</v>
      </c>
      <c r="K12712" t="b">
        <v>1</v>
      </c>
    </row>
    <row r="12713" spans="8:11" x14ac:dyDescent="0.25">
      <c r="H12713">
        <v>141</v>
      </c>
      <c r="I12713">
        <v>948</v>
      </c>
      <c r="J12713">
        <v>108</v>
      </c>
      <c r="K12713" t="b">
        <v>1</v>
      </c>
    </row>
    <row r="12714" spans="8:11" x14ac:dyDescent="0.25">
      <c r="H12714">
        <v>141</v>
      </c>
      <c r="I12714">
        <v>954</v>
      </c>
      <c r="J12714">
        <v>108</v>
      </c>
      <c r="K12714" t="b">
        <v>1</v>
      </c>
    </row>
    <row r="12715" spans="8:11" x14ac:dyDescent="0.25">
      <c r="H12715">
        <v>142</v>
      </c>
      <c r="I12715">
        <v>0</v>
      </c>
      <c r="J12715">
        <v>108</v>
      </c>
      <c r="K12715" t="b">
        <v>1</v>
      </c>
    </row>
    <row r="12716" spans="8:11" x14ac:dyDescent="0.25">
      <c r="H12716">
        <v>142</v>
      </c>
      <c r="I12716">
        <v>6</v>
      </c>
      <c r="J12716">
        <v>108</v>
      </c>
      <c r="K12716" t="b">
        <v>1</v>
      </c>
    </row>
    <row r="12717" spans="8:11" x14ac:dyDescent="0.25">
      <c r="H12717">
        <v>142</v>
      </c>
      <c r="I12717">
        <v>12</v>
      </c>
      <c r="J12717">
        <v>108</v>
      </c>
      <c r="K12717" t="b">
        <v>1</v>
      </c>
    </row>
    <row r="12718" spans="8:11" x14ac:dyDescent="0.25">
      <c r="H12718">
        <v>142</v>
      </c>
      <c r="I12718">
        <v>18</v>
      </c>
      <c r="J12718">
        <v>108</v>
      </c>
      <c r="K12718" t="b">
        <v>1</v>
      </c>
    </row>
    <row r="12719" spans="8:11" x14ac:dyDescent="0.25">
      <c r="H12719">
        <v>142</v>
      </c>
      <c r="I12719">
        <v>24</v>
      </c>
      <c r="J12719">
        <v>108</v>
      </c>
      <c r="K12719" t="b">
        <v>1</v>
      </c>
    </row>
    <row r="12720" spans="8:11" x14ac:dyDescent="0.25">
      <c r="H12720">
        <v>142</v>
      </c>
      <c r="I12720">
        <v>30</v>
      </c>
      <c r="J12720">
        <v>108</v>
      </c>
      <c r="K12720" t="b">
        <v>1</v>
      </c>
    </row>
    <row r="12721" spans="8:11" x14ac:dyDescent="0.25">
      <c r="H12721">
        <v>142</v>
      </c>
      <c r="I12721">
        <v>36</v>
      </c>
      <c r="J12721">
        <v>108</v>
      </c>
      <c r="K12721" t="b">
        <v>1</v>
      </c>
    </row>
    <row r="12722" spans="8:11" x14ac:dyDescent="0.25">
      <c r="H12722">
        <v>142</v>
      </c>
      <c r="I12722">
        <v>42</v>
      </c>
      <c r="J12722">
        <v>108</v>
      </c>
      <c r="K12722" t="b">
        <v>1</v>
      </c>
    </row>
    <row r="12723" spans="8:11" x14ac:dyDescent="0.25">
      <c r="H12723">
        <v>142</v>
      </c>
      <c r="I12723">
        <v>48</v>
      </c>
      <c r="J12723">
        <v>108</v>
      </c>
      <c r="K12723" t="b">
        <v>1</v>
      </c>
    </row>
    <row r="12724" spans="8:11" x14ac:dyDescent="0.25">
      <c r="H12724">
        <v>142</v>
      </c>
      <c r="I12724">
        <v>54</v>
      </c>
      <c r="J12724">
        <v>108</v>
      </c>
      <c r="K12724" t="b">
        <v>1</v>
      </c>
    </row>
    <row r="12725" spans="8:11" x14ac:dyDescent="0.25">
      <c r="H12725">
        <v>142</v>
      </c>
      <c r="I12725">
        <v>60</v>
      </c>
      <c r="J12725">
        <v>108</v>
      </c>
      <c r="K12725" t="b">
        <v>1</v>
      </c>
    </row>
    <row r="12726" spans="8:11" x14ac:dyDescent="0.25">
      <c r="H12726">
        <v>142</v>
      </c>
      <c r="I12726">
        <v>66</v>
      </c>
      <c r="J12726">
        <v>108</v>
      </c>
      <c r="K12726" t="b">
        <v>1</v>
      </c>
    </row>
    <row r="12727" spans="8:11" x14ac:dyDescent="0.25">
      <c r="H12727">
        <v>142</v>
      </c>
      <c r="I12727">
        <v>72</v>
      </c>
      <c r="J12727">
        <v>108</v>
      </c>
      <c r="K12727" t="b">
        <v>1</v>
      </c>
    </row>
    <row r="12728" spans="8:11" x14ac:dyDescent="0.25">
      <c r="H12728">
        <v>142</v>
      </c>
      <c r="I12728">
        <v>78</v>
      </c>
      <c r="J12728">
        <v>108</v>
      </c>
      <c r="K12728" t="b">
        <v>1</v>
      </c>
    </row>
    <row r="12729" spans="8:11" x14ac:dyDescent="0.25">
      <c r="H12729">
        <v>142</v>
      </c>
      <c r="I12729">
        <v>84</v>
      </c>
      <c r="J12729">
        <v>108</v>
      </c>
      <c r="K12729" t="b">
        <v>1</v>
      </c>
    </row>
    <row r="12730" spans="8:11" x14ac:dyDescent="0.25">
      <c r="H12730">
        <v>142</v>
      </c>
      <c r="I12730">
        <v>90</v>
      </c>
      <c r="J12730">
        <v>108</v>
      </c>
      <c r="K12730" t="b">
        <v>1</v>
      </c>
    </row>
    <row r="12731" spans="8:11" x14ac:dyDescent="0.25">
      <c r="H12731">
        <v>142</v>
      </c>
      <c r="I12731">
        <v>96</v>
      </c>
      <c r="J12731">
        <v>108</v>
      </c>
      <c r="K12731" t="b">
        <v>1</v>
      </c>
    </row>
    <row r="12732" spans="8:11" x14ac:dyDescent="0.25">
      <c r="H12732">
        <v>142</v>
      </c>
      <c r="I12732">
        <v>102</v>
      </c>
      <c r="J12732">
        <v>108</v>
      </c>
      <c r="K12732" t="b">
        <v>1</v>
      </c>
    </row>
    <row r="12733" spans="8:11" x14ac:dyDescent="0.25">
      <c r="H12733">
        <v>142</v>
      </c>
      <c r="I12733">
        <v>108</v>
      </c>
      <c r="J12733">
        <v>108</v>
      </c>
      <c r="K12733" t="b">
        <v>1</v>
      </c>
    </row>
    <row r="12734" spans="8:11" x14ac:dyDescent="0.25">
      <c r="H12734">
        <v>142</v>
      </c>
      <c r="I12734">
        <v>114</v>
      </c>
      <c r="J12734">
        <v>108</v>
      </c>
      <c r="K12734" t="b">
        <v>1</v>
      </c>
    </row>
    <row r="12735" spans="8:11" x14ac:dyDescent="0.25">
      <c r="H12735">
        <v>142</v>
      </c>
      <c r="I12735">
        <v>120</v>
      </c>
      <c r="J12735">
        <v>108</v>
      </c>
      <c r="K12735" t="b">
        <v>1</v>
      </c>
    </row>
    <row r="12736" spans="8:11" x14ac:dyDescent="0.25">
      <c r="H12736">
        <v>142</v>
      </c>
      <c r="I12736">
        <v>126</v>
      </c>
      <c r="J12736">
        <v>108</v>
      </c>
      <c r="K12736" t="b">
        <v>1</v>
      </c>
    </row>
    <row r="12737" spans="8:11" x14ac:dyDescent="0.25">
      <c r="H12737">
        <v>142</v>
      </c>
      <c r="I12737">
        <v>132</v>
      </c>
      <c r="J12737">
        <v>108</v>
      </c>
      <c r="K12737" t="b">
        <v>1</v>
      </c>
    </row>
    <row r="12738" spans="8:11" x14ac:dyDescent="0.25">
      <c r="H12738">
        <v>142</v>
      </c>
      <c r="I12738">
        <v>138</v>
      </c>
      <c r="J12738">
        <v>108</v>
      </c>
      <c r="K12738" t="b">
        <v>1</v>
      </c>
    </row>
    <row r="12739" spans="8:11" x14ac:dyDescent="0.25">
      <c r="H12739">
        <v>142</v>
      </c>
      <c r="I12739">
        <v>144</v>
      </c>
      <c r="J12739">
        <v>108</v>
      </c>
      <c r="K12739" t="b">
        <v>1</v>
      </c>
    </row>
    <row r="12740" spans="8:11" x14ac:dyDescent="0.25">
      <c r="H12740">
        <v>142</v>
      </c>
      <c r="I12740">
        <v>150</v>
      </c>
      <c r="J12740">
        <v>108</v>
      </c>
      <c r="K12740" t="b">
        <v>1</v>
      </c>
    </row>
    <row r="12741" spans="8:11" x14ac:dyDescent="0.25">
      <c r="H12741">
        <v>142</v>
      </c>
      <c r="I12741">
        <v>156</v>
      </c>
      <c r="J12741">
        <v>108</v>
      </c>
      <c r="K12741" t="b">
        <v>1</v>
      </c>
    </row>
    <row r="12742" spans="8:11" x14ac:dyDescent="0.25">
      <c r="H12742">
        <v>142</v>
      </c>
      <c r="I12742">
        <v>162</v>
      </c>
      <c r="J12742">
        <v>108</v>
      </c>
      <c r="K12742" t="b">
        <v>1</v>
      </c>
    </row>
    <row r="12743" spans="8:11" x14ac:dyDescent="0.25">
      <c r="H12743">
        <v>142</v>
      </c>
      <c r="I12743">
        <v>168</v>
      </c>
      <c r="J12743">
        <v>108</v>
      </c>
      <c r="K12743" t="b">
        <v>1</v>
      </c>
    </row>
    <row r="12744" spans="8:11" x14ac:dyDescent="0.25">
      <c r="H12744">
        <v>142</v>
      </c>
      <c r="I12744">
        <v>174</v>
      </c>
      <c r="J12744">
        <v>108</v>
      </c>
      <c r="K12744" t="b">
        <v>1</v>
      </c>
    </row>
    <row r="12745" spans="8:11" x14ac:dyDescent="0.25">
      <c r="H12745">
        <v>142</v>
      </c>
      <c r="I12745">
        <v>180</v>
      </c>
      <c r="J12745">
        <v>108</v>
      </c>
      <c r="K12745" t="b">
        <v>1</v>
      </c>
    </row>
    <row r="12746" spans="8:11" x14ac:dyDescent="0.25">
      <c r="H12746">
        <v>142</v>
      </c>
      <c r="I12746">
        <v>186</v>
      </c>
      <c r="J12746">
        <v>108</v>
      </c>
      <c r="K12746" t="b">
        <v>1</v>
      </c>
    </row>
    <row r="12747" spans="8:11" x14ac:dyDescent="0.25">
      <c r="H12747">
        <v>142</v>
      </c>
      <c r="I12747">
        <v>192</v>
      </c>
      <c r="J12747">
        <v>108</v>
      </c>
      <c r="K12747" t="b">
        <v>1</v>
      </c>
    </row>
    <row r="12748" spans="8:11" x14ac:dyDescent="0.25">
      <c r="H12748">
        <v>142</v>
      </c>
      <c r="I12748">
        <v>198</v>
      </c>
      <c r="J12748">
        <v>108</v>
      </c>
      <c r="K12748" t="b">
        <v>1</v>
      </c>
    </row>
    <row r="12749" spans="8:11" x14ac:dyDescent="0.25">
      <c r="H12749">
        <v>142</v>
      </c>
      <c r="I12749">
        <v>204</v>
      </c>
      <c r="J12749">
        <v>108</v>
      </c>
      <c r="K12749" t="b">
        <v>1</v>
      </c>
    </row>
    <row r="12750" spans="8:11" x14ac:dyDescent="0.25">
      <c r="H12750">
        <v>142</v>
      </c>
      <c r="I12750">
        <v>210</v>
      </c>
      <c r="J12750">
        <v>108</v>
      </c>
      <c r="K12750" t="b">
        <v>1</v>
      </c>
    </row>
    <row r="12751" spans="8:11" x14ac:dyDescent="0.25">
      <c r="H12751">
        <v>142</v>
      </c>
      <c r="I12751">
        <v>216</v>
      </c>
      <c r="J12751">
        <v>108</v>
      </c>
      <c r="K12751" t="b">
        <v>1</v>
      </c>
    </row>
    <row r="12752" spans="8:11" x14ac:dyDescent="0.25">
      <c r="H12752">
        <v>142</v>
      </c>
      <c r="I12752">
        <v>222</v>
      </c>
      <c r="J12752">
        <v>108</v>
      </c>
      <c r="K12752" t="b">
        <v>1</v>
      </c>
    </row>
    <row r="12753" spans="8:11" x14ac:dyDescent="0.25">
      <c r="H12753">
        <v>142</v>
      </c>
      <c r="I12753">
        <v>228</v>
      </c>
      <c r="J12753">
        <v>108</v>
      </c>
      <c r="K12753" t="b">
        <v>1</v>
      </c>
    </row>
    <row r="12754" spans="8:11" x14ac:dyDescent="0.25">
      <c r="H12754">
        <v>142</v>
      </c>
      <c r="I12754">
        <v>234</v>
      </c>
      <c r="J12754">
        <v>108</v>
      </c>
      <c r="K12754" t="b">
        <v>1</v>
      </c>
    </row>
    <row r="12755" spans="8:11" x14ac:dyDescent="0.25">
      <c r="H12755">
        <v>142</v>
      </c>
      <c r="I12755">
        <v>240</v>
      </c>
      <c r="J12755">
        <v>108</v>
      </c>
      <c r="K12755" t="b">
        <v>1</v>
      </c>
    </row>
    <row r="12756" spans="8:11" x14ac:dyDescent="0.25">
      <c r="H12756">
        <v>142</v>
      </c>
      <c r="I12756">
        <v>246</v>
      </c>
      <c r="J12756">
        <v>108</v>
      </c>
      <c r="K12756" t="b">
        <v>1</v>
      </c>
    </row>
    <row r="12757" spans="8:11" x14ac:dyDescent="0.25">
      <c r="H12757">
        <v>142</v>
      </c>
      <c r="I12757">
        <v>252</v>
      </c>
      <c r="J12757">
        <v>108</v>
      </c>
      <c r="K12757" t="b">
        <v>1</v>
      </c>
    </row>
    <row r="12758" spans="8:11" x14ac:dyDescent="0.25">
      <c r="H12758">
        <v>142</v>
      </c>
      <c r="I12758">
        <v>258</v>
      </c>
      <c r="J12758">
        <v>108</v>
      </c>
      <c r="K12758" t="b">
        <v>1</v>
      </c>
    </row>
    <row r="12759" spans="8:11" x14ac:dyDescent="0.25">
      <c r="H12759">
        <v>142</v>
      </c>
      <c r="I12759">
        <v>264</v>
      </c>
      <c r="J12759">
        <v>108</v>
      </c>
      <c r="K12759" t="b">
        <v>1</v>
      </c>
    </row>
    <row r="12760" spans="8:11" x14ac:dyDescent="0.25">
      <c r="H12760">
        <v>142</v>
      </c>
      <c r="I12760">
        <v>270</v>
      </c>
      <c r="J12760">
        <v>108</v>
      </c>
      <c r="K12760" t="b">
        <v>1</v>
      </c>
    </row>
    <row r="12761" spans="8:11" x14ac:dyDescent="0.25">
      <c r="H12761">
        <v>142</v>
      </c>
      <c r="I12761">
        <v>276</v>
      </c>
      <c r="J12761">
        <v>108</v>
      </c>
      <c r="K12761" t="b">
        <v>1</v>
      </c>
    </row>
    <row r="12762" spans="8:11" x14ac:dyDescent="0.25">
      <c r="H12762">
        <v>142</v>
      </c>
      <c r="I12762">
        <v>282</v>
      </c>
      <c r="J12762">
        <v>108</v>
      </c>
      <c r="K12762" t="b">
        <v>1</v>
      </c>
    </row>
    <row r="12763" spans="8:11" x14ac:dyDescent="0.25">
      <c r="H12763">
        <v>142</v>
      </c>
      <c r="I12763">
        <v>288</v>
      </c>
      <c r="J12763">
        <v>108</v>
      </c>
      <c r="K12763" t="b">
        <v>1</v>
      </c>
    </row>
    <row r="12764" spans="8:11" x14ac:dyDescent="0.25">
      <c r="H12764">
        <v>142</v>
      </c>
      <c r="I12764">
        <v>294</v>
      </c>
      <c r="J12764">
        <v>108</v>
      </c>
      <c r="K12764" t="b">
        <v>1</v>
      </c>
    </row>
    <row r="12765" spans="8:11" x14ac:dyDescent="0.25">
      <c r="H12765">
        <v>142</v>
      </c>
      <c r="I12765">
        <v>300</v>
      </c>
      <c r="J12765">
        <v>108</v>
      </c>
      <c r="K12765" t="b">
        <v>1</v>
      </c>
    </row>
    <row r="12766" spans="8:11" x14ac:dyDescent="0.25">
      <c r="H12766">
        <v>142</v>
      </c>
      <c r="I12766">
        <v>306</v>
      </c>
      <c r="J12766">
        <v>108</v>
      </c>
      <c r="K12766" t="b">
        <v>1</v>
      </c>
    </row>
    <row r="12767" spans="8:11" x14ac:dyDescent="0.25">
      <c r="H12767">
        <v>142</v>
      </c>
      <c r="I12767">
        <v>312</v>
      </c>
      <c r="J12767">
        <v>108</v>
      </c>
      <c r="K12767" t="b">
        <v>1</v>
      </c>
    </row>
    <row r="12768" spans="8:11" x14ac:dyDescent="0.25">
      <c r="H12768">
        <v>142</v>
      </c>
      <c r="I12768">
        <v>318</v>
      </c>
      <c r="J12768">
        <v>108</v>
      </c>
      <c r="K12768" t="b">
        <v>1</v>
      </c>
    </row>
    <row r="12769" spans="8:11" x14ac:dyDescent="0.25">
      <c r="H12769">
        <v>142</v>
      </c>
      <c r="I12769">
        <v>324</v>
      </c>
      <c r="J12769">
        <v>108</v>
      </c>
      <c r="K12769" t="b">
        <v>1</v>
      </c>
    </row>
    <row r="12770" spans="8:11" x14ac:dyDescent="0.25">
      <c r="H12770">
        <v>142</v>
      </c>
      <c r="I12770">
        <v>330</v>
      </c>
      <c r="J12770">
        <v>108</v>
      </c>
      <c r="K12770" t="b">
        <v>1</v>
      </c>
    </row>
    <row r="12771" spans="8:11" x14ac:dyDescent="0.25">
      <c r="H12771">
        <v>142</v>
      </c>
      <c r="I12771">
        <v>336</v>
      </c>
      <c r="J12771">
        <v>108</v>
      </c>
      <c r="K12771" t="b">
        <v>1</v>
      </c>
    </row>
    <row r="12772" spans="8:11" x14ac:dyDescent="0.25">
      <c r="H12772">
        <v>142</v>
      </c>
      <c r="I12772">
        <v>342</v>
      </c>
      <c r="J12772">
        <v>108</v>
      </c>
      <c r="K12772" t="b">
        <v>1</v>
      </c>
    </row>
    <row r="12773" spans="8:11" x14ac:dyDescent="0.25">
      <c r="H12773">
        <v>142</v>
      </c>
      <c r="I12773">
        <v>348</v>
      </c>
      <c r="J12773">
        <v>108</v>
      </c>
      <c r="K12773" t="b">
        <v>1</v>
      </c>
    </row>
    <row r="12774" spans="8:11" x14ac:dyDescent="0.25">
      <c r="H12774">
        <v>142</v>
      </c>
      <c r="I12774">
        <v>354</v>
      </c>
      <c r="J12774">
        <v>108</v>
      </c>
      <c r="K12774" t="b">
        <v>1</v>
      </c>
    </row>
    <row r="12775" spans="8:11" x14ac:dyDescent="0.25">
      <c r="H12775">
        <v>142</v>
      </c>
      <c r="I12775">
        <v>360</v>
      </c>
      <c r="J12775">
        <v>108</v>
      </c>
      <c r="K12775" t="b">
        <v>1</v>
      </c>
    </row>
    <row r="12776" spans="8:11" x14ac:dyDescent="0.25">
      <c r="H12776">
        <v>142</v>
      </c>
      <c r="I12776">
        <v>366</v>
      </c>
      <c r="J12776">
        <v>108</v>
      </c>
      <c r="K12776" t="b">
        <v>1</v>
      </c>
    </row>
    <row r="12777" spans="8:11" x14ac:dyDescent="0.25">
      <c r="H12777">
        <v>142</v>
      </c>
      <c r="I12777">
        <v>372</v>
      </c>
      <c r="J12777">
        <v>108</v>
      </c>
      <c r="K12777" t="b">
        <v>1</v>
      </c>
    </row>
    <row r="12778" spans="8:11" x14ac:dyDescent="0.25">
      <c r="H12778">
        <v>142</v>
      </c>
      <c r="I12778">
        <v>378</v>
      </c>
      <c r="J12778">
        <v>108</v>
      </c>
      <c r="K12778" t="b">
        <v>1</v>
      </c>
    </row>
    <row r="12779" spans="8:11" x14ac:dyDescent="0.25">
      <c r="H12779">
        <v>142</v>
      </c>
      <c r="I12779">
        <v>384</v>
      </c>
      <c r="J12779">
        <v>108</v>
      </c>
      <c r="K12779" t="b">
        <v>1</v>
      </c>
    </row>
    <row r="12780" spans="8:11" x14ac:dyDescent="0.25">
      <c r="H12780">
        <v>142</v>
      </c>
      <c r="I12780">
        <v>390</v>
      </c>
      <c r="J12780">
        <v>108</v>
      </c>
      <c r="K12780" t="b">
        <v>1</v>
      </c>
    </row>
    <row r="12781" spans="8:11" x14ac:dyDescent="0.25">
      <c r="H12781">
        <v>142</v>
      </c>
      <c r="I12781">
        <v>396</v>
      </c>
      <c r="J12781">
        <v>108</v>
      </c>
      <c r="K12781" t="b">
        <v>1</v>
      </c>
    </row>
    <row r="12782" spans="8:11" x14ac:dyDescent="0.25">
      <c r="H12782">
        <v>142</v>
      </c>
      <c r="I12782">
        <v>402</v>
      </c>
      <c r="J12782">
        <v>108</v>
      </c>
      <c r="K12782" t="b">
        <v>1</v>
      </c>
    </row>
    <row r="12783" spans="8:11" x14ac:dyDescent="0.25">
      <c r="H12783">
        <v>142</v>
      </c>
      <c r="I12783">
        <v>408</v>
      </c>
      <c r="J12783">
        <v>108</v>
      </c>
      <c r="K12783" t="b">
        <v>1</v>
      </c>
    </row>
    <row r="12784" spans="8:11" x14ac:dyDescent="0.25">
      <c r="H12784">
        <v>142</v>
      </c>
      <c r="I12784">
        <v>414</v>
      </c>
      <c r="J12784">
        <v>108</v>
      </c>
      <c r="K12784" t="b">
        <v>1</v>
      </c>
    </row>
    <row r="12785" spans="8:11" x14ac:dyDescent="0.25">
      <c r="H12785">
        <v>142</v>
      </c>
      <c r="I12785">
        <v>420</v>
      </c>
      <c r="J12785">
        <v>108</v>
      </c>
      <c r="K12785" t="b">
        <v>1</v>
      </c>
    </row>
    <row r="12786" spans="8:11" x14ac:dyDescent="0.25">
      <c r="H12786">
        <v>142</v>
      </c>
      <c r="I12786">
        <v>426</v>
      </c>
      <c r="J12786">
        <v>108</v>
      </c>
      <c r="K12786" t="b">
        <v>1</v>
      </c>
    </row>
    <row r="12787" spans="8:11" x14ac:dyDescent="0.25">
      <c r="H12787">
        <v>142</v>
      </c>
      <c r="I12787">
        <v>432</v>
      </c>
      <c r="J12787">
        <v>108</v>
      </c>
      <c r="K12787" t="b">
        <v>1</v>
      </c>
    </row>
    <row r="12788" spans="8:11" x14ac:dyDescent="0.25">
      <c r="H12788">
        <v>142</v>
      </c>
      <c r="I12788">
        <v>438</v>
      </c>
      <c r="J12788">
        <v>108</v>
      </c>
      <c r="K12788" t="b">
        <v>1</v>
      </c>
    </row>
    <row r="12789" spans="8:11" x14ac:dyDescent="0.25">
      <c r="H12789">
        <v>142</v>
      </c>
      <c r="I12789">
        <v>444</v>
      </c>
      <c r="J12789">
        <v>108</v>
      </c>
      <c r="K12789" t="b">
        <v>1</v>
      </c>
    </row>
    <row r="12790" spans="8:11" x14ac:dyDescent="0.25">
      <c r="H12790">
        <v>142</v>
      </c>
      <c r="I12790">
        <v>450</v>
      </c>
      <c r="J12790">
        <v>108</v>
      </c>
      <c r="K12790" t="b">
        <v>1</v>
      </c>
    </row>
    <row r="12791" spans="8:11" x14ac:dyDescent="0.25">
      <c r="H12791">
        <v>142</v>
      </c>
      <c r="I12791">
        <v>456</v>
      </c>
      <c r="J12791">
        <v>108</v>
      </c>
      <c r="K12791" t="b">
        <v>1</v>
      </c>
    </row>
    <row r="12792" spans="8:11" x14ac:dyDescent="0.25">
      <c r="H12792">
        <v>142</v>
      </c>
      <c r="I12792">
        <v>462</v>
      </c>
      <c r="J12792">
        <v>108</v>
      </c>
      <c r="K12792" t="b">
        <v>1</v>
      </c>
    </row>
    <row r="12793" spans="8:11" x14ac:dyDescent="0.25">
      <c r="H12793">
        <v>142</v>
      </c>
      <c r="I12793">
        <v>468</v>
      </c>
      <c r="J12793">
        <v>108</v>
      </c>
      <c r="K12793" t="b">
        <v>1</v>
      </c>
    </row>
    <row r="12794" spans="8:11" x14ac:dyDescent="0.25">
      <c r="H12794">
        <v>142</v>
      </c>
      <c r="I12794">
        <v>474</v>
      </c>
      <c r="J12794">
        <v>108</v>
      </c>
      <c r="K12794" t="b">
        <v>1</v>
      </c>
    </row>
    <row r="12795" spans="8:11" x14ac:dyDescent="0.25">
      <c r="H12795">
        <v>142</v>
      </c>
      <c r="I12795">
        <v>480</v>
      </c>
      <c r="J12795">
        <v>108</v>
      </c>
      <c r="K12795" t="b">
        <v>1</v>
      </c>
    </row>
    <row r="12796" spans="8:11" x14ac:dyDescent="0.25">
      <c r="H12796">
        <v>142</v>
      </c>
      <c r="I12796">
        <v>486</v>
      </c>
      <c r="J12796">
        <v>108</v>
      </c>
      <c r="K12796" t="b">
        <v>1</v>
      </c>
    </row>
    <row r="12797" spans="8:11" x14ac:dyDescent="0.25">
      <c r="H12797">
        <v>142</v>
      </c>
      <c r="I12797">
        <v>492</v>
      </c>
      <c r="J12797">
        <v>108</v>
      </c>
      <c r="K12797" t="b">
        <v>1</v>
      </c>
    </row>
    <row r="12798" spans="8:11" x14ac:dyDescent="0.25">
      <c r="H12798">
        <v>142</v>
      </c>
      <c r="I12798">
        <v>498</v>
      </c>
      <c r="J12798">
        <v>108</v>
      </c>
      <c r="K12798" t="b">
        <v>1</v>
      </c>
    </row>
    <row r="12799" spans="8:11" x14ac:dyDescent="0.25">
      <c r="H12799">
        <v>142</v>
      </c>
      <c r="I12799">
        <v>504</v>
      </c>
      <c r="J12799">
        <v>108</v>
      </c>
      <c r="K12799" t="b">
        <v>1</v>
      </c>
    </row>
    <row r="12800" spans="8:11" x14ac:dyDescent="0.25">
      <c r="H12800">
        <v>142</v>
      </c>
      <c r="I12800">
        <v>510</v>
      </c>
      <c r="J12800">
        <v>108</v>
      </c>
      <c r="K12800" t="b">
        <v>1</v>
      </c>
    </row>
    <row r="12801" spans="8:11" x14ac:dyDescent="0.25">
      <c r="H12801">
        <v>142</v>
      </c>
      <c r="I12801">
        <v>516</v>
      </c>
      <c r="J12801">
        <v>108</v>
      </c>
      <c r="K12801" t="b">
        <v>1</v>
      </c>
    </row>
    <row r="12802" spans="8:11" x14ac:dyDescent="0.25">
      <c r="H12802">
        <v>142</v>
      </c>
      <c r="I12802">
        <v>522</v>
      </c>
      <c r="J12802">
        <v>108</v>
      </c>
      <c r="K12802" t="b">
        <v>1</v>
      </c>
    </row>
    <row r="12803" spans="8:11" x14ac:dyDescent="0.25">
      <c r="H12803">
        <v>142</v>
      </c>
      <c r="I12803">
        <v>528</v>
      </c>
      <c r="J12803">
        <v>108</v>
      </c>
      <c r="K12803" t="b">
        <v>1</v>
      </c>
    </row>
    <row r="12804" spans="8:11" x14ac:dyDescent="0.25">
      <c r="H12804">
        <v>142</v>
      </c>
      <c r="I12804">
        <v>534</v>
      </c>
      <c r="J12804">
        <v>108</v>
      </c>
      <c r="K12804" t="b">
        <v>1</v>
      </c>
    </row>
    <row r="12805" spans="8:11" x14ac:dyDescent="0.25">
      <c r="H12805">
        <v>142</v>
      </c>
      <c r="I12805">
        <v>540</v>
      </c>
      <c r="J12805">
        <v>108</v>
      </c>
      <c r="K12805" t="b">
        <v>1</v>
      </c>
    </row>
    <row r="12806" spans="8:11" x14ac:dyDescent="0.25">
      <c r="H12806">
        <v>142</v>
      </c>
      <c r="I12806">
        <v>546</v>
      </c>
      <c r="J12806">
        <v>108</v>
      </c>
      <c r="K12806" t="b">
        <v>1</v>
      </c>
    </row>
    <row r="12807" spans="8:11" x14ac:dyDescent="0.25">
      <c r="H12807">
        <v>142</v>
      </c>
      <c r="I12807">
        <v>552</v>
      </c>
      <c r="J12807">
        <v>108</v>
      </c>
      <c r="K12807" t="b">
        <v>1</v>
      </c>
    </row>
    <row r="12808" spans="8:11" x14ac:dyDescent="0.25">
      <c r="H12808">
        <v>142</v>
      </c>
      <c r="I12808">
        <v>558</v>
      </c>
      <c r="J12808">
        <v>108</v>
      </c>
      <c r="K12808" t="b">
        <v>1</v>
      </c>
    </row>
    <row r="12809" spans="8:11" x14ac:dyDescent="0.25">
      <c r="H12809">
        <v>142</v>
      </c>
      <c r="I12809">
        <v>564</v>
      </c>
      <c r="J12809">
        <v>108</v>
      </c>
      <c r="K12809" t="b">
        <v>1</v>
      </c>
    </row>
    <row r="12810" spans="8:11" x14ac:dyDescent="0.25">
      <c r="H12810">
        <v>142</v>
      </c>
      <c r="I12810">
        <v>570</v>
      </c>
      <c r="J12810">
        <v>108</v>
      </c>
      <c r="K12810" t="b">
        <v>1</v>
      </c>
    </row>
    <row r="12811" spans="8:11" x14ac:dyDescent="0.25">
      <c r="H12811">
        <v>142</v>
      </c>
      <c r="I12811">
        <v>576</v>
      </c>
      <c r="J12811">
        <v>108</v>
      </c>
      <c r="K12811" t="b">
        <v>1</v>
      </c>
    </row>
    <row r="12812" spans="8:11" x14ac:dyDescent="0.25">
      <c r="H12812">
        <v>142</v>
      </c>
      <c r="I12812">
        <v>582</v>
      </c>
      <c r="J12812">
        <v>108</v>
      </c>
      <c r="K12812" t="b">
        <v>1</v>
      </c>
    </row>
    <row r="12813" spans="8:11" x14ac:dyDescent="0.25">
      <c r="H12813">
        <v>142</v>
      </c>
      <c r="I12813">
        <v>588</v>
      </c>
      <c r="J12813">
        <v>108</v>
      </c>
      <c r="K12813" t="b">
        <v>1</v>
      </c>
    </row>
    <row r="12814" spans="8:11" x14ac:dyDescent="0.25">
      <c r="H12814">
        <v>142</v>
      </c>
      <c r="I12814">
        <v>594</v>
      </c>
      <c r="J12814">
        <v>108</v>
      </c>
      <c r="K12814" t="b">
        <v>1</v>
      </c>
    </row>
    <row r="12815" spans="8:11" x14ac:dyDescent="0.25">
      <c r="H12815">
        <v>142</v>
      </c>
      <c r="I12815">
        <v>600</v>
      </c>
      <c r="J12815">
        <v>108</v>
      </c>
      <c r="K12815" t="b">
        <v>1</v>
      </c>
    </row>
    <row r="12816" spans="8:11" x14ac:dyDescent="0.25">
      <c r="H12816">
        <v>142</v>
      </c>
      <c r="I12816">
        <v>606</v>
      </c>
      <c r="J12816">
        <v>108</v>
      </c>
      <c r="K12816" t="b">
        <v>1</v>
      </c>
    </row>
    <row r="12817" spans="8:11" x14ac:dyDescent="0.25">
      <c r="H12817">
        <v>142</v>
      </c>
      <c r="I12817">
        <v>612</v>
      </c>
      <c r="J12817">
        <v>108</v>
      </c>
      <c r="K12817" t="b">
        <v>1</v>
      </c>
    </row>
    <row r="12818" spans="8:11" x14ac:dyDescent="0.25">
      <c r="H12818">
        <v>142</v>
      </c>
      <c r="I12818">
        <v>618</v>
      </c>
      <c r="J12818">
        <v>108</v>
      </c>
      <c r="K12818" t="b">
        <v>1</v>
      </c>
    </row>
    <row r="12819" spans="8:11" x14ac:dyDescent="0.25">
      <c r="H12819">
        <v>142</v>
      </c>
      <c r="I12819">
        <v>624</v>
      </c>
      <c r="J12819">
        <v>108</v>
      </c>
      <c r="K12819" t="b">
        <v>1</v>
      </c>
    </row>
    <row r="12820" spans="8:11" x14ac:dyDescent="0.25">
      <c r="H12820">
        <v>142</v>
      </c>
      <c r="I12820">
        <v>630</v>
      </c>
      <c r="J12820">
        <v>108</v>
      </c>
      <c r="K12820" t="b">
        <v>1</v>
      </c>
    </row>
    <row r="12821" spans="8:11" x14ac:dyDescent="0.25">
      <c r="H12821">
        <v>142</v>
      </c>
      <c r="I12821">
        <v>636</v>
      </c>
      <c r="J12821">
        <v>108</v>
      </c>
      <c r="K12821" t="b">
        <v>1</v>
      </c>
    </row>
    <row r="12822" spans="8:11" x14ac:dyDescent="0.25">
      <c r="H12822">
        <v>142</v>
      </c>
      <c r="I12822">
        <v>642</v>
      </c>
      <c r="J12822">
        <v>108</v>
      </c>
      <c r="K12822" t="b">
        <v>1</v>
      </c>
    </row>
    <row r="12823" spans="8:11" x14ac:dyDescent="0.25">
      <c r="H12823">
        <v>142</v>
      </c>
      <c r="I12823">
        <v>648</v>
      </c>
      <c r="J12823">
        <v>108</v>
      </c>
      <c r="K12823" t="b">
        <v>1</v>
      </c>
    </row>
    <row r="12824" spans="8:11" x14ac:dyDescent="0.25">
      <c r="H12824">
        <v>142</v>
      </c>
      <c r="I12824">
        <v>654</v>
      </c>
      <c r="J12824">
        <v>108</v>
      </c>
      <c r="K12824" t="b">
        <v>1</v>
      </c>
    </row>
    <row r="12825" spans="8:11" x14ac:dyDescent="0.25">
      <c r="H12825">
        <v>142</v>
      </c>
      <c r="I12825">
        <v>660</v>
      </c>
      <c r="J12825">
        <v>108</v>
      </c>
      <c r="K12825" t="b">
        <v>1</v>
      </c>
    </row>
    <row r="12826" spans="8:11" x14ac:dyDescent="0.25">
      <c r="H12826">
        <v>142</v>
      </c>
      <c r="I12826">
        <v>666</v>
      </c>
      <c r="J12826">
        <v>108</v>
      </c>
      <c r="K12826" t="b">
        <v>1</v>
      </c>
    </row>
    <row r="12827" spans="8:11" x14ac:dyDescent="0.25">
      <c r="H12827">
        <v>142</v>
      </c>
      <c r="I12827">
        <v>672</v>
      </c>
      <c r="J12827">
        <v>108</v>
      </c>
      <c r="K12827" t="b">
        <v>1</v>
      </c>
    </row>
    <row r="12828" spans="8:11" x14ac:dyDescent="0.25">
      <c r="H12828">
        <v>142</v>
      </c>
      <c r="I12828">
        <v>678</v>
      </c>
      <c r="J12828">
        <v>108</v>
      </c>
      <c r="K12828" t="b">
        <v>1</v>
      </c>
    </row>
    <row r="12829" spans="8:11" x14ac:dyDescent="0.25">
      <c r="H12829">
        <v>142</v>
      </c>
      <c r="I12829">
        <v>684</v>
      </c>
      <c r="J12829">
        <v>108</v>
      </c>
      <c r="K12829" t="b">
        <v>1</v>
      </c>
    </row>
    <row r="12830" spans="8:11" x14ac:dyDescent="0.25">
      <c r="H12830">
        <v>142</v>
      </c>
      <c r="I12830">
        <v>690</v>
      </c>
      <c r="J12830">
        <v>108</v>
      </c>
      <c r="K12830" t="b">
        <v>1</v>
      </c>
    </row>
    <row r="12831" spans="8:11" x14ac:dyDescent="0.25">
      <c r="H12831">
        <v>142</v>
      </c>
      <c r="I12831">
        <v>696</v>
      </c>
      <c r="J12831">
        <v>108</v>
      </c>
      <c r="K12831" t="b">
        <v>1</v>
      </c>
    </row>
    <row r="12832" spans="8:11" x14ac:dyDescent="0.25">
      <c r="H12832">
        <v>142</v>
      </c>
      <c r="I12832">
        <v>702</v>
      </c>
      <c r="J12832">
        <v>108</v>
      </c>
      <c r="K12832" t="b">
        <v>1</v>
      </c>
    </row>
    <row r="12833" spans="8:11" x14ac:dyDescent="0.25">
      <c r="H12833">
        <v>142</v>
      </c>
      <c r="I12833">
        <v>708</v>
      </c>
      <c r="J12833">
        <v>108</v>
      </c>
      <c r="K12833" t="b">
        <v>1</v>
      </c>
    </row>
    <row r="12834" spans="8:11" x14ac:dyDescent="0.25">
      <c r="H12834">
        <v>142</v>
      </c>
      <c r="I12834">
        <v>714</v>
      </c>
      <c r="J12834">
        <v>108</v>
      </c>
      <c r="K12834" t="b">
        <v>1</v>
      </c>
    </row>
    <row r="12835" spans="8:11" x14ac:dyDescent="0.25">
      <c r="H12835">
        <v>142</v>
      </c>
      <c r="I12835">
        <v>720</v>
      </c>
      <c r="J12835">
        <v>108</v>
      </c>
      <c r="K12835" t="b">
        <v>1</v>
      </c>
    </row>
    <row r="12836" spans="8:11" x14ac:dyDescent="0.25">
      <c r="H12836">
        <v>142</v>
      </c>
      <c r="I12836">
        <v>726</v>
      </c>
      <c r="J12836">
        <v>108</v>
      </c>
      <c r="K12836" t="b">
        <v>1</v>
      </c>
    </row>
    <row r="12837" spans="8:11" x14ac:dyDescent="0.25">
      <c r="H12837">
        <v>142</v>
      </c>
      <c r="I12837">
        <v>732</v>
      </c>
      <c r="J12837">
        <v>108</v>
      </c>
      <c r="K12837" t="b">
        <v>1</v>
      </c>
    </row>
    <row r="12838" spans="8:11" x14ac:dyDescent="0.25">
      <c r="H12838">
        <v>142</v>
      </c>
      <c r="I12838">
        <v>738</v>
      </c>
      <c r="J12838">
        <v>108</v>
      </c>
      <c r="K12838" t="b">
        <v>1</v>
      </c>
    </row>
    <row r="12839" spans="8:11" x14ac:dyDescent="0.25">
      <c r="H12839">
        <v>142</v>
      </c>
      <c r="I12839">
        <v>744</v>
      </c>
      <c r="J12839">
        <v>108</v>
      </c>
      <c r="K12839" t="b">
        <v>1</v>
      </c>
    </row>
    <row r="12840" spans="8:11" x14ac:dyDescent="0.25">
      <c r="H12840">
        <v>142</v>
      </c>
      <c r="I12840">
        <v>750</v>
      </c>
      <c r="J12840">
        <v>108</v>
      </c>
      <c r="K12840" t="b">
        <v>1</v>
      </c>
    </row>
    <row r="12841" spans="8:11" x14ac:dyDescent="0.25">
      <c r="H12841">
        <v>142</v>
      </c>
      <c r="I12841">
        <v>756</v>
      </c>
      <c r="J12841">
        <v>108</v>
      </c>
      <c r="K12841" t="b">
        <v>1</v>
      </c>
    </row>
    <row r="12842" spans="8:11" x14ac:dyDescent="0.25">
      <c r="H12842">
        <v>142</v>
      </c>
      <c r="I12842">
        <v>762</v>
      </c>
      <c r="J12842">
        <v>108</v>
      </c>
      <c r="K12842" t="b">
        <v>1</v>
      </c>
    </row>
    <row r="12843" spans="8:11" x14ac:dyDescent="0.25">
      <c r="H12843">
        <v>142</v>
      </c>
      <c r="I12843">
        <v>768</v>
      </c>
      <c r="J12843">
        <v>108</v>
      </c>
      <c r="K12843" t="b">
        <v>1</v>
      </c>
    </row>
    <row r="12844" spans="8:11" x14ac:dyDescent="0.25">
      <c r="H12844">
        <v>142</v>
      </c>
      <c r="I12844">
        <v>774</v>
      </c>
      <c r="J12844">
        <v>108</v>
      </c>
      <c r="K12844" t="b">
        <v>1</v>
      </c>
    </row>
    <row r="12845" spans="8:11" x14ac:dyDescent="0.25">
      <c r="H12845">
        <v>142</v>
      </c>
      <c r="I12845">
        <v>780</v>
      </c>
      <c r="J12845">
        <v>108</v>
      </c>
      <c r="K12845" t="b">
        <v>1</v>
      </c>
    </row>
    <row r="12846" spans="8:11" x14ac:dyDescent="0.25">
      <c r="H12846">
        <v>142</v>
      </c>
      <c r="I12846">
        <v>786</v>
      </c>
      <c r="J12846">
        <v>108</v>
      </c>
      <c r="K12846" t="b">
        <v>1</v>
      </c>
    </row>
    <row r="12847" spans="8:11" x14ac:dyDescent="0.25">
      <c r="H12847">
        <v>142</v>
      </c>
      <c r="I12847">
        <v>792</v>
      </c>
      <c r="J12847">
        <v>108</v>
      </c>
      <c r="K12847" t="b">
        <v>1</v>
      </c>
    </row>
    <row r="12848" spans="8:11" x14ac:dyDescent="0.25">
      <c r="H12848">
        <v>142</v>
      </c>
      <c r="I12848">
        <v>798</v>
      </c>
      <c r="J12848">
        <v>108</v>
      </c>
      <c r="K12848" t="b">
        <v>1</v>
      </c>
    </row>
    <row r="12849" spans="8:11" x14ac:dyDescent="0.25">
      <c r="H12849">
        <v>142</v>
      </c>
      <c r="I12849">
        <v>804</v>
      </c>
      <c r="J12849">
        <v>108</v>
      </c>
      <c r="K12849" t="b">
        <v>1</v>
      </c>
    </row>
    <row r="12850" spans="8:11" x14ac:dyDescent="0.25">
      <c r="H12850">
        <v>142</v>
      </c>
      <c r="I12850">
        <v>810</v>
      </c>
      <c r="J12850">
        <v>108</v>
      </c>
      <c r="K12850" t="b">
        <v>1</v>
      </c>
    </row>
    <row r="12851" spans="8:11" x14ac:dyDescent="0.25">
      <c r="H12851">
        <v>142</v>
      </c>
      <c r="I12851">
        <v>816</v>
      </c>
      <c r="J12851">
        <v>108</v>
      </c>
      <c r="K12851" t="b">
        <v>1</v>
      </c>
    </row>
    <row r="12852" spans="8:11" x14ac:dyDescent="0.25">
      <c r="H12852">
        <v>142</v>
      </c>
      <c r="I12852">
        <v>822</v>
      </c>
      <c r="J12852">
        <v>108</v>
      </c>
      <c r="K12852" t="b">
        <v>1</v>
      </c>
    </row>
    <row r="12853" spans="8:11" x14ac:dyDescent="0.25">
      <c r="H12853">
        <v>142</v>
      </c>
      <c r="I12853">
        <v>828</v>
      </c>
      <c r="J12853">
        <v>108</v>
      </c>
      <c r="K12853" t="b">
        <v>1</v>
      </c>
    </row>
    <row r="12854" spans="8:11" x14ac:dyDescent="0.25">
      <c r="H12854">
        <v>142</v>
      </c>
      <c r="I12854">
        <v>834</v>
      </c>
      <c r="J12854">
        <v>108</v>
      </c>
      <c r="K12854" t="b">
        <v>1</v>
      </c>
    </row>
    <row r="12855" spans="8:11" x14ac:dyDescent="0.25">
      <c r="H12855">
        <v>142</v>
      </c>
      <c r="I12855">
        <v>840</v>
      </c>
      <c r="J12855">
        <v>108</v>
      </c>
      <c r="K12855" t="b">
        <v>1</v>
      </c>
    </row>
    <row r="12856" spans="8:11" x14ac:dyDescent="0.25">
      <c r="H12856">
        <v>142</v>
      </c>
      <c r="I12856">
        <v>846</v>
      </c>
      <c r="J12856">
        <v>108</v>
      </c>
      <c r="K12856" t="b">
        <v>1</v>
      </c>
    </row>
    <row r="12857" spans="8:11" x14ac:dyDescent="0.25">
      <c r="H12857">
        <v>142</v>
      </c>
      <c r="I12857">
        <v>852</v>
      </c>
      <c r="J12857">
        <v>108</v>
      </c>
      <c r="K12857" t="b">
        <v>1</v>
      </c>
    </row>
    <row r="12858" spans="8:11" x14ac:dyDescent="0.25">
      <c r="H12858">
        <v>142</v>
      </c>
      <c r="I12858">
        <v>858</v>
      </c>
      <c r="J12858">
        <v>108</v>
      </c>
      <c r="K12858" t="b">
        <v>1</v>
      </c>
    </row>
    <row r="12859" spans="8:11" x14ac:dyDescent="0.25">
      <c r="H12859">
        <v>142</v>
      </c>
      <c r="I12859">
        <v>864</v>
      </c>
      <c r="J12859">
        <v>108</v>
      </c>
      <c r="K12859" t="b">
        <v>1</v>
      </c>
    </row>
    <row r="12860" spans="8:11" x14ac:dyDescent="0.25">
      <c r="H12860">
        <v>142</v>
      </c>
      <c r="I12860">
        <v>870</v>
      </c>
      <c r="J12860">
        <v>108</v>
      </c>
      <c r="K12860" t="b">
        <v>1</v>
      </c>
    </row>
    <row r="12861" spans="8:11" x14ac:dyDescent="0.25">
      <c r="H12861">
        <v>142</v>
      </c>
      <c r="I12861">
        <v>876</v>
      </c>
      <c r="J12861">
        <v>108</v>
      </c>
      <c r="K12861" t="b">
        <v>1</v>
      </c>
    </row>
    <row r="12862" spans="8:11" x14ac:dyDescent="0.25">
      <c r="H12862">
        <v>142</v>
      </c>
      <c r="I12862">
        <v>882</v>
      </c>
      <c r="J12862">
        <v>108</v>
      </c>
      <c r="K12862" t="b">
        <v>1</v>
      </c>
    </row>
    <row r="12863" spans="8:11" x14ac:dyDescent="0.25">
      <c r="H12863">
        <v>142</v>
      </c>
      <c r="I12863">
        <v>888</v>
      </c>
      <c r="J12863">
        <v>108</v>
      </c>
      <c r="K12863" t="b">
        <v>1</v>
      </c>
    </row>
    <row r="12864" spans="8:11" x14ac:dyDescent="0.25">
      <c r="H12864">
        <v>142</v>
      </c>
      <c r="I12864">
        <v>894</v>
      </c>
      <c r="J12864">
        <v>108</v>
      </c>
      <c r="K12864" t="b">
        <v>1</v>
      </c>
    </row>
    <row r="12865" spans="8:11" x14ac:dyDescent="0.25">
      <c r="H12865">
        <v>142</v>
      </c>
      <c r="I12865">
        <v>900</v>
      </c>
      <c r="J12865">
        <v>108</v>
      </c>
      <c r="K12865" t="b">
        <v>1</v>
      </c>
    </row>
    <row r="12866" spans="8:11" x14ac:dyDescent="0.25">
      <c r="H12866">
        <v>142</v>
      </c>
      <c r="I12866">
        <v>906</v>
      </c>
      <c r="J12866">
        <v>108</v>
      </c>
      <c r="K12866" t="b">
        <v>1</v>
      </c>
    </row>
    <row r="12867" spans="8:11" x14ac:dyDescent="0.25">
      <c r="H12867">
        <v>142</v>
      </c>
      <c r="I12867">
        <v>912</v>
      </c>
      <c r="J12867">
        <v>108</v>
      </c>
      <c r="K12867" t="b">
        <v>1</v>
      </c>
    </row>
    <row r="12868" spans="8:11" x14ac:dyDescent="0.25">
      <c r="H12868">
        <v>142</v>
      </c>
      <c r="I12868">
        <v>918</v>
      </c>
      <c r="J12868">
        <v>108</v>
      </c>
      <c r="K12868" t="b">
        <v>1</v>
      </c>
    </row>
    <row r="12869" spans="8:11" x14ac:dyDescent="0.25">
      <c r="H12869">
        <v>142</v>
      </c>
      <c r="I12869">
        <v>924</v>
      </c>
      <c r="J12869">
        <v>108</v>
      </c>
      <c r="K12869" t="b">
        <v>1</v>
      </c>
    </row>
    <row r="12870" spans="8:11" x14ac:dyDescent="0.25">
      <c r="H12870">
        <v>142</v>
      </c>
      <c r="I12870">
        <v>930</v>
      </c>
      <c r="J12870">
        <v>108</v>
      </c>
      <c r="K12870" t="b">
        <v>1</v>
      </c>
    </row>
    <row r="12871" spans="8:11" x14ac:dyDescent="0.25">
      <c r="H12871">
        <v>142</v>
      </c>
      <c r="I12871">
        <v>936</v>
      </c>
      <c r="J12871">
        <v>108</v>
      </c>
      <c r="K12871" t="b">
        <v>1</v>
      </c>
    </row>
    <row r="12872" spans="8:11" x14ac:dyDescent="0.25">
      <c r="H12872">
        <v>142</v>
      </c>
      <c r="I12872">
        <v>942</v>
      </c>
      <c r="J12872">
        <v>108</v>
      </c>
      <c r="K12872" t="b">
        <v>1</v>
      </c>
    </row>
    <row r="12873" spans="8:11" x14ac:dyDescent="0.25">
      <c r="H12873">
        <v>142</v>
      </c>
      <c r="I12873">
        <v>948</v>
      </c>
      <c r="J12873">
        <v>108</v>
      </c>
      <c r="K12873" t="b">
        <v>1</v>
      </c>
    </row>
    <row r="12874" spans="8:11" x14ac:dyDescent="0.25">
      <c r="H12874">
        <v>142</v>
      </c>
      <c r="I12874">
        <v>954</v>
      </c>
      <c r="J12874">
        <v>108</v>
      </c>
      <c r="K12874" t="b">
        <v>1</v>
      </c>
    </row>
    <row r="12875" spans="8:11" x14ac:dyDescent="0.25">
      <c r="H12875">
        <v>143</v>
      </c>
      <c r="I12875">
        <v>0</v>
      </c>
      <c r="J12875">
        <v>115</v>
      </c>
      <c r="K12875" t="b">
        <v>1</v>
      </c>
    </row>
    <row r="12876" spans="8:11" x14ac:dyDescent="0.25">
      <c r="H12876">
        <v>143</v>
      </c>
      <c r="I12876">
        <v>4</v>
      </c>
      <c r="J12876">
        <v>115</v>
      </c>
      <c r="K12876" t="b">
        <v>1</v>
      </c>
    </row>
    <row r="12877" spans="8:11" x14ac:dyDescent="0.25">
      <c r="H12877">
        <v>143</v>
      </c>
      <c r="I12877">
        <v>8</v>
      </c>
      <c r="J12877">
        <v>115</v>
      </c>
      <c r="K12877" t="b">
        <v>1</v>
      </c>
    </row>
    <row r="12878" spans="8:11" x14ac:dyDescent="0.25">
      <c r="H12878">
        <v>143</v>
      </c>
      <c r="I12878">
        <v>12</v>
      </c>
      <c r="J12878">
        <v>115</v>
      </c>
      <c r="K12878" t="b">
        <v>1</v>
      </c>
    </row>
    <row r="12879" spans="8:11" x14ac:dyDescent="0.25">
      <c r="H12879">
        <v>143</v>
      </c>
      <c r="I12879">
        <v>16</v>
      </c>
      <c r="J12879">
        <v>115</v>
      </c>
      <c r="K12879" t="b">
        <v>1</v>
      </c>
    </row>
    <row r="12880" spans="8:11" x14ac:dyDescent="0.25">
      <c r="H12880">
        <v>143</v>
      </c>
      <c r="I12880">
        <v>20</v>
      </c>
      <c r="J12880">
        <v>115</v>
      </c>
      <c r="K12880" t="b">
        <v>1</v>
      </c>
    </row>
    <row r="12881" spans="8:11" x14ac:dyDescent="0.25">
      <c r="H12881">
        <v>143</v>
      </c>
      <c r="I12881">
        <v>24</v>
      </c>
      <c r="J12881">
        <v>115</v>
      </c>
      <c r="K12881" t="b">
        <v>1</v>
      </c>
    </row>
    <row r="12882" spans="8:11" x14ac:dyDescent="0.25">
      <c r="H12882">
        <v>143</v>
      </c>
      <c r="I12882">
        <v>28</v>
      </c>
      <c r="J12882">
        <v>115</v>
      </c>
      <c r="K12882" t="b">
        <v>1</v>
      </c>
    </row>
    <row r="12883" spans="8:11" x14ac:dyDescent="0.25">
      <c r="H12883">
        <v>143</v>
      </c>
      <c r="I12883">
        <v>32</v>
      </c>
      <c r="J12883">
        <v>115</v>
      </c>
      <c r="K12883" t="b">
        <v>1</v>
      </c>
    </row>
    <row r="12884" spans="8:11" x14ac:dyDescent="0.25">
      <c r="H12884">
        <v>143</v>
      </c>
      <c r="I12884">
        <v>36</v>
      </c>
      <c r="J12884">
        <v>115</v>
      </c>
      <c r="K12884" t="b">
        <v>1</v>
      </c>
    </row>
    <row r="12885" spans="8:11" x14ac:dyDescent="0.25">
      <c r="H12885">
        <v>143</v>
      </c>
      <c r="I12885">
        <v>40</v>
      </c>
      <c r="J12885">
        <v>115</v>
      </c>
      <c r="K12885" t="b">
        <v>1</v>
      </c>
    </row>
    <row r="12886" spans="8:11" x14ac:dyDescent="0.25">
      <c r="H12886">
        <v>143</v>
      </c>
      <c r="I12886">
        <v>44</v>
      </c>
      <c r="J12886">
        <v>115</v>
      </c>
      <c r="K12886" t="b">
        <v>1</v>
      </c>
    </row>
    <row r="12887" spans="8:11" x14ac:dyDescent="0.25">
      <c r="H12887">
        <v>143</v>
      </c>
      <c r="I12887">
        <v>48</v>
      </c>
      <c r="J12887">
        <v>115</v>
      </c>
      <c r="K12887" t="b">
        <v>1</v>
      </c>
    </row>
    <row r="12888" spans="8:11" x14ac:dyDescent="0.25">
      <c r="H12888">
        <v>143</v>
      </c>
      <c r="I12888">
        <v>52</v>
      </c>
      <c r="J12888">
        <v>115</v>
      </c>
      <c r="K12888" t="b">
        <v>1</v>
      </c>
    </row>
    <row r="12889" spans="8:11" x14ac:dyDescent="0.25">
      <c r="H12889">
        <v>143</v>
      </c>
      <c r="I12889">
        <v>56</v>
      </c>
      <c r="J12889">
        <v>115</v>
      </c>
      <c r="K12889" t="b">
        <v>1</v>
      </c>
    </row>
    <row r="12890" spans="8:11" x14ac:dyDescent="0.25">
      <c r="H12890">
        <v>143</v>
      </c>
      <c r="I12890">
        <v>60</v>
      </c>
      <c r="J12890">
        <v>115</v>
      </c>
      <c r="K12890" t="b">
        <v>1</v>
      </c>
    </row>
    <row r="12891" spans="8:11" x14ac:dyDescent="0.25">
      <c r="H12891">
        <v>143</v>
      </c>
      <c r="I12891">
        <v>64</v>
      </c>
      <c r="J12891">
        <v>115</v>
      </c>
      <c r="K12891" t="b">
        <v>1</v>
      </c>
    </row>
    <row r="12892" spans="8:11" x14ac:dyDescent="0.25">
      <c r="H12892">
        <v>143</v>
      </c>
      <c r="I12892">
        <v>68</v>
      </c>
      <c r="J12892">
        <v>115</v>
      </c>
      <c r="K12892" t="b">
        <v>1</v>
      </c>
    </row>
    <row r="12893" spans="8:11" x14ac:dyDescent="0.25">
      <c r="H12893">
        <v>143</v>
      </c>
      <c r="I12893">
        <v>72</v>
      </c>
      <c r="J12893">
        <v>115</v>
      </c>
      <c r="K12893" t="b">
        <v>1</v>
      </c>
    </row>
    <row r="12894" spans="8:11" x14ac:dyDescent="0.25">
      <c r="H12894">
        <v>143</v>
      </c>
      <c r="I12894">
        <v>76</v>
      </c>
      <c r="J12894">
        <v>115</v>
      </c>
      <c r="K12894" t="b">
        <v>1</v>
      </c>
    </row>
    <row r="12895" spans="8:11" x14ac:dyDescent="0.25">
      <c r="H12895">
        <v>143</v>
      </c>
      <c r="I12895">
        <v>80</v>
      </c>
      <c r="J12895">
        <v>115</v>
      </c>
      <c r="K12895" t="b">
        <v>1</v>
      </c>
    </row>
    <row r="12896" spans="8:11" x14ac:dyDescent="0.25">
      <c r="H12896">
        <v>143</v>
      </c>
      <c r="I12896">
        <v>84</v>
      </c>
      <c r="J12896">
        <v>115</v>
      </c>
      <c r="K12896" t="b">
        <v>1</v>
      </c>
    </row>
    <row r="12897" spans="8:11" x14ac:dyDescent="0.25">
      <c r="H12897">
        <v>143</v>
      </c>
      <c r="I12897">
        <v>88</v>
      </c>
      <c r="J12897">
        <v>115</v>
      </c>
      <c r="K12897" t="b">
        <v>1</v>
      </c>
    </row>
    <row r="12898" spans="8:11" x14ac:dyDescent="0.25">
      <c r="H12898">
        <v>143</v>
      </c>
      <c r="I12898">
        <v>92</v>
      </c>
      <c r="J12898">
        <v>115</v>
      </c>
      <c r="K12898" t="b">
        <v>1</v>
      </c>
    </row>
    <row r="12899" spans="8:11" x14ac:dyDescent="0.25">
      <c r="H12899">
        <v>143</v>
      </c>
      <c r="I12899">
        <v>96</v>
      </c>
      <c r="J12899">
        <v>115</v>
      </c>
      <c r="K12899" t="b">
        <v>1</v>
      </c>
    </row>
    <row r="12900" spans="8:11" x14ac:dyDescent="0.25">
      <c r="H12900">
        <v>143</v>
      </c>
      <c r="I12900">
        <v>100</v>
      </c>
      <c r="J12900">
        <v>115</v>
      </c>
      <c r="K12900" t="b">
        <v>1</v>
      </c>
    </row>
    <row r="12901" spans="8:11" x14ac:dyDescent="0.25">
      <c r="H12901">
        <v>143</v>
      </c>
      <c r="I12901">
        <v>104</v>
      </c>
      <c r="J12901">
        <v>115</v>
      </c>
      <c r="K12901" t="b">
        <v>1</v>
      </c>
    </row>
    <row r="12902" spans="8:11" x14ac:dyDescent="0.25">
      <c r="H12902">
        <v>143</v>
      </c>
      <c r="I12902">
        <v>108</v>
      </c>
      <c r="J12902">
        <v>115</v>
      </c>
      <c r="K12902" t="b">
        <v>1</v>
      </c>
    </row>
    <row r="12903" spans="8:11" x14ac:dyDescent="0.25">
      <c r="H12903">
        <v>143</v>
      </c>
      <c r="I12903">
        <v>112</v>
      </c>
      <c r="J12903">
        <v>115</v>
      </c>
      <c r="K12903" t="b">
        <v>1</v>
      </c>
    </row>
    <row r="12904" spans="8:11" x14ac:dyDescent="0.25">
      <c r="H12904">
        <v>143</v>
      </c>
      <c r="I12904">
        <v>116</v>
      </c>
      <c r="J12904">
        <v>115</v>
      </c>
      <c r="K12904" t="b">
        <v>1</v>
      </c>
    </row>
    <row r="12905" spans="8:11" x14ac:dyDescent="0.25">
      <c r="H12905">
        <v>143</v>
      </c>
      <c r="I12905">
        <v>120</v>
      </c>
      <c r="J12905">
        <v>115</v>
      </c>
      <c r="K12905" t="b">
        <v>1</v>
      </c>
    </row>
    <row r="12906" spans="8:11" x14ac:dyDescent="0.25">
      <c r="H12906">
        <v>143</v>
      </c>
      <c r="I12906">
        <v>124</v>
      </c>
      <c r="J12906">
        <v>115</v>
      </c>
      <c r="K12906" t="b">
        <v>1</v>
      </c>
    </row>
    <row r="12907" spans="8:11" x14ac:dyDescent="0.25">
      <c r="H12907">
        <v>143</v>
      </c>
      <c r="I12907">
        <v>128</v>
      </c>
      <c r="J12907">
        <v>115</v>
      </c>
      <c r="K12907" t="b">
        <v>1</v>
      </c>
    </row>
    <row r="12908" spans="8:11" x14ac:dyDescent="0.25">
      <c r="H12908">
        <v>143</v>
      </c>
      <c r="I12908">
        <v>132</v>
      </c>
      <c r="J12908">
        <v>115</v>
      </c>
      <c r="K12908" t="b">
        <v>1</v>
      </c>
    </row>
    <row r="12909" spans="8:11" x14ac:dyDescent="0.25">
      <c r="H12909">
        <v>143</v>
      </c>
      <c r="I12909">
        <v>136</v>
      </c>
      <c r="J12909">
        <v>115</v>
      </c>
      <c r="K12909" t="b">
        <v>1</v>
      </c>
    </row>
    <row r="12910" spans="8:11" x14ac:dyDescent="0.25">
      <c r="H12910">
        <v>143</v>
      </c>
      <c r="I12910">
        <v>140</v>
      </c>
      <c r="J12910">
        <v>115</v>
      </c>
      <c r="K12910" t="b">
        <v>1</v>
      </c>
    </row>
    <row r="12911" spans="8:11" x14ac:dyDescent="0.25">
      <c r="H12911">
        <v>143</v>
      </c>
      <c r="I12911">
        <v>144</v>
      </c>
      <c r="J12911">
        <v>115</v>
      </c>
      <c r="K12911" t="b">
        <v>1</v>
      </c>
    </row>
    <row r="12912" spans="8:11" x14ac:dyDescent="0.25">
      <c r="H12912">
        <v>143</v>
      </c>
      <c r="I12912">
        <v>148</v>
      </c>
      <c r="J12912">
        <v>115</v>
      </c>
      <c r="K12912" t="b">
        <v>1</v>
      </c>
    </row>
    <row r="12913" spans="8:11" x14ac:dyDescent="0.25">
      <c r="H12913">
        <v>143</v>
      </c>
      <c r="I12913">
        <v>152</v>
      </c>
      <c r="J12913">
        <v>115</v>
      </c>
      <c r="K12913" t="b">
        <v>1</v>
      </c>
    </row>
    <row r="12914" spans="8:11" x14ac:dyDescent="0.25">
      <c r="H12914">
        <v>143</v>
      </c>
      <c r="I12914">
        <v>156</v>
      </c>
      <c r="J12914">
        <v>115</v>
      </c>
      <c r="K12914" t="b">
        <v>1</v>
      </c>
    </row>
    <row r="12915" spans="8:11" x14ac:dyDescent="0.25">
      <c r="H12915">
        <v>143</v>
      </c>
      <c r="I12915">
        <v>160</v>
      </c>
      <c r="J12915">
        <v>115</v>
      </c>
      <c r="K12915" t="b">
        <v>1</v>
      </c>
    </row>
    <row r="12916" spans="8:11" x14ac:dyDescent="0.25">
      <c r="H12916">
        <v>143</v>
      </c>
      <c r="I12916">
        <v>164</v>
      </c>
      <c r="J12916">
        <v>115</v>
      </c>
      <c r="K12916" t="b">
        <v>1</v>
      </c>
    </row>
    <row r="12917" spans="8:11" x14ac:dyDescent="0.25">
      <c r="H12917">
        <v>143</v>
      </c>
      <c r="I12917">
        <v>168</v>
      </c>
      <c r="J12917">
        <v>115</v>
      </c>
      <c r="K12917" t="b">
        <v>1</v>
      </c>
    </row>
    <row r="12918" spans="8:11" x14ac:dyDescent="0.25">
      <c r="H12918">
        <v>143</v>
      </c>
      <c r="I12918">
        <v>172</v>
      </c>
      <c r="J12918">
        <v>115</v>
      </c>
      <c r="K12918" t="b">
        <v>1</v>
      </c>
    </row>
    <row r="12919" spans="8:11" x14ac:dyDescent="0.25">
      <c r="H12919">
        <v>143</v>
      </c>
      <c r="I12919">
        <v>176</v>
      </c>
      <c r="J12919">
        <v>115</v>
      </c>
      <c r="K12919" t="b">
        <v>1</v>
      </c>
    </row>
    <row r="12920" spans="8:11" x14ac:dyDescent="0.25">
      <c r="H12920">
        <v>143</v>
      </c>
      <c r="I12920">
        <v>180</v>
      </c>
      <c r="J12920">
        <v>115</v>
      </c>
      <c r="K12920" t="b">
        <v>1</v>
      </c>
    </row>
    <row r="12921" spans="8:11" x14ac:dyDescent="0.25">
      <c r="H12921">
        <v>143</v>
      </c>
      <c r="I12921">
        <v>184</v>
      </c>
      <c r="J12921">
        <v>115</v>
      </c>
      <c r="K12921" t="b">
        <v>1</v>
      </c>
    </row>
    <row r="12922" spans="8:11" x14ac:dyDescent="0.25">
      <c r="H12922">
        <v>143</v>
      </c>
      <c r="I12922">
        <v>188</v>
      </c>
      <c r="J12922">
        <v>115</v>
      </c>
      <c r="K12922" t="b">
        <v>1</v>
      </c>
    </row>
    <row r="12923" spans="8:11" x14ac:dyDescent="0.25">
      <c r="H12923">
        <v>143</v>
      </c>
      <c r="I12923">
        <v>192</v>
      </c>
      <c r="J12923">
        <v>115</v>
      </c>
      <c r="K12923" t="b">
        <v>1</v>
      </c>
    </row>
    <row r="12924" spans="8:11" x14ac:dyDescent="0.25">
      <c r="H12924">
        <v>143</v>
      </c>
      <c r="I12924">
        <v>196</v>
      </c>
      <c r="J12924">
        <v>115</v>
      </c>
      <c r="K12924" t="b">
        <v>1</v>
      </c>
    </row>
    <row r="12925" spans="8:11" x14ac:dyDescent="0.25">
      <c r="H12925">
        <v>143</v>
      </c>
      <c r="I12925">
        <v>200</v>
      </c>
      <c r="J12925">
        <v>115</v>
      </c>
      <c r="K12925" t="b">
        <v>1</v>
      </c>
    </row>
    <row r="12926" spans="8:11" x14ac:dyDescent="0.25">
      <c r="H12926">
        <v>143</v>
      </c>
      <c r="I12926">
        <v>204</v>
      </c>
      <c r="J12926">
        <v>115</v>
      </c>
      <c r="K12926" t="b">
        <v>1</v>
      </c>
    </row>
    <row r="12927" spans="8:11" x14ac:dyDescent="0.25">
      <c r="H12927">
        <v>143</v>
      </c>
      <c r="I12927">
        <v>208</v>
      </c>
      <c r="J12927">
        <v>115</v>
      </c>
      <c r="K12927" t="b">
        <v>1</v>
      </c>
    </row>
    <row r="12928" spans="8:11" x14ac:dyDescent="0.25">
      <c r="H12928">
        <v>143</v>
      </c>
      <c r="I12928">
        <v>212</v>
      </c>
      <c r="J12928">
        <v>115</v>
      </c>
      <c r="K12928" t="b">
        <v>1</v>
      </c>
    </row>
    <row r="12929" spans="8:11" x14ac:dyDescent="0.25">
      <c r="H12929">
        <v>143</v>
      </c>
      <c r="I12929">
        <v>216</v>
      </c>
      <c r="J12929">
        <v>115</v>
      </c>
      <c r="K12929" t="b">
        <v>1</v>
      </c>
    </row>
    <row r="12930" spans="8:11" x14ac:dyDescent="0.25">
      <c r="H12930">
        <v>143</v>
      </c>
      <c r="I12930">
        <v>220</v>
      </c>
      <c r="J12930">
        <v>115</v>
      </c>
      <c r="K12930" t="b">
        <v>1</v>
      </c>
    </row>
    <row r="12931" spans="8:11" x14ac:dyDescent="0.25">
      <c r="H12931">
        <v>143</v>
      </c>
      <c r="I12931">
        <v>224</v>
      </c>
      <c r="J12931">
        <v>115</v>
      </c>
      <c r="K12931" t="b">
        <v>1</v>
      </c>
    </row>
    <row r="12932" spans="8:11" x14ac:dyDescent="0.25">
      <c r="H12932">
        <v>143</v>
      </c>
      <c r="I12932">
        <v>228</v>
      </c>
      <c r="J12932">
        <v>115</v>
      </c>
      <c r="K12932" t="b">
        <v>1</v>
      </c>
    </row>
    <row r="12933" spans="8:11" x14ac:dyDescent="0.25">
      <c r="H12933">
        <v>143</v>
      </c>
      <c r="I12933">
        <v>232</v>
      </c>
      <c r="J12933">
        <v>115</v>
      </c>
      <c r="K12933" t="b">
        <v>1</v>
      </c>
    </row>
    <row r="12934" spans="8:11" x14ac:dyDescent="0.25">
      <c r="H12934">
        <v>143</v>
      </c>
      <c r="I12934">
        <v>236</v>
      </c>
      <c r="J12934">
        <v>115</v>
      </c>
      <c r="K12934" t="b">
        <v>1</v>
      </c>
    </row>
    <row r="12935" spans="8:11" x14ac:dyDescent="0.25">
      <c r="H12935">
        <v>143</v>
      </c>
      <c r="I12935">
        <v>240</v>
      </c>
      <c r="J12935">
        <v>115</v>
      </c>
      <c r="K12935" t="b">
        <v>1</v>
      </c>
    </row>
    <row r="12936" spans="8:11" x14ac:dyDescent="0.25">
      <c r="H12936">
        <v>143</v>
      </c>
      <c r="I12936">
        <v>244</v>
      </c>
      <c r="J12936">
        <v>115</v>
      </c>
      <c r="K12936" t="b">
        <v>1</v>
      </c>
    </row>
    <row r="12937" spans="8:11" x14ac:dyDescent="0.25">
      <c r="H12937">
        <v>143</v>
      </c>
      <c r="I12937">
        <v>248</v>
      </c>
      <c r="J12937">
        <v>115</v>
      </c>
      <c r="K12937" t="b">
        <v>1</v>
      </c>
    </row>
    <row r="12938" spans="8:11" x14ac:dyDescent="0.25">
      <c r="H12938">
        <v>143</v>
      </c>
      <c r="I12938">
        <v>252</v>
      </c>
      <c r="J12938">
        <v>115</v>
      </c>
      <c r="K12938" t="b">
        <v>1</v>
      </c>
    </row>
    <row r="12939" spans="8:11" x14ac:dyDescent="0.25">
      <c r="H12939">
        <v>143</v>
      </c>
      <c r="I12939">
        <v>256</v>
      </c>
      <c r="J12939">
        <v>115</v>
      </c>
      <c r="K12939" t="b">
        <v>1</v>
      </c>
    </row>
    <row r="12940" spans="8:11" x14ac:dyDescent="0.25">
      <c r="H12940">
        <v>143</v>
      </c>
      <c r="I12940">
        <v>260</v>
      </c>
      <c r="J12940">
        <v>115</v>
      </c>
      <c r="K12940" t="b">
        <v>1</v>
      </c>
    </row>
    <row r="12941" spans="8:11" x14ac:dyDescent="0.25">
      <c r="H12941">
        <v>143</v>
      </c>
      <c r="I12941">
        <v>264</v>
      </c>
      <c r="J12941">
        <v>115</v>
      </c>
      <c r="K12941" t="b">
        <v>1</v>
      </c>
    </row>
    <row r="12942" spans="8:11" x14ac:dyDescent="0.25">
      <c r="H12942">
        <v>143</v>
      </c>
      <c r="I12942">
        <v>268</v>
      </c>
      <c r="J12942">
        <v>115</v>
      </c>
      <c r="K12942" t="b">
        <v>1</v>
      </c>
    </row>
    <row r="12943" spans="8:11" x14ac:dyDescent="0.25">
      <c r="H12943">
        <v>143</v>
      </c>
      <c r="I12943">
        <v>272</v>
      </c>
      <c r="J12943">
        <v>115</v>
      </c>
      <c r="K12943" t="b">
        <v>1</v>
      </c>
    </row>
    <row r="12944" spans="8:11" x14ac:dyDescent="0.25">
      <c r="H12944">
        <v>143</v>
      </c>
      <c r="I12944">
        <v>276</v>
      </c>
      <c r="J12944">
        <v>115</v>
      </c>
      <c r="K12944" t="b">
        <v>1</v>
      </c>
    </row>
    <row r="12945" spans="8:11" x14ac:dyDescent="0.25">
      <c r="H12945">
        <v>143</v>
      </c>
      <c r="I12945">
        <v>280</v>
      </c>
      <c r="J12945">
        <v>115</v>
      </c>
      <c r="K12945" t="b">
        <v>1</v>
      </c>
    </row>
    <row r="12946" spans="8:11" x14ac:dyDescent="0.25">
      <c r="H12946">
        <v>143</v>
      </c>
      <c r="I12946">
        <v>284</v>
      </c>
      <c r="J12946">
        <v>115</v>
      </c>
      <c r="K12946" t="b">
        <v>1</v>
      </c>
    </row>
    <row r="12947" spans="8:11" x14ac:dyDescent="0.25">
      <c r="H12947">
        <v>143</v>
      </c>
      <c r="I12947">
        <v>288</v>
      </c>
      <c r="J12947">
        <v>115</v>
      </c>
      <c r="K12947" t="b">
        <v>1</v>
      </c>
    </row>
    <row r="12948" spans="8:11" x14ac:dyDescent="0.25">
      <c r="H12948">
        <v>143</v>
      </c>
      <c r="I12948">
        <v>292</v>
      </c>
      <c r="J12948">
        <v>115</v>
      </c>
      <c r="K12948" t="b">
        <v>1</v>
      </c>
    </row>
    <row r="12949" spans="8:11" x14ac:dyDescent="0.25">
      <c r="H12949">
        <v>143</v>
      </c>
      <c r="I12949">
        <v>296</v>
      </c>
      <c r="J12949">
        <v>115</v>
      </c>
      <c r="K12949" t="b">
        <v>1</v>
      </c>
    </row>
    <row r="12950" spans="8:11" x14ac:dyDescent="0.25">
      <c r="H12950">
        <v>143</v>
      </c>
      <c r="I12950">
        <v>300</v>
      </c>
      <c r="J12950">
        <v>115</v>
      </c>
      <c r="K12950" t="b">
        <v>1</v>
      </c>
    </row>
    <row r="12951" spans="8:11" x14ac:dyDescent="0.25">
      <c r="H12951">
        <v>143</v>
      </c>
      <c r="I12951">
        <v>304</v>
      </c>
      <c r="J12951">
        <v>115</v>
      </c>
      <c r="K12951" t="b">
        <v>1</v>
      </c>
    </row>
    <row r="12952" spans="8:11" x14ac:dyDescent="0.25">
      <c r="H12952">
        <v>143</v>
      </c>
      <c r="I12952">
        <v>308</v>
      </c>
      <c r="J12952">
        <v>115</v>
      </c>
      <c r="K12952" t="b">
        <v>1</v>
      </c>
    </row>
    <row r="12953" spans="8:11" x14ac:dyDescent="0.25">
      <c r="H12953">
        <v>143</v>
      </c>
      <c r="I12953">
        <v>312</v>
      </c>
      <c r="J12953">
        <v>115</v>
      </c>
      <c r="K12953" t="b">
        <v>1</v>
      </c>
    </row>
    <row r="12954" spans="8:11" x14ac:dyDescent="0.25">
      <c r="H12954">
        <v>143</v>
      </c>
      <c r="I12954">
        <v>316</v>
      </c>
      <c r="J12954">
        <v>115</v>
      </c>
      <c r="K12954" t="b">
        <v>1</v>
      </c>
    </row>
    <row r="12955" spans="8:11" x14ac:dyDescent="0.25">
      <c r="H12955">
        <v>143</v>
      </c>
      <c r="I12955">
        <v>320</v>
      </c>
      <c r="J12955">
        <v>115</v>
      </c>
      <c r="K12955" t="b">
        <v>1</v>
      </c>
    </row>
    <row r="12956" spans="8:11" x14ac:dyDescent="0.25">
      <c r="H12956">
        <v>143</v>
      </c>
      <c r="I12956">
        <v>324</v>
      </c>
      <c r="J12956">
        <v>115</v>
      </c>
      <c r="K12956" t="b">
        <v>1</v>
      </c>
    </row>
    <row r="12957" spans="8:11" x14ac:dyDescent="0.25">
      <c r="H12957">
        <v>143</v>
      </c>
      <c r="I12957">
        <v>328</v>
      </c>
      <c r="J12957">
        <v>115</v>
      </c>
      <c r="K12957" t="b">
        <v>1</v>
      </c>
    </row>
    <row r="12958" spans="8:11" x14ac:dyDescent="0.25">
      <c r="H12958">
        <v>143</v>
      </c>
      <c r="I12958">
        <v>332</v>
      </c>
      <c r="J12958">
        <v>115</v>
      </c>
      <c r="K12958" t="b">
        <v>1</v>
      </c>
    </row>
    <row r="12959" spans="8:11" x14ac:dyDescent="0.25">
      <c r="H12959">
        <v>143</v>
      </c>
      <c r="I12959">
        <v>336</v>
      </c>
      <c r="J12959">
        <v>115</v>
      </c>
      <c r="K12959" t="b">
        <v>1</v>
      </c>
    </row>
    <row r="12960" spans="8:11" x14ac:dyDescent="0.25">
      <c r="H12960">
        <v>143</v>
      </c>
      <c r="I12960">
        <v>340</v>
      </c>
      <c r="J12960">
        <v>115</v>
      </c>
      <c r="K12960" t="b">
        <v>1</v>
      </c>
    </row>
    <row r="12961" spans="8:11" x14ac:dyDescent="0.25">
      <c r="H12961">
        <v>143</v>
      </c>
      <c r="I12961">
        <v>344</v>
      </c>
      <c r="J12961">
        <v>115</v>
      </c>
      <c r="K12961" t="b">
        <v>1</v>
      </c>
    </row>
    <row r="12962" spans="8:11" x14ac:dyDescent="0.25">
      <c r="H12962">
        <v>143</v>
      </c>
      <c r="I12962">
        <v>348</v>
      </c>
      <c r="J12962">
        <v>115</v>
      </c>
      <c r="K12962" t="b">
        <v>1</v>
      </c>
    </row>
    <row r="12963" spans="8:11" x14ac:dyDescent="0.25">
      <c r="H12963">
        <v>143</v>
      </c>
      <c r="I12963">
        <v>352</v>
      </c>
      <c r="J12963">
        <v>115</v>
      </c>
      <c r="K12963" t="b">
        <v>1</v>
      </c>
    </row>
    <row r="12964" spans="8:11" x14ac:dyDescent="0.25">
      <c r="H12964">
        <v>143</v>
      </c>
      <c r="I12964">
        <v>356</v>
      </c>
      <c r="J12964">
        <v>115</v>
      </c>
      <c r="K12964" t="b">
        <v>1</v>
      </c>
    </row>
    <row r="12965" spans="8:11" x14ac:dyDescent="0.25">
      <c r="H12965">
        <v>143</v>
      </c>
      <c r="I12965">
        <v>360</v>
      </c>
      <c r="J12965">
        <v>115</v>
      </c>
      <c r="K12965" t="b">
        <v>1</v>
      </c>
    </row>
    <row r="12966" spans="8:11" x14ac:dyDescent="0.25">
      <c r="H12966">
        <v>143</v>
      </c>
      <c r="I12966">
        <v>364</v>
      </c>
      <c r="J12966">
        <v>115</v>
      </c>
      <c r="K12966" t="b">
        <v>1</v>
      </c>
    </row>
    <row r="12967" spans="8:11" x14ac:dyDescent="0.25">
      <c r="H12967">
        <v>143</v>
      </c>
      <c r="I12967">
        <v>368</v>
      </c>
      <c r="J12967">
        <v>115</v>
      </c>
      <c r="K12967" t="b">
        <v>1</v>
      </c>
    </row>
    <row r="12968" spans="8:11" x14ac:dyDescent="0.25">
      <c r="H12968">
        <v>143</v>
      </c>
      <c r="I12968">
        <v>372</v>
      </c>
      <c r="J12968">
        <v>115</v>
      </c>
      <c r="K12968" t="b">
        <v>1</v>
      </c>
    </row>
    <row r="12969" spans="8:11" x14ac:dyDescent="0.25">
      <c r="H12969">
        <v>143</v>
      </c>
      <c r="I12969">
        <v>376</v>
      </c>
      <c r="J12969">
        <v>115</v>
      </c>
      <c r="K12969" t="b">
        <v>1</v>
      </c>
    </row>
    <row r="12970" spans="8:11" x14ac:dyDescent="0.25">
      <c r="H12970">
        <v>143</v>
      </c>
      <c r="I12970">
        <v>380</v>
      </c>
      <c r="J12970">
        <v>115</v>
      </c>
      <c r="K12970" t="b">
        <v>1</v>
      </c>
    </row>
    <row r="12971" spans="8:11" x14ac:dyDescent="0.25">
      <c r="H12971">
        <v>143</v>
      </c>
      <c r="I12971">
        <v>384</v>
      </c>
      <c r="J12971">
        <v>115</v>
      </c>
      <c r="K12971" t="b">
        <v>1</v>
      </c>
    </row>
    <row r="12972" spans="8:11" x14ac:dyDescent="0.25">
      <c r="H12972">
        <v>143</v>
      </c>
      <c r="I12972">
        <v>388</v>
      </c>
      <c r="J12972">
        <v>115</v>
      </c>
      <c r="K12972" t="b">
        <v>1</v>
      </c>
    </row>
    <row r="12973" spans="8:11" x14ac:dyDescent="0.25">
      <c r="H12973">
        <v>143</v>
      </c>
      <c r="I12973">
        <v>392</v>
      </c>
      <c r="J12973">
        <v>115</v>
      </c>
      <c r="K12973" t="b">
        <v>1</v>
      </c>
    </row>
    <row r="12974" spans="8:11" x14ac:dyDescent="0.25">
      <c r="H12974">
        <v>143</v>
      </c>
      <c r="I12974">
        <v>396</v>
      </c>
      <c r="J12974">
        <v>115</v>
      </c>
      <c r="K12974" t="b">
        <v>1</v>
      </c>
    </row>
    <row r="12975" spans="8:11" x14ac:dyDescent="0.25">
      <c r="H12975">
        <v>143</v>
      </c>
      <c r="I12975">
        <v>400</v>
      </c>
      <c r="J12975">
        <v>115</v>
      </c>
      <c r="K12975" t="b">
        <v>1</v>
      </c>
    </row>
    <row r="12976" spans="8:11" x14ac:dyDescent="0.25">
      <c r="H12976">
        <v>143</v>
      </c>
      <c r="I12976">
        <v>404</v>
      </c>
      <c r="J12976">
        <v>115</v>
      </c>
      <c r="K12976" t="b">
        <v>1</v>
      </c>
    </row>
    <row r="12977" spans="8:11" x14ac:dyDescent="0.25">
      <c r="H12977">
        <v>143</v>
      </c>
      <c r="I12977">
        <v>408</v>
      </c>
      <c r="J12977">
        <v>115</v>
      </c>
      <c r="K12977" t="b">
        <v>1</v>
      </c>
    </row>
    <row r="12978" spans="8:11" x14ac:dyDescent="0.25">
      <c r="H12978">
        <v>143</v>
      </c>
      <c r="I12978">
        <v>412</v>
      </c>
      <c r="J12978">
        <v>115</v>
      </c>
      <c r="K12978" t="b">
        <v>1</v>
      </c>
    </row>
    <row r="12979" spans="8:11" x14ac:dyDescent="0.25">
      <c r="H12979">
        <v>143</v>
      </c>
      <c r="I12979">
        <v>416</v>
      </c>
      <c r="J12979">
        <v>115</v>
      </c>
      <c r="K12979" t="b">
        <v>1</v>
      </c>
    </row>
    <row r="12980" spans="8:11" x14ac:dyDescent="0.25">
      <c r="H12980">
        <v>143</v>
      </c>
      <c r="I12980">
        <v>420</v>
      </c>
      <c r="J12980">
        <v>115</v>
      </c>
      <c r="K12980" t="b">
        <v>1</v>
      </c>
    </row>
    <row r="12981" spans="8:11" x14ac:dyDescent="0.25">
      <c r="H12981">
        <v>143</v>
      </c>
      <c r="I12981">
        <v>424</v>
      </c>
      <c r="J12981">
        <v>115</v>
      </c>
      <c r="K12981" t="b">
        <v>1</v>
      </c>
    </row>
    <row r="12982" spans="8:11" x14ac:dyDescent="0.25">
      <c r="H12982">
        <v>143</v>
      </c>
      <c r="I12982">
        <v>428</v>
      </c>
      <c r="J12982">
        <v>115</v>
      </c>
      <c r="K12982" t="b">
        <v>1</v>
      </c>
    </row>
    <row r="12983" spans="8:11" x14ac:dyDescent="0.25">
      <c r="H12983">
        <v>143</v>
      </c>
      <c r="I12983">
        <v>432</v>
      </c>
      <c r="J12983">
        <v>115</v>
      </c>
      <c r="K12983" t="b">
        <v>1</v>
      </c>
    </row>
    <row r="12984" spans="8:11" x14ac:dyDescent="0.25">
      <c r="H12984">
        <v>143</v>
      </c>
      <c r="I12984">
        <v>436</v>
      </c>
      <c r="J12984">
        <v>115</v>
      </c>
      <c r="K12984" t="b">
        <v>1</v>
      </c>
    </row>
    <row r="12985" spans="8:11" x14ac:dyDescent="0.25">
      <c r="H12985">
        <v>143</v>
      </c>
      <c r="I12985">
        <v>440</v>
      </c>
      <c r="J12985">
        <v>115</v>
      </c>
      <c r="K12985" t="b">
        <v>1</v>
      </c>
    </row>
    <row r="12986" spans="8:11" x14ac:dyDescent="0.25">
      <c r="H12986">
        <v>143</v>
      </c>
      <c r="I12986">
        <v>444</v>
      </c>
      <c r="J12986">
        <v>115</v>
      </c>
      <c r="K12986" t="b">
        <v>1</v>
      </c>
    </row>
    <row r="12987" spans="8:11" x14ac:dyDescent="0.25">
      <c r="H12987">
        <v>143</v>
      </c>
      <c r="I12987">
        <v>448</v>
      </c>
      <c r="J12987">
        <v>115</v>
      </c>
      <c r="K12987" t="b">
        <v>1</v>
      </c>
    </row>
    <row r="12988" spans="8:11" x14ac:dyDescent="0.25">
      <c r="H12988">
        <v>143</v>
      </c>
      <c r="I12988">
        <v>452</v>
      </c>
      <c r="J12988">
        <v>115</v>
      </c>
      <c r="K12988" t="b">
        <v>1</v>
      </c>
    </row>
    <row r="12989" spans="8:11" x14ac:dyDescent="0.25">
      <c r="H12989">
        <v>143</v>
      </c>
      <c r="I12989">
        <v>456</v>
      </c>
      <c r="J12989">
        <v>115</v>
      </c>
      <c r="K12989" t="b">
        <v>1</v>
      </c>
    </row>
    <row r="12990" spans="8:11" x14ac:dyDescent="0.25">
      <c r="H12990">
        <v>143</v>
      </c>
      <c r="I12990">
        <v>460</v>
      </c>
      <c r="J12990">
        <v>115</v>
      </c>
      <c r="K12990" t="b">
        <v>1</v>
      </c>
    </row>
    <row r="12991" spans="8:11" x14ac:dyDescent="0.25">
      <c r="H12991">
        <v>143</v>
      </c>
      <c r="I12991">
        <v>464</v>
      </c>
      <c r="J12991">
        <v>115</v>
      </c>
      <c r="K12991" t="b">
        <v>1</v>
      </c>
    </row>
    <row r="12992" spans="8:11" x14ac:dyDescent="0.25">
      <c r="H12992">
        <v>143</v>
      </c>
      <c r="I12992">
        <v>468</v>
      </c>
      <c r="J12992">
        <v>115</v>
      </c>
      <c r="K12992" t="b">
        <v>1</v>
      </c>
    </row>
    <row r="12993" spans="8:11" x14ac:dyDescent="0.25">
      <c r="H12993">
        <v>143</v>
      </c>
      <c r="I12993">
        <v>472</v>
      </c>
      <c r="J12993">
        <v>115</v>
      </c>
      <c r="K12993" t="b">
        <v>1</v>
      </c>
    </row>
    <row r="12994" spans="8:11" x14ac:dyDescent="0.25">
      <c r="H12994">
        <v>143</v>
      </c>
      <c r="I12994">
        <v>476</v>
      </c>
      <c r="J12994">
        <v>115</v>
      </c>
      <c r="K12994" t="b">
        <v>1</v>
      </c>
    </row>
    <row r="12995" spans="8:11" x14ac:dyDescent="0.25">
      <c r="H12995">
        <v>143</v>
      </c>
      <c r="I12995">
        <v>480</v>
      </c>
      <c r="J12995">
        <v>115</v>
      </c>
      <c r="K12995" t="b">
        <v>1</v>
      </c>
    </row>
    <row r="12996" spans="8:11" x14ac:dyDescent="0.25">
      <c r="H12996">
        <v>143</v>
      </c>
      <c r="I12996">
        <v>484</v>
      </c>
      <c r="J12996">
        <v>115</v>
      </c>
      <c r="K12996" t="b">
        <v>1</v>
      </c>
    </row>
    <row r="12997" spans="8:11" x14ac:dyDescent="0.25">
      <c r="H12997">
        <v>143</v>
      </c>
      <c r="I12997">
        <v>488</v>
      </c>
      <c r="J12997">
        <v>115</v>
      </c>
      <c r="K12997" t="b">
        <v>1</v>
      </c>
    </row>
    <row r="12998" spans="8:11" x14ac:dyDescent="0.25">
      <c r="H12998">
        <v>143</v>
      </c>
      <c r="I12998">
        <v>492</v>
      </c>
      <c r="J12998">
        <v>115</v>
      </c>
      <c r="K12998" t="b">
        <v>1</v>
      </c>
    </row>
    <row r="12999" spans="8:11" x14ac:dyDescent="0.25">
      <c r="H12999">
        <v>143</v>
      </c>
      <c r="I12999">
        <v>496</v>
      </c>
      <c r="J12999">
        <v>115</v>
      </c>
      <c r="K12999" t="b">
        <v>1</v>
      </c>
    </row>
    <row r="13000" spans="8:11" x14ac:dyDescent="0.25">
      <c r="H13000">
        <v>143</v>
      </c>
      <c r="I13000">
        <v>500</v>
      </c>
      <c r="J13000">
        <v>115</v>
      </c>
      <c r="K13000" t="b">
        <v>1</v>
      </c>
    </row>
    <row r="13001" spans="8:11" x14ac:dyDescent="0.25">
      <c r="H13001">
        <v>143</v>
      </c>
      <c r="I13001">
        <v>504</v>
      </c>
      <c r="J13001">
        <v>115</v>
      </c>
      <c r="K13001" t="b">
        <v>1</v>
      </c>
    </row>
    <row r="13002" spans="8:11" x14ac:dyDescent="0.25">
      <c r="H13002">
        <v>143</v>
      </c>
      <c r="I13002">
        <v>508</v>
      </c>
      <c r="J13002">
        <v>115</v>
      </c>
      <c r="K13002" t="b">
        <v>1</v>
      </c>
    </row>
    <row r="13003" spans="8:11" x14ac:dyDescent="0.25">
      <c r="H13003">
        <v>143</v>
      </c>
      <c r="I13003">
        <v>512</v>
      </c>
      <c r="J13003">
        <v>115</v>
      </c>
      <c r="K13003" t="b">
        <v>1</v>
      </c>
    </row>
    <row r="13004" spans="8:11" x14ac:dyDescent="0.25">
      <c r="H13004">
        <v>143</v>
      </c>
      <c r="I13004">
        <v>516</v>
      </c>
      <c r="J13004">
        <v>115</v>
      </c>
      <c r="K13004" t="b">
        <v>1</v>
      </c>
    </row>
    <row r="13005" spans="8:11" x14ac:dyDescent="0.25">
      <c r="H13005">
        <v>143</v>
      </c>
      <c r="I13005">
        <v>520</v>
      </c>
      <c r="J13005">
        <v>115</v>
      </c>
      <c r="K13005" t="b">
        <v>1</v>
      </c>
    </row>
    <row r="13006" spans="8:11" x14ac:dyDescent="0.25">
      <c r="H13006">
        <v>143</v>
      </c>
      <c r="I13006">
        <v>524</v>
      </c>
      <c r="J13006">
        <v>115</v>
      </c>
      <c r="K13006" t="b">
        <v>1</v>
      </c>
    </row>
    <row r="13007" spans="8:11" x14ac:dyDescent="0.25">
      <c r="H13007">
        <v>143</v>
      </c>
      <c r="I13007">
        <v>528</v>
      </c>
      <c r="J13007">
        <v>115</v>
      </c>
      <c r="K13007" t="b">
        <v>1</v>
      </c>
    </row>
    <row r="13008" spans="8:11" x14ac:dyDescent="0.25">
      <c r="H13008">
        <v>143</v>
      </c>
      <c r="I13008">
        <v>532</v>
      </c>
      <c r="J13008">
        <v>115</v>
      </c>
      <c r="K13008" t="b">
        <v>1</v>
      </c>
    </row>
    <row r="13009" spans="8:11" x14ac:dyDescent="0.25">
      <c r="H13009">
        <v>143</v>
      </c>
      <c r="I13009">
        <v>536</v>
      </c>
      <c r="J13009">
        <v>115</v>
      </c>
      <c r="K13009" t="b">
        <v>1</v>
      </c>
    </row>
    <row r="13010" spans="8:11" x14ac:dyDescent="0.25">
      <c r="H13010">
        <v>143</v>
      </c>
      <c r="I13010">
        <v>540</v>
      </c>
      <c r="J13010">
        <v>115</v>
      </c>
      <c r="K13010" t="b">
        <v>1</v>
      </c>
    </row>
    <row r="13011" spans="8:11" x14ac:dyDescent="0.25">
      <c r="H13011">
        <v>143</v>
      </c>
      <c r="I13011">
        <v>544</v>
      </c>
      <c r="J13011">
        <v>115</v>
      </c>
      <c r="K13011" t="b">
        <v>1</v>
      </c>
    </row>
    <row r="13012" spans="8:11" x14ac:dyDescent="0.25">
      <c r="H13012">
        <v>143</v>
      </c>
      <c r="I13012">
        <v>548</v>
      </c>
      <c r="J13012">
        <v>115</v>
      </c>
      <c r="K13012" t="b">
        <v>1</v>
      </c>
    </row>
    <row r="13013" spans="8:11" x14ac:dyDescent="0.25">
      <c r="H13013">
        <v>143</v>
      </c>
      <c r="I13013">
        <v>552</v>
      </c>
      <c r="J13013">
        <v>115</v>
      </c>
      <c r="K13013" t="b">
        <v>1</v>
      </c>
    </row>
    <row r="13014" spans="8:11" x14ac:dyDescent="0.25">
      <c r="H13014">
        <v>143</v>
      </c>
      <c r="I13014">
        <v>556</v>
      </c>
      <c r="J13014">
        <v>115</v>
      </c>
      <c r="K13014" t="b">
        <v>1</v>
      </c>
    </row>
    <row r="13015" spans="8:11" x14ac:dyDescent="0.25">
      <c r="H13015">
        <v>143</v>
      </c>
      <c r="I13015">
        <v>560</v>
      </c>
      <c r="J13015">
        <v>115</v>
      </c>
      <c r="K13015" t="b">
        <v>1</v>
      </c>
    </row>
    <row r="13016" spans="8:11" x14ac:dyDescent="0.25">
      <c r="H13016">
        <v>143</v>
      </c>
      <c r="I13016">
        <v>564</v>
      </c>
      <c r="J13016">
        <v>115</v>
      </c>
      <c r="K13016" t="b">
        <v>1</v>
      </c>
    </row>
    <row r="13017" spans="8:11" x14ac:dyDescent="0.25">
      <c r="H13017">
        <v>143</v>
      </c>
      <c r="I13017">
        <v>568</v>
      </c>
      <c r="J13017">
        <v>115</v>
      </c>
      <c r="K13017" t="b">
        <v>1</v>
      </c>
    </row>
    <row r="13018" spans="8:11" x14ac:dyDescent="0.25">
      <c r="H13018">
        <v>143</v>
      </c>
      <c r="I13018">
        <v>572</v>
      </c>
      <c r="J13018">
        <v>115</v>
      </c>
      <c r="K13018" t="b">
        <v>1</v>
      </c>
    </row>
    <row r="13019" spans="8:11" x14ac:dyDescent="0.25">
      <c r="H13019">
        <v>143</v>
      </c>
      <c r="I13019">
        <v>576</v>
      </c>
      <c r="J13019">
        <v>115</v>
      </c>
      <c r="K13019" t="b">
        <v>1</v>
      </c>
    </row>
    <row r="13020" spans="8:11" x14ac:dyDescent="0.25">
      <c r="H13020">
        <v>143</v>
      </c>
      <c r="I13020">
        <v>580</v>
      </c>
      <c r="J13020">
        <v>115</v>
      </c>
      <c r="K13020" t="b">
        <v>1</v>
      </c>
    </row>
    <row r="13021" spans="8:11" x14ac:dyDescent="0.25">
      <c r="H13021">
        <v>143</v>
      </c>
      <c r="I13021">
        <v>584</v>
      </c>
      <c r="J13021">
        <v>115</v>
      </c>
      <c r="K13021" t="b">
        <v>1</v>
      </c>
    </row>
    <row r="13022" spans="8:11" x14ac:dyDescent="0.25">
      <c r="H13022">
        <v>143</v>
      </c>
      <c r="I13022">
        <v>588</v>
      </c>
      <c r="J13022">
        <v>115</v>
      </c>
      <c r="K13022" t="b">
        <v>1</v>
      </c>
    </row>
    <row r="13023" spans="8:11" x14ac:dyDescent="0.25">
      <c r="H13023">
        <v>143</v>
      </c>
      <c r="I13023">
        <v>592</v>
      </c>
      <c r="J13023">
        <v>115</v>
      </c>
      <c r="K13023" t="b">
        <v>1</v>
      </c>
    </row>
    <row r="13024" spans="8:11" x14ac:dyDescent="0.25">
      <c r="H13024">
        <v>143</v>
      </c>
      <c r="I13024">
        <v>596</v>
      </c>
      <c r="J13024">
        <v>115</v>
      </c>
      <c r="K13024" t="b">
        <v>1</v>
      </c>
    </row>
    <row r="13025" spans="8:11" x14ac:dyDescent="0.25">
      <c r="H13025">
        <v>143</v>
      </c>
      <c r="I13025">
        <v>600</v>
      </c>
      <c r="J13025">
        <v>115</v>
      </c>
      <c r="K13025" t="b">
        <v>1</v>
      </c>
    </row>
    <row r="13026" spans="8:11" x14ac:dyDescent="0.25">
      <c r="H13026">
        <v>143</v>
      </c>
      <c r="I13026">
        <v>604</v>
      </c>
      <c r="J13026">
        <v>115</v>
      </c>
      <c r="K13026" t="b">
        <v>1</v>
      </c>
    </row>
    <row r="13027" spans="8:11" x14ac:dyDescent="0.25">
      <c r="H13027">
        <v>143</v>
      </c>
      <c r="I13027">
        <v>608</v>
      </c>
      <c r="J13027">
        <v>115</v>
      </c>
      <c r="K13027" t="b">
        <v>1</v>
      </c>
    </row>
    <row r="13028" spans="8:11" x14ac:dyDescent="0.25">
      <c r="H13028">
        <v>143</v>
      </c>
      <c r="I13028">
        <v>612</v>
      </c>
      <c r="J13028">
        <v>115</v>
      </c>
      <c r="K13028" t="b">
        <v>1</v>
      </c>
    </row>
    <row r="13029" spans="8:11" x14ac:dyDescent="0.25">
      <c r="H13029">
        <v>143</v>
      </c>
      <c r="I13029">
        <v>616</v>
      </c>
      <c r="J13029">
        <v>115</v>
      </c>
      <c r="K13029" t="b">
        <v>1</v>
      </c>
    </row>
    <row r="13030" spans="8:11" x14ac:dyDescent="0.25">
      <c r="H13030">
        <v>143</v>
      </c>
      <c r="I13030">
        <v>620</v>
      </c>
      <c r="J13030">
        <v>115</v>
      </c>
      <c r="K13030" t="b">
        <v>1</v>
      </c>
    </row>
    <row r="13031" spans="8:11" x14ac:dyDescent="0.25">
      <c r="H13031">
        <v>143</v>
      </c>
      <c r="I13031">
        <v>624</v>
      </c>
      <c r="J13031">
        <v>115</v>
      </c>
      <c r="K13031" t="b">
        <v>1</v>
      </c>
    </row>
    <row r="13032" spans="8:11" x14ac:dyDescent="0.25">
      <c r="H13032">
        <v>143</v>
      </c>
      <c r="I13032">
        <v>628</v>
      </c>
      <c r="J13032">
        <v>115</v>
      </c>
      <c r="K13032" t="b">
        <v>1</v>
      </c>
    </row>
    <row r="13033" spans="8:11" x14ac:dyDescent="0.25">
      <c r="H13033">
        <v>143</v>
      </c>
      <c r="I13033">
        <v>632</v>
      </c>
      <c r="J13033">
        <v>115</v>
      </c>
      <c r="K13033" t="b">
        <v>1</v>
      </c>
    </row>
    <row r="13034" spans="8:11" x14ac:dyDescent="0.25">
      <c r="H13034">
        <v>143</v>
      </c>
      <c r="I13034">
        <v>636</v>
      </c>
      <c r="J13034">
        <v>115</v>
      </c>
      <c r="K13034" t="b">
        <v>1</v>
      </c>
    </row>
    <row r="13035" spans="8:11" x14ac:dyDescent="0.25">
      <c r="H13035">
        <v>143</v>
      </c>
      <c r="I13035">
        <v>640</v>
      </c>
      <c r="J13035">
        <v>115</v>
      </c>
      <c r="K13035" t="b">
        <v>1</v>
      </c>
    </row>
    <row r="13036" spans="8:11" x14ac:dyDescent="0.25">
      <c r="H13036">
        <v>143</v>
      </c>
      <c r="I13036">
        <v>644</v>
      </c>
      <c r="J13036">
        <v>115</v>
      </c>
      <c r="K13036" t="b">
        <v>1</v>
      </c>
    </row>
    <row r="13037" spans="8:11" x14ac:dyDescent="0.25">
      <c r="H13037">
        <v>143</v>
      </c>
      <c r="I13037">
        <v>648</v>
      </c>
      <c r="J13037">
        <v>115</v>
      </c>
      <c r="K13037" t="b">
        <v>1</v>
      </c>
    </row>
    <row r="13038" spans="8:11" x14ac:dyDescent="0.25">
      <c r="H13038">
        <v>143</v>
      </c>
      <c r="I13038">
        <v>652</v>
      </c>
      <c r="J13038">
        <v>115</v>
      </c>
      <c r="K13038" t="b">
        <v>1</v>
      </c>
    </row>
    <row r="13039" spans="8:11" x14ac:dyDescent="0.25">
      <c r="H13039">
        <v>143</v>
      </c>
      <c r="I13039">
        <v>656</v>
      </c>
      <c r="J13039">
        <v>115</v>
      </c>
      <c r="K13039" t="b">
        <v>1</v>
      </c>
    </row>
    <row r="13040" spans="8:11" x14ac:dyDescent="0.25">
      <c r="H13040">
        <v>143</v>
      </c>
      <c r="I13040">
        <v>660</v>
      </c>
      <c r="J13040">
        <v>115</v>
      </c>
      <c r="K13040" t="b">
        <v>1</v>
      </c>
    </row>
    <row r="13041" spans="8:11" x14ac:dyDescent="0.25">
      <c r="H13041">
        <v>143</v>
      </c>
      <c r="I13041">
        <v>664</v>
      </c>
      <c r="J13041">
        <v>115</v>
      </c>
      <c r="K13041" t="b">
        <v>1</v>
      </c>
    </row>
    <row r="13042" spans="8:11" x14ac:dyDescent="0.25">
      <c r="H13042">
        <v>143</v>
      </c>
      <c r="I13042">
        <v>668</v>
      </c>
      <c r="J13042">
        <v>115</v>
      </c>
      <c r="K13042" t="b">
        <v>1</v>
      </c>
    </row>
    <row r="13043" spans="8:11" x14ac:dyDescent="0.25">
      <c r="H13043">
        <v>143</v>
      </c>
      <c r="I13043">
        <v>672</v>
      </c>
      <c r="J13043">
        <v>115</v>
      </c>
      <c r="K13043" t="b">
        <v>1</v>
      </c>
    </row>
    <row r="13044" spans="8:11" x14ac:dyDescent="0.25">
      <c r="H13044">
        <v>143</v>
      </c>
      <c r="I13044">
        <v>676</v>
      </c>
      <c r="J13044">
        <v>115</v>
      </c>
      <c r="K13044" t="b">
        <v>1</v>
      </c>
    </row>
    <row r="13045" spans="8:11" x14ac:dyDescent="0.25">
      <c r="H13045">
        <v>143</v>
      </c>
      <c r="I13045">
        <v>680</v>
      </c>
      <c r="J13045">
        <v>115</v>
      </c>
      <c r="K13045" t="b">
        <v>1</v>
      </c>
    </row>
    <row r="13046" spans="8:11" x14ac:dyDescent="0.25">
      <c r="H13046">
        <v>143</v>
      </c>
      <c r="I13046">
        <v>684</v>
      </c>
      <c r="J13046">
        <v>115</v>
      </c>
      <c r="K13046" t="b">
        <v>1</v>
      </c>
    </row>
    <row r="13047" spans="8:11" x14ac:dyDescent="0.25">
      <c r="H13047">
        <v>143</v>
      </c>
      <c r="I13047">
        <v>688</v>
      </c>
      <c r="J13047">
        <v>115</v>
      </c>
      <c r="K13047" t="b">
        <v>1</v>
      </c>
    </row>
    <row r="13048" spans="8:11" x14ac:dyDescent="0.25">
      <c r="H13048">
        <v>143</v>
      </c>
      <c r="I13048">
        <v>692</v>
      </c>
      <c r="J13048">
        <v>115</v>
      </c>
      <c r="K13048" t="b">
        <v>1</v>
      </c>
    </row>
    <row r="13049" spans="8:11" x14ac:dyDescent="0.25">
      <c r="H13049">
        <v>143</v>
      </c>
      <c r="I13049">
        <v>696</v>
      </c>
      <c r="J13049">
        <v>115</v>
      </c>
      <c r="K13049" t="b">
        <v>1</v>
      </c>
    </row>
    <row r="13050" spans="8:11" x14ac:dyDescent="0.25">
      <c r="H13050">
        <v>143</v>
      </c>
      <c r="I13050">
        <v>700</v>
      </c>
      <c r="J13050">
        <v>115</v>
      </c>
      <c r="K13050" t="b">
        <v>1</v>
      </c>
    </row>
    <row r="13051" spans="8:11" x14ac:dyDescent="0.25">
      <c r="H13051">
        <v>143</v>
      </c>
      <c r="I13051">
        <v>704</v>
      </c>
      <c r="J13051">
        <v>115</v>
      </c>
      <c r="K13051" t="b">
        <v>1</v>
      </c>
    </row>
    <row r="13052" spans="8:11" x14ac:dyDescent="0.25">
      <c r="H13052">
        <v>143</v>
      </c>
      <c r="I13052">
        <v>708</v>
      </c>
      <c r="J13052">
        <v>115</v>
      </c>
      <c r="K13052" t="b">
        <v>1</v>
      </c>
    </row>
    <row r="13053" spans="8:11" x14ac:dyDescent="0.25">
      <c r="H13053">
        <v>143</v>
      </c>
      <c r="I13053">
        <v>712</v>
      </c>
      <c r="J13053">
        <v>115</v>
      </c>
      <c r="K13053" t="b">
        <v>1</v>
      </c>
    </row>
    <row r="13054" spans="8:11" x14ac:dyDescent="0.25">
      <c r="H13054">
        <v>143</v>
      </c>
      <c r="I13054">
        <v>716</v>
      </c>
      <c r="J13054">
        <v>115</v>
      </c>
      <c r="K13054" t="b">
        <v>1</v>
      </c>
    </row>
    <row r="13055" spans="8:11" x14ac:dyDescent="0.25">
      <c r="H13055">
        <v>143</v>
      </c>
      <c r="I13055">
        <v>720</v>
      </c>
      <c r="J13055">
        <v>115</v>
      </c>
      <c r="K13055" t="b">
        <v>1</v>
      </c>
    </row>
    <row r="13056" spans="8:11" x14ac:dyDescent="0.25">
      <c r="H13056">
        <v>143</v>
      </c>
      <c r="I13056">
        <v>724</v>
      </c>
      <c r="J13056">
        <v>115</v>
      </c>
      <c r="K13056" t="b">
        <v>1</v>
      </c>
    </row>
    <row r="13057" spans="8:11" x14ac:dyDescent="0.25">
      <c r="H13057">
        <v>143</v>
      </c>
      <c r="I13057">
        <v>728</v>
      </c>
      <c r="J13057">
        <v>115</v>
      </c>
      <c r="K13057" t="b">
        <v>1</v>
      </c>
    </row>
    <row r="13058" spans="8:11" x14ac:dyDescent="0.25">
      <c r="H13058">
        <v>143</v>
      </c>
      <c r="I13058">
        <v>732</v>
      </c>
      <c r="J13058">
        <v>115</v>
      </c>
      <c r="K13058" t="b">
        <v>1</v>
      </c>
    </row>
    <row r="13059" spans="8:11" x14ac:dyDescent="0.25">
      <c r="H13059">
        <v>143</v>
      </c>
      <c r="I13059">
        <v>736</v>
      </c>
      <c r="J13059">
        <v>115</v>
      </c>
      <c r="K13059" t="b">
        <v>1</v>
      </c>
    </row>
    <row r="13060" spans="8:11" x14ac:dyDescent="0.25">
      <c r="H13060">
        <v>143</v>
      </c>
      <c r="I13060">
        <v>740</v>
      </c>
      <c r="J13060">
        <v>115</v>
      </c>
      <c r="K13060" t="b">
        <v>1</v>
      </c>
    </row>
    <row r="13061" spans="8:11" x14ac:dyDescent="0.25">
      <c r="H13061">
        <v>143</v>
      </c>
      <c r="I13061">
        <v>744</v>
      </c>
      <c r="J13061">
        <v>115</v>
      </c>
      <c r="K13061" t="b">
        <v>1</v>
      </c>
    </row>
    <row r="13062" spans="8:11" x14ac:dyDescent="0.25">
      <c r="H13062">
        <v>143</v>
      </c>
      <c r="I13062">
        <v>748</v>
      </c>
      <c r="J13062">
        <v>115</v>
      </c>
      <c r="K13062" t="b">
        <v>1</v>
      </c>
    </row>
    <row r="13063" spans="8:11" x14ac:dyDescent="0.25">
      <c r="H13063">
        <v>143</v>
      </c>
      <c r="I13063">
        <v>752</v>
      </c>
      <c r="J13063">
        <v>115</v>
      </c>
      <c r="K13063" t="b">
        <v>1</v>
      </c>
    </row>
    <row r="13064" spans="8:11" x14ac:dyDescent="0.25">
      <c r="H13064">
        <v>143</v>
      </c>
      <c r="I13064">
        <v>756</v>
      </c>
      <c r="J13064">
        <v>115</v>
      </c>
      <c r="K13064" t="b">
        <v>1</v>
      </c>
    </row>
    <row r="13065" spans="8:11" x14ac:dyDescent="0.25">
      <c r="H13065">
        <v>143</v>
      </c>
      <c r="I13065">
        <v>760</v>
      </c>
      <c r="J13065">
        <v>115</v>
      </c>
      <c r="K13065" t="b">
        <v>1</v>
      </c>
    </row>
    <row r="13066" spans="8:11" x14ac:dyDescent="0.25">
      <c r="H13066">
        <v>143</v>
      </c>
      <c r="I13066">
        <v>764</v>
      </c>
      <c r="J13066">
        <v>115</v>
      </c>
      <c r="K13066" t="b">
        <v>1</v>
      </c>
    </row>
    <row r="13067" spans="8:11" x14ac:dyDescent="0.25">
      <c r="H13067">
        <v>143</v>
      </c>
      <c r="I13067">
        <v>768</v>
      </c>
      <c r="J13067">
        <v>115</v>
      </c>
      <c r="K13067" t="b">
        <v>1</v>
      </c>
    </row>
    <row r="13068" spans="8:11" x14ac:dyDescent="0.25">
      <c r="H13068">
        <v>143</v>
      </c>
      <c r="I13068">
        <v>772</v>
      </c>
      <c r="J13068">
        <v>115</v>
      </c>
      <c r="K13068" t="b">
        <v>1</v>
      </c>
    </row>
    <row r="13069" spans="8:11" x14ac:dyDescent="0.25">
      <c r="H13069">
        <v>143</v>
      </c>
      <c r="I13069">
        <v>776</v>
      </c>
      <c r="J13069">
        <v>115</v>
      </c>
      <c r="K13069" t="b">
        <v>1</v>
      </c>
    </row>
    <row r="13070" spans="8:11" x14ac:dyDescent="0.25">
      <c r="H13070">
        <v>143</v>
      </c>
      <c r="I13070">
        <v>780</v>
      </c>
      <c r="J13070">
        <v>115</v>
      </c>
      <c r="K13070" t="b">
        <v>1</v>
      </c>
    </row>
    <row r="13071" spans="8:11" x14ac:dyDescent="0.25">
      <c r="H13071">
        <v>143</v>
      </c>
      <c r="I13071">
        <v>784</v>
      </c>
      <c r="J13071">
        <v>115</v>
      </c>
      <c r="K13071" t="b">
        <v>1</v>
      </c>
    </row>
    <row r="13072" spans="8:11" x14ac:dyDescent="0.25">
      <c r="H13072">
        <v>143</v>
      </c>
      <c r="I13072">
        <v>788</v>
      </c>
      <c r="J13072">
        <v>115</v>
      </c>
      <c r="K13072" t="b">
        <v>1</v>
      </c>
    </row>
    <row r="13073" spans="8:11" x14ac:dyDescent="0.25">
      <c r="H13073">
        <v>143</v>
      </c>
      <c r="I13073">
        <v>792</v>
      </c>
      <c r="J13073">
        <v>115</v>
      </c>
      <c r="K13073" t="b">
        <v>1</v>
      </c>
    </row>
    <row r="13074" spans="8:11" x14ac:dyDescent="0.25">
      <c r="H13074">
        <v>143</v>
      </c>
      <c r="I13074">
        <v>796</v>
      </c>
      <c r="J13074">
        <v>115</v>
      </c>
      <c r="K13074" t="b">
        <v>1</v>
      </c>
    </row>
    <row r="13075" spans="8:11" x14ac:dyDescent="0.25">
      <c r="H13075">
        <v>143</v>
      </c>
      <c r="I13075">
        <v>800</v>
      </c>
      <c r="J13075">
        <v>115</v>
      </c>
      <c r="K13075" t="b">
        <v>1</v>
      </c>
    </row>
    <row r="13076" spans="8:11" x14ac:dyDescent="0.25">
      <c r="H13076">
        <v>143</v>
      </c>
      <c r="I13076">
        <v>804</v>
      </c>
      <c r="J13076">
        <v>115</v>
      </c>
      <c r="K13076" t="b">
        <v>1</v>
      </c>
    </row>
    <row r="13077" spans="8:11" x14ac:dyDescent="0.25">
      <c r="H13077">
        <v>143</v>
      </c>
      <c r="I13077">
        <v>808</v>
      </c>
      <c r="J13077">
        <v>115</v>
      </c>
      <c r="K13077" t="b">
        <v>1</v>
      </c>
    </row>
    <row r="13078" spans="8:11" x14ac:dyDescent="0.25">
      <c r="H13078">
        <v>143</v>
      </c>
      <c r="I13078">
        <v>812</v>
      </c>
      <c r="J13078">
        <v>115</v>
      </c>
      <c r="K13078" t="b">
        <v>1</v>
      </c>
    </row>
    <row r="13079" spans="8:11" x14ac:dyDescent="0.25">
      <c r="H13079">
        <v>143</v>
      </c>
      <c r="I13079">
        <v>816</v>
      </c>
      <c r="J13079">
        <v>115</v>
      </c>
      <c r="K13079" t="b">
        <v>1</v>
      </c>
    </row>
    <row r="13080" spans="8:11" x14ac:dyDescent="0.25">
      <c r="H13080">
        <v>143</v>
      </c>
      <c r="I13080">
        <v>820</v>
      </c>
      <c r="J13080">
        <v>115</v>
      </c>
      <c r="K13080" t="b">
        <v>1</v>
      </c>
    </row>
    <row r="13081" spans="8:11" x14ac:dyDescent="0.25">
      <c r="H13081">
        <v>143</v>
      </c>
      <c r="I13081">
        <v>824</v>
      </c>
      <c r="J13081">
        <v>115</v>
      </c>
      <c r="K13081" t="b">
        <v>1</v>
      </c>
    </row>
    <row r="13082" spans="8:11" x14ac:dyDescent="0.25">
      <c r="H13082">
        <v>143</v>
      </c>
      <c r="I13082">
        <v>828</v>
      </c>
      <c r="J13082">
        <v>115</v>
      </c>
      <c r="K13082" t="b">
        <v>1</v>
      </c>
    </row>
    <row r="13083" spans="8:11" x14ac:dyDescent="0.25">
      <c r="H13083">
        <v>143</v>
      </c>
      <c r="I13083">
        <v>832</v>
      </c>
      <c r="J13083">
        <v>115</v>
      </c>
      <c r="K13083" t="b">
        <v>1</v>
      </c>
    </row>
    <row r="13084" spans="8:11" x14ac:dyDescent="0.25">
      <c r="H13084">
        <v>143</v>
      </c>
      <c r="I13084">
        <v>836</v>
      </c>
      <c r="J13084">
        <v>115</v>
      </c>
      <c r="K13084" t="b">
        <v>1</v>
      </c>
    </row>
    <row r="13085" spans="8:11" x14ac:dyDescent="0.25">
      <c r="H13085">
        <v>143</v>
      </c>
      <c r="I13085">
        <v>840</v>
      </c>
      <c r="J13085">
        <v>115</v>
      </c>
      <c r="K13085" t="b">
        <v>1</v>
      </c>
    </row>
    <row r="13086" spans="8:11" x14ac:dyDescent="0.25">
      <c r="H13086">
        <v>143</v>
      </c>
      <c r="I13086">
        <v>844</v>
      </c>
      <c r="J13086">
        <v>115</v>
      </c>
      <c r="K13086" t="b">
        <v>1</v>
      </c>
    </row>
    <row r="13087" spans="8:11" x14ac:dyDescent="0.25">
      <c r="H13087">
        <v>143</v>
      </c>
      <c r="I13087">
        <v>848</v>
      </c>
      <c r="J13087">
        <v>115</v>
      </c>
      <c r="K13087" t="b">
        <v>1</v>
      </c>
    </row>
    <row r="13088" spans="8:11" x14ac:dyDescent="0.25">
      <c r="H13088">
        <v>143</v>
      </c>
      <c r="I13088">
        <v>852</v>
      </c>
      <c r="J13088">
        <v>115</v>
      </c>
      <c r="K13088" t="b">
        <v>1</v>
      </c>
    </row>
    <row r="13089" spans="8:11" x14ac:dyDescent="0.25">
      <c r="H13089">
        <v>143</v>
      </c>
      <c r="I13089">
        <v>856</v>
      </c>
      <c r="J13089">
        <v>115</v>
      </c>
      <c r="K13089" t="b">
        <v>1</v>
      </c>
    </row>
    <row r="13090" spans="8:11" x14ac:dyDescent="0.25">
      <c r="H13090">
        <v>143</v>
      </c>
      <c r="I13090">
        <v>860</v>
      </c>
      <c r="J13090">
        <v>115</v>
      </c>
      <c r="K13090" t="b">
        <v>1</v>
      </c>
    </row>
    <row r="13091" spans="8:11" x14ac:dyDescent="0.25">
      <c r="H13091">
        <v>143</v>
      </c>
      <c r="I13091">
        <v>864</v>
      </c>
      <c r="J13091">
        <v>115</v>
      </c>
      <c r="K13091" t="b">
        <v>1</v>
      </c>
    </row>
    <row r="13092" spans="8:11" x14ac:dyDescent="0.25">
      <c r="H13092">
        <v>143</v>
      </c>
      <c r="I13092">
        <v>868</v>
      </c>
      <c r="J13092">
        <v>115</v>
      </c>
      <c r="K13092" t="b">
        <v>1</v>
      </c>
    </row>
    <row r="13093" spans="8:11" x14ac:dyDescent="0.25">
      <c r="H13093">
        <v>143</v>
      </c>
      <c r="I13093">
        <v>872</v>
      </c>
      <c r="J13093">
        <v>115</v>
      </c>
      <c r="K13093" t="b">
        <v>1</v>
      </c>
    </row>
    <row r="13094" spans="8:11" x14ac:dyDescent="0.25">
      <c r="H13094">
        <v>143</v>
      </c>
      <c r="I13094">
        <v>876</v>
      </c>
      <c r="J13094">
        <v>115</v>
      </c>
      <c r="K13094" t="b">
        <v>1</v>
      </c>
    </row>
    <row r="13095" spans="8:11" x14ac:dyDescent="0.25">
      <c r="H13095">
        <v>143</v>
      </c>
      <c r="I13095">
        <v>880</v>
      </c>
      <c r="J13095">
        <v>115</v>
      </c>
      <c r="K13095" t="b">
        <v>1</v>
      </c>
    </row>
    <row r="13096" spans="8:11" x14ac:dyDescent="0.25">
      <c r="H13096">
        <v>143</v>
      </c>
      <c r="I13096">
        <v>884</v>
      </c>
      <c r="J13096">
        <v>115</v>
      </c>
      <c r="K13096" t="b">
        <v>1</v>
      </c>
    </row>
    <row r="13097" spans="8:11" x14ac:dyDescent="0.25">
      <c r="H13097">
        <v>143</v>
      </c>
      <c r="I13097">
        <v>888</v>
      </c>
      <c r="J13097">
        <v>115</v>
      </c>
      <c r="K13097" t="b">
        <v>1</v>
      </c>
    </row>
    <row r="13098" spans="8:11" x14ac:dyDescent="0.25">
      <c r="H13098">
        <v>143</v>
      </c>
      <c r="I13098">
        <v>892</v>
      </c>
      <c r="J13098">
        <v>115</v>
      </c>
      <c r="K13098" t="b">
        <v>1</v>
      </c>
    </row>
    <row r="13099" spans="8:11" x14ac:dyDescent="0.25">
      <c r="H13099">
        <v>143</v>
      </c>
      <c r="I13099">
        <v>896</v>
      </c>
      <c r="J13099">
        <v>115</v>
      </c>
      <c r="K13099" t="b">
        <v>1</v>
      </c>
    </row>
    <row r="13100" spans="8:11" x14ac:dyDescent="0.25">
      <c r="H13100">
        <v>143</v>
      </c>
      <c r="I13100">
        <v>900</v>
      </c>
      <c r="J13100">
        <v>115</v>
      </c>
      <c r="K13100" t="b">
        <v>1</v>
      </c>
    </row>
    <row r="13101" spans="8:11" x14ac:dyDescent="0.25">
      <c r="H13101">
        <v>143</v>
      </c>
      <c r="I13101">
        <v>904</v>
      </c>
      <c r="J13101">
        <v>115</v>
      </c>
      <c r="K13101" t="b">
        <v>1</v>
      </c>
    </row>
    <row r="13102" spans="8:11" x14ac:dyDescent="0.25">
      <c r="H13102">
        <v>143</v>
      </c>
      <c r="I13102">
        <v>908</v>
      </c>
      <c r="J13102">
        <v>115</v>
      </c>
      <c r="K13102" t="b">
        <v>1</v>
      </c>
    </row>
    <row r="13103" spans="8:11" x14ac:dyDescent="0.25">
      <c r="H13103">
        <v>143</v>
      </c>
      <c r="I13103">
        <v>912</v>
      </c>
      <c r="J13103">
        <v>115</v>
      </c>
      <c r="K13103" t="b">
        <v>1</v>
      </c>
    </row>
    <row r="13104" spans="8:11" x14ac:dyDescent="0.25">
      <c r="H13104">
        <v>143</v>
      </c>
      <c r="I13104">
        <v>916</v>
      </c>
      <c r="J13104">
        <v>115</v>
      </c>
      <c r="K13104" t="b">
        <v>1</v>
      </c>
    </row>
    <row r="13105" spans="8:11" x14ac:dyDescent="0.25">
      <c r="H13105">
        <v>143</v>
      </c>
      <c r="I13105">
        <v>920</v>
      </c>
      <c r="J13105">
        <v>115</v>
      </c>
      <c r="K13105" t="b">
        <v>1</v>
      </c>
    </row>
    <row r="13106" spans="8:11" x14ac:dyDescent="0.25">
      <c r="H13106">
        <v>143</v>
      </c>
      <c r="I13106">
        <v>924</v>
      </c>
      <c r="J13106">
        <v>115</v>
      </c>
      <c r="K13106" t="b">
        <v>1</v>
      </c>
    </row>
    <row r="13107" spans="8:11" x14ac:dyDescent="0.25">
      <c r="H13107">
        <v>143</v>
      </c>
      <c r="I13107">
        <v>928</v>
      </c>
      <c r="J13107">
        <v>115</v>
      </c>
      <c r="K13107" t="b">
        <v>1</v>
      </c>
    </row>
    <row r="13108" spans="8:11" x14ac:dyDescent="0.25">
      <c r="H13108">
        <v>143</v>
      </c>
      <c r="I13108">
        <v>932</v>
      </c>
      <c r="J13108">
        <v>115</v>
      </c>
      <c r="K13108" t="b">
        <v>1</v>
      </c>
    </row>
    <row r="13109" spans="8:11" x14ac:dyDescent="0.25">
      <c r="H13109">
        <v>143</v>
      </c>
      <c r="I13109">
        <v>936</v>
      </c>
      <c r="J13109">
        <v>115</v>
      </c>
      <c r="K13109" t="b">
        <v>1</v>
      </c>
    </row>
    <row r="13110" spans="8:11" x14ac:dyDescent="0.25">
      <c r="H13110">
        <v>143</v>
      </c>
      <c r="I13110">
        <v>940</v>
      </c>
      <c r="J13110">
        <v>115</v>
      </c>
      <c r="K13110" t="b">
        <v>1</v>
      </c>
    </row>
    <row r="13111" spans="8:11" x14ac:dyDescent="0.25">
      <c r="H13111">
        <v>143</v>
      </c>
      <c r="I13111">
        <v>944</v>
      </c>
      <c r="J13111">
        <v>115</v>
      </c>
      <c r="K13111" t="b">
        <v>1</v>
      </c>
    </row>
    <row r="13112" spans="8:11" x14ac:dyDescent="0.25">
      <c r="H13112">
        <v>143</v>
      </c>
      <c r="I13112">
        <v>948</v>
      </c>
      <c r="J13112">
        <v>115</v>
      </c>
      <c r="K13112" t="b">
        <v>1</v>
      </c>
    </row>
    <row r="13113" spans="8:11" x14ac:dyDescent="0.25">
      <c r="H13113">
        <v>143</v>
      </c>
      <c r="I13113">
        <v>952</v>
      </c>
      <c r="J13113">
        <v>115</v>
      </c>
      <c r="K13113" t="b">
        <v>1</v>
      </c>
    </row>
    <row r="13114" spans="8:11" x14ac:dyDescent="0.25">
      <c r="H13114">
        <v>143</v>
      </c>
      <c r="I13114">
        <v>956</v>
      </c>
      <c r="J13114">
        <v>115</v>
      </c>
      <c r="K13114" t="b">
        <v>1</v>
      </c>
    </row>
    <row r="13115" spans="8:11" x14ac:dyDescent="0.25">
      <c r="H13115">
        <v>144</v>
      </c>
      <c r="I13115">
        <v>0</v>
      </c>
      <c r="J13115">
        <v>115</v>
      </c>
      <c r="K13115" t="b">
        <v>1</v>
      </c>
    </row>
    <row r="13116" spans="8:11" x14ac:dyDescent="0.25">
      <c r="H13116">
        <v>144</v>
      </c>
      <c r="I13116">
        <v>4</v>
      </c>
      <c r="J13116">
        <v>115</v>
      </c>
      <c r="K13116" t="b">
        <v>1</v>
      </c>
    </row>
    <row r="13117" spans="8:11" x14ac:dyDescent="0.25">
      <c r="H13117">
        <v>144</v>
      </c>
      <c r="I13117">
        <v>8</v>
      </c>
      <c r="J13117">
        <v>115</v>
      </c>
      <c r="K13117" t="b">
        <v>1</v>
      </c>
    </row>
    <row r="13118" spans="8:11" x14ac:dyDescent="0.25">
      <c r="H13118">
        <v>144</v>
      </c>
      <c r="I13118">
        <v>12</v>
      </c>
      <c r="J13118">
        <v>115</v>
      </c>
      <c r="K13118" t="b">
        <v>1</v>
      </c>
    </row>
    <row r="13119" spans="8:11" x14ac:dyDescent="0.25">
      <c r="H13119">
        <v>144</v>
      </c>
      <c r="I13119">
        <v>16</v>
      </c>
      <c r="J13119">
        <v>115</v>
      </c>
      <c r="K13119" t="b">
        <v>1</v>
      </c>
    </row>
    <row r="13120" spans="8:11" x14ac:dyDescent="0.25">
      <c r="H13120">
        <v>144</v>
      </c>
      <c r="I13120">
        <v>20</v>
      </c>
      <c r="J13120">
        <v>115</v>
      </c>
      <c r="K13120" t="b">
        <v>1</v>
      </c>
    </row>
    <row r="13121" spans="8:11" x14ac:dyDescent="0.25">
      <c r="H13121">
        <v>144</v>
      </c>
      <c r="I13121">
        <v>24</v>
      </c>
      <c r="J13121">
        <v>115</v>
      </c>
      <c r="K13121" t="b">
        <v>1</v>
      </c>
    </row>
    <row r="13122" spans="8:11" x14ac:dyDescent="0.25">
      <c r="H13122">
        <v>144</v>
      </c>
      <c r="I13122">
        <v>28</v>
      </c>
      <c r="J13122">
        <v>115</v>
      </c>
      <c r="K13122" t="b">
        <v>1</v>
      </c>
    </row>
    <row r="13123" spans="8:11" x14ac:dyDescent="0.25">
      <c r="H13123">
        <v>144</v>
      </c>
      <c r="I13123">
        <v>32</v>
      </c>
      <c r="J13123">
        <v>115</v>
      </c>
      <c r="K13123" t="b">
        <v>1</v>
      </c>
    </row>
    <row r="13124" spans="8:11" x14ac:dyDescent="0.25">
      <c r="H13124">
        <v>144</v>
      </c>
      <c r="I13124">
        <v>36</v>
      </c>
      <c r="J13124">
        <v>115</v>
      </c>
      <c r="K13124" t="b">
        <v>1</v>
      </c>
    </row>
    <row r="13125" spans="8:11" x14ac:dyDescent="0.25">
      <c r="H13125">
        <v>144</v>
      </c>
      <c r="I13125">
        <v>40</v>
      </c>
      <c r="J13125">
        <v>115</v>
      </c>
      <c r="K13125" t="b">
        <v>1</v>
      </c>
    </row>
    <row r="13126" spans="8:11" x14ac:dyDescent="0.25">
      <c r="H13126">
        <v>144</v>
      </c>
      <c r="I13126">
        <v>44</v>
      </c>
      <c r="J13126">
        <v>115</v>
      </c>
      <c r="K13126" t="b">
        <v>1</v>
      </c>
    </row>
    <row r="13127" spans="8:11" x14ac:dyDescent="0.25">
      <c r="H13127">
        <v>144</v>
      </c>
      <c r="I13127">
        <v>48</v>
      </c>
      <c r="J13127">
        <v>115</v>
      </c>
      <c r="K13127" t="b">
        <v>1</v>
      </c>
    </row>
    <row r="13128" spans="8:11" x14ac:dyDescent="0.25">
      <c r="H13128">
        <v>144</v>
      </c>
      <c r="I13128">
        <v>52</v>
      </c>
      <c r="J13128">
        <v>115</v>
      </c>
      <c r="K13128" t="b">
        <v>1</v>
      </c>
    </row>
    <row r="13129" spans="8:11" x14ac:dyDescent="0.25">
      <c r="H13129">
        <v>144</v>
      </c>
      <c r="I13129">
        <v>56</v>
      </c>
      <c r="J13129">
        <v>115</v>
      </c>
      <c r="K13129" t="b">
        <v>1</v>
      </c>
    </row>
    <row r="13130" spans="8:11" x14ac:dyDescent="0.25">
      <c r="H13130">
        <v>144</v>
      </c>
      <c r="I13130">
        <v>60</v>
      </c>
      <c r="J13130">
        <v>115</v>
      </c>
      <c r="K13130" t="b">
        <v>1</v>
      </c>
    </row>
    <row r="13131" spans="8:11" x14ac:dyDescent="0.25">
      <c r="H13131">
        <v>144</v>
      </c>
      <c r="I13131">
        <v>64</v>
      </c>
      <c r="J13131">
        <v>115</v>
      </c>
      <c r="K13131" t="b">
        <v>1</v>
      </c>
    </row>
    <row r="13132" spans="8:11" x14ac:dyDescent="0.25">
      <c r="H13132">
        <v>144</v>
      </c>
      <c r="I13132">
        <v>68</v>
      </c>
      <c r="J13132">
        <v>115</v>
      </c>
      <c r="K13132" t="b">
        <v>1</v>
      </c>
    </row>
    <row r="13133" spans="8:11" x14ac:dyDescent="0.25">
      <c r="H13133">
        <v>144</v>
      </c>
      <c r="I13133">
        <v>72</v>
      </c>
      <c r="J13133">
        <v>115</v>
      </c>
      <c r="K13133" t="b">
        <v>1</v>
      </c>
    </row>
    <row r="13134" spans="8:11" x14ac:dyDescent="0.25">
      <c r="H13134">
        <v>144</v>
      </c>
      <c r="I13134">
        <v>76</v>
      </c>
      <c r="J13134">
        <v>115</v>
      </c>
      <c r="K13134" t="b">
        <v>1</v>
      </c>
    </row>
    <row r="13135" spans="8:11" x14ac:dyDescent="0.25">
      <c r="H13135">
        <v>144</v>
      </c>
      <c r="I13135">
        <v>80</v>
      </c>
      <c r="J13135">
        <v>115</v>
      </c>
      <c r="K13135" t="b">
        <v>1</v>
      </c>
    </row>
    <row r="13136" spans="8:11" x14ac:dyDescent="0.25">
      <c r="H13136">
        <v>144</v>
      </c>
      <c r="I13136">
        <v>84</v>
      </c>
      <c r="J13136">
        <v>115</v>
      </c>
      <c r="K13136" t="b">
        <v>1</v>
      </c>
    </row>
    <row r="13137" spans="8:11" x14ac:dyDescent="0.25">
      <c r="H13137">
        <v>144</v>
      </c>
      <c r="I13137">
        <v>88</v>
      </c>
      <c r="J13137">
        <v>115</v>
      </c>
      <c r="K13137" t="b">
        <v>1</v>
      </c>
    </row>
    <row r="13138" spans="8:11" x14ac:dyDescent="0.25">
      <c r="H13138">
        <v>144</v>
      </c>
      <c r="I13138">
        <v>92</v>
      </c>
      <c r="J13138">
        <v>115</v>
      </c>
      <c r="K13138" t="b">
        <v>1</v>
      </c>
    </row>
    <row r="13139" spans="8:11" x14ac:dyDescent="0.25">
      <c r="H13139">
        <v>144</v>
      </c>
      <c r="I13139">
        <v>96</v>
      </c>
      <c r="J13139">
        <v>115</v>
      </c>
      <c r="K13139" t="b">
        <v>1</v>
      </c>
    </row>
    <row r="13140" spans="8:11" x14ac:dyDescent="0.25">
      <c r="H13140">
        <v>144</v>
      </c>
      <c r="I13140">
        <v>100</v>
      </c>
      <c r="J13140">
        <v>115</v>
      </c>
      <c r="K13140" t="b">
        <v>1</v>
      </c>
    </row>
    <row r="13141" spans="8:11" x14ac:dyDescent="0.25">
      <c r="H13141">
        <v>144</v>
      </c>
      <c r="I13141">
        <v>104</v>
      </c>
      <c r="J13141">
        <v>115</v>
      </c>
      <c r="K13141" t="b">
        <v>1</v>
      </c>
    </row>
    <row r="13142" spans="8:11" x14ac:dyDescent="0.25">
      <c r="H13142">
        <v>144</v>
      </c>
      <c r="I13142">
        <v>108</v>
      </c>
      <c r="J13142">
        <v>115</v>
      </c>
      <c r="K13142" t="b">
        <v>1</v>
      </c>
    </row>
    <row r="13143" spans="8:11" x14ac:dyDescent="0.25">
      <c r="H13143">
        <v>144</v>
      </c>
      <c r="I13143">
        <v>112</v>
      </c>
      <c r="J13143">
        <v>115</v>
      </c>
      <c r="K13143" t="b">
        <v>1</v>
      </c>
    </row>
    <row r="13144" spans="8:11" x14ac:dyDescent="0.25">
      <c r="H13144">
        <v>144</v>
      </c>
      <c r="I13144">
        <v>116</v>
      </c>
      <c r="J13144">
        <v>115</v>
      </c>
      <c r="K13144" t="b">
        <v>1</v>
      </c>
    </row>
    <row r="13145" spans="8:11" x14ac:dyDescent="0.25">
      <c r="H13145">
        <v>144</v>
      </c>
      <c r="I13145">
        <v>120</v>
      </c>
      <c r="J13145">
        <v>115</v>
      </c>
      <c r="K13145" t="b">
        <v>1</v>
      </c>
    </row>
    <row r="13146" spans="8:11" x14ac:dyDescent="0.25">
      <c r="H13146">
        <v>144</v>
      </c>
      <c r="I13146">
        <v>124</v>
      </c>
      <c r="J13146">
        <v>115</v>
      </c>
      <c r="K13146" t="b">
        <v>1</v>
      </c>
    </row>
    <row r="13147" spans="8:11" x14ac:dyDescent="0.25">
      <c r="H13147">
        <v>144</v>
      </c>
      <c r="I13147">
        <v>128</v>
      </c>
      <c r="J13147">
        <v>115</v>
      </c>
      <c r="K13147" t="b">
        <v>1</v>
      </c>
    </row>
    <row r="13148" spans="8:11" x14ac:dyDescent="0.25">
      <c r="H13148">
        <v>144</v>
      </c>
      <c r="I13148">
        <v>132</v>
      </c>
      <c r="J13148">
        <v>115</v>
      </c>
      <c r="K13148" t="b">
        <v>1</v>
      </c>
    </row>
    <row r="13149" spans="8:11" x14ac:dyDescent="0.25">
      <c r="H13149">
        <v>144</v>
      </c>
      <c r="I13149">
        <v>136</v>
      </c>
      <c r="J13149">
        <v>115</v>
      </c>
      <c r="K13149" t="b">
        <v>1</v>
      </c>
    </row>
    <row r="13150" spans="8:11" x14ac:dyDescent="0.25">
      <c r="H13150">
        <v>144</v>
      </c>
      <c r="I13150">
        <v>140</v>
      </c>
      <c r="J13150">
        <v>115</v>
      </c>
      <c r="K13150" t="b">
        <v>1</v>
      </c>
    </row>
    <row r="13151" spans="8:11" x14ac:dyDescent="0.25">
      <c r="H13151">
        <v>144</v>
      </c>
      <c r="I13151">
        <v>144</v>
      </c>
      <c r="J13151">
        <v>115</v>
      </c>
      <c r="K13151" t="b">
        <v>1</v>
      </c>
    </row>
    <row r="13152" spans="8:11" x14ac:dyDescent="0.25">
      <c r="H13152">
        <v>144</v>
      </c>
      <c r="I13152">
        <v>148</v>
      </c>
      <c r="J13152">
        <v>115</v>
      </c>
      <c r="K13152" t="b">
        <v>1</v>
      </c>
    </row>
    <row r="13153" spans="8:11" x14ac:dyDescent="0.25">
      <c r="H13153">
        <v>144</v>
      </c>
      <c r="I13153">
        <v>152</v>
      </c>
      <c r="J13153">
        <v>115</v>
      </c>
      <c r="K13153" t="b">
        <v>1</v>
      </c>
    </row>
    <row r="13154" spans="8:11" x14ac:dyDescent="0.25">
      <c r="H13154">
        <v>144</v>
      </c>
      <c r="I13154">
        <v>156</v>
      </c>
      <c r="J13154">
        <v>115</v>
      </c>
      <c r="K13154" t="b">
        <v>1</v>
      </c>
    </row>
    <row r="13155" spans="8:11" x14ac:dyDescent="0.25">
      <c r="H13155">
        <v>144</v>
      </c>
      <c r="I13155">
        <v>160</v>
      </c>
      <c r="J13155">
        <v>115</v>
      </c>
      <c r="K13155" t="b">
        <v>1</v>
      </c>
    </row>
    <row r="13156" spans="8:11" x14ac:dyDescent="0.25">
      <c r="H13156">
        <v>144</v>
      </c>
      <c r="I13156">
        <v>164</v>
      </c>
      <c r="J13156">
        <v>115</v>
      </c>
      <c r="K13156" t="b">
        <v>1</v>
      </c>
    </row>
    <row r="13157" spans="8:11" x14ac:dyDescent="0.25">
      <c r="H13157">
        <v>144</v>
      </c>
      <c r="I13157">
        <v>168</v>
      </c>
      <c r="J13157">
        <v>115</v>
      </c>
      <c r="K13157" t="b">
        <v>1</v>
      </c>
    </row>
    <row r="13158" spans="8:11" x14ac:dyDescent="0.25">
      <c r="H13158">
        <v>144</v>
      </c>
      <c r="I13158">
        <v>172</v>
      </c>
      <c r="J13158">
        <v>115</v>
      </c>
      <c r="K13158" t="b">
        <v>1</v>
      </c>
    </row>
    <row r="13159" spans="8:11" x14ac:dyDescent="0.25">
      <c r="H13159">
        <v>144</v>
      </c>
      <c r="I13159">
        <v>176</v>
      </c>
      <c r="J13159">
        <v>115</v>
      </c>
      <c r="K13159" t="b">
        <v>1</v>
      </c>
    </row>
    <row r="13160" spans="8:11" x14ac:dyDescent="0.25">
      <c r="H13160">
        <v>144</v>
      </c>
      <c r="I13160">
        <v>180</v>
      </c>
      <c r="J13160">
        <v>115</v>
      </c>
      <c r="K13160" t="b">
        <v>1</v>
      </c>
    </row>
    <row r="13161" spans="8:11" x14ac:dyDescent="0.25">
      <c r="H13161">
        <v>144</v>
      </c>
      <c r="I13161">
        <v>184</v>
      </c>
      <c r="J13161">
        <v>115</v>
      </c>
      <c r="K13161" t="b">
        <v>1</v>
      </c>
    </row>
    <row r="13162" spans="8:11" x14ac:dyDescent="0.25">
      <c r="H13162">
        <v>144</v>
      </c>
      <c r="I13162">
        <v>188</v>
      </c>
      <c r="J13162">
        <v>115</v>
      </c>
      <c r="K13162" t="b">
        <v>1</v>
      </c>
    </row>
    <row r="13163" spans="8:11" x14ac:dyDescent="0.25">
      <c r="H13163">
        <v>144</v>
      </c>
      <c r="I13163">
        <v>192</v>
      </c>
      <c r="J13163">
        <v>115</v>
      </c>
      <c r="K13163" t="b">
        <v>1</v>
      </c>
    </row>
    <row r="13164" spans="8:11" x14ac:dyDescent="0.25">
      <c r="H13164">
        <v>144</v>
      </c>
      <c r="I13164">
        <v>196</v>
      </c>
      <c r="J13164">
        <v>115</v>
      </c>
      <c r="K13164" t="b">
        <v>1</v>
      </c>
    </row>
    <row r="13165" spans="8:11" x14ac:dyDescent="0.25">
      <c r="H13165">
        <v>144</v>
      </c>
      <c r="I13165">
        <v>200</v>
      </c>
      <c r="J13165">
        <v>115</v>
      </c>
      <c r="K13165" t="b">
        <v>1</v>
      </c>
    </row>
    <row r="13166" spans="8:11" x14ac:dyDescent="0.25">
      <c r="H13166">
        <v>144</v>
      </c>
      <c r="I13166">
        <v>204</v>
      </c>
      <c r="J13166">
        <v>115</v>
      </c>
      <c r="K13166" t="b">
        <v>1</v>
      </c>
    </row>
    <row r="13167" spans="8:11" x14ac:dyDescent="0.25">
      <c r="H13167">
        <v>144</v>
      </c>
      <c r="I13167">
        <v>208</v>
      </c>
      <c r="J13167">
        <v>115</v>
      </c>
      <c r="K13167" t="b">
        <v>1</v>
      </c>
    </row>
    <row r="13168" spans="8:11" x14ac:dyDescent="0.25">
      <c r="H13168">
        <v>144</v>
      </c>
      <c r="I13168">
        <v>212</v>
      </c>
      <c r="J13168">
        <v>115</v>
      </c>
      <c r="K13168" t="b">
        <v>1</v>
      </c>
    </row>
    <row r="13169" spans="8:11" x14ac:dyDescent="0.25">
      <c r="H13169">
        <v>144</v>
      </c>
      <c r="I13169">
        <v>216</v>
      </c>
      <c r="J13169">
        <v>115</v>
      </c>
      <c r="K13169" t="b">
        <v>1</v>
      </c>
    </row>
    <row r="13170" spans="8:11" x14ac:dyDescent="0.25">
      <c r="H13170">
        <v>144</v>
      </c>
      <c r="I13170">
        <v>220</v>
      </c>
      <c r="J13170">
        <v>115</v>
      </c>
      <c r="K13170" t="b">
        <v>1</v>
      </c>
    </row>
    <row r="13171" spans="8:11" x14ac:dyDescent="0.25">
      <c r="H13171">
        <v>144</v>
      </c>
      <c r="I13171">
        <v>224</v>
      </c>
      <c r="J13171">
        <v>115</v>
      </c>
      <c r="K13171" t="b">
        <v>1</v>
      </c>
    </row>
    <row r="13172" spans="8:11" x14ac:dyDescent="0.25">
      <c r="H13172">
        <v>144</v>
      </c>
      <c r="I13172">
        <v>228</v>
      </c>
      <c r="J13172">
        <v>115</v>
      </c>
      <c r="K13172" t="b">
        <v>1</v>
      </c>
    </row>
    <row r="13173" spans="8:11" x14ac:dyDescent="0.25">
      <c r="H13173">
        <v>144</v>
      </c>
      <c r="I13173">
        <v>232</v>
      </c>
      <c r="J13173">
        <v>115</v>
      </c>
      <c r="K13173" t="b">
        <v>1</v>
      </c>
    </row>
    <row r="13174" spans="8:11" x14ac:dyDescent="0.25">
      <c r="H13174">
        <v>144</v>
      </c>
      <c r="I13174">
        <v>236</v>
      </c>
      <c r="J13174">
        <v>115</v>
      </c>
      <c r="K13174" t="b">
        <v>1</v>
      </c>
    </row>
    <row r="13175" spans="8:11" x14ac:dyDescent="0.25">
      <c r="H13175">
        <v>144</v>
      </c>
      <c r="I13175">
        <v>240</v>
      </c>
      <c r="J13175">
        <v>115</v>
      </c>
      <c r="K13175" t="b">
        <v>1</v>
      </c>
    </row>
    <row r="13176" spans="8:11" x14ac:dyDescent="0.25">
      <c r="H13176">
        <v>144</v>
      </c>
      <c r="I13176">
        <v>244</v>
      </c>
      <c r="J13176">
        <v>115</v>
      </c>
      <c r="K13176" t="b">
        <v>1</v>
      </c>
    </row>
    <row r="13177" spans="8:11" x14ac:dyDescent="0.25">
      <c r="H13177">
        <v>144</v>
      </c>
      <c r="I13177">
        <v>248</v>
      </c>
      <c r="J13177">
        <v>115</v>
      </c>
      <c r="K13177" t="b">
        <v>1</v>
      </c>
    </row>
    <row r="13178" spans="8:11" x14ac:dyDescent="0.25">
      <c r="H13178">
        <v>144</v>
      </c>
      <c r="I13178">
        <v>252</v>
      </c>
      <c r="J13178">
        <v>115</v>
      </c>
      <c r="K13178" t="b">
        <v>1</v>
      </c>
    </row>
    <row r="13179" spans="8:11" x14ac:dyDescent="0.25">
      <c r="H13179">
        <v>144</v>
      </c>
      <c r="I13179">
        <v>256</v>
      </c>
      <c r="J13179">
        <v>115</v>
      </c>
      <c r="K13179" t="b">
        <v>1</v>
      </c>
    </row>
    <row r="13180" spans="8:11" x14ac:dyDescent="0.25">
      <c r="H13180">
        <v>144</v>
      </c>
      <c r="I13180">
        <v>260</v>
      </c>
      <c r="J13180">
        <v>115</v>
      </c>
      <c r="K13180" t="b">
        <v>1</v>
      </c>
    </row>
    <row r="13181" spans="8:11" x14ac:dyDescent="0.25">
      <c r="H13181">
        <v>144</v>
      </c>
      <c r="I13181">
        <v>264</v>
      </c>
      <c r="J13181">
        <v>115</v>
      </c>
      <c r="K13181" t="b">
        <v>1</v>
      </c>
    </row>
    <row r="13182" spans="8:11" x14ac:dyDescent="0.25">
      <c r="H13182">
        <v>144</v>
      </c>
      <c r="I13182">
        <v>268</v>
      </c>
      <c r="J13182">
        <v>115</v>
      </c>
      <c r="K13182" t="b">
        <v>1</v>
      </c>
    </row>
    <row r="13183" spans="8:11" x14ac:dyDescent="0.25">
      <c r="H13183">
        <v>144</v>
      </c>
      <c r="I13183">
        <v>272</v>
      </c>
      <c r="J13183">
        <v>115</v>
      </c>
      <c r="K13183" t="b">
        <v>1</v>
      </c>
    </row>
    <row r="13184" spans="8:11" x14ac:dyDescent="0.25">
      <c r="H13184">
        <v>144</v>
      </c>
      <c r="I13184">
        <v>276</v>
      </c>
      <c r="J13184">
        <v>115</v>
      </c>
      <c r="K13184" t="b">
        <v>1</v>
      </c>
    </row>
    <row r="13185" spans="8:11" x14ac:dyDescent="0.25">
      <c r="H13185">
        <v>144</v>
      </c>
      <c r="I13185">
        <v>280</v>
      </c>
      <c r="J13185">
        <v>115</v>
      </c>
      <c r="K13185" t="b">
        <v>1</v>
      </c>
    </row>
    <row r="13186" spans="8:11" x14ac:dyDescent="0.25">
      <c r="H13186">
        <v>144</v>
      </c>
      <c r="I13186">
        <v>284</v>
      </c>
      <c r="J13186">
        <v>115</v>
      </c>
      <c r="K13186" t="b">
        <v>1</v>
      </c>
    </row>
    <row r="13187" spans="8:11" x14ac:dyDescent="0.25">
      <c r="H13187">
        <v>144</v>
      </c>
      <c r="I13187">
        <v>288</v>
      </c>
      <c r="J13187">
        <v>115</v>
      </c>
      <c r="K13187" t="b">
        <v>1</v>
      </c>
    </row>
    <row r="13188" spans="8:11" x14ac:dyDescent="0.25">
      <c r="H13188">
        <v>144</v>
      </c>
      <c r="I13188">
        <v>292</v>
      </c>
      <c r="J13188">
        <v>115</v>
      </c>
      <c r="K13188" t="b">
        <v>1</v>
      </c>
    </row>
    <row r="13189" spans="8:11" x14ac:dyDescent="0.25">
      <c r="H13189">
        <v>144</v>
      </c>
      <c r="I13189">
        <v>296</v>
      </c>
      <c r="J13189">
        <v>115</v>
      </c>
      <c r="K13189" t="b">
        <v>1</v>
      </c>
    </row>
    <row r="13190" spans="8:11" x14ac:dyDescent="0.25">
      <c r="H13190">
        <v>144</v>
      </c>
      <c r="I13190">
        <v>300</v>
      </c>
      <c r="J13190">
        <v>115</v>
      </c>
      <c r="K13190" t="b">
        <v>1</v>
      </c>
    </row>
    <row r="13191" spans="8:11" x14ac:dyDescent="0.25">
      <c r="H13191">
        <v>144</v>
      </c>
      <c r="I13191">
        <v>304</v>
      </c>
      <c r="J13191">
        <v>115</v>
      </c>
      <c r="K13191" t="b">
        <v>1</v>
      </c>
    </row>
    <row r="13192" spans="8:11" x14ac:dyDescent="0.25">
      <c r="H13192">
        <v>144</v>
      </c>
      <c r="I13192">
        <v>308</v>
      </c>
      <c r="J13192">
        <v>115</v>
      </c>
      <c r="K13192" t="b">
        <v>1</v>
      </c>
    </row>
    <row r="13193" spans="8:11" x14ac:dyDescent="0.25">
      <c r="H13193">
        <v>144</v>
      </c>
      <c r="I13193">
        <v>312</v>
      </c>
      <c r="J13193">
        <v>115</v>
      </c>
      <c r="K13193" t="b">
        <v>1</v>
      </c>
    </row>
    <row r="13194" spans="8:11" x14ac:dyDescent="0.25">
      <c r="H13194">
        <v>144</v>
      </c>
      <c r="I13194">
        <v>316</v>
      </c>
      <c r="J13194">
        <v>115</v>
      </c>
      <c r="K13194" t="b">
        <v>1</v>
      </c>
    </row>
    <row r="13195" spans="8:11" x14ac:dyDescent="0.25">
      <c r="H13195">
        <v>144</v>
      </c>
      <c r="I13195">
        <v>320</v>
      </c>
      <c r="J13195">
        <v>115</v>
      </c>
      <c r="K13195" t="b">
        <v>1</v>
      </c>
    </row>
    <row r="13196" spans="8:11" x14ac:dyDescent="0.25">
      <c r="H13196">
        <v>144</v>
      </c>
      <c r="I13196">
        <v>324</v>
      </c>
      <c r="J13196">
        <v>115</v>
      </c>
      <c r="K13196" t="b">
        <v>1</v>
      </c>
    </row>
    <row r="13197" spans="8:11" x14ac:dyDescent="0.25">
      <c r="H13197">
        <v>144</v>
      </c>
      <c r="I13197">
        <v>328</v>
      </c>
      <c r="J13197">
        <v>115</v>
      </c>
      <c r="K13197" t="b">
        <v>1</v>
      </c>
    </row>
    <row r="13198" spans="8:11" x14ac:dyDescent="0.25">
      <c r="H13198">
        <v>144</v>
      </c>
      <c r="I13198">
        <v>332</v>
      </c>
      <c r="J13198">
        <v>115</v>
      </c>
      <c r="K13198" t="b">
        <v>1</v>
      </c>
    </row>
    <row r="13199" spans="8:11" x14ac:dyDescent="0.25">
      <c r="H13199">
        <v>144</v>
      </c>
      <c r="I13199">
        <v>336</v>
      </c>
      <c r="J13199">
        <v>115</v>
      </c>
      <c r="K13199" t="b">
        <v>1</v>
      </c>
    </row>
    <row r="13200" spans="8:11" x14ac:dyDescent="0.25">
      <c r="H13200">
        <v>144</v>
      </c>
      <c r="I13200">
        <v>340</v>
      </c>
      <c r="J13200">
        <v>115</v>
      </c>
      <c r="K13200" t="b">
        <v>1</v>
      </c>
    </row>
    <row r="13201" spans="8:11" x14ac:dyDescent="0.25">
      <c r="H13201">
        <v>144</v>
      </c>
      <c r="I13201">
        <v>344</v>
      </c>
      <c r="J13201">
        <v>115</v>
      </c>
      <c r="K13201" t="b">
        <v>1</v>
      </c>
    </row>
    <row r="13202" spans="8:11" x14ac:dyDescent="0.25">
      <c r="H13202">
        <v>144</v>
      </c>
      <c r="I13202">
        <v>348</v>
      </c>
      <c r="J13202">
        <v>115</v>
      </c>
      <c r="K13202" t="b">
        <v>1</v>
      </c>
    </row>
    <row r="13203" spans="8:11" x14ac:dyDescent="0.25">
      <c r="H13203">
        <v>144</v>
      </c>
      <c r="I13203">
        <v>352</v>
      </c>
      <c r="J13203">
        <v>115</v>
      </c>
      <c r="K13203" t="b">
        <v>1</v>
      </c>
    </row>
    <row r="13204" spans="8:11" x14ac:dyDescent="0.25">
      <c r="H13204">
        <v>144</v>
      </c>
      <c r="I13204">
        <v>356</v>
      </c>
      <c r="J13204">
        <v>115</v>
      </c>
      <c r="K13204" t="b">
        <v>1</v>
      </c>
    </row>
    <row r="13205" spans="8:11" x14ac:dyDescent="0.25">
      <c r="H13205">
        <v>144</v>
      </c>
      <c r="I13205">
        <v>360</v>
      </c>
      <c r="J13205">
        <v>115</v>
      </c>
      <c r="K13205" t="b">
        <v>1</v>
      </c>
    </row>
    <row r="13206" spans="8:11" x14ac:dyDescent="0.25">
      <c r="H13206">
        <v>144</v>
      </c>
      <c r="I13206">
        <v>364</v>
      </c>
      <c r="J13206">
        <v>115</v>
      </c>
      <c r="K13206" t="b">
        <v>1</v>
      </c>
    </row>
    <row r="13207" spans="8:11" x14ac:dyDescent="0.25">
      <c r="H13207">
        <v>144</v>
      </c>
      <c r="I13207">
        <v>368</v>
      </c>
      <c r="J13207">
        <v>115</v>
      </c>
      <c r="K13207" t="b">
        <v>1</v>
      </c>
    </row>
    <row r="13208" spans="8:11" x14ac:dyDescent="0.25">
      <c r="H13208">
        <v>144</v>
      </c>
      <c r="I13208">
        <v>372</v>
      </c>
      <c r="J13208">
        <v>115</v>
      </c>
      <c r="K13208" t="b">
        <v>1</v>
      </c>
    </row>
    <row r="13209" spans="8:11" x14ac:dyDescent="0.25">
      <c r="H13209">
        <v>144</v>
      </c>
      <c r="I13209">
        <v>376</v>
      </c>
      <c r="J13209">
        <v>115</v>
      </c>
      <c r="K13209" t="b">
        <v>1</v>
      </c>
    </row>
    <row r="13210" spans="8:11" x14ac:dyDescent="0.25">
      <c r="H13210">
        <v>144</v>
      </c>
      <c r="I13210">
        <v>380</v>
      </c>
      <c r="J13210">
        <v>115</v>
      </c>
      <c r="K13210" t="b">
        <v>1</v>
      </c>
    </row>
    <row r="13211" spans="8:11" x14ac:dyDescent="0.25">
      <c r="H13211">
        <v>144</v>
      </c>
      <c r="I13211">
        <v>384</v>
      </c>
      <c r="J13211">
        <v>115</v>
      </c>
      <c r="K13211" t="b">
        <v>1</v>
      </c>
    </row>
    <row r="13212" spans="8:11" x14ac:dyDescent="0.25">
      <c r="H13212">
        <v>144</v>
      </c>
      <c r="I13212">
        <v>388</v>
      </c>
      <c r="J13212">
        <v>115</v>
      </c>
      <c r="K13212" t="b">
        <v>1</v>
      </c>
    </row>
    <row r="13213" spans="8:11" x14ac:dyDescent="0.25">
      <c r="H13213">
        <v>144</v>
      </c>
      <c r="I13213">
        <v>392</v>
      </c>
      <c r="J13213">
        <v>115</v>
      </c>
      <c r="K13213" t="b">
        <v>1</v>
      </c>
    </row>
    <row r="13214" spans="8:11" x14ac:dyDescent="0.25">
      <c r="H13214">
        <v>144</v>
      </c>
      <c r="I13214">
        <v>396</v>
      </c>
      <c r="J13214">
        <v>115</v>
      </c>
      <c r="K13214" t="b">
        <v>1</v>
      </c>
    </row>
    <row r="13215" spans="8:11" x14ac:dyDescent="0.25">
      <c r="H13215">
        <v>144</v>
      </c>
      <c r="I13215">
        <v>400</v>
      </c>
      <c r="J13215">
        <v>115</v>
      </c>
      <c r="K13215" t="b">
        <v>1</v>
      </c>
    </row>
    <row r="13216" spans="8:11" x14ac:dyDescent="0.25">
      <c r="H13216">
        <v>144</v>
      </c>
      <c r="I13216">
        <v>404</v>
      </c>
      <c r="J13216">
        <v>115</v>
      </c>
      <c r="K13216" t="b">
        <v>1</v>
      </c>
    </row>
    <row r="13217" spans="8:11" x14ac:dyDescent="0.25">
      <c r="H13217">
        <v>144</v>
      </c>
      <c r="I13217">
        <v>408</v>
      </c>
      <c r="J13217">
        <v>115</v>
      </c>
      <c r="K13217" t="b">
        <v>1</v>
      </c>
    </row>
    <row r="13218" spans="8:11" x14ac:dyDescent="0.25">
      <c r="H13218">
        <v>144</v>
      </c>
      <c r="I13218">
        <v>412</v>
      </c>
      <c r="J13218">
        <v>115</v>
      </c>
      <c r="K13218" t="b">
        <v>1</v>
      </c>
    </row>
    <row r="13219" spans="8:11" x14ac:dyDescent="0.25">
      <c r="H13219">
        <v>144</v>
      </c>
      <c r="I13219">
        <v>416</v>
      </c>
      <c r="J13219">
        <v>115</v>
      </c>
      <c r="K13219" t="b">
        <v>1</v>
      </c>
    </row>
    <row r="13220" spans="8:11" x14ac:dyDescent="0.25">
      <c r="H13220">
        <v>144</v>
      </c>
      <c r="I13220">
        <v>420</v>
      </c>
      <c r="J13220">
        <v>115</v>
      </c>
      <c r="K13220" t="b">
        <v>1</v>
      </c>
    </row>
    <row r="13221" spans="8:11" x14ac:dyDescent="0.25">
      <c r="H13221">
        <v>144</v>
      </c>
      <c r="I13221">
        <v>424</v>
      </c>
      <c r="J13221">
        <v>115</v>
      </c>
      <c r="K13221" t="b">
        <v>1</v>
      </c>
    </row>
    <row r="13222" spans="8:11" x14ac:dyDescent="0.25">
      <c r="H13222">
        <v>144</v>
      </c>
      <c r="I13222">
        <v>428</v>
      </c>
      <c r="J13222">
        <v>115</v>
      </c>
      <c r="K13222" t="b">
        <v>1</v>
      </c>
    </row>
    <row r="13223" spans="8:11" x14ac:dyDescent="0.25">
      <c r="H13223">
        <v>144</v>
      </c>
      <c r="I13223">
        <v>432</v>
      </c>
      <c r="J13223">
        <v>115</v>
      </c>
      <c r="K13223" t="b">
        <v>1</v>
      </c>
    </row>
    <row r="13224" spans="8:11" x14ac:dyDescent="0.25">
      <c r="H13224">
        <v>144</v>
      </c>
      <c r="I13224">
        <v>436</v>
      </c>
      <c r="J13224">
        <v>115</v>
      </c>
      <c r="K13224" t="b">
        <v>1</v>
      </c>
    </row>
    <row r="13225" spans="8:11" x14ac:dyDescent="0.25">
      <c r="H13225">
        <v>144</v>
      </c>
      <c r="I13225">
        <v>440</v>
      </c>
      <c r="J13225">
        <v>115</v>
      </c>
      <c r="K13225" t="b">
        <v>1</v>
      </c>
    </row>
    <row r="13226" spans="8:11" x14ac:dyDescent="0.25">
      <c r="H13226">
        <v>144</v>
      </c>
      <c r="I13226">
        <v>444</v>
      </c>
      <c r="J13226">
        <v>115</v>
      </c>
      <c r="K13226" t="b">
        <v>1</v>
      </c>
    </row>
    <row r="13227" spans="8:11" x14ac:dyDescent="0.25">
      <c r="H13227">
        <v>144</v>
      </c>
      <c r="I13227">
        <v>448</v>
      </c>
      <c r="J13227">
        <v>115</v>
      </c>
      <c r="K13227" t="b">
        <v>1</v>
      </c>
    </row>
    <row r="13228" spans="8:11" x14ac:dyDescent="0.25">
      <c r="H13228">
        <v>144</v>
      </c>
      <c r="I13228">
        <v>452</v>
      </c>
      <c r="J13228">
        <v>115</v>
      </c>
      <c r="K13228" t="b">
        <v>1</v>
      </c>
    </row>
    <row r="13229" spans="8:11" x14ac:dyDescent="0.25">
      <c r="H13229">
        <v>144</v>
      </c>
      <c r="I13229">
        <v>456</v>
      </c>
      <c r="J13229">
        <v>115</v>
      </c>
      <c r="K13229" t="b">
        <v>1</v>
      </c>
    </row>
    <row r="13230" spans="8:11" x14ac:dyDescent="0.25">
      <c r="H13230">
        <v>144</v>
      </c>
      <c r="I13230">
        <v>460</v>
      </c>
      <c r="J13230">
        <v>115</v>
      </c>
      <c r="K13230" t="b">
        <v>1</v>
      </c>
    </row>
    <row r="13231" spans="8:11" x14ac:dyDescent="0.25">
      <c r="H13231">
        <v>144</v>
      </c>
      <c r="I13231">
        <v>464</v>
      </c>
      <c r="J13231">
        <v>115</v>
      </c>
      <c r="K13231" t="b">
        <v>1</v>
      </c>
    </row>
    <row r="13232" spans="8:11" x14ac:dyDescent="0.25">
      <c r="H13232">
        <v>144</v>
      </c>
      <c r="I13232">
        <v>468</v>
      </c>
      <c r="J13232">
        <v>115</v>
      </c>
      <c r="K13232" t="b">
        <v>1</v>
      </c>
    </row>
    <row r="13233" spans="8:11" x14ac:dyDescent="0.25">
      <c r="H13233">
        <v>144</v>
      </c>
      <c r="I13233">
        <v>472</v>
      </c>
      <c r="J13233">
        <v>115</v>
      </c>
      <c r="K13233" t="b">
        <v>1</v>
      </c>
    </row>
    <row r="13234" spans="8:11" x14ac:dyDescent="0.25">
      <c r="H13234">
        <v>144</v>
      </c>
      <c r="I13234">
        <v>476</v>
      </c>
      <c r="J13234">
        <v>115</v>
      </c>
      <c r="K13234" t="b">
        <v>1</v>
      </c>
    </row>
    <row r="13235" spans="8:11" x14ac:dyDescent="0.25">
      <c r="H13235">
        <v>144</v>
      </c>
      <c r="I13235">
        <v>480</v>
      </c>
      <c r="J13235">
        <v>115</v>
      </c>
      <c r="K13235" t="b">
        <v>1</v>
      </c>
    </row>
    <row r="13236" spans="8:11" x14ac:dyDescent="0.25">
      <c r="H13236">
        <v>144</v>
      </c>
      <c r="I13236">
        <v>484</v>
      </c>
      <c r="J13236">
        <v>115</v>
      </c>
      <c r="K13236" t="b">
        <v>1</v>
      </c>
    </row>
    <row r="13237" spans="8:11" x14ac:dyDescent="0.25">
      <c r="H13237">
        <v>144</v>
      </c>
      <c r="I13237">
        <v>488</v>
      </c>
      <c r="J13237">
        <v>115</v>
      </c>
      <c r="K13237" t="b">
        <v>1</v>
      </c>
    </row>
    <row r="13238" spans="8:11" x14ac:dyDescent="0.25">
      <c r="H13238">
        <v>144</v>
      </c>
      <c r="I13238">
        <v>492</v>
      </c>
      <c r="J13238">
        <v>115</v>
      </c>
      <c r="K13238" t="b">
        <v>1</v>
      </c>
    </row>
    <row r="13239" spans="8:11" x14ac:dyDescent="0.25">
      <c r="H13239">
        <v>144</v>
      </c>
      <c r="I13239">
        <v>496</v>
      </c>
      <c r="J13239">
        <v>115</v>
      </c>
      <c r="K13239" t="b">
        <v>1</v>
      </c>
    </row>
    <row r="13240" spans="8:11" x14ac:dyDescent="0.25">
      <c r="H13240">
        <v>144</v>
      </c>
      <c r="I13240">
        <v>500</v>
      </c>
      <c r="J13240">
        <v>115</v>
      </c>
      <c r="K13240" t="b">
        <v>1</v>
      </c>
    </row>
    <row r="13241" spans="8:11" x14ac:dyDescent="0.25">
      <c r="H13241">
        <v>144</v>
      </c>
      <c r="I13241">
        <v>504</v>
      </c>
      <c r="J13241">
        <v>115</v>
      </c>
      <c r="K13241" t="b">
        <v>1</v>
      </c>
    </row>
    <row r="13242" spans="8:11" x14ac:dyDescent="0.25">
      <c r="H13242">
        <v>144</v>
      </c>
      <c r="I13242">
        <v>508</v>
      </c>
      <c r="J13242">
        <v>115</v>
      </c>
      <c r="K13242" t="b">
        <v>1</v>
      </c>
    </row>
    <row r="13243" spans="8:11" x14ac:dyDescent="0.25">
      <c r="H13243">
        <v>144</v>
      </c>
      <c r="I13243">
        <v>512</v>
      </c>
      <c r="J13243">
        <v>115</v>
      </c>
      <c r="K13243" t="b">
        <v>1</v>
      </c>
    </row>
    <row r="13244" spans="8:11" x14ac:dyDescent="0.25">
      <c r="H13244">
        <v>144</v>
      </c>
      <c r="I13244">
        <v>516</v>
      </c>
      <c r="J13244">
        <v>115</v>
      </c>
      <c r="K13244" t="b">
        <v>1</v>
      </c>
    </row>
    <row r="13245" spans="8:11" x14ac:dyDescent="0.25">
      <c r="H13245">
        <v>144</v>
      </c>
      <c r="I13245">
        <v>520</v>
      </c>
      <c r="J13245">
        <v>115</v>
      </c>
      <c r="K13245" t="b">
        <v>1</v>
      </c>
    </row>
    <row r="13246" spans="8:11" x14ac:dyDescent="0.25">
      <c r="H13246">
        <v>144</v>
      </c>
      <c r="I13246">
        <v>524</v>
      </c>
      <c r="J13246">
        <v>115</v>
      </c>
      <c r="K13246" t="b">
        <v>1</v>
      </c>
    </row>
    <row r="13247" spans="8:11" x14ac:dyDescent="0.25">
      <c r="H13247">
        <v>144</v>
      </c>
      <c r="I13247">
        <v>528</v>
      </c>
      <c r="J13247">
        <v>115</v>
      </c>
      <c r="K13247" t="b">
        <v>1</v>
      </c>
    </row>
    <row r="13248" spans="8:11" x14ac:dyDescent="0.25">
      <c r="H13248">
        <v>144</v>
      </c>
      <c r="I13248">
        <v>532</v>
      </c>
      <c r="J13248">
        <v>115</v>
      </c>
      <c r="K13248" t="b">
        <v>1</v>
      </c>
    </row>
    <row r="13249" spans="8:11" x14ac:dyDescent="0.25">
      <c r="H13249">
        <v>144</v>
      </c>
      <c r="I13249">
        <v>536</v>
      </c>
      <c r="J13249">
        <v>115</v>
      </c>
      <c r="K13249" t="b">
        <v>1</v>
      </c>
    </row>
    <row r="13250" spans="8:11" x14ac:dyDescent="0.25">
      <c r="H13250">
        <v>144</v>
      </c>
      <c r="I13250">
        <v>540</v>
      </c>
      <c r="J13250">
        <v>115</v>
      </c>
      <c r="K13250" t="b">
        <v>1</v>
      </c>
    </row>
    <row r="13251" spans="8:11" x14ac:dyDescent="0.25">
      <c r="H13251">
        <v>144</v>
      </c>
      <c r="I13251">
        <v>544</v>
      </c>
      <c r="J13251">
        <v>115</v>
      </c>
      <c r="K13251" t="b">
        <v>1</v>
      </c>
    </row>
    <row r="13252" spans="8:11" x14ac:dyDescent="0.25">
      <c r="H13252">
        <v>144</v>
      </c>
      <c r="I13252">
        <v>548</v>
      </c>
      <c r="J13252">
        <v>115</v>
      </c>
      <c r="K13252" t="b">
        <v>1</v>
      </c>
    </row>
    <row r="13253" spans="8:11" x14ac:dyDescent="0.25">
      <c r="H13253">
        <v>144</v>
      </c>
      <c r="I13253">
        <v>552</v>
      </c>
      <c r="J13253">
        <v>115</v>
      </c>
      <c r="K13253" t="b">
        <v>1</v>
      </c>
    </row>
    <row r="13254" spans="8:11" x14ac:dyDescent="0.25">
      <c r="H13254">
        <v>144</v>
      </c>
      <c r="I13254">
        <v>556</v>
      </c>
      <c r="J13254">
        <v>115</v>
      </c>
      <c r="K13254" t="b">
        <v>1</v>
      </c>
    </row>
    <row r="13255" spans="8:11" x14ac:dyDescent="0.25">
      <c r="H13255">
        <v>144</v>
      </c>
      <c r="I13255">
        <v>560</v>
      </c>
      <c r="J13255">
        <v>115</v>
      </c>
      <c r="K13255" t="b">
        <v>1</v>
      </c>
    </row>
    <row r="13256" spans="8:11" x14ac:dyDescent="0.25">
      <c r="H13256">
        <v>144</v>
      </c>
      <c r="I13256">
        <v>564</v>
      </c>
      <c r="J13256">
        <v>115</v>
      </c>
      <c r="K13256" t="b">
        <v>1</v>
      </c>
    </row>
    <row r="13257" spans="8:11" x14ac:dyDescent="0.25">
      <c r="H13257">
        <v>144</v>
      </c>
      <c r="I13257">
        <v>568</v>
      </c>
      <c r="J13257">
        <v>115</v>
      </c>
      <c r="K13257" t="b">
        <v>1</v>
      </c>
    </row>
    <row r="13258" spans="8:11" x14ac:dyDescent="0.25">
      <c r="H13258">
        <v>144</v>
      </c>
      <c r="I13258">
        <v>572</v>
      </c>
      <c r="J13258">
        <v>115</v>
      </c>
      <c r="K13258" t="b">
        <v>1</v>
      </c>
    </row>
    <row r="13259" spans="8:11" x14ac:dyDescent="0.25">
      <c r="H13259">
        <v>144</v>
      </c>
      <c r="I13259">
        <v>576</v>
      </c>
      <c r="J13259">
        <v>115</v>
      </c>
      <c r="K13259" t="b">
        <v>1</v>
      </c>
    </row>
    <row r="13260" spans="8:11" x14ac:dyDescent="0.25">
      <c r="H13260">
        <v>144</v>
      </c>
      <c r="I13260">
        <v>580</v>
      </c>
      <c r="J13260">
        <v>115</v>
      </c>
      <c r="K13260" t="b">
        <v>1</v>
      </c>
    </row>
    <row r="13261" spans="8:11" x14ac:dyDescent="0.25">
      <c r="H13261">
        <v>144</v>
      </c>
      <c r="I13261">
        <v>584</v>
      </c>
      <c r="J13261">
        <v>115</v>
      </c>
      <c r="K13261" t="b">
        <v>1</v>
      </c>
    </row>
    <row r="13262" spans="8:11" x14ac:dyDescent="0.25">
      <c r="H13262">
        <v>144</v>
      </c>
      <c r="I13262">
        <v>588</v>
      </c>
      <c r="J13262">
        <v>115</v>
      </c>
      <c r="K13262" t="b">
        <v>1</v>
      </c>
    </row>
    <row r="13263" spans="8:11" x14ac:dyDescent="0.25">
      <c r="H13263">
        <v>144</v>
      </c>
      <c r="I13263">
        <v>592</v>
      </c>
      <c r="J13263">
        <v>115</v>
      </c>
      <c r="K13263" t="b">
        <v>1</v>
      </c>
    </row>
    <row r="13264" spans="8:11" x14ac:dyDescent="0.25">
      <c r="H13264">
        <v>144</v>
      </c>
      <c r="I13264">
        <v>596</v>
      </c>
      <c r="J13264">
        <v>115</v>
      </c>
      <c r="K13264" t="b">
        <v>1</v>
      </c>
    </row>
    <row r="13265" spans="8:11" x14ac:dyDescent="0.25">
      <c r="H13265">
        <v>144</v>
      </c>
      <c r="I13265">
        <v>600</v>
      </c>
      <c r="J13265">
        <v>115</v>
      </c>
      <c r="K13265" t="b">
        <v>1</v>
      </c>
    </row>
    <row r="13266" spans="8:11" x14ac:dyDescent="0.25">
      <c r="H13266">
        <v>144</v>
      </c>
      <c r="I13266">
        <v>604</v>
      </c>
      <c r="J13266">
        <v>115</v>
      </c>
      <c r="K13266" t="b">
        <v>1</v>
      </c>
    </row>
    <row r="13267" spans="8:11" x14ac:dyDescent="0.25">
      <c r="H13267">
        <v>144</v>
      </c>
      <c r="I13267">
        <v>608</v>
      </c>
      <c r="J13267">
        <v>115</v>
      </c>
      <c r="K13267" t="b">
        <v>1</v>
      </c>
    </row>
    <row r="13268" spans="8:11" x14ac:dyDescent="0.25">
      <c r="H13268">
        <v>144</v>
      </c>
      <c r="I13268">
        <v>612</v>
      </c>
      <c r="J13268">
        <v>115</v>
      </c>
      <c r="K13268" t="b">
        <v>1</v>
      </c>
    </row>
    <row r="13269" spans="8:11" x14ac:dyDescent="0.25">
      <c r="H13269">
        <v>144</v>
      </c>
      <c r="I13269">
        <v>616</v>
      </c>
      <c r="J13269">
        <v>115</v>
      </c>
      <c r="K13269" t="b">
        <v>1</v>
      </c>
    </row>
    <row r="13270" spans="8:11" x14ac:dyDescent="0.25">
      <c r="H13270">
        <v>144</v>
      </c>
      <c r="I13270">
        <v>620</v>
      </c>
      <c r="J13270">
        <v>115</v>
      </c>
      <c r="K13270" t="b">
        <v>1</v>
      </c>
    </row>
    <row r="13271" spans="8:11" x14ac:dyDescent="0.25">
      <c r="H13271">
        <v>144</v>
      </c>
      <c r="I13271">
        <v>624</v>
      </c>
      <c r="J13271">
        <v>115</v>
      </c>
      <c r="K13271" t="b">
        <v>1</v>
      </c>
    </row>
    <row r="13272" spans="8:11" x14ac:dyDescent="0.25">
      <c r="H13272">
        <v>144</v>
      </c>
      <c r="I13272">
        <v>628</v>
      </c>
      <c r="J13272">
        <v>115</v>
      </c>
      <c r="K13272" t="b">
        <v>1</v>
      </c>
    </row>
    <row r="13273" spans="8:11" x14ac:dyDescent="0.25">
      <c r="H13273">
        <v>144</v>
      </c>
      <c r="I13273">
        <v>632</v>
      </c>
      <c r="J13273">
        <v>115</v>
      </c>
      <c r="K13273" t="b">
        <v>1</v>
      </c>
    </row>
    <row r="13274" spans="8:11" x14ac:dyDescent="0.25">
      <c r="H13274">
        <v>144</v>
      </c>
      <c r="I13274">
        <v>636</v>
      </c>
      <c r="J13274">
        <v>115</v>
      </c>
      <c r="K13274" t="b">
        <v>1</v>
      </c>
    </row>
    <row r="13275" spans="8:11" x14ac:dyDescent="0.25">
      <c r="H13275">
        <v>144</v>
      </c>
      <c r="I13275">
        <v>640</v>
      </c>
      <c r="J13275">
        <v>115</v>
      </c>
      <c r="K13275" t="b">
        <v>1</v>
      </c>
    </row>
    <row r="13276" spans="8:11" x14ac:dyDescent="0.25">
      <c r="H13276">
        <v>144</v>
      </c>
      <c r="I13276">
        <v>644</v>
      </c>
      <c r="J13276">
        <v>115</v>
      </c>
      <c r="K13276" t="b">
        <v>1</v>
      </c>
    </row>
    <row r="13277" spans="8:11" x14ac:dyDescent="0.25">
      <c r="H13277">
        <v>144</v>
      </c>
      <c r="I13277">
        <v>648</v>
      </c>
      <c r="J13277">
        <v>115</v>
      </c>
      <c r="K13277" t="b">
        <v>1</v>
      </c>
    </row>
    <row r="13278" spans="8:11" x14ac:dyDescent="0.25">
      <c r="H13278">
        <v>144</v>
      </c>
      <c r="I13278">
        <v>652</v>
      </c>
      <c r="J13278">
        <v>115</v>
      </c>
      <c r="K13278" t="b">
        <v>1</v>
      </c>
    </row>
    <row r="13279" spans="8:11" x14ac:dyDescent="0.25">
      <c r="H13279">
        <v>144</v>
      </c>
      <c r="I13279">
        <v>656</v>
      </c>
      <c r="J13279">
        <v>115</v>
      </c>
      <c r="K13279" t="b">
        <v>1</v>
      </c>
    </row>
    <row r="13280" spans="8:11" x14ac:dyDescent="0.25">
      <c r="H13280">
        <v>144</v>
      </c>
      <c r="I13280">
        <v>660</v>
      </c>
      <c r="J13280">
        <v>115</v>
      </c>
      <c r="K13280" t="b">
        <v>1</v>
      </c>
    </row>
    <row r="13281" spans="8:11" x14ac:dyDescent="0.25">
      <c r="H13281">
        <v>144</v>
      </c>
      <c r="I13281">
        <v>664</v>
      </c>
      <c r="J13281">
        <v>115</v>
      </c>
      <c r="K13281" t="b">
        <v>1</v>
      </c>
    </row>
    <row r="13282" spans="8:11" x14ac:dyDescent="0.25">
      <c r="H13282">
        <v>144</v>
      </c>
      <c r="I13282">
        <v>668</v>
      </c>
      <c r="J13282">
        <v>115</v>
      </c>
      <c r="K13282" t="b">
        <v>1</v>
      </c>
    </row>
    <row r="13283" spans="8:11" x14ac:dyDescent="0.25">
      <c r="H13283">
        <v>144</v>
      </c>
      <c r="I13283">
        <v>672</v>
      </c>
      <c r="J13283">
        <v>115</v>
      </c>
      <c r="K13283" t="b">
        <v>1</v>
      </c>
    </row>
    <row r="13284" spans="8:11" x14ac:dyDescent="0.25">
      <c r="H13284">
        <v>144</v>
      </c>
      <c r="I13284">
        <v>676</v>
      </c>
      <c r="J13284">
        <v>115</v>
      </c>
      <c r="K13284" t="b">
        <v>1</v>
      </c>
    </row>
    <row r="13285" spans="8:11" x14ac:dyDescent="0.25">
      <c r="H13285">
        <v>144</v>
      </c>
      <c r="I13285">
        <v>680</v>
      </c>
      <c r="J13285">
        <v>115</v>
      </c>
      <c r="K13285" t="b">
        <v>1</v>
      </c>
    </row>
    <row r="13286" spans="8:11" x14ac:dyDescent="0.25">
      <c r="H13286">
        <v>144</v>
      </c>
      <c r="I13286">
        <v>684</v>
      </c>
      <c r="J13286">
        <v>115</v>
      </c>
      <c r="K13286" t="b">
        <v>1</v>
      </c>
    </row>
    <row r="13287" spans="8:11" x14ac:dyDescent="0.25">
      <c r="H13287">
        <v>144</v>
      </c>
      <c r="I13287">
        <v>688</v>
      </c>
      <c r="J13287">
        <v>115</v>
      </c>
      <c r="K13287" t="b">
        <v>1</v>
      </c>
    </row>
    <row r="13288" spans="8:11" x14ac:dyDescent="0.25">
      <c r="H13288">
        <v>144</v>
      </c>
      <c r="I13288">
        <v>692</v>
      </c>
      <c r="J13288">
        <v>115</v>
      </c>
      <c r="K13288" t="b">
        <v>1</v>
      </c>
    </row>
    <row r="13289" spans="8:11" x14ac:dyDescent="0.25">
      <c r="H13289">
        <v>144</v>
      </c>
      <c r="I13289">
        <v>696</v>
      </c>
      <c r="J13289">
        <v>115</v>
      </c>
      <c r="K13289" t="b">
        <v>1</v>
      </c>
    </row>
    <row r="13290" spans="8:11" x14ac:dyDescent="0.25">
      <c r="H13290">
        <v>144</v>
      </c>
      <c r="I13290">
        <v>700</v>
      </c>
      <c r="J13290">
        <v>115</v>
      </c>
      <c r="K13290" t="b">
        <v>1</v>
      </c>
    </row>
    <row r="13291" spans="8:11" x14ac:dyDescent="0.25">
      <c r="H13291">
        <v>144</v>
      </c>
      <c r="I13291">
        <v>704</v>
      </c>
      <c r="J13291">
        <v>115</v>
      </c>
      <c r="K13291" t="b">
        <v>1</v>
      </c>
    </row>
    <row r="13292" spans="8:11" x14ac:dyDescent="0.25">
      <c r="H13292">
        <v>144</v>
      </c>
      <c r="I13292">
        <v>708</v>
      </c>
      <c r="J13292">
        <v>115</v>
      </c>
      <c r="K13292" t="b">
        <v>1</v>
      </c>
    </row>
    <row r="13293" spans="8:11" x14ac:dyDescent="0.25">
      <c r="H13293">
        <v>144</v>
      </c>
      <c r="I13293">
        <v>712</v>
      </c>
      <c r="J13293">
        <v>115</v>
      </c>
      <c r="K13293" t="b">
        <v>1</v>
      </c>
    </row>
    <row r="13294" spans="8:11" x14ac:dyDescent="0.25">
      <c r="H13294">
        <v>144</v>
      </c>
      <c r="I13294">
        <v>716</v>
      </c>
      <c r="J13294">
        <v>115</v>
      </c>
      <c r="K13294" t="b">
        <v>1</v>
      </c>
    </row>
    <row r="13295" spans="8:11" x14ac:dyDescent="0.25">
      <c r="H13295">
        <v>144</v>
      </c>
      <c r="I13295">
        <v>720</v>
      </c>
      <c r="J13295">
        <v>115</v>
      </c>
      <c r="K13295" t="b">
        <v>1</v>
      </c>
    </row>
    <row r="13296" spans="8:11" x14ac:dyDescent="0.25">
      <c r="H13296">
        <v>144</v>
      </c>
      <c r="I13296">
        <v>724</v>
      </c>
      <c r="J13296">
        <v>115</v>
      </c>
      <c r="K13296" t="b">
        <v>1</v>
      </c>
    </row>
    <row r="13297" spans="8:11" x14ac:dyDescent="0.25">
      <c r="H13297">
        <v>144</v>
      </c>
      <c r="I13297">
        <v>728</v>
      </c>
      <c r="J13297">
        <v>115</v>
      </c>
      <c r="K13297" t="b">
        <v>1</v>
      </c>
    </row>
    <row r="13298" spans="8:11" x14ac:dyDescent="0.25">
      <c r="H13298">
        <v>144</v>
      </c>
      <c r="I13298">
        <v>732</v>
      </c>
      <c r="J13298">
        <v>115</v>
      </c>
      <c r="K13298" t="b">
        <v>1</v>
      </c>
    </row>
    <row r="13299" spans="8:11" x14ac:dyDescent="0.25">
      <c r="H13299">
        <v>144</v>
      </c>
      <c r="I13299">
        <v>736</v>
      </c>
      <c r="J13299">
        <v>115</v>
      </c>
      <c r="K13299" t="b">
        <v>1</v>
      </c>
    </row>
    <row r="13300" spans="8:11" x14ac:dyDescent="0.25">
      <c r="H13300">
        <v>144</v>
      </c>
      <c r="I13300">
        <v>740</v>
      </c>
      <c r="J13300">
        <v>115</v>
      </c>
      <c r="K13300" t="b">
        <v>1</v>
      </c>
    </row>
    <row r="13301" spans="8:11" x14ac:dyDescent="0.25">
      <c r="H13301">
        <v>144</v>
      </c>
      <c r="I13301">
        <v>744</v>
      </c>
      <c r="J13301">
        <v>115</v>
      </c>
      <c r="K13301" t="b">
        <v>1</v>
      </c>
    </row>
    <row r="13302" spans="8:11" x14ac:dyDescent="0.25">
      <c r="H13302">
        <v>144</v>
      </c>
      <c r="I13302">
        <v>748</v>
      </c>
      <c r="J13302">
        <v>115</v>
      </c>
      <c r="K13302" t="b">
        <v>1</v>
      </c>
    </row>
    <row r="13303" spans="8:11" x14ac:dyDescent="0.25">
      <c r="H13303">
        <v>144</v>
      </c>
      <c r="I13303">
        <v>752</v>
      </c>
      <c r="J13303">
        <v>115</v>
      </c>
      <c r="K13303" t="b">
        <v>1</v>
      </c>
    </row>
    <row r="13304" spans="8:11" x14ac:dyDescent="0.25">
      <c r="H13304">
        <v>144</v>
      </c>
      <c r="I13304">
        <v>756</v>
      </c>
      <c r="J13304">
        <v>115</v>
      </c>
      <c r="K13304" t="b">
        <v>1</v>
      </c>
    </row>
    <row r="13305" spans="8:11" x14ac:dyDescent="0.25">
      <c r="H13305">
        <v>144</v>
      </c>
      <c r="I13305">
        <v>760</v>
      </c>
      <c r="J13305">
        <v>115</v>
      </c>
      <c r="K13305" t="b">
        <v>1</v>
      </c>
    </row>
    <row r="13306" spans="8:11" x14ac:dyDescent="0.25">
      <c r="H13306">
        <v>144</v>
      </c>
      <c r="I13306">
        <v>764</v>
      </c>
      <c r="J13306">
        <v>115</v>
      </c>
      <c r="K13306" t="b">
        <v>1</v>
      </c>
    </row>
    <row r="13307" spans="8:11" x14ac:dyDescent="0.25">
      <c r="H13307">
        <v>144</v>
      </c>
      <c r="I13307">
        <v>768</v>
      </c>
      <c r="J13307">
        <v>115</v>
      </c>
      <c r="K13307" t="b">
        <v>1</v>
      </c>
    </row>
    <row r="13308" spans="8:11" x14ac:dyDescent="0.25">
      <c r="H13308">
        <v>144</v>
      </c>
      <c r="I13308">
        <v>772</v>
      </c>
      <c r="J13308">
        <v>115</v>
      </c>
      <c r="K13308" t="b">
        <v>1</v>
      </c>
    </row>
    <row r="13309" spans="8:11" x14ac:dyDescent="0.25">
      <c r="H13309">
        <v>144</v>
      </c>
      <c r="I13309">
        <v>776</v>
      </c>
      <c r="J13309">
        <v>115</v>
      </c>
      <c r="K13309" t="b">
        <v>1</v>
      </c>
    </row>
    <row r="13310" spans="8:11" x14ac:dyDescent="0.25">
      <c r="H13310">
        <v>144</v>
      </c>
      <c r="I13310">
        <v>780</v>
      </c>
      <c r="J13310">
        <v>115</v>
      </c>
      <c r="K13310" t="b">
        <v>1</v>
      </c>
    </row>
    <row r="13311" spans="8:11" x14ac:dyDescent="0.25">
      <c r="H13311">
        <v>144</v>
      </c>
      <c r="I13311">
        <v>784</v>
      </c>
      <c r="J13311">
        <v>115</v>
      </c>
      <c r="K13311" t="b">
        <v>1</v>
      </c>
    </row>
    <row r="13312" spans="8:11" x14ac:dyDescent="0.25">
      <c r="H13312">
        <v>144</v>
      </c>
      <c r="I13312">
        <v>788</v>
      </c>
      <c r="J13312">
        <v>115</v>
      </c>
      <c r="K13312" t="b">
        <v>1</v>
      </c>
    </row>
    <row r="13313" spans="8:11" x14ac:dyDescent="0.25">
      <c r="H13313">
        <v>144</v>
      </c>
      <c r="I13313">
        <v>792</v>
      </c>
      <c r="J13313">
        <v>115</v>
      </c>
      <c r="K13313" t="b">
        <v>1</v>
      </c>
    </row>
    <row r="13314" spans="8:11" x14ac:dyDescent="0.25">
      <c r="H13314">
        <v>144</v>
      </c>
      <c r="I13314">
        <v>796</v>
      </c>
      <c r="J13314">
        <v>115</v>
      </c>
      <c r="K13314" t="b">
        <v>1</v>
      </c>
    </row>
    <row r="13315" spans="8:11" x14ac:dyDescent="0.25">
      <c r="H13315">
        <v>144</v>
      </c>
      <c r="I13315">
        <v>800</v>
      </c>
      <c r="J13315">
        <v>115</v>
      </c>
      <c r="K13315" t="b">
        <v>1</v>
      </c>
    </row>
    <row r="13316" spans="8:11" x14ac:dyDescent="0.25">
      <c r="H13316">
        <v>144</v>
      </c>
      <c r="I13316">
        <v>804</v>
      </c>
      <c r="J13316">
        <v>115</v>
      </c>
      <c r="K13316" t="b">
        <v>1</v>
      </c>
    </row>
    <row r="13317" spans="8:11" x14ac:dyDescent="0.25">
      <c r="H13317">
        <v>144</v>
      </c>
      <c r="I13317">
        <v>808</v>
      </c>
      <c r="J13317">
        <v>115</v>
      </c>
      <c r="K13317" t="b">
        <v>1</v>
      </c>
    </row>
    <row r="13318" spans="8:11" x14ac:dyDescent="0.25">
      <c r="H13318">
        <v>144</v>
      </c>
      <c r="I13318">
        <v>812</v>
      </c>
      <c r="J13318">
        <v>115</v>
      </c>
      <c r="K13318" t="b">
        <v>1</v>
      </c>
    </row>
    <row r="13319" spans="8:11" x14ac:dyDescent="0.25">
      <c r="H13319">
        <v>144</v>
      </c>
      <c r="I13319">
        <v>816</v>
      </c>
      <c r="J13319">
        <v>115</v>
      </c>
      <c r="K13319" t="b">
        <v>1</v>
      </c>
    </row>
    <row r="13320" spans="8:11" x14ac:dyDescent="0.25">
      <c r="H13320">
        <v>144</v>
      </c>
      <c r="I13320">
        <v>820</v>
      </c>
      <c r="J13320">
        <v>115</v>
      </c>
      <c r="K13320" t="b">
        <v>1</v>
      </c>
    </row>
    <row r="13321" spans="8:11" x14ac:dyDescent="0.25">
      <c r="H13321">
        <v>144</v>
      </c>
      <c r="I13321">
        <v>824</v>
      </c>
      <c r="J13321">
        <v>115</v>
      </c>
      <c r="K13321" t="b">
        <v>1</v>
      </c>
    </row>
    <row r="13322" spans="8:11" x14ac:dyDescent="0.25">
      <c r="H13322">
        <v>144</v>
      </c>
      <c r="I13322">
        <v>828</v>
      </c>
      <c r="J13322">
        <v>115</v>
      </c>
      <c r="K13322" t="b">
        <v>1</v>
      </c>
    </row>
    <row r="13323" spans="8:11" x14ac:dyDescent="0.25">
      <c r="H13323">
        <v>144</v>
      </c>
      <c r="I13323">
        <v>832</v>
      </c>
      <c r="J13323">
        <v>115</v>
      </c>
      <c r="K13323" t="b">
        <v>1</v>
      </c>
    </row>
    <row r="13324" spans="8:11" x14ac:dyDescent="0.25">
      <c r="H13324">
        <v>144</v>
      </c>
      <c r="I13324">
        <v>836</v>
      </c>
      <c r="J13324">
        <v>115</v>
      </c>
      <c r="K13324" t="b">
        <v>1</v>
      </c>
    </row>
    <row r="13325" spans="8:11" x14ac:dyDescent="0.25">
      <c r="H13325">
        <v>144</v>
      </c>
      <c r="I13325">
        <v>840</v>
      </c>
      <c r="J13325">
        <v>115</v>
      </c>
      <c r="K13325" t="b">
        <v>1</v>
      </c>
    </row>
    <row r="13326" spans="8:11" x14ac:dyDescent="0.25">
      <c r="H13326">
        <v>144</v>
      </c>
      <c r="I13326">
        <v>844</v>
      </c>
      <c r="J13326">
        <v>115</v>
      </c>
      <c r="K13326" t="b">
        <v>1</v>
      </c>
    </row>
    <row r="13327" spans="8:11" x14ac:dyDescent="0.25">
      <c r="H13327">
        <v>144</v>
      </c>
      <c r="I13327">
        <v>848</v>
      </c>
      <c r="J13327">
        <v>115</v>
      </c>
      <c r="K13327" t="b">
        <v>1</v>
      </c>
    </row>
    <row r="13328" spans="8:11" x14ac:dyDescent="0.25">
      <c r="H13328">
        <v>144</v>
      </c>
      <c r="I13328">
        <v>852</v>
      </c>
      <c r="J13328">
        <v>115</v>
      </c>
      <c r="K13328" t="b">
        <v>1</v>
      </c>
    </row>
    <row r="13329" spans="8:11" x14ac:dyDescent="0.25">
      <c r="H13329">
        <v>144</v>
      </c>
      <c r="I13329">
        <v>856</v>
      </c>
      <c r="J13329">
        <v>115</v>
      </c>
      <c r="K13329" t="b">
        <v>1</v>
      </c>
    </row>
    <row r="13330" spans="8:11" x14ac:dyDescent="0.25">
      <c r="H13330">
        <v>144</v>
      </c>
      <c r="I13330">
        <v>860</v>
      </c>
      <c r="J13330">
        <v>115</v>
      </c>
      <c r="K13330" t="b">
        <v>1</v>
      </c>
    </row>
    <row r="13331" spans="8:11" x14ac:dyDescent="0.25">
      <c r="H13331">
        <v>144</v>
      </c>
      <c r="I13331">
        <v>864</v>
      </c>
      <c r="J13331">
        <v>115</v>
      </c>
      <c r="K13331" t="b">
        <v>1</v>
      </c>
    </row>
    <row r="13332" spans="8:11" x14ac:dyDescent="0.25">
      <c r="H13332">
        <v>144</v>
      </c>
      <c r="I13332">
        <v>868</v>
      </c>
      <c r="J13332">
        <v>115</v>
      </c>
      <c r="K13332" t="b">
        <v>1</v>
      </c>
    </row>
    <row r="13333" spans="8:11" x14ac:dyDescent="0.25">
      <c r="H13333">
        <v>144</v>
      </c>
      <c r="I13333">
        <v>872</v>
      </c>
      <c r="J13333">
        <v>115</v>
      </c>
      <c r="K13333" t="b">
        <v>1</v>
      </c>
    </row>
    <row r="13334" spans="8:11" x14ac:dyDescent="0.25">
      <c r="H13334">
        <v>144</v>
      </c>
      <c r="I13334">
        <v>876</v>
      </c>
      <c r="J13334">
        <v>115</v>
      </c>
      <c r="K13334" t="b">
        <v>1</v>
      </c>
    </row>
    <row r="13335" spans="8:11" x14ac:dyDescent="0.25">
      <c r="H13335">
        <v>144</v>
      </c>
      <c r="I13335">
        <v>880</v>
      </c>
      <c r="J13335">
        <v>115</v>
      </c>
      <c r="K13335" t="b">
        <v>1</v>
      </c>
    </row>
    <row r="13336" spans="8:11" x14ac:dyDescent="0.25">
      <c r="H13336">
        <v>144</v>
      </c>
      <c r="I13336">
        <v>884</v>
      </c>
      <c r="J13336">
        <v>115</v>
      </c>
      <c r="K13336" t="b">
        <v>1</v>
      </c>
    </row>
    <row r="13337" spans="8:11" x14ac:dyDescent="0.25">
      <c r="H13337">
        <v>144</v>
      </c>
      <c r="I13337">
        <v>888</v>
      </c>
      <c r="J13337">
        <v>115</v>
      </c>
      <c r="K13337" t="b">
        <v>1</v>
      </c>
    </row>
    <row r="13338" spans="8:11" x14ac:dyDescent="0.25">
      <c r="H13338">
        <v>144</v>
      </c>
      <c r="I13338">
        <v>892</v>
      </c>
      <c r="J13338">
        <v>115</v>
      </c>
      <c r="K13338" t="b">
        <v>1</v>
      </c>
    </row>
    <row r="13339" spans="8:11" x14ac:dyDescent="0.25">
      <c r="H13339">
        <v>144</v>
      </c>
      <c r="I13339">
        <v>896</v>
      </c>
      <c r="J13339">
        <v>115</v>
      </c>
      <c r="K13339" t="b">
        <v>1</v>
      </c>
    </row>
    <row r="13340" spans="8:11" x14ac:dyDescent="0.25">
      <c r="H13340">
        <v>144</v>
      </c>
      <c r="I13340">
        <v>900</v>
      </c>
      <c r="J13340">
        <v>115</v>
      </c>
      <c r="K13340" t="b">
        <v>1</v>
      </c>
    </row>
    <row r="13341" spans="8:11" x14ac:dyDescent="0.25">
      <c r="H13341">
        <v>144</v>
      </c>
      <c r="I13341">
        <v>904</v>
      </c>
      <c r="J13341">
        <v>115</v>
      </c>
      <c r="K13341" t="b">
        <v>1</v>
      </c>
    </row>
    <row r="13342" spans="8:11" x14ac:dyDescent="0.25">
      <c r="H13342">
        <v>144</v>
      </c>
      <c r="I13342">
        <v>908</v>
      </c>
      <c r="J13342">
        <v>115</v>
      </c>
      <c r="K13342" t="b">
        <v>1</v>
      </c>
    </row>
    <row r="13343" spans="8:11" x14ac:dyDescent="0.25">
      <c r="H13343">
        <v>144</v>
      </c>
      <c r="I13343">
        <v>912</v>
      </c>
      <c r="J13343">
        <v>115</v>
      </c>
      <c r="K13343" t="b">
        <v>1</v>
      </c>
    </row>
    <row r="13344" spans="8:11" x14ac:dyDescent="0.25">
      <c r="H13344">
        <v>144</v>
      </c>
      <c r="I13344">
        <v>916</v>
      </c>
      <c r="J13344">
        <v>115</v>
      </c>
      <c r="K13344" t="b">
        <v>1</v>
      </c>
    </row>
    <row r="13345" spans="8:11" x14ac:dyDescent="0.25">
      <c r="H13345">
        <v>144</v>
      </c>
      <c r="I13345">
        <v>920</v>
      </c>
      <c r="J13345">
        <v>115</v>
      </c>
      <c r="K13345" t="b">
        <v>1</v>
      </c>
    </row>
    <row r="13346" spans="8:11" x14ac:dyDescent="0.25">
      <c r="H13346">
        <v>144</v>
      </c>
      <c r="I13346">
        <v>924</v>
      </c>
      <c r="J13346">
        <v>115</v>
      </c>
      <c r="K13346" t="b">
        <v>1</v>
      </c>
    </row>
    <row r="13347" spans="8:11" x14ac:dyDescent="0.25">
      <c r="H13347">
        <v>144</v>
      </c>
      <c r="I13347">
        <v>928</v>
      </c>
      <c r="J13347">
        <v>115</v>
      </c>
      <c r="K13347" t="b">
        <v>1</v>
      </c>
    </row>
    <row r="13348" spans="8:11" x14ac:dyDescent="0.25">
      <c r="H13348">
        <v>144</v>
      </c>
      <c r="I13348">
        <v>932</v>
      </c>
      <c r="J13348">
        <v>115</v>
      </c>
      <c r="K13348" t="b">
        <v>1</v>
      </c>
    </row>
    <row r="13349" spans="8:11" x14ac:dyDescent="0.25">
      <c r="H13349">
        <v>144</v>
      </c>
      <c r="I13349">
        <v>936</v>
      </c>
      <c r="J13349">
        <v>115</v>
      </c>
      <c r="K13349" t="b">
        <v>1</v>
      </c>
    </row>
    <row r="13350" spans="8:11" x14ac:dyDescent="0.25">
      <c r="H13350">
        <v>144</v>
      </c>
      <c r="I13350">
        <v>940</v>
      </c>
      <c r="J13350">
        <v>115</v>
      </c>
      <c r="K13350" t="b">
        <v>1</v>
      </c>
    </row>
    <row r="13351" spans="8:11" x14ac:dyDescent="0.25">
      <c r="H13351">
        <v>144</v>
      </c>
      <c r="I13351">
        <v>944</v>
      </c>
      <c r="J13351">
        <v>115</v>
      </c>
      <c r="K13351" t="b">
        <v>1</v>
      </c>
    </row>
    <row r="13352" spans="8:11" x14ac:dyDescent="0.25">
      <c r="H13352">
        <v>144</v>
      </c>
      <c r="I13352">
        <v>948</v>
      </c>
      <c r="J13352">
        <v>115</v>
      </c>
      <c r="K13352" t="b">
        <v>1</v>
      </c>
    </row>
    <row r="13353" spans="8:11" x14ac:dyDescent="0.25">
      <c r="H13353">
        <v>144</v>
      </c>
      <c r="I13353">
        <v>952</v>
      </c>
      <c r="J13353">
        <v>115</v>
      </c>
      <c r="K13353" t="b">
        <v>1</v>
      </c>
    </row>
    <row r="13354" spans="8:11" x14ac:dyDescent="0.25">
      <c r="H13354">
        <v>144</v>
      </c>
      <c r="I13354">
        <v>956</v>
      </c>
      <c r="J13354">
        <v>115</v>
      </c>
      <c r="K13354" t="b">
        <v>1</v>
      </c>
    </row>
    <row r="13355" spans="8:11" x14ac:dyDescent="0.25">
      <c r="H13355">
        <v>145</v>
      </c>
      <c r="I13355">
        <v>0</v>
      </c>
      <c r="J13355">
        <v>80</v>
      </c>
      <c r="K13355" t="b">
        <v>1</v>
      </c>
    </row>
    <row r="13356" spans="8:11" x14ac:dyDescent="0.25">
      <c r="H13356">
        <v>145</v>
      </c>
      <c r="I13356">
        <v>7</v>
      </c>
      <c r="J13356">
        <v>80</v>
      </c>
      <c r="K13356" t="b">
        <v>1</v>
      </c>
    </row>
    <row r="13357" spans="8:11" x14ac:dyDescent="0.25">
      <c r="H13357">
        <v>145</v>
      </c>
      <c r="I13357">
        <v>14</v>
      </c>
      <c r="J13357">
        <v>80</v>
      </c>
      <c r="K13357" t="b">
        <v>1</v>
      </c>
    </row>
    <row r="13358" spans="8:11" x14ac:dyDescent="0.25">
      <c r="H13358">
        <v>145</v>
      </c>
      <c r="I13358">
        <v>21</v>
      </c>
      <c r="J13358">
        <v>80</v>
      </c>
      <c r="K13358" t="b">
        <v>1</v>
      </c>
    </row>
    <row r="13359" spans="8:11" x14ac:dyDescent="0.25">
      <c r="H13359">
        <v>145</v>
      </c>
      <c r="I13359">
        <v>28</v>
      </c>
      <c r="J13359">
        <v>80</v>
      </c>
      <c r="K13359" t="b">
        <v>1</v>
      </c>
    </row>
    <row r="13360" spans="8:11" x14ac:dyDescent="0.25">
      <c r="H13360">
        <v>145</v>
      </c>
      <c r="I13360">
        <v>35</v>
      </c>
      <c r="J13360">
        <v>80</v>
      </c>
      <c r="K13360" t="b">
        <v>1</v>
      </c>
    </row>
    <row r="13361" spans="8:11" x14ac:dyDescent="0.25">
      <c r="H13361">
        <v>145</v>
      </c>
      <c r="I13361">
        <v>42</v>
      </c>
      <c r="J13361">
        <v>80</v>
      </c>
      <c r="K13361" t="b">
        <v>1</v>
      </c>
    </row>
    <row r="13362" spans="8:11" x14ac:dyDescent="0.25">
      <c r="H13362">
        <v>145</v>
      </c>
      <c r="I13362">
        <v>49</v>
      </c>
      <c r="J13362">
        <v>80</v>
      </c>
      <c r="K13362" t="b">
        <v>1</v>
      </c>
    </row>
    <row r="13363" spans="8:11" x14ac:dyDescent="0.25">
      <c r="H13363">
        <v>145</v>
      </c>
      <c r="I13363">
        <v>56</v>
      </c>
      <c r="J13363">
        <v>80</v>
      </c>
      <c r="K13363" t="b">
        <v>1</v>
      </c>
    </row>
    <row r="13364" spans="8:11" x14ac:dyDescent="0.25">
      <c r="H13364">
        <v>145</v>
      </c>
      <c r="I13364">
        <v>63</v>
      </c>
      <c r="J13364">
        <v>80</v>
      </c>
      <c r="K13364" t="b">
        <v>1</v>
      </c>
    </row>
    <row r="13365" spans="8:11" x14ac:dyDescent="0.25">
      <c r="H13365">
        <v>145</v>
      </c>
      <c r="I13365">
        <v>70</v>
      </c>
      <c r="J13365">
        <v>80</v>
      </c>
      <c r="K13365" t="b">
        <v>1</v>
      </c>
    </row>
    <row r="13366" spans="8:11" x14ac:dyDescent="0.25">
      <c r="H13366">
        <v>145</v>
      </c>
      <c r="I13366">
        <v>77</v>
      </c>
      <c r="J13366">
        <v>80</v>
      </c>
      <c r="K13366" t="b">
        <v>1</v>
      </c>
    </row>
    <row r="13367" spans="8:11" x14ac:dyDescent="0.25">
      <c r="H13367">
        <v>145</v>
      </c>
      <c r="I13367">
        <v>84</v>
      </c>
      <c r="J13367">
        <v>80</v>
      </c>
      <c r="K13367" t="b">
        <v>1</v>
      </c>
    </row>
    <row r="13368" spans="8:11" x14ac:dyDescent="0.25">
      <c r="H13368">
        <v>145</v>
      </c>
      <c r="I13368">
        <v>91</v>
      </c>
      <c r="J13368">
        <v>80</v>
      </c>
      <c r="K13368" t="b">
        <v>1</v>
      </c>
    </row>
    <row r="13369" spans="8:11" x14ac:dyDescent="0.25">
      <c r="H13369">
        <v>145</v>
      </c>
      <c r="I13369">
        <v>98</v>
      </c>
      <c r="J13369">
        <v>80</v>
      </c>
      <c r="K13369" t="b">
        <v>1</v>
      </c>
    </row>
    <row r="13370" spans="8:11" x14ac:dyDescent="0.25">
      <c r="H13370">
        <v>145</v>
      </c>
      <c r="I13370">
        <v>105</v>
      </c>
      <c r="J13370">
        <v>80</v>
      </c>
      <c r="K13370" t="b">
        <v>1</v>
      </c>
    </row>
    <row r="13371" spans="8:11" x14ac:dyDescent="0.25">
      <c r="H13371">
        <v>145</v>
      </c>
      <c r="I13371">
        <v>112</v>
      </c>
      <c r="J13371">
        <v>80</v>
      </c>
      <c r="K13371" t="b">
        <v>1</v>
      </c>
    </row>
    <row r="13372" spans="8:11" x14ac:dyDescent="0.25">
      <c r="H13372">
        <v>145</v>
      </c>
      <c r="I13372">
        <v>119</v>
      </c>
      <c r="J13372">
        <v>80</v>
      </c>
      <c r="K13372" t="b">
        <v>1</v>
      </c>
    </row>
    <row r="13373" spans="8:11" x14ac:dyDescent="0.25">
      <c r="H13373">
        <v>145</v>
      </c>
      <c r="I13373">
        <v>126</v>
      </c>
      <c r="J13373">
        <v>80</v>
      </c>
      <c r="K13373" t="b">
        <v>1</v>
      </c>
    </row>
    <row r="13374" spans="8:11" x14ac:dyDescent="0.25">
      <c r="H13374">
        <v>145</v>
      </c>
      <c r="I13374">
        <v>133</v>
      </c>
      <c r="J13374">
        <v>80</v>
      </c>
      <c r="K13374" t="b">
        <v>1</v>
      </c>
    </row>
    <row r="13375" spans="8:11" x14ac:dyDescent="0.25">
      <c r="H13375">
        <v>145</v>
      </c>
      <c r="I13375">
        <v>140</v>
      </c>
      <c r="J13375">
        <v>80</v>
      </c>
      <c r="K13375" t="b">
        <v>1</v>
      </c>
    </row>
    <row r="13376" spans="8:11" x14ac:dyDescent="0.25">
      <c r="H13376">
        <v>145</v>
      </c>
      <c r="I13376">
        <v>147</v>
      </c>
      <c r="J13376">
        <v>80</v>
      </c>
      <c r="K13376" t="b">
        <v>1</v>
      </c>
    </row>
    <row r="13377" spans="8:11" x14ac:dyDescent="0.25">
      <c r="H13377">
        <v>145</v>
      </c>
      <c r="I13377">
        <v>154</v>
      </c>
      <c r="J13377">
        <v>80</v>
      </c>
      <c r="K13377" t="b">
        <v>1</v>
      </c>
    </row>
    <row r="13378" spans="8:11" x14ac:dyDescent="0.25">
      <c r="H13378">
        <v>145</v>
      </c>
      <c r="I13378">
        <v>161</v>
      </c>
      <c r="J13378">
        <v>80</v>
      </c>
      <c r="K13378" t="b">
        <v>1</v>
      </c>
    </row>
    <row r="13379" spans="8:11" x14ac:dyDescent="0.25">
      <c r="H13379">
        <v>145</v>
      </c>
      <c r="I13379">
        <v>168</v>
      </c>
      <c r="J13379">
        <v>80</v>
      </c>
      <c r="K13379" t="b">
        <v>1</v>
      </c>
    </row>
    <row r="13380" spans="8:11" x14ac:dyDescent="0.25">
      <c r="H13380">
        <v>145</v>
      </c>
      <c r="I13380">
        <v>175</v>
      </c>
      <c r="J13380">
        <v>80</v>
      </c>
      <c r="K13380" t="b">
        <v>1</v>
      </c>
    </row>
    <row r="13381" spans="8:11" x14ac:dyDescent="0.25">
      <c r="H13381">
        <v>145</v>
      </c>
      <c r="I13381">
        <v>182</v>
      </c>
      <c r="J13381">
        <v>80</v>
      </c>
      <c r="K13381" t="b">
        <v>1</v>
      </c>
    </row>
    <row r="13382" spans="8:11" x14ac:dyDescent="0.25">
      <c r="H13382">
        <v>145</v>
      </c>
      <c r="I13382">
        <v>189</v>
      </c>
      <c r="J13382">
        <v>80</v>
      </c>
      <c r="K13382" t="b">
        <v>1</v>
      </c>
    </row>
    <row r="13383" spans="8:11" x14ac:dyDescent="0.25">
      <c r="H13383">
        <v>145</v>
      </c>
      <c r="I13383">
        <v>196</v>
      </c>
      <c r="J13383">
        <v>80</v>
      </c>
      <c r="K13383" t="b">
        <v>1</v>
      </c>
    </row>
    <row r="13384" spans="8:11" x14ac:dyDescent="0.25">
      <c r="H13384">
        <v>145</v>
      </c>
      <c r="I13384">
        <v>203</v>
      </c>
      <c r="J13384">
        <v>80</v>
      </c>
      <c r="K13384" t="b">
        <v>1</v>
      </c>
    </row>
    <row r="13385" spans="8:11" x14ac:dyDescent="0.25">
      <c r="H13385">
        <v>145</v>
      </c>
      <c r="I13385">
        <v>210</v>
      </c>
      <c r="J13385">
        <v>80</v>
      </c>
      <c r="K13385" t="b">
        <v>1</v>
      </c>
    </row>
    <row r="13386" spans="8:11" x14ac:dyDescent="0.25">
      <c r="H13386">
        <v>145</v>
      </c>
      <c r="I13386">
        <v>217</v>
      </c>
      <c r="J13386">
        <v>80</v>
      </c>
      <c r="K13386" t="b">
        <v>1</v>
      </c>
    </row>
    <row r="13387" spans="8:11" x14ac:dyDescent="0.25">
      <c r="H13387">
        <v>145</v>
      </c>
      <c r="I13387">
        <v>224</v>
      </c>
      <c r="J13387">
        <v>80</v>
      </c>
      <c r="K13387" t="b">
        <v>1</v>
      </c>
    </row>
    <row r="13388" spans="8:11" x14ac:dyDescent="0.25">
      <c r="H13388">
        <v>145</v>
      </c>
      <c r="I13388">
        <v>231</v>
      </c>
      <c r="J13388">
        <v>80</v>
      </c>
      <c r="K13388" t="b">
        <v>1</v>
      </c>
    </row>
    <row r="13389" spans="8:11" x14ac:dyDescent="0.25">
      <c r="H13389">
        <v>145</v>
      </c>
      <c r="I13389">
        <v>238</v>
      </c>
      <c r="J13389">
        <v>80</v>
      </c>
      <c r="K13389" t="b">
        <v>1</v>
      </c>
    </row>
    <row r="13390" spans="8:11" x14ac:dyDescent="0.25">
      <c r="H13390">
        <v>145</v>
      </c>
      <c r="I13390">
        <v>245</v>
      </c>
      <c r="J13390">
        <v>80</v>
      </c>
      <c r="K13390" t="b">
        <v>1</v>
      </c>
    </row>
    <row r="13391" spans="8:11" x14ac:dyDescent="0.25">
      <c r="H13391">
        <v>145</v>
      </c>
      <c r="I13391">
        <v>252</v>
      </c>
      <c r="J13391">
        <v>80</v>
      </c>
      <c r="K13391" t="b">
        <v>1</v>
      </c>
    </row>
    <row r="13392" spans="8:11" x14ac:dyDescent="0.25">
      <c r="H13392">
        <v>145</v>
      </c>
      <c r="I13392">
        <v>259</v>
      </c>
      <c r="J13392">
        <v>80</v>
      </c>
      <c r="K13392" t="b">
        <v>1</v>
      </c>
    </row>
    <row r="13393" spans="8:11" x14ac:dyDescent="0.25">
      <c r="H13393">
        <v>145</v>
      </c>
      <c r="I13393">
        <v>266</v>
      </c>
      <c r="J13393">
        <v>80</v>
      </c>
      <c r="K13393" t="b">
        <v>1</v>
      </c>
    </row>
    <row r="13394" spans="8:11" x14ac:dyDescent="0.25">
      <c r="H13394">
        <v>145</v>
      </c>
      <c r="I13394">
        <v>273</v>
      </c>
      <c r="J13394">
        <v>80</v>
      </c>
      <c r="K13394" t="b">
        <v>1</v>
      </c>
    </row>
    <row r="13395" spans="8:11" x14ac:dyDescent="0.25">
      <c r="H13395">
        <v>145</v>
      </c>
      <c r="I13395">
        <v>280</v>
      </c>
      <c r="J13395">
        <v>80</v>
      </c>
      <c r="K13395" t="b">
        <v>1</v>
      </c>
    </row>
    <row r="13396" spans="8:11" x14ac:dyDescent="0.25">
      <c r="H13396">
        <v>145</v>
      </c>
      <c r="I13396">
        <v>287</v>
      </c>
      <c r="J13396">
        <v>80</v>
      </c>
      <c r="K13396" t="b">
        <v>1</v>
      </c>
    </row>
    <row r="13397" spans="8:11" x14ac:dyDescent="0.25">
      <c r="H13397">
        <v>145</v>
      </c>
      <c r="I13397">
        <v>294</v>
      </c>
      <c r="J13397">
        <v>80</v>
      </c>
      <c r="K13397" t="b">
        <v>1</v>
      </c>
    </row>
    <row r="13398" spans="8:11" x14ac:dyDescent="0.25">
      <c r="H13398">
        <v>145</v>
      </c>
      <c r="I13398">
        <v>301</v>
      </c>
      <c r="J13398">
        <v>80</v>
      </c>
      <c r="K13398" t="b">
        <v>1</v>
      </c>
    </row>
    <row r="13399" spans="8:11" x14ac:dyDescent="0.25">
      <c r="H13399">
        <v>145</v>
      </c>
      <c r="I13399">
        <v>308</v>
      </c>
      <c r="J13399">
        <v>80</v>
      </c>
      <c r="K13399" t="b">
        <v>1</v>
      </c>
    </row>
    <row r="13400" spans="8:11" x14ac:dyDescent="0.25">
      <c r="H13400">
        <v>145</v>
      </c>
      <c r="I13400">
        <v>315</v>
      </c>
      <c r="J13400">
        <v>80</v>
      </c>
      <c r="K13400" t="b">
        <v>1</v>
      </c>
    </row>
    <row r="13401" spans="8:11" x14ac:dyDescent="0.25">
      <c r="H13401">
        <v>145</v>
      </c>
      <c r="I13401">
        <v>322</v>
      </c>
      <c r="J13401">
        <v>80</v>
      </c>
      <c r="K13401" t="b">
        <v>1</v>
      </c>
    </row>
    <row r="13402" spans="8:11" x14ac:dyDescent="0.25">
      <c r="H13402">
        <v>145</v>
      </c>
      <c r="I13402">
        <v>329</v>
      </c>
      <c r="J13402">
        <v>80</v>
      </c>
      <c r="K13402" t="b">
        <v>1</v>
      </c>
    </row>
    <row r="13403" spans="8:11" x14ac:dyDescent="0.25">
      <c r="H13403">
        <v>145</v>
      </c>
      <c r="I13403">
        <v>336</v>
      </c>
      <c r="J13403">
        <v>80</v>
      </c>
      <c r="K13403" t="b">
        <v>1</v>
      </c>
    </row>
    <row r="13404" spans="8:11" x14ac:dyDescent="0.25">
      <c r="H13404">
        <v>145</v>
      </c>
      <c r="I13404">
        <v>343</v>
      </c>
      <c r="J13404">
        <v>80</v>
      </c>
      <c r="K13404" t="b">
        <v>1</v>
      </c>
    </row>
    <row r="13405" spans="8:11" x14ac:dyDescent="0.25">
      <c r="H13405">
        <v>145</v>
      </c>
      <c r="I13405">
        <v>350</v>
      </c>
      <c r="J13405">
        <v>80</v>
      </c>
      <c r="K13405" t="b">
        <v>1</v>
      </c>
    </row>
    <row r="13406" spans="8:11" x14ac:dyDescent="0.25">
      <c r="H13406">
        <v>145</v>
      </c>
      <c r="I13406">
        <v>357</v>
      </c>
      <c r="J13406">
        <v>80</v>
      </c>
      <c r="K13406" t="b">
        <v>1</v>
      </c>
    </row>
    <row r="13407" spans="8:11" x14ac:dyDescent="0.25">
      <c r="H13407">
        <v>145</v>
      </c>
      <c r="I13407">
        <v>364</v>
      </c>
      <c r="J13407">
        <v>80</v>
      </c>
      <c r="K13407" t="b">
        <v>1</v>
      </c>
    </row>
    <row r="13408" spans="8:11" x14ac:dyDescent="0.25">
      <c r="H13408">
        <v>145</v>
      </c>
      <c r="I13408">
        <v>371</v>
      </c>
      <c r="J13408">
        <v>80</v>
      </c>
      <c r="K13408" t="b">
        <v>1</v>
      </c>
    </row>
    <row r="13409" spans="8:11" x14ac:dyDescent="0.25">
      <c r="H13409">
        <v>145</v>
      </c>
      <c r="I13409">
        <v>378</v>
      </c>
      <c r="J13409">
        <v>80</v>
      </c>
      <c r="K13409" t="b">
        <v>1</v>
      </c>
    </row>
    <row r="13410" spans="8:11" x14ac:dyDescent="0.25">
      <c r="H13410">
        <v>145</v>
      </c>
      <c r="I13410">
        <v>385</v>
      </c>
      <c r="J13410">
        <v>80</v>
      </c>
      <c r="K13410" t="b">
        <v>1</v>
      </c>
    </row>
    <row r="13411" spans="8:11" x14ac:dyDescent="0.25">
      <c r="H13411">
        <v>145</v>
      </c>
      <c r="I13411">
        <v>392</v>
      </c>
      <c r="J13411">
        <v>80</v>
      </c>
      <c r="K13411" t="b">
        <v>1</v>
      </c>
    </row>
    <row r="13412" spans="8:11" x14ac:dyDescent="0.25">
      <c r="H13412">
        <v>145</v>
      </c>
      <c r="I13412">
        <v>399</v>
      </c>
      <c r="J13412">
        <v>80</v>
      </c>
      <c r="K13412" t="b">
        <v>1</v>
      </c>
    </row>
    <row r="13413" spans="8:11" x14ac:dyDescent="0.25">
      <c r="H13413">
        <v>145</v>
      </c>
      <c r="I13413">
        <v>406</v>
      </c>
      <c r="J13413">
        <v>80</v>
      </c>
      <c r="K13413" t="b">
        <v>1</v>
      </c>
    </row>
    <row r="13414" spans="8:11" x14ac:dyDescent="0.25">
      <c r="H13414">
        <v>145</v>
      </c>
      <c r="I13414">
        <v>413</v>
      </c>
      <c r="J13414">
        <v>80</v>
      </c>
      <c r="K13414" t="b">
        <v>1</v>
      </c>
    </row>
    <row r="13415" spans="8:11" x14ac:dyDescent="0.25">
      <c r="H13415">
        <v>145</v>
      </c>
      <c r="I13415">
        <v>420</v>
      </c>
      <c r="J13415">
        <v>80</v>
      </c>
      <c r="K13415" t="b">
        <v>1</v>
      </c>
    </row>
    <row r="13416" spans="8:11" x14ac:dyDescent="0.25">
      <c r="H13416">
        <v>145</v>
      </c>
      <c r="I13416">
        <v>427</v>
      </c>
      <c r="J13416">
        <v>80</v>
      </c>
      <c r="K13416" t="b">
        <v>1</v>
      </c>
    </row>
    <row r="13417" spans="8:11" x14ac:dyDescent="0.25">
      <c r="H13417">
        <v>145</v>
      </c>
      <c r="I13417">
        <v>434</v>
      </c>
      <c r="J13417">
        <v>80</v>
      </c>
      <c r="K13417" t="b">
        <v>1</v>
      </c>
    </row>
    <row r="13418" spans="8:11" x14ac:dyDescent="0.25">
      <c r="H13418">
        <v>145</v>
      </c>
      <c r="I13418">
        <v>441</v>
      </c>
      <c r="J13418">
        <v>80</v>
      </c>
      <c r="K13418" t="b">
        <v>1</v>
      </c>
    </row>
    <row r="13419" spans="8:11" x14ac:dyDescent="0.25">
      <c r="H13419">
        <v>145</v>
      </c>
      <c r="I13419">
        <v>448</v>
      </c>
      <c r="J13419">
        <v>80</v>
      </c>
      <c r="K13419" t="b">
        <v>1</v>
      </c>
    </row>
    <row r="13420" spans="8:11" x14ac:dyDescent="0.25">
      <c r="H13420">
        <v>145</v>
      </c>
      <c r="I13420">
        <v>455</v>
      </c>
      <c r="J13420">
        <v>80</v>
      </c>
      <c r="K13420" t="b">
        <v>1</v>
      </c>
    </row>
    <row r="13421" spans="8:11" x14ac:dyDescent="0.25">
      <c r="H13421">
        <v>145</v>
      </c>
      <c r="I13421">
        <v>462</v>
      </c>
      <c r="J13421">
        <v>80</v>
      </c>
      <c r="K13421" t="b">
        <v>1</v>
      </c>
    </row>
    <row r="13422" spans="8:11" x14ac:dyDescent="0.25">
      <c r="H13422">
        <v>145</v>
      </c>
      <c r="I13422">
        <v>469</v>
      </c>
      <c r="J13422">
        <v>80</v>
      </c>
      <c r="K13422" t="b">
        <v>1</v>
      </c>
    </row>
    <row r="13423" spans="8:11" x14ac:dyDescent="0.25">
      <c r="H13423">
        <v>145</v>
      </c>
      <c r="I13423">
        <v>476</v>
      </c>
      <c r="J13423">
        <v>80</v>
      </c>
      <c r="K13423" t="b">
        <v>1</v>
      </c>
    </row>
    <row r="13424" spans="8:11" x14ac:dyDescent="0.25">
      <c r="H13424">
        <v>145</v>
      </c>
      <c r="I13424">
        <v>483</v>
      </c>
      <c r="J13424">
        <v>80</v>
      </c>
      <c r="K13424" t="b">
        <v>1</v>
      </c>
    </row>
    <row r="13425" spans="8:11" x14ac:dyDescent="0.25">
      <c r="H13425">
        <v>145</v>
      </c>
      <c r="I13425">
        <v>490</v>
      </c>
      <c r="J13425">
        <v>80</v>
      </c>
      <c r="K13425" t="b">
        <v>1</v>
      </c>
    </row>
    <row r="13426" spans="8:11" x14ac:dyDescent="0.25">
      <c r="H13426">
        <v>145</v>
      </c>
      <c r="I13426">
        <v>497</v>
      </c>
      <c r="J13426">
        <v>80</v>
      </c>
      <c r="K13426" t="b">
        <v>1</v>
      </c>
    </row>
    <row r="13427" spans="8:11" x14ac:dyDescent="0.25">
      <c r="H13427">
        <v>145</v>
      </c>
      <c r="I13427">
        <v>504</v>
      </c>
      <c r="J13427">
        <v>80</v>
      </c>
      <c r="K13427" t="b">
        <v>1</v>
      </c>
    </row>
    <row r="13428" spans="8:11" x14ac:dyDescent="0.25">
      <c r="H13428">
        <v>145</v>
      </c>
      <c r="I13428">
        <v>511</v>
      </c>
      <c r="J13428">
        <v>80</v>
      </c>
      <c r="K13428" t="b">
        <v>1</v>
      </c>
    </row>
    <row r="13429" spans="8:11" x14ac:dyDescent="0.25">
      <c r="H13429">
        <v>145</v>
      </c>
      <c r="I13429">
        <v>518</v>
      </c>
      <c r="J13429">
        <v>80</v>
      </c>
      <c r="K13429" t="b">
        <v>1</v>
      </c>
    </row>
    <row r="13430" spans="8:11" x14ac:dyDescent="0.25">
      <c r="H13430">
        <v>145</v>
      </c>
      <c r="I13430">
        <v>525</v>
      </c>
      <c r="J13430">
        <v>80</v>
      </c>
      <c r="K13430" t="b">
        <v>1</v>
      </c>
    </row>
    <row r="13431" spans="8:11" x14ac:dyDescent="0.25">
      <c r="H13431">
        <v>145</v>
      </c>
      <c r="I13431">
        <v>532</v>
      </c>
      <c r="J13431">
        <v>80</v>
      </c>
      <c r="K13431" t="b">
        <v>1</v>
      </c>
    </row>
    <row r="13432" spans="8:11" x14ac:dyDescent="0.25">
      <c r="H13432">
        <v>145</v>
      </c>
      <c r="I13432">
        <v>539</v>
      </c>
      <c r="J13432">
        <v>80</v>
      </c>
      <c r="K13432" t="b">
        <v>1</v>
      </c>
    </row>
    <row r="13433" spans="8:11" x14ac:dyDescent="0.25">
      <c r="H13433">
        <v>145</v>
      </c>
      <c r="I13433">
        <v>546</v>
      </c>
      <c r="J13433">
        <v>80</v>
      </c>
      <c r="K13433" t="b">
        <v>1</v>
      </c>
    </row>
    <row r="13434" spans="8:11" x14ac:dyDescent="0.25">
      <c r="H13434">
        <v>145</v>
      </c>
      <c r="I13434">
        <v>553</v>
      </c>
      <c r="J13434">
        <v>80</v>
      </c>
      <c r="K13434" t="b">
        <v>1</v>
      </c>
    </row>
    <row r="13435" spans="8:11" x14ac:dyDescent="0.25">
      <c r="H13435">
        <v>145</v>
      </c>
      <c r="I13435">
        <v>560</v>
      </c>
      <c r="J13435">
        <v>80</v>
      </c>
      <c r="K13435" t="b">
        <v>1</v>
      </c>
    </row>
    <row r="13436" spans="8:11" x14ac:dyDescent="0.25">
      <c r="H13436">
        <v>145</v>
      </c>
      <c r="I13436">
        <v>567</v>
      </c>
      <c r="J13436">
        <v>80</v>
      </c>
      <c r="K13436" t="b">
        <v>1</v>
      </c>
    </row>
    <row r="13437" spans="8:11" x14ac:dyDescent="0.25">
      <c r="H13437">
        <v>145</v>
      </c>
      <c r="I13437">
        <v>574</v>
      </c>
      <c r="J13437">
        <v>80</v>
      </c>
      <c r="K13437" t="b">
        <v>1</v>
      </c>
    </row>
    <row r="13438" spans="8:11" x14ac:dyDescent="0.25">
      <c r="H13438">
        <v>145</v>
      </c>
      <c r="I13438">
        <v>581</v>
      </c>
      <c r="J13438">
        <v>80</v>
      </c>
      <c r="K13438" t="b">
        <v>1</v>
      </c>
    </row>
    <row r="13439" spans="8:11" x14ac:dyDescent="0.25">
      <c r="H13439">
        <v>145</v>
      </c>
      <c r="I13439">
        <v>588</v>
      </c>
      <c r="J13439">
        <v>80</v>
      </c>
      <c r="K13439" t="b">
        <v>1</v>
      </c>
    </row>
    <row r="13440" spans="8:11" x14ac:dyDescent="0.25">
      <c r="H13440">
        <v>145</v>
      </c>
      <c r="I13440">
        <v>595</v>
      </c>
      <c r="J13440">
        <v>80</v>
      </c>
      <c r="K13440" t="b">
        <v>1</v>
      </c>
    </row>
    <row r="13441" spans="8:11" x14ac:dyDescent="0.25">
      <c r="H13441">
        <v>145</v>
      </c>
      <c r="I13441">
        <v>602</v>
      </c>
      <c r="J13441">
        <v>80</v>
      </c>
      <c r="K13441" t="b">
        <v>1</v>
      </c>
    </row>
    <row r="13442" spans="8:11" x14ac:dyDescent="0.25">
      <c r="H13442">
        <v>145</v>
      </c>
      <c r="I13442">
        <v>609</v>
      </c>
      <c r="J13442">
        <v>80</v>
      </c>
      <c r="K13442" t="b">
        <v>1</v>
      </c>
    </row>
    <row r="13443" spans="8:11" x14ac:dyDescent="0.25">
      <c r="H13443">
        <v>145</v>
      </c>
      <c r="I13443">
        <v>616</v>
      </c>
      <c r="J13443">
        <v>80</v>
      </c>
      <c r="K13443" t="b">
        <v>1</v>
      </c>
    </row>
    <row r="13444" spans="8:11" x14ac:dyDescent="0.25">
      <c r="H13444">
        <v>145</v>
      </c>
      <c r="I13444">
        <v>623</v>
      </c>
      <c r="J13444">
        <v>80</v>
      </c>
      <c r="K13444" t="b">
        <v>1</v>
      </c>
    </row>
    <row r="13445" spans="8:11" x14ac:dyDescent="0.25">
      <c r="H13445">
        <v>145</v>
      </c>
      <c r="I13445">
        <v>630</v>
      </c>
      <c r="J13445">
        <v>80</v>
      </c>
      <c r="K13445" t="b">
        <v>1</v>
      </c>
    </row>
    <row r="13446" spans="8:11" x14ac:dyDescent="0.25">
      <c r="H13446">
        <v>145</v>
      </c>
      <c r="I13446">
        <v>637</v>
      </c>
      <c r="J13446">
        <v>80</v>
      </c>
      <c r="K13446" t="b">
        <v>1</v>
      </c>
    </row>
    <row r="13447" spans="8:11" x14ac:dyDescent="0.25">
      <c r="H13447">
        <v>145</v>
      </c>
      <c r="I13447">
        <v>644</v>
      </c>
      <c r="J13447">
        <v>80</v>
      </c>
      <c r="K13447" t="b">
        <v>1</v>
      </c>
    </row>
    <row r="13448" spans="8:11" x14ac:dyDescent="0.25">
      <c r="H13448">
        <v>145</v>
      </c>
      <c r="I13448">
        <v>651</v>
      </c>
      <c r="J13448">
        <v>80</v>
      </c>
      <c r="K13448" t="b">
        <v>1</v>
      </c>
    </row>
    <row r="13449" spans="8:11" x14ac:dyDescent="0.25">
      <c r="H13449">
        <v>145</v>
      </c>
      <c r="I13449">
        <v>658</v>
      </c>
      <c r="J13449">
        <v>80</v>
      </c>
      <c r="K13449" t="b">
        <v>1</v>
      </c>
    </row>
    <row r="13450" spans="8:11" x14ac:dyDescent="0.25">
      <c r="H13450">
        <v>145</v>
      </c>
      <c r="I13450">
        <v>665</v>
      </c>
      <c r="J13450">
        <v>80</v>
      </c>
      <c r="K13450" t="b">
        <v>1</v>
      </c>
    </row>
    <row r="13451" spans="8:11" x14ac:dyDescent="0.25">
      <c r="H13451">
        <v>145</v>
      </c>
      <c r="I13451">
        <v>672</v>
      </c>
      <c r="J13451">
        <v>80</v>
      </c>
      <c r="K13451" t="b">
        <v>1</v>
      </c>
    </row>
    <row r="13452" spans="8:11" x14ac:dyDescent="0.25">
      <c r="H13452">
        <v>145</v>
      </c>
      <c r="I13452">
        <v>679</v>
      </c>
      <c r="J13452">
        <v>80</v>
      </c>
      <c r="K13452" t="b">
        <v>1</v>
      </c>
    </row>
    <row r="13453" spans="8:11" x14ac:dyDescent="0.25">
      <c r="H13453">
        <v>145</v>
      </c>
      <c r="I13453">
        <v>686</v>
      </c>
      <c r="J13453">
        <v>80</v>
      </c>
      <c r="K13453" t="b">
        <v>1</v>
      </c>
    </row>
    <row r="13454" spans="8:11" x14ac:dyDescent="0.25">
      <c r="H13454">
        <v>145</v>
      </c>
      <c r="I13454">
        <v>693</v>
      </c>
      <c r="J13454">
        <v>80</v>
      </c>
      <c r="K13454" t="b">
        <v>1</v>
      </c>
    </row>
    <row r="13455" spans="8:11" x14ac:dyDescent="0.25">
      <c r="H13455">
        <v>145</v>
      </c>
      <c r="I13455">
        <v>700</v>
      </c>
      <c r="J13455">
        <v>80</v>
      </c>
      <c r="K13455" t="b">
        <v>1</v>
      </c>
    </row>
    <row r="13456" spans="8:11" x14ac:dyDescent="0.25">
      <c r="H13456">
        <v>145</v>
      </c>
      <c r="I13456">
        <v>707</v>
      </c>
      <c r="J13456">
        <v>80</v>
      </c>
      <c r="K13456" t="b">
        <v>1</v>
      </c>
    </row>
    <row r="13457" spans="8:11" x14ac:dyDescent="0.25">
      <c r="H13457">
        <v>145</v>
      </c>
      <c r="I13457">
        <v>714</v>
      </c>
      <c r="J13457">
        <v>80</v>
      </c>
      <c r="K13457" t="b">
        <v>1</v>
      </c>
    </row>
    <row r="13458" spans="8:11" x14ac:dyDescent="0.25">
      <c r="H13458">
        <v>145</v>
      </c>
      <c r="I13458">
        <v>721</v>
      </c>
      <c r="J13458">
        <v>80</v>
      </c>
      <c r="K13458" t="b">
        <v>1</v>
      </c>
    </row>
    <row r="13459" spans="8:11" x14ac:dyDescent="0.25">
      <c r="H13459">
        <v>145</v>
      </c>
      <c r="I13459">
        <v>728</v>
      </c>
      <c r="J13459">
        <v>80</v>
      </c>
      <c r="K13459" t="b">
        <v>1</v>
      </c>
    </row>
    <row r="13460" spans="8:11" x14ac:dyDescent="0.25">
      <c r="H13460">
        <v>145</v>
      </c>
      <c r="I13460">
        <v>735</v>
      </c>
      <c r="J13460">
        <v>80</v>
      </c>
      <c r="K13460" t="b">
        <v>1</v>
      </c>
    </row>
    <row r="13461" spans="8:11" x14ac:dyDescent="0.25">
      <c r="H13461">
        <v>145</v>
      </c>
      <c r="I13461">
        <v>742</v>
      </c>
      <c r="J13461">
        <v>80</v>
      </c>
      <c r="K13461" t="b">
        <v>1</v>
      </c>
    </row>
    <row r="13462" spans="8:11" x14ac:dyDescent="0.25">
      <c r="H13462">
        <v>145</v>
      </c>
      <c r="I13462">
        <v>749</v>
      </c>
      <c r="J13462">
        <v>80</v>
      </c>
      <c r="K13462" t="b">
        <v>1</v>
      </c>
    </row>
    <row r="13463" spans="8:11" x14ac:dyDescent="0.25">
      <c r="H13463">
        <v>145</v>
      </c>
      <c r="I13463">
        <v>756</v>
      </c>
      <c r="J13463">
        <v>80</v>
      </c>
      <c r="K13463" t="b">
        <v>1</v>
      </c>
    </row>
    <row r="13464" spans="8:11" x14ac:dyDescent="0.25">
      <c r="H13464">
        <v>145</v>
      </c>
      <c r="I13464">
        <v>763</v>
      </c>
      <c r="J13464">
        <v>80</v>
      </c>
      <c r="K13464" t="b">
        <v>1</v>
      </c>
    </row>
    <row r="13465" spans="8:11" x14ac:dyDescent="0.25">
      <c r="H13465">
        <v>145</v>
      </c>
      <c r="I13465">
        <v>770</v>
      </c>
      <c r="J13465">
        <v>80</v>
      </c>
      <c r="K13465" t="b">
        <v>1</v>
      </c>
    </row>
    <row r="13466" spans="8:11" x14ac:dyDescent="0.25">
      <c r="H13466">
        <v>145</v>
      </c>
      <c r="I13466">
        <v>777</v>
      </c>
      <c r="J13466">
        <v>80</v>
      </c>
      <c r="K13466" t="b">
        <v>1</v>
      </c>
    </row>
    <row r="13467" spans="8:11" x14ac:dyDescent="0.25">
      <c r="H13467">
        <v>145</v>
      </c>
      <c r="I13467">
        <v>784</v>
      </c>
      <c r="J13467">
        <v>80</v>
      </c>
      <c r="K13467" t="b">
        <v>1</v>
      </c>
    </row>
    <row r="13468" spans="8:11" x14ac:dyDescent="0.25">
      <c r="H13468">
        <v>145</v>
      </c>
      <c r="I13468">
        <v>791</v>
      </c>
      <c r="J13468">
        <v>80</v>
      </c>
      <c r="K13468" t="b">
        <v>1</v>
      </c>
    </row>
    <row r="13469" spans="8:11" x14ac:dyDescent="0.25">
      <c r="H13469">
        <v>145</v>
      </c>
      <c r="I13469">
        <v>798</v>
      </c>
      <c r="J13469">
        <v>80</v>
      </c>
      <c r="K13469" t="b">
        <v>1</v>
      </c>
    </row>
    <row r="13470" spans="8:11" x14ac:dyDescent="0.25">
      <c r="H13470">
        <v>145</v>
      </c>
      <c r="I13470">
        <v>805</v>
      </c>
      <c r="J13470">
        <v>80</v>
      </c>
      <c r="K13470" t="b">
        <v>1</v>
      </c>
    </row>
    <row r="13471" spans="8:11" x14ac:dyDescent="0.25">
      <c r="H13471">
        <v>145</v>
      </c>
      <c r="I13471">
        <v>812</v>
      </c>
      <c r="J13471">
        <v>80</v>
      </c>
      <c r="K13471" t="b">
        <v>1</v>
      </c>
    </row>
    <row r="13472" spans="8:11" x14ac:dyDescent="0.25">
      <c r="H13472">
        <v>145</v>
      </c>
      <c r="I13472">
        <v>819</v>
      </c>
      <c r="J13472">
        <v>80</v>
      </c>
      <c r="K13472" t="b">
        <v>1</v>
      </c>
    </row>
    <row r="13473" spans="8:11" x14ac:dyDescent="0.25">
      <c r="H13473">
        <v>145</v>
      </c>
      <c r="I13473">
        <v>826</v>
      </c>
      <c r="J13473">
        <v>80</v>
      </c>
      <c r="K13473" t="b">
        <v>1</v>
      </c>
    </row>
    <row r="13474" spans="8:11" x14ac:dyDescent="0.25">
      <c r="H13474">
        <v>145</v>
      </c>
      <c r="I13474">
        <v>833</v>
      </c>
      <c r="J13474">
        <v>80</v>
      </c>
      <c r="K13474" t="b">
        <v>1</v>
      </c>
    </row>
    <row r="13475" spans="8:11" x14ac:dyDescent="0.25">
      <c r="H13475">
        <v>145</v>
      </c>
      <c r="I13475">
        <v>840</v>
      </c>
      <c r="J13475">
        <v>80</v>
      </c>
      <c r="K13475" t="b">
        <v>1</v>
      </c>
    </row>
    <row r="13476" spans="8:11" x14ac:dyDescent="0.25">
      <c r="H13476">
        <v>145</v>
      </c>
      <c r="I13476">
        <v>847</v>
      </c>
      <c r="J13476">
        <v>80</v>
      </c>
      <c r="K13476" t="b">
        <v>1</v>
      </c>
    </row>
    <row r="13477" spans="8:11" x14ac:dyDescent="0.25">
      <c r="H13477">
        <v>145</v>
      </c>
      <c r="I13477">
        <v>854</v>
      </c>
      <c r="J13477">
        <v>80</v>
      </c>
      <c r="K13477" t="b">
        <v>1</v>
      </c>
    </row>
    <row r="13478" spans="8:11" x14ac:dyDescent="0.25">
      <c r="H13478">
        <v>145</v>
      </c>
      <c r="I13478">
        <v>861</v>
      </c>
      <c r="J13478">
        <v>80</v>
      </c>
      <c r="K13478" t="b">
        <v>1</v>
      </c>
    </row>
    <row r="13479" spans="8:11" x14ac:dyDescent="0.25">
      <c r="H13479">
        <v>145</v>
      </c>
      <c r="I13479">
        <v>868</v>
      </c>
      <c r="J13479">
        <v>80</v>
      </c>
      <c r="K13479" t="b">
        <v>1</v>
      </c>
    </row>
    <row r="13480" spans="8:11" x14ac:dyDescent="0.25">
      <c r="H13480">
        <v>145</v>
      </c>
      <c r="I13480">
        <v>875</v>
      </c>
      <c r="J13480">
        <v>80</v>
      </c>
      <c r="K13480" t="b">
        <v>1</v>
      </c>
    </row>
    <row r="13481" spans="8:11" x14ac:dyDescent="0.25">
      <c r="H13481">
        <v>145</v>
      </c>
      <c r="I13481">
        <v>882</v>
      </c>
      <c r="J13481">
        <v>80</v>
      </c>
      <c r="K13481" t="b">
        <v>1</v>
      </c>
    </row>
    <row r="13482" spans="8:11" x14ac:dyDescent="0.25">
      <c r="H13482">
        <v>145</v>
      </c>
      <c r="I13482">
        <v>889</v>
      </c>
      <c r="J13482">
        <v>80</v>
      </c>
      <c r="K13482" t="b">
        <v>1</v>
      </c>
    </row>
    <row r="13483" spans="8:11" x14ac:dyDescent="0.25">
      <c r="H13483">
        <v>145</v>
      </c>
      <c r="I13483">
        <v>896</v>
      </c>
      <c r="J13483">
        <v>80</v>
      </c>
      <c r="K13483" t="b">
        <v>1</v>
      </c>
    </row>
    <row r="13484" spans="8:11" x14ac:dyDescent="0.25">
      <c r="H13484">
        <v>145</v>
      </c>
      <c r="I13484">
        <v>903</v>
      </c>
      <c r="J13484">
        <v>80</v>
      </c>
      <c r="K13484" t="b">
        <v>1</v>
      </c>
    </row>
    <row r="13485" spans="8:11" x14ac:dyDescent="0.25">
      <c r="H13485">
        <v>145</v>
      </c>
      <c r="I13485">
        <v>910</v>
      </c>
      <c r="J13485">
        <v>80</v>
      </c>
      <c r="K13485" t="b">
        <v>1</v>
      </c>
    </row>
    <row r="13486" spans="8:11" x14ac:dyDescent="0.25">
      <c r="H13486">
        <v>145</v>
      </c>
      <c r="I13486">
        <v>917</v>
      </c>
      <c r="J13486">
        <v>80</v>
      </c>
      <c r="K13486" t="b">
        <v>1</v>
      </c>
    </row>
    <row r="13487" spans="8:11" x14ac:dyDescent="0.25">
      <c r="H13487">
        <v>145</v>
      </c>
      <c r="I13487">
        <v>924</v>
      </c>
      <c r="J13487">
        <v>80</v>
      </c>
      <c r="K13487" t="b">
        <v>1</v>
      </c>
    </row>
    <row r="13488" spans="8:11" x14ac:dyDescent="0.25">
      <c r="H13488">
        <v>145</v>
      </c>
      <c r="I13488">
        <v>931</v>
      </c>
      <c r="J13488">
        <v>80</v>
      </c>
      <c r="K13488" t="b">
        <v>1</v>
      </c>
    </row>
    <row r="13489" spans="8:11" x14ac:dyDescent="0.25">
      <c r="H13489">
        <v>145</v>
      </c>
      <c r="I13489">
        <v>938</v>
      </c>
      <c r="J13489">
        <v>80</v>
      </c>
      <c r="K13489" t="b">
        <v>1</v>
      </c>
    </row>
    <row r="13490" spans="8:11" x14ac:dyDescent="0.25">
      <c r="H13490">
        <v>145</v>
      </c>
      <c r="I13490">
        <v>945</v>
      </c>
      <c r="J13490">
        <v>80</v>
      </c>
      <c r="K13490" t="b">
        <v>1</v>
      </c>
    </row>
    <row r="13491" spans="8:11" x14ac:dyDescent="0.25">
      <c r="H13491">
        <v>145</v>
      </c>
      <c r="I13491">
        <v>952</v>
      </c>
      <c r="J13491">
        <v>80</v>
      </c>
      <c r="K13491" t="b">
        <v>1</v>
      </c>
    </row>
    <row r="13492" spans="8:11" x14ac:dyDescent="0.25">
      <c r="H13492">
        <v>146</v>
      </c>
      <c r="I13492">
        <v>0</v>
      </c>
      <c r="J13492">
        <v>80</v>
      </c>
      <c r="K13492" t="b">
        <v>1</v>
      </c>
    </row>
    <row r="13493" spans="8:11" x14ac:dyDescent="0.25">
      <c r="H13493">
        <v>146</v>
      </c>
      <c r="I13493">
        <v>7</v>
      </c>
      <c r="J13493">
        <v>80</v>
      </c>
      <c r="K13493" t="b">
        <v>1</v>
      </c>
    </row>
    <row r="13494" spans="8:11" x14ac:dyDescent="0.25">
      <c r="H13494">
        <v>146</v>
      </c>
      <c r="I13494">
        <v>14</v>
      </c>
      <c r="J13494">
        <v>80</v>
      </c>
      <c r="K13494" t="b">
        <v>1</v>
      </c>
    </row>
    <row r="13495" spans="8:11" x14ac:dyDescent="0.25">
      <c r="H13495">
        <v>146</v>
      </c>
      <c r="I13495">
        <v>21</v>
      </c>
      <c r="J13495">
        <v>80</v>
      </c>
      <c r="K13495" t="b">
        <v>1</v>
      </c>
    </row>
    <row r="13496" spans="8:11" x14ac:dyDescent="0.25">
      <c r="H13496">
        <v>146</v>
      </c>
      <c r="I13496">
        <v>28</v>
      </c>
      <c r="J13496">
        <v>80</v>
      </c>
      <c r="K13496" t="b">
        <v>1</v>
      </c>
    </row>
    <row r="13497" spans="8:11" x14ac:dyDescent="0.25">
      <c r="H13497">
        <v>146</v>
      </c>
      <c r="I13497">
        <v>35</v>
      </c>
      <c r="J13497">
        <v>80</v>
      </c>
      <c r="K13497" t="b">
        <v>1</v>
      </c>
    </row>
    <row r="13498" spans="8:11" x14ac:dyDescent="0.25">
      <c r="H13498">
        <v>146</v>
      </c>
      <c r="I13498">
        <v>42</v>
      </c>
      <c r="J13498">
        <v>80</v>
      </c>
      <c r="K13498" t="b">
        <v>1</v>
      </c>
    </row>
    <row r="13499" spans="8:11" x14ac:dyDescent="0.25">
      <c r="H13499">
        <v>146</v>
      </c>
      <c r="I13499">
        <v>49</v>
      </c>
      <c r="J13499">
        <v>80</v>
      </c>
      <c r="K13499" t="b">
        <v>1</v>
      </c>
    </row>
    <row r="13500" spans="8:11" x14ac:dyDescent="0.25">
      <c r="H13500">
        <v>146</v>
      </c>
      <c r="I13500">
        <v>56</v>
      </c>
      <c r="J13500">
        <v>80</v>
      </c>
      <c r="K13500" t="b">
        <v>1</v>
      </c>
    </row>
    <row r="13501" spans="8:11" x14ac:dyDescent="0.25">
      <c r="H13501">
        <v>146</v>
      </c>
      <c r="I13501">
        <v>63</v>
      </c>
      <c r="J13501">
        <v>80</v>
      </c>
      <c r="K13501" t="b">
        <v>1</v>
      </c>
    </row>
    <row r="13502" spans="8:11" x14ac:dyDescent="0.25">
      <c r="H13502">
        <v>146</v>
      </c>
      <c r="I13502">
        <v>70</v>
      </c>
      <c r="J13502">
        <v>80</v>
      </c>
      <c r="K13502" t="b">
        <v>1</v>
      </c>
    </row>
    <row r="13503" spans="8:11" x14ac:dyDescent="0.25">
      <c r="H13503">
        <v>146</v>
      </c>
      <c r="I13503">
        <v>77</v>
      </c>
      <c r="J13503">
        <v>80</v>
      </c>
      <c r="K13503" t="b">
        <v>1</v>
      </c>
    </row>
    <row r="13504" spans="8:11" x14ac:dyDescent="0.25">
      <c r="H13504">
        <v>146</v>
      </c>
      <c r="I13504">
        <v>84</v>
      </c>
      <c r="J13504">
        <v>80</v>
      </c>
      <c r="K13504" t="b">
        <v>1</v>
      </c>
    </row>
    <row r="13505" spans="8:11" x14ac:dyDescent="0.25">
      <c r="H13505">
        <v>146</v>
      </c>
      <c r="I13505">
        <v>91</v>
      </c>
      <c r="J13505">
        <v>80</v>
      </c>
      <c r="K13505" t="b">
        <v>1</v>
      </c>
    </row>
    <row r="13506" spans="8:11" x14ac:dyDescent="0.25">
      <c r="H13506">
        <v>146</v>
      </c>
      <c r="I13506">
        <v>98</v>
      </c>
      <c r="J13506">
        <v>80</v>
      </c>
      <c r="K13506" t="b">
        <v>1</v>
      </c>
    </row>
    <row r="13507" spans="8:11" x14ac:dyDescent="0.25">
      <c r="H13507">
        <v>146</v>
      </c>
      <c r="I13507">
        <v>105</v>
      </c>
      <c r="J13507">
        <v>80</v>
      </c>
      <c r="K13507" t="b">
        <v>1</v>
      </c>
    </row>
    <row r="13508" spans="8:11" x14ac:dyDescent="0.25">
      <c r="H13508">
        <v>146</v>
      </c>
      <c r="I13508">
        <v>112</v>
      </c>
      <c r="J13508">
        <v>80</v>
      </c>
      <c r="K13508" t="b">
        <v>1</v>
      </c>
    </row>
    <row r="13509" spans="8:11" x14ac:dyDescent="0.25">
      <c r="H13509">
        <v>146</v>
      </c>
      <c r="I13509">
        <v>119</v>
      </c>
      <c r="J13509">
        <v>80</v>
      </c>
      <c r="K13509" t="b">
        <v>1</v>
      </c>
    </row>
    <row r="13510" spans="8:11" x14ac:dyDescent="0.25">
      <c r="H13510">
        <v>146</v>
      </c>
      <c r="I13510">
        <v>126</v>
      </c>
      <c r="J13510">
        <v>80</v>
      </c>
      <c r="K13510" t="b">
        <v>1</v>
      </c>
    </row>
    <row r="13511" spans="8:11" x14ac:dyDescent="0.25">
      <c r="H13511">
        <v>146</v>
      </c>
      <c r="I13511">
        <v>133</v>
      </c>
      <c r="J13511">
        <v>80</v>
      </c>
      <c r="K13511" t="b">
        <v>1</v>
      </c>
    </row>
    <row r="13512" spans="8:11" x14ac:dyDescent="0.25">
      <c r="H13512">
        <v>146</v>
      </c>
      <c r="I13512">
        <v>140</v>
      </c>
      <c r="J13512">
        <v>80</v>
      </c>
      <c r="K13512" t="b">
        <v>1</v>
      </c>
    </row>
    <row r="13513" spans="8:11" x14ac:dyDescent="0.25">
      <c r="H13513">
        <v>146</v>
      </c>
      <c r="I13513">
        <v>147</v>
      </c>
      <c r="J13513">
        <v>80</v>
      </c>
      <c r="K13513" t="b">
        <v>1</v>
      </c>
    </row>
    <row r="13514" spans="8:11" x14ac:dyDescent="0.25">
      <c r="H13514">
        <v>146</v>
      </c>
      <c r="I13514">
        <v>154</v>
      </c>
      <c r="J13514">
        <v>80</v>
      </c>
      <c r="K13514" t="b">
        <v>1</v>
      </c>
    </row>
    <row r="13515" spans="8:11" x14ac:dyDescent="0.25">
      <c r="H13515">
        <v>146</v>
      </c>
      <c r="I13515">
        <v>161</v>
      </c>
      <c r="J13515">
        <v>80</v>
      </c>
      <c r="K13515" t="b">
        <v>1</v>
      </c>
    </row>
    <row r="13516" spans="8:11" x14ac:dyDescent="0.25">
      <c r="H13516">
        <v>146</v>
      </c>
      <c r="I13516">
        <v>168</v>
      </c>
      <c r="J13516">
        <v>80</v>
      </c>
      <c r="K13516" t="b">
        <v>1</v>
      </c>
    </row>
    <row r="13517" spans="8:11" x14ac:dyDescent="0.25">
      <c r="H13517">
        <v>146</v>
      </c>
      <c r="I13517">
        <v>175</v>
      </c>
      <c r="J13517">
        <v>80</v>
      </c>
      <c r="K13517" t="b">
        <v>1</v>
      </c>
    </row>
    <row r="13518" spans="8:11" x14ac:dyDescent="0.25">
      <c r="H13518">
        <v>146</v>
      </c>
      <c r="I13518">
        <v>182</v>
      </c>
      <c r="J13518">
        <v>80</v>
      </c>
      <c r="K13518" t="b">
        <v>1</v>
      </c>
    </row>
    <row r="13519" spans="8:11" x14ac:dyDescent="0.25">
      <c r="H13519">
        <v>146</v>
      </c>
      <c r="I13519">
        <v>189</v>
      </c>
      <c r="J13519">
        <v>80</v>
      </c>
      <c r="K13519" t="b">
        <v>1</v>
      </c>
    </row>
    <row r="13520" spans="8:11" x14ac:dyDescent="0.25">
      <c r="H13520">
        <v>146</v>
      </c>
      <c r="I13520">
        <v>196</v>
      </c>
      <c r="J13520">
        <v>80</v>
      </c>
      <c r="K13520" t="b">
        <v>1</v>
      </c>
    </row>
    <row r="13521" spans="8:11" x14ac:dyDescent="0.25">
      <c r="H13521">
        <v>146</v>
      </c>
      <c r="I13521">
        <v>203</v>
      </c>
      <c r="J13521">
        <v>80</v>
      </c>
      <c r="K13521" t="b">
        <v>1</v>
      </c>
    </row>
    <row r="13522" spans="8:11" x14ac:dyDescent="0.25">
      <c r="H13522">
        <v>146</v>
      </c>
      <c r="I13522">
        <v>210</v>
      </c>
      <c r="J13522">
        <v>80</v>
      </c>
      <c r="K13522" t="b">
        <v>1</v>
      </c>
    </row>
    <row r="13523" spans="8:11" x14ac:dyDescent="0.25">
      <c r="H13523">
        <v>146</v>
      </c>
      <c r="I13523">
        <v>217</v>
      </c>
      <c r="J13523">
        <v>80</v>
      </c>
      <c r="K13523" t="b">
        <v>1</v>
      </c>
    </row>
    <row r="13524" spans="8:11" x14ac:dyDescent="0.25">
      <c r="H13524">
        <v>146</v>
      </c>
      <c r="I13524">
        <v>224</v>
      </c>
      <c r="J13524">
        <v>80</v>
      </c>
      <c r="K13524" t="b">
        <v>1</v>
      </c>
    </row>
    <row r="13525" spans="8:11" x14ac:dyDescent="0.25">
      <c r="H13525">
        <v>146</v>
      </c>
      <c r="I13525">
        <v>231</v>
      </c>
      <c r="J13525">
        <v>80</v>
      </c>
      <c r="K13525" t="b">
        <v>1</v>
      </c>
    </row>
    <row r="13526" spans="8:11" x14ac:dyDescent="0.25">
      <c r="H13526">
        <v>146</v>
      </c>
      <c r="I13526">
        <v>238</v>
      </c>
      <c r="J13526">
        <v>80</v>
      </c>
      <c r="K13526" t="b">
        <v>1</v>
      </c>
    </row>
    <row r="13527" spans="8:11" x14ac:dyDescent="0.25">
      <c r="H13527">
        <v>146</v>
      </c>
      <c r="I13527">
        <v>245</v>
      </c>
      <c r="J13527">
        <v>80</v>
      </c>
      <c r="K13527" t="b">
        <v>1</v>
      </c>
    </row>
    <row r="13528" spans="8:11" x14ac:dyDescent="0.25">
      <c r="H13528">
        <v>146</v>
      </c>
      <c r="I13528">
        <v>252</v>
      </c>
      <c r="J13528">
        <v>80</v>
      </c>
      <c r="K13528" t="b">
        <v>1</v>
      </c>
    </row>
    <row r="13529" spans="8:11" x14ac:dyDescent="0.25">
      <c r="H13529">
        <v>146</v>
      </c>
      <c r="I13529">
        <v>259</v>
      </c>
      <c r="J13529">
        <v>80</v>
      </c>
      <c r="K13529" t="b">
        <v>1</v>
      </c>
    </row>
    <row r="13530" spans="8:11" x14ac:dyDescent="0.25">
      <c r="H13530">
        <v>146</v>
      </c>
      <c r="I13530">
        <v>266</v>
      </c>
      <c r="J13530">
        <v>80</v>
      </c>
      <c r="K13530" t="b">
        <v>1</v>
      </c>
    </row>
    <row r="13531" spans="8:11" x14ac:dyDescent="0.25">
      <c r="H13531">
        <v>146</v>
      </c>
      <c r="I13531">
        <v>273</v>
      </c>
      <c r="J13531">
        <v>80</v>
      </c>
      <c r="K13531" t="b">
        <v>1</v>
      </c>
    </row>
    <row r="13532" spans="8:11" x14ac:dyDescent="0.25">
      <c r="H13532">
        <v>146</v>
      </c>
      <c r="I13532">
        <v>280</v>
      </c>
      <c r="J13532">
        <v>80</v>
      </c>
      <c r="K13532" t="b">
        <v>1</v>
      </c>
    </row>
    <row r="13533" spans="8:11" x14ac:dyDescent="0.25">
      <c r="H13533">
        <v>146</v>
      </c>
      <c r="I13533">
        <v>287</v>
      </c>
      <c r="J13533">
        <v>80</v>
      </c>
      <c r="K13533" t="b">
        <v>1</v>
      </c>
    </row>
    <row r="13534" spans="8:11" x14ac:dyDescent="0.25">
      <c r="H13534">
        <v>146</v>
      </c>
      <c r="I13534">
        <v>294</v>
      </c>
      <c r="J13534">
        <v>80</v>
      </c>
      <c r="K13534" t="b">
        <v>1</v>
      </c>
    </row>
    <row r="13535" spans="8:11" x14ac:dyDescent="0.25">
      <c r="H13535">
        <v>146</v>
      </c>
      <c r="I13535">
        <v>301</v>
      </c>
      <c r="J13535">
        <v>80</v>
      </c>
      <c r="K13535" t="b">
        <v>1</v>
      </c>
    </row>
    <row r="13536" spans="8:11" x14ac:dyDescent="0.25">
      <c r="H13536">
        <v>146</v>
      </c>
      <c r="I13536">
        <v>308</v>
      </c>
      <c r="J13536">
        <v>80</v>
      </c>
      <c r="K13536" t="b">
        <v>1</v>
      </c>
    </row>
    <row r="13537" spans="8:11" x14ac:dyDescent="0.25">
      <c r="H13537">
        <v>146</v>
      </c>
      <c r="I13537">
        <v>315</v>
      </c>
      <c r="J13537">
        <v>80</v>
      </c>
      <c r="K13537" t="b">
        <v>1</v>
      </c>
    </row>
    <row r="13538" spans="8:11" x14ac:dyDescent="0.25">
      <c r="H13538">
        <v>146</v>
      </c>
      <c r="I13538">
        <v>322</v>
      </c>
      <c r="J13538">
        <v>80</v>
      </c>
      <c r="K13538" t="b">
        <v>1</v>
      </c>
    </row>
    <row r="13539" spans="8:11" x14ac:dyDescent="0.25">
      <c r="H13539">
        <v>146</v>
      </c>
      <c r="I13539">
        <v>329</v>
      </c>
      <c r="J13539">
        <v>80</v>
      </c>
      <c r="K13539" t="b">
        <v>1</v>
      </c>
    </row>
    <row r="13540" spans="8:11" x14ac:dyDescent="0.25">
      <c r="H13540">
        <v>146</v>
      </c>
      <c r="I13540">
        <v>336</v>
      </c>
      <c r="J13540">
        <v>80</v>
      </c>
      <c r="K13540" t="b">
        <v>1</v>
      </c>
    </row>
    <row r="13541" spans="8:11" x14ac:dyDescent="0.25">
      <c r="H13541">
        <v>146</v>
      </c>
      <c r="I13541">
        <v>343</v>
      </c>
      <c r="J13541">
        <v>80</v>
      </c>
      <c r="K13541" t="b">
        <v>1</v>
      </c>
    </row>
    <row r="13542" spans="8:11" x14ac:dyDescent="0.25">
      <c r="H13542">
        <v>146</v>
      </c>
      <c r="I13542">
        <v>350</v>
      </c>
      <c r="J13542">
        <v>80</v>
      </c>
      <c r="K13542" t="b">
        <v>1</v>
      </c>
    </row>
    <row r="13543" spans="8:11" x14ac:dyDescent="0.25">
      <c r="H13543">
        <v>146</v>
      </c>
      <c r="I13543">
        <v>357</v>
      </c>
      <c r="J13543">
        <v>80</v>
      </c>
      <c r="K13543" t="b">
        <v>1</v>
      </c>
    </row>
    <row r="13544" spans="8:11" x14ac:dyDescent="0.25">
      <c r="H13544">
        <v>146</v>
      </c>
      <c r="I13544">
        <v>364</v>
      </c>
      <c r="J13544">
        <v>80</v>
      </c>
      <c r="K13544" t="b">
        <v>1</v>
      </c>
    </row>
    <row r="13545" spans="8:11" x14ac:dyDescent="0.25">
      <c r="H13545">
        <v>146</v>
      </c>
      <c r="I13545">
        <v>371</v>
      </c>
      <c r="J13545">
        <v>80</v>
      </c>
      <c r="K13545" t="b">
        <v>1</v>
      </c>
    </row>
    <row r="13546" spans="8:11" x14ac:dyDescent="0.25">
      <c r="H13546">
        <v>146</v>
      </c>
      <c r="I13546">
        <v>378</v>
      </c>
      <c r="J13546">
        <v>80</v>
      </c>
      <c r="K13546" t="b">
        <v>1</v>
      </c>
    </row>
    <row r="13547" spans="8:11" x14ac:dyDescent="0.25">
      <c r="H13547">
        <v>146</v>
      </c>
      <c r="I13547">
        <v>385</v>
      </c>
      <c r="J13547">
        <v>80</v>
      </c>
      <c r="K13547" t="b">
        <v>1</v>
      </c>
    </row>
    <row r="13548" spans="8:11" x14ac:dyDescent="0.25">
      <c r="H13548">
        <v>146</v>
      </c>
      <c r="I13548">
        <v>392</v>
      </c>
      <c r="J13548">
        <v>80</v>
      </c>
      <c r="K13548" t="b">
        <v>1</v>
      </c>
    </row>
    <row r="13549" spans="8:11" x14ac:dyDescent="0.25">
      <c r="H13549">
        <v>146</v>
      </c>
      <c r="I13549">
        <v>399</v>
      </c>
      <c r="J13549">
        <v>80</v>
      </c>
      <c r="K13549" t="b">
        <v>1</v>
      </c>
    </row>
    <row r="13550" spans="8:11" x14ac:dyDescent="0.25">
      <c r="H13550">
        <v>146</v>
      </c>
      <c r="I13550">
        <v>406</v>
      </c>
      <c r="J13550">
        <v>80</v>
      </c>
      <c r="K13550" t="b">
        <v>1</v>
      </c>
    </row>
    <row r="13551" spans="8:11" x14ac:dyDescent="0.25">
      <c r="H13551">
        <v>146</v>
      </c>
      <c r="I13551">
        <v>413</v>
      </c>
      <c r="J13551">
        <v>80</v>
      </c>
      <c r="K13551" t="b">
        <v>1</v>
      </c>
    </row>
    <row r="13552" spans="8:11" x14ac:dyDescent="0.25">
      <c r="H13552">
        <v>146</v>
      </c>
      <c r="I13552">
        <v>420</v>
      </c>
      <c r="J13552">
        <v>80</v>
      </c>
      <c r="K13552" t="b">
        <v>1</v>
      </c>
    </row>
    <row r="13553" spans="8:11" x14ac:dyDescent="0.25">
      <c r="H13553">
        <v>146</v>
      </c>
      <c r="I13553">
        <v>427</v>
      </c>
      <c r="J13553">
        <v>80</v>
      </c>
      <c r="K13553" t="b">
        <v>1</v>
      </c>
    </row>
    <row r="13554" spans="8:11" x14ac:dyDescent="0.25">
      <c r="H13554">
        <v>146</v>
      </c>
      <c r="I13554">
        <v>434</v>
      </c>
      <c r="J13554">
        <v>80</v>
      </c>
      <c r="K13554" t="b">
        <v>1</v>
      </c>
    </row>
    <row r="13555" spans="8:11" x14ac:dyDescent="0.25">
      <c r="H13555">
        <v>146</v>
      </c>
      <c r="I13555">
        <v>441</v>
      </c>
      <c r="J13555">
        <v>80</v>
      </c>
      <c r="K13555" t="b">
        <v>1</v>
      </c>
    </row>
    <row r="13556" spans="8:11" x14ac:dyDescent="0.25">
      <c r="H13556">
        <v>146</v>
      </c>
      <c r="I13556">
        <v>448</v>
      </c>
      <c r="J13556">
        <v>80</v>
      </c>
      <c r="K13556" t="b">
        <v>1</v>
      </c>
    </row>
    <row r="13557" spans="8:11" x14ac:dyDescent="0.25">
      <c r="H13557">
        <v>146</v>
      </c>
      <c r="I13557">
        <v>455</v>
      </c>
      <c r="J13557">
        <v>80</v>
      </c>
      <c r="K13557" t="b">
        <v>1</v>
      </c>
    </row>
    <row r="13558" spans="8:11" x14ac:dyDescent="0.25">
      <c r="H13558">
        <v>146</v>
      </c>
      <c r="I13558">
        <v>462</v>
      </c>
      <c r="J13558">
        <v>80</v>
      </c>
      <c r="K13558" t="b">
        <v>1</v>
      </c>
    </row>
    <row r="13559" spans="8:11" x14ac:dyDescent="0.25">
      <c r="H13559">
        <v>146</v>
      </c>
      <c r="I13559">
        <v>469</v>
      </c>
      <c r="J13559">
        <v>80</v>
      </c>
      <c r="K13559" t="b">
        <v>1</v>
      </c>
    </row>
    <row r="13560" spans="8:11" x14ac:dyDescent="0.25">
      <c r="H13560">
        <v>146</v>
      </c>
      <c r="I13560">
        <v>476</v>
      </c>
      <c r="J13560">
        <v>80</v>
      </c>
      <c r="K13560" t="b">
        <v>1</v>
      </c>
    </row>
    <row r="13561" spans="8:11" x14ac:dyDescent="0.25">
      <c r="H13561">
        <v>146</v>
      </c>
      <c r="I13561">
        <v>483</v>
      </c>
      <c r="J13561">
        <v>80</v>
      </c>
      <c r="K13561" t="b">
        <v>1</v>
      </c>
    </row>
    <row r="13562" spans="8:11" x14ac:dyDescent="0.25">
      <c r="H13562">
        <v>146</v>
      </c>
      <c r="I13562">
        <v>490</v>
      </c>
      <c r="J13562">
        <v>80</v>
      </c>
      <c r="K13562" t="b">
        <v>1</v>
      </c>
    </row>
    <row r="13563" spans="8:11" x14ac:dyDescent="0.25">
      <c r="H13563">
        <v>146</v>
      </c>
      <c r="I13563">
        <v>497</v>
      </c>
      <c r="J13563">
        <v>80</v>
      </c>
      <c r="K13563" t="b">
        <v>1</v>
      </c>
    </row>
    <row r="13564" spans="8:11" x14ac:dyDescent="0.25">
      <c r="H13564">
        <v>146</v>
      </c>
      <c r="I13564">
        <v>504</v>
      </c>
      <c r="J13564">
        <v>80</v>
      </c>
      <c r="K13564" t="b">
        <v>1</v>
      </c>
    </row>
    <row r="13565" spans="8:11" x14ac:dyDescent="0.25">
      <c r="H13565">
        <v>146</v>
      </c>
      <c r="I13565">
        <v>511</v>
      </c>
      <c r="J13565">
        <v>80</v>
      </c>
      <c r="K13565" t="b">
        <v>1</v>
      </c>
    </row>
    <row r="13566" spans="8:11" x14ac:dyDescent="0.25">
      <c r="H13566">
        <v>146</v>
      </c>
      <c r="I13566">
        <v>518</v>
      </c>
      <c r="J13566">
        <v>80</v>
      </c>
      <c r="K13566" t="b">
        <v>1</v>
      </c>
    </row>
    <row r="13567" spans="8:11" x14ac:dyDescent="0.25">
      <c r="H13567">
        <v>146</v>
      </c>
      <c r="I13567">
        <v>525</v>
      </c>
      <c r="J13567">
        <v>80</v>
      </c>
      <c r="K13567" t="b">
        <v>1</v>
      </c>
    </row>
    <row r="13568" spans="8:11" x14ac:dyDescent="0.25">
      <c r="H13568">
        <v>146</v>
      </c>
      <c r="I13568">
        <v>532</v>
      </c>
      <c r="J13568">
        <v>80</v>
      </c>
      <c r="K13568" t="b">
        <v>1</v>
      </c>
    </row>
    <row r="13569" spans="8:11" x14ac:dyDescent="0.25">
      <c r="H13569">
        <v>146</v>
      </c>
      <c r="I13569">
        <v>539</v>
      </c>
      <c r="J13569">
        <v>80</v>
      </c>
      <c r="K13569" t="b">
        <v>1</v>
      </c>
    </row>
    <row r="13570" spans="8:11" x14ac:dyDescent="0.25">
      <c r="H13570">
        <v>146</v>
      </c>
      <c r="I13570">
        <v>546</v>
      </c>
      <c r="J13570">
        <v>80</v>
      </c>
      <c r="K13570" t="b">
        <v>1</v>
      </c>
    </row>
    <row r="13571" spans="8:11" x14ac:dyDescent="0.25">
      <c r="H13571">
        <v>146</v>
      </c>
      <c r="I13571">
        <v>553</v>
      </c>
      <c r="J13571">
        <v>80</v>
      </c>
      <c r="K13571" t="b">
        <v>1</v>
      </c>
    </row>
    <row r="13572" spans="8:11" x14ac:dyDescent="0.25">
      <c r="H13572">
        <v>146</v>
      </c>
      <c r="I13572">
        <v>560</v>
      </c>
      <c r="J13572">
        <v>80</v>
      </c>
      <c r="K13572" t="b">
        <v>1</v>
      </c>
    </row>
    <row r="13573" spans="8:11" x14ac:dyDescent="0.25">
      <c r="H13573">
        <v>146</v>
      </c>
      <c r="I13573">
        <v>567</v>
      </c>
      <c r="J13573">
        <v>80</v>
      </c>
      <c r="K13573" t="b">
        <v>1</v>
      </c>
    </row>
    <row r="13574" spans="8:11" x14ac:dyDescent="0.25">
      <c r="H13574">
        <v>146</v>
      </c>
      <c r="I13574">
        <v>574</v>
      </c>
      <c r="J13574">
        <v>80</v>
      </c>
      <c r="K13574" t="b">
        <v>1</v>
      </c>
    </row>
    <row r="13575" spans="8:11" x14ac:dyDescent="0.25">
      <c r="H13575">
        <v>146</v>
      </c>
      <c r="I13575">
        <v>581</v>
      </c>
      <c r="J13575">
        <v>80</v>
      </c>
      <c r="K13575" t="b">
        <v>1</v>
      </c>
    </row>
    <row r="13576" spans="8:11" x14ac:dyDescent="0.25">
      <c r="H13576">
        <v>146</v>
      </c>
      <c r="I13576">
        <v>588</v>
      </c>
      <c r="J13576">
        <v>80</v>
      </c>
      <c r="K13576" t="b">
        <v>1</v>
      </c>
    </row>
    <row r="13577" spans="8:11" x14ac:dyDescent="0.25">
      <c r="H13577">
        <v>146</v>
      </c>
      <c r="I13577">
        <v>595</v>
      </c>
      <c r="J13577">
        <v>80</v>
      </c>
      <c r="K13577" t="b">
        <v>1</v>
      </c>
    </row>
    <row r="13578" spans="8:11" x14ac:dyDescent="0.25">
      <c r="H13578">
        <v>146</v>
      </c>
      <c r="I13578">
        <v>602</v>
      </c>
      <c r="J13578">
        <v>80</v>
      </c>
      <c r="K13578" t="b">
        <v>1</v>
      </c>
    </row>
    <row r="13579" spans="8:11" x14ac:dyDescent="0.25">
      <c r="H13579">
        <v>146</v>
      </c>
      <c r="I13579">
        <v>609</v>
      </c>
      <c r="J13579">
        <v>80</v>
      </c>
      <c r="K13579" t="b">
        <v>1</v>
      </c>
    </row>
    <row r="13580" spans="8:11" x14ac:dyDescent="0.25">
      <c r="H13580">
        <v>146</v>
      </c>
      <c r="I13580">
        <v>616</v>
      </c>
      <c r="J13580">
        <v>80</v>
      </c>
      <c r="K13580" t="b">
        <v>1</v>
      </c>
    </row>
    <row r="13581" spans="8:11" x14ac:dyDescent="0.25">
      <c r="H13581">
        <v>146</v>
      </c>
      <c r="I13581">
        <v>623</v>
      </c>
      <c r="J13581">
        <v>80</v>
      </c>
      <c r="K13581" t="b">
        <v>1</v>
      </c>
    </row>
    <row r="13582" spans="8:11" x14ac:dyDescent="0.25">
      <c r="H13582">
        <v>146</v>
      </c>
      <c r="I13582">
        <v>630</v>
      </c>
      <c r="J13582">
        <v>80</v>
      </c>
      <c r="K13582" t="b">
        <v>1</v>
      </c>
    </row>
    <row r="13583" spans="8:11" x14ac:dyDescent="0.25">
      <c r="H13583">
        <v>146</v>
      </c>
      <c r="I13583">
        <v>637</v>
      </c>
      <c r="J13583">
        <v>80</v>
      </c>
      <c r="K13583" t="b">
        <v>1</v>
      </c>
    </row>
    <row r="13584" spans="8:11" x14ac:dyDescent="0.25">
      <c r="H13584">
        <v>146</v>
      </c>
      <c r="I13584">
        <v>644</v>
      </c>
      <c r="J13584">
        <v>80</v>
      </c>
      <c r="K13584" t="b">
        <v>1</v>
      </c>
    </row>
    <row r="13585" spans="8:11" x14ac:dyDescent="0.25">
      <c r="H13585">
        <v>146</v>
      </c>
      <c r="I13585">
        <v>651</v>
      </c>
      <c r="J13585">
        <v>80</v>
      </c>
      <c r="K13585" t="b">
        <v>1</v>
      </c>
    </row>
    <row r="13586" spans="8:11" x14ac:dyDescent="0.25">
      <c r="H13586">
        <v>146</v>
      </c>
      <c r="I13586">
        <v>658</v>
      </c>
      <c r="J13586">
        <v>80</v>
      </c>
      <c r="K13586" t="b">
        <v>1</v>
      </c>
    </row>
    <row r="13587" spans="8:11" x14ac:dyDescent="0.25">
      <c r="H13587">
        <v>146</v>
      </c>
      <c r="I13587">
        <v>665</v>
      </c>
      <c r="J13587">
        <v>80</v>
      </c>
      <c r="K13587" t="b">
        <v>1</v>
      </c>
    </row>
    <row r="13588" spans="8:11" x14ac:dyDescent="0.25">
      <c r="H13588">
        <v>146</v>
      </c>
      <c r="I13588">
        <v>672</v>
      </c>
      <c r="J13588">
        <v>80</v>
      </c>
      <c r="K13588" t="b">
        <v>1</v>
      </c>
    </row>
    <row r="13589" spans="8:11" x14ac:dyDescent="0.25">
      <c r="H13589">
        <v>146</v>
      </c>
      <c r="I13589">
        <v>679</v>
      </c>
      <c r="J13589">
        <v>80</v>
      </c>
      <c r="K13589" t="b">
        <v>1</v>
      </c>
    </row>
    <row r="13590" spans="8:11" x14ac:dyDescent="0.25">
      <c r="H13590">
        <v>146</v>
      </c>
      <c r="I13590">
        <v>686</v>
      </c>
      <c r="J13590">
        <v>80</v>
      </c>
      <c r="K13590" t="b">
        <v>1</v>
      </c>
    </row>
    <row r="13591" spans="8:11" x14ac:dyDescent="0.25">
      <c r="H13591">
        <v>146</v>
      </c>
      <c r="I13591">
        <v>693</v>
      </c>
      <c r="J13591">
        <v>80</v>
      </c>
      <c r="K13591" t="b">
        <v>1</v>
      </c>
    </row>
    <row r="13592" spans="8:11" x14ac:dyDescent="0.25">
      <c r="H13592">
        <v>146</v>
      </c>
      <c r="I13592">
        <v>700</v>
      </c>
      <c r="J13592">
        <v>80</v>
      </c>
      <c r="K13592" t="b">
        <v>1</v>
      </c>
    </row>
    <row r="13593" spans="8:11" x14ac:dyDescent="0.25">
      <c r="H13593">
        <v>146</v>
      </c>
      <c r="I13593">
        <v>707</v>
      </c>
      <c r="J13593">
        <v>80</v>
      </c>
      <c r="K13593" t="b">
        <v>1</v>
      </c>
    </row>
    <row r="13594" spans="8:11" x14ac:dyDescent="0.25">
      <c r="H13594">
        <v>146</v>
      </c>
      <c r="I13594">
        <v>714</v>
      </c>
      <c r="J13594">
        <v>80</v>
      </c>
      <c r="K13594" t="b">
        <v>1</v>
      </c>
    </row>
    <row r="13595" spans="8:11" x14ac:dyDescent="0.25">
      <c r="H13595">
        <v>146</v>
      </c>
      <c r="I13595">
        <v>721</v>
      </c>
      <c r="J13595">
        <v>80</v>
      </c>
      <c r="K13595" t="b">
        <v>1</v>
      </c>
    </row>
    <row r="13596" spans="8:11" x14ac:dyDescent="0.25">
      <c r="H13596">
        <v>146</v>
      </c>
      <c r="I13596">
        <v>728</v>
      </c>
      <c r="J13596">
        <v>80</v>
      </c>
      <c r="K13596" t="b">
        <v>1</v>
      </c>
    </row>
    <row r="13597" spans="8:11" x14ac:dyDescent="0.25">
      <c r="H13597">
        <v>146</v>
      </c>
      <c r="I13597">
        <v>735</v>
      </c>
      <c r="J13597">
        <v>80</v>
      </c>
      <c r="K13597" t="b">
        <v>1</v>
      </c>
    </row>
    <row r="13598" spans="8:11" x14ac:dyDescent="0.25">
      <c r="H13598">
        <v>146</v>
      </c>
      <c r="I13598">
        <v>742</v>
      </c>
      <c r="J13598">
        <v>80</v>
      </c>
      <c r="K13598" t="b">
        <v>1</v>
      </c>
    </row>
    <row r="13599" spans="8:11" x14ac:dyDescent="0.25">
      <c r="H13599">
        <v>146</v>
      </c>
      <c r="I13599">
        <v>749</v>
      </c>
      <c r="J13599">
        <v>80</v>
      </c>
      <c r="K13599" t="b">
        <v>1</v>
      </c>
    </row>
    <row r="13600" spans="8:11" x14ac:dyDescent="0.25">
      <c r="H13600">
        <v>146</v>
      </c>
      <c r="I13600">
        <v>756</v>
      </c>
      <c r="J13600">
        <v>80</v>
      </c>
      <c r="K13600" t="b">
        <v>1</v>
      </c>
    </row>
    <row r="13601" spans="8:11" x14ac:dyDescent="0.25">
      <c r="H13601">
        <v>146</v>
      </c>
      <c r="I13601">
        <v>763</v>
      </c>
      <c r="J13601">
        <v>80</v>
      </c>
      <c r="K13601" t="b">
        <v>1</v>
      </c>
    </row>
    <row r="13602" spans="8:11" x14ac:dyDescent="0.25">
      <c r="H13602">
        <v>146</v>
      </c>
      <c r="I13602">
        <v>770</v>
      </c>
      <c r="J13602">
        <v>80</v>
      </c>
      <c r="K13602" t="b">
        <v>1</v>
      </c>
    </row>
    <row r="13603" spans="8:11" x14ac:dyDescent="0.25">
      <c r="H13603">
        <v>146</v>
      </c>
      <c r="I13603">
        <v>777</v>
      </c>
      <c r="J13603">
        <v>80</v>
      </c>
      <c r="K13603" t="b">
        <v>1</v>
      </c>
    </row>
    <row r="13604" spans="8:11" x14ac:dyDescent="0.25">
      <c r="H13604">
        <v>146</v>
      </c>
      <c r="I13604">
        <v>784</v>
      </c>
      <c r="J13604">
        <v>80</v>
      </c>
      <c r="K13604" t="b">
        <v>1</v>
      </c>
    </row>
    <row r="13605" spans="8:11" x14ac:dyDescent="0.25">
      <c r="H13605">
        <v>146</v>
      </c>
      <c r="I13605">
        <v>791</v>
      </c>
      <c r="J13605">
        <v>80</v>
      </c>
      <c r="K13605" t="b">
        <v>1</v>
      </c>
    </row>
    <row r="13606" spans="8:11" x14ac:dyDescent="0.25">
      <c r="H13606">
        <v>146</v>
      </c>
      <c r="I13606">
        <v>798</v>
      </c>
      <c r="J13606">
        <v>80</v>
      </c>
      <c r="K13606" t="b">
        <v>1</v>
      </c>
    </row>
    <row r="13607" spans="8:11" x14ac:dyDescent="0.25">
      <c r="H13607">
        <v>146</v>
      </c>
      <c r="I13607">
        <v>805</v>
      </c>
      <c r="J13607">
        <v>80</v>
      </c>
      <c r="K13607" t="b">
        <v>1</v>
      </c>
    </row>
    <row r="13608" spans="8:11" x14ac:dyDescent="0.25">
      <c r="H13608">
        <v>146</v>
      </c>
      <c r="I13608">
        <v>812</v>
      </c>
      <c r="J13608">
        <v>80</v>
      </c>
      <c r="K13608" t="b">
        <v>1</v>
      </c>
    </row>
    <row r="13609" spans="8:11" x14ac:dyDescent="0.25">
      <c r="H13609">
        <v>146</v>
      </c>
      <c r="I13609">
        <v>819</v>
      </c>
      <c r="J13609">
        <v>80</v>
      </c>
      <c r="K13609" t="b">
        <v>1</v>
      </c>
    </row>
    <row r="13610" spans="8:11" x14ac:dyDescent="0.25">
      <c r="H13610">
        <v>146</v>
      </c>
      <c r="I13610">
        <v>826</v>
      </c>
      <c r="J13610">
        <v>80</v>
      </c>
      <c r="K13610" t="b">
        <v>1</v>
      </c>
    </row>
    <row r="13611" spans="8:11" x14ac:dyDescent="0.25">
      <c r="H13611">
        <v>146</v>
      </c>
      <c r="I13611">
        <v>833</v>
      </c>
      <c r="J13611">
        <v>80</v>
      </c>
      <c r="K13611" t="b">
        <v>1</v>
      </c>
    </row>
    <row r="13612" spans="8:11" x14ac:dyDescent="0.25">
      <c r="H13612">
        <v>146</v>
      </c>
      <c r="I13612">
        <v>840</v>
      </c>
      <c r="J13612">
        <v>80</v>
      </c>
      <c r="K13612" t="b">
        <v>1</v>
      </c>
    </row>
    <row r="13613" spans="8:11" x14ac:dyDescent="0.25">
      <c r="H13613">
        <v>146</v>
      </c>
      <c r="I13613">
        <v>847</v>
      </c>
      <c r="J13613">
        <v>80</v>
      </c>
      <c r="K13613" t="b">
        <v>1</v>
      </c>
    </row>
    <row r="13614" spans="8:11" x14ac:dyDescent="0.25">
      <c r="H13614">
        <v>146</v>
      </c>
      <c r="I13614">
        <v>854</v>
      </c>
      <c r="J13614">
        <v>80</v>
      </c>
      <c r="K13614" t="b">
        <v>1</v>
      </c>
    </row>
    <row r="13615" spans="8:11" x14ac:dyDescent="0.25">
      <c r="H13615">
        <v>146</v>
      </c>
      <c r="I13615">
        <v>861</v>
      </c>
      <c r="J13615">
        <v>80</v>
      </c>
      <c r="K13615" t="b">
        <v>1</v>
      </c>
    </row>
    <row r="13616" spans="8:11" x14ac:dyDescent="0.25">
      <c r="H13616">
        <v>146</v>
      </c>
      <c r="I13616">
        <v>868</v>
      </c>
      <c r="J13616">
        <v>80</v>
      </c>
      <c r="K13616" t="b">
        <v>1</v>
      </c>
    </row>
    <row r="13617" spans="8:11" x14ac:dyDescent="0.25">
      <c r="H13617">
        <v>146</v>
      </c>
      <c r="I13617">
        <v>875</v>
      </c>
      <c r="J13617">
        <v>80</v>
      </c>
      <c r="K13617" t="b">
        <v>1</v>
      </c>
    </row>
    <row r="13618" spans="8:11" x14ac:dyDescent="0.25">
      <c r="H13618">
        <v>146</v>
      </c>
      <c r="I13618">
        <v>882</v>
      </c>
      <c r="J13618">
        <v>80</v>
      </c>
      <c r="K13618" t="b">
        <v>1</v>
      </c>
    </row>
    <row r="13619" spans="8:11" x14ac:dyDescent="0.25">
      <c r="H13619">
        <v>146</v>
      </c>
      <c r="I13619">
        <v>889</v>
      </c>
      <c r="J13619">
        <v>80</v>
      </c>
      <c r="K13619" t="b">
        <v>1</v>
      </c>
    </row>
    <row r="13620" spans="8:11" x14ac:dyDescent="0.25">
      <c r="H13620">
        <v>146</v>
      </c>
      <c r="I13620">
        <v>896</v>
      </c>
      <c r="J13620">
        <v>80</v>
      </c>
      <c r="K13620" t="b">
        <v>1</v>
      </c>
    </row>
    <row r="13621" spans="8:11" x14ac:dyDescent="0.25">
      <c r="H13621">
        <v>146</v>
      </c>
      <c r="I13621">
        <v>903</v>
      </c>
      <c r="J13621">
        <v>80</v>
      </c>
      <c r="K13621" t="b">
        <v>1</v>
      </c>
    </row>
    <row r="13622" spans="8:11" x14ac:dyDescent="0.25">
      <c r="H13622">
        <v>146</v>
      </c>
      <c r="I13622">
        <v>910</v>
      </c>
      <c r="J13622">
        <v>80</v>
      </c>
      <c r="K13622" t="b">
        <v>1</v>
      </c>
    </row>
    <row r="13623" spans="8:11" x14ac:dyDescent="0.25">
      <c r="H13623">
        <v>146</v>
      </c>
      <c r="I13623">
        <v>917</v>
      </c>
      <c r="J13623">
        <v>80</v>
      </c>
      <c r="K13623" t="b">
        <v>1</v>
      </c>
    </row>
    <row r="13624" spans="8:11" x14ac:dyDescent="0.25">
      <c r="H13624">
        <v>146</v>
      </c>
      <c r="I13624">
        <v>924</v>
      </c>
      <c r="J13624">
        <v>80</v>
      </c>
      <c r="K13624" t="b">
        <v>1</v>
      </c>
    </row>
    <row r="13625" spans="8:11" x14ac:dyDescent="0.25">
      <c r="H13625">
        <v>146</v>
      </c>
      <c r="I13625">
        <v>931</v>
      </c>
      <c r="J13625">
        <v>80</v>
      </c>
      <c r="K13625" t="b">
        <v>1</v>
      </c>
    </row>
    <row r="13626" spans="8:11" x14ac:dyDescent="0.25">
      <c r="H13626">
        <v>146</v>
      </c>
      <c r="I13626">
        <v>938</v>
      </c>
      <c r="J13626">
        <v>80</v>
      </c>
      <c r="K13626" t="b">
        <v>1</v>
      </c>
    </row>
    <row r="13627" spans="8:11" x14ac:dyDescent="0.25">
      <c r="H13627">
        <v>146</v>
      </c>
      <c r="I13627">
        <v>945</v>
      </c>
      <c r="J13627">
        <v>80</v>
      </c>
      <c r="K13627" t="b">
        <v>1</v>
      </c>
    </row>
    <row r="13628" spans="8:11" x14ac:dyDescent="0.25">
      <c r="H13628">
        <v>146</v>
      </c>
      <c r="I13628">
        <v>952</v>
      </c>
      <c r="J13628">
        <v>80</v>
      </c>
      <c r="K13628" t="b">
        <v>1</v>
      </c>
    </row>
    <row r="13629" spans="8:11" x14ac:dyDescent="0.25">
      <c r="H13629">
        <v>147</v>
      </c>
      <c r="I13629">
        <v>0</v>
      </c>
      <c r="J13629">
        <v>110</v>
      </c>
      <c r="K13629" t="b">
        <v>1</v>
      </c>
    </row>
    <row r="13630" spans="8:11" x14ac:dyDescent="0.25">
      <c r="H13630">
        <v>147</v>
      </c>
      <c r="I13630">
        <v>8</v>
      </c>
      <c r="J13630">
        <v>110</v>
      </c>
      <c r="K13630" t="b">
        <v>1</v>
      </c>
    </row>
    <row r="13631" spans="8:11" x14ac:dyDescent="0.25">
      <c r="H13631">
        <v>147</v>
      </c>
      <c r="I13631">
        <v>16</v>
      </c>
      <c r="J13631">
        <v>110</v>
      </c>
      <c r="K13631" t="b">
        <v>1</v>
      </c>
    </row>
    <row r="13632" spans="8:11" x14ac:dyDescent="0.25">
      <c r="H13632">
        <v>147</v>
      </c>
      <c r="I13632">
        <v>24</v>
      </c>
      <c r="J13632">
        <v>110</v>
      </c>
      <c r="K13632" t="b">
        <v>1</v>
      </c>
    </row>
    <row r="13633" spans="8:11" x14ac:dyDescent="0.25">
      <c r="H13633">
        <v>147</v>
      </c>
      <c r="I13633">
        <v>32</v>
      </c>
      <c r="J13633">
        <v>110</v>
      </c>
      <c r="K13633" t="b">
        <v>1</v>
      </c>
    </row>
    <row r="13634" spans="8:11" x14ac:dyDescent="0.25">
      <c r="H13634">
        <v>147</v>
      </c>
      <c r="I13634">
        <v>40</v>
      </c>
      <c r="J13634">
        <v>110</v>
      </c>
      <c r="K13634" t="b">
        <v>1</v>
      </c>
    </row>
    <row r="13635" spans="8:11" x14ac:dyDescent="0.25">
      <c r="H13635">
        <v>147</v>
      </c>
      <c r="I13635">
        <v>48</v>
      </c>
      <c r="J13635">
        <v>110</v>
      </c>
      <c r="K13635" t="b">
        <v>1</v>
      </c>
    </row>
    <row r="13636" spans="8:11" x14ac:dyDescent="0.25">
      <c r="H13636">
        <v>147</v>
      </c>
      <c r="I13636">
        <v>56</v>
      </c>
      <c r="J13636">
        <v>110</v>
      </c>
      <c r="K13636" t="b">
        <v>1</v>
      </c>
    </row>
    <row r="13637" spans="8:11" x14ac:dyDescent="0.25">
      <c r="H13637">
        <v>147</v>
      </c>
      <c r="I13637">
        <v>64</v>
      </c>
      <c r="J13637">
        <v>110</v>
      </c>
      <c r="K13637" t="b">
        <v>1</v>
      </c>
    </row>
    <row r="13638" spans="8:11" x14ac:dyDescent="0.25">
      <c r="H13638">
        <v>147</v>
      </c>
      <c r="I13638">
        <v>72</v>
      </c>
      <c r="J13638">
        <v>110</v>
      </c>
      <c r="K13638" t="b">
        <v>1</v>
      </c>
    </row>
    <row r="13639" spans="8:11" x14ac:dyDescent="0.25">
      <c r="H13639">
        <v>147</v>
      </c>
      <c r="I13639">
        <v>80</v>
      </c>
      <c r="J13639">
        <v>110</v>
      </c>
      <c r="K13639" t="b">
        <v>1</v>
      </c>
    </row>
    <row r="13640" spans="8:11" x14ac:dyDescent="0.25">
      <c r="H13640">
        <v>147</v>
      </c>
      <c r="I13640">
        <v>88</v>
      </c>
      <c r="J13640">
        <v>110</v>
      </c>
      <c r="K13640" t="b">
        <v>1</v>
      </c>
    </row>
    <row r="13641" spans="8:11" x14ac:dyDescent="0.25">
      <c r="H13641">
        <v>147</v>
      </c>
      <c r="I13641">
        <v>96</v>
      </c>
      <c r="J13641">
        <v>110</v>
      </c>
      <c r="K13641" t="b">
        <v>1</v>
      </c>
    </row>
    <row r="13642" spans="8:11" x14ac:dyDescent="0.25">
      <c r="H13642">
        <v>147</v>
      </c>
      <c r="I13642">
        <v>104</v>
      </c>
      <c r="J13642">
        <v>110</v>
      </c>
      <c r="K13642" t="b">
        <v>1</v>
      </c>
    </row>
    <row r="13643" spans="8:11" x14ac:dyDescent="0.25">
      <c r="H13643">
        <v>147</v>
      </c>
      <c r="I13643">
        <v>112</v>
      </c>
      <c r="J13643">
        <v>110</v>
      </c>
      <c r="K13643" t="b">
        <v>1</v>
      </c>
    </row>
    <row r="13644" spans="8:11" x14ac:dyDescent="0.25">
      <c r="H13644">
        <v>147</v>
      </c>
      <c r="I13644">
        <v>120</v>
      </c>
      <c r="J13644">
        <v>110</v>
      </c>
      <c r="K13644" t="b">
        <v>1</v>
      </c>
    </row>
    <row r="13645" spans="8:11" x14ac:dyDescent="0.25">
      <c r="H13645">
        <v>147</v>
      </c>
      <c r="I13645">
        <v>128</v>
      </c>
      <c r="J13645">
        <v>110</v>
      </c>
      <c r="K13645" t="b">
        <v>1</v>
      </c>
    </row>
    <row r="13646" spans="8:11" x14ac:dyDescent="0.25">
      <c r="H13646">
        <v>147</v>
      </c>
      <c r="I13646">
        <v>136</v>
      </c>
      <c r="J13646">
        <v>110</v>
      </c>
      <c r="K13646" t="b">
        <v>1</v>
      </c>
    </row>
    <row r="13647" spans="8:11" x14ac:dyDescent="0.25">
      <c r="H13647">
        <v>147</v>
      </c>
      <c r="I13647">
        <v>144</v>
      </c>
      <c r="J13647">
        <v>110</v>
      </c>
      <c r="K13647" t="b">
        <v>1</v>
      </c>
    </row>
    <row r="13648" spans="8:11" x14ac:dyDescent="0.25">
      <c r="H13648">
        <v>147</v>
      </c>
      <c r="I13648">
        <v>152</v>
      </c>
      <c r="J13648">
        <v>110</v>
      </c>
      <c r="K13648" t="b">
        <v>1</v>
      </c>
    </row>
    <row r="13649" spans="8:11" x14ac:dyDescent="0.25">
      <c r="H13649">
        <v>147</v>
      </c>
      <c r="I13649">
        <v>160</v>
      </c>
      <c r="J13649">
        <v>110</v>
      </c>
      <c r="K13649" t="b">
        <v>1</v>
      </c>
    </row>
    <row r="13650" spans="8:11" x14ac:dyDescent="0.25">
      <c r="H13650">
        <v>147</v>
      </c>
      <c r="I13650">
        <v>168</v>
      </c>
      <c r="J13650">
        <v>110</v>
      </c>
      <c r="K13650" t="b">
        <v>1</v>
      </c>
    </row>
    <row r="13651" spans="8:11" x14ac:dyDescent="0.25">
      <c r="H13651">
        <v>147</v>
      </c>
      <c r="I13651">
        <v>176</v>
      </c>
      <c r="J13651">
        <v>110</v>
      </c>
      <c r="K13651" t="b">
        <v>1</v>
      </c>
    </row>
    <row r="13652" spans="8:11" x14ac:dyDescent="0.25">
      <c r="H13652">
        <v>147</v>
      </c>
      <c r="I13652">
        <v>184</v>
      </c>
      <c r="J13652">
        <v>110</v>
      </c>
      <c r="K13652" t="b">
        <v>1</v>
      </c>
    </row>
    <row r="13653" spans="8:11" x14ac:dyDescent="0.25">
      <c r="H13653">
        <v>147</v>
      </c>
      <c r="I13653">
        <v>192</v>
      </c>
      <c r="J13653">
        <v>110</v>
      </c>
      <c r="K13653" t="b">
        <v>1</v>
      </c>
    </row>
    <row r="13654" spans="8:11" x14ac:dyDescent="0.25">
      <c r="H13654">
        <v>147</v>
      </c>
      <c r="I13654">
        <v>200</v>
      </c>
      <c r="J13654">
        <v>110</v>
      </c>
      <c r="K13654" t="b">
        <v>1</v>
      </c>
    </row>
    <row r="13655" spans="8:11" x14ac:dyDescent="0.25">
      <c r="H13655">
        <v>147</v>
      </c>
      <c r="I13655">
        <v>208</v>
      </c>
      <c r="J13655">
        <v>110</v>
      </c>
      <c r="K13655" t="b">
        <v>1</v>
      </c>
    </row>
    <row r="13656" spans="8:11" x14ac:dyDescent="0.25">
      <c r="H13656">
        <v>147</v>
      </c>
      <c r="I13656">
        <v>216</v>
      </c>
      <c r="J13656">
        <v>110</v>
      </c>
      <c r="K13656" t="b">
        <v>1</v>
      </c>
    </row>
    <row r="13657" spans="8:11" x14ac:dyDescent="0.25">
      <c r="H13657">
        <v>147</v>
      </c>
      <c r="I13657">
        <v>224</v>
      </c>
      <c r="J13657">
        <v>110</v>
      </c>
      <c r="K13657" t="b">
        <v>1</v>
      </c>
    </row>
    <row r="13658" spans="8:11" x14ac:dyDescent="0.25">
      <c r="H13658">
        <v>147</v>
      </c>
      <c r="I13658">
        <v>232</v>
      </c>
      <c r="J13658">
        <v>110</v>
      </c>
      <c r="K13658" t="b">
        <v>1</v>
      </c>
    </row>
    <row r="13659" spans="8:11" x14ac:dyDescent="0.25">
      <c r="H13659">
        <v>147</v>
      </c>
      <c r="I13659">
        <v>240</v>
      </c>
      <c r="J13659">
        <v>110</v>
      </c>
      <c r="K13659" t="b">
        <v>1</v>
      </c>
    </row>
    <row r="13660" spans="8:11" x14ac:dyDescent="0.25">
      <c r="H13660">
        <v>147</v>
      </c>
      <c r="I13660">
        <v>248</v>
      </c>
      <c r="J13660">
        <v>110</v>
      </c>
      <c r="K13660" t="b">
        <v>1</v>
      </c>
    </row>
    <row r="13661" spans="8:11" x14ac:dyDescent="0.25">
      <c r="H13661">
        <v>147</v>
      </c>
      <c r="I13661">
        <v>256</v>
      </c>
      <c r="J13661">
        <v>110</v>
      </c>
      <c r="K13661" t="b">
        <v>1</v>
      </c>
    </row>
    <row r="13662" spans="8:11" x14ac:dyDescent="0.25">
      <c r="H13662">
        <v>147</v>
      </c>
      <c r="I13662">
        <v>264</v>
      </c>
      <c r="J13662">
        <v>110</v>
      </c>
      <c r="K13662" t="b">
        <v>1</v>
      </c>
    </row>
    <row r="13663" spans="8:11" x14ac:dyDescent="0.25">
      <c r="H13663">
        <v>147</v>
      </c>
      <c r="I13663">
        <v>272</v>
      </c>
      <c r="J13663">
        <v>110</v>
      </c>
      <c r="K13663" t="b">
        <v>1</v>
      </c>
    </row>
    <row r="13664" spans="8:11" x14ac:dyDescent="0.25">
      <c r="H13664">
        <v>147</v>
      </c>
      <c r="I13664">
        <v>280</v>
      </c>
      <c r="J13664">
        <v>110</v>
      </c>
      <c r="K13664" t="b">
        <v>1</v>
      </c>
    </row>
    <row r="13665" spans="8:11" x14ac:dyDescent="0.25">
      <c r="H13665">
        <v>147</v>
      </c>
      <c r="I13665">
        <v>288</v>
      </c>
      <c r="J13665">
        <v>110</v>
      </c>
      <c r="K13665" t="b">
        <v>1</v>
      </c>
    </row>
    <row r="13666" spans="8:11" x14ac:dyDescent="0.25">
      <c r="H13666">
        <v>147</v>
      </c>
      <c r="I13666">
        <v>296</v>
      </c>
      <c r="J13666">
        <v>110</v>
      </c>
      <c r="K13666" t="b">
        <v>1</v>
      </c>
    </row>
    <row r="13667" spans="8:11" x14ac:dyDescent="0.25">
      <c r="H13667">
        <v>147</v>
      </c>
      <c r="I13667">
        <v>304</v>
      </c>
      <c r="J13667">
        <v>110</v>
      </c>
      <c r="K13667" t="b">
        <v>1</v>
      </c>
    </row>
    <row r="13668" spans="8:11" x14ac:dyDescent="0.25">
      <c r="H13668">
        <v>147</v>
      </c>
      <c r="I13668">
        <v>312</v>
      </c>
      <c r="J13668">
        <v>110</v>
      </c>
      <c r="K13668" t="b">
        <v>1</v>
      </c>
    </row>
    <row r="13669" spans="8:11" x14ac:dyDescent="0.25">
      <c r="H13669">
        <v>147</v>
      </c>
      <c r="I13669">
        <v>320</v>
      </c>
      <c r="J13669">
        <v>110</v>
      </c>
      <c r="K13669" t="b">
        <v>1</v>
      </c>
    </row>
    <row r="13670" spans="8:11" x14ac:dyDescent="0.25">
      <c r="H13670">
        <v>147</v>
      </c>
      <c r="I13670">
        <v>328</v>
      </c>
      <c r="J13670">
        <v>110</v>
      </c>
      <c r="K13670" t="b">
        <v>1</v>
      </c>
    </row>
    <row r="13671" spans="8:11" x14ac:dyDescent="0.25">
      <c r="H13671">
        <v>147</v>
      </c>
      <c r="I13671">
        <v>336</v>
      </c>
      <c r="J13671">
        <v>110</v>
      </c>
      <c r="K13671" t="b">
        <v>1</v>
      </c>
    </row>
    <row r="13672" spans="8:11" x14ac:dyDescent="0.25">
      <c r="H13672">
        <v>147</v>
      </c>
      <c r="I13672">
        <v>344</v>
      </c>
      <c r="J13672">
        <v>110</v>
      </c>
      <c r="K13672" t="b">
        <v>1</v>
      </c>
    </row>
    <row r="13673" spans="8:11" x14ac:dyDescent="0.25">
      <c r="H13673">
        <v>147</v>
      </c>
      <c r="I13673">
        <v>352</v>
      </c>
      <c r="J13673">
        <v>110</v>
      </c>
      <c r="K13673" t="b">
        <v>1</v>
      </c>
    </row>
    <row r="13674" spans="8:11" x14ac:dyDescent="0.25">
      <c r="H13674">
        <v>147</v>
      </c>
      <c r="I13674">
        <v>360</v>
      </c>
      <c r="J13674">
        <v>110</v>
      </c>
      <c r="K13674" t="b">
        <v>1</v>
      </c>
    </row>
    <row r="13675" spans="8:11" x14ac:dyDescent="0.25">
      <c r="H13675">
        <v>147</v>
      </c>
      <c r="I13675">
        <v>368</v>
      </c>
      <c r="J13675">
        <v>110</v>
      </c>
      <c r="K13675" t="b">
        <v>1</v>
      </c>
    </row>
    <row r="13676" spans="8:11" x14ac:dyDescent="0.25">
      <c r="H13676">
        <v>147</v>
      </c>
      <c r="I13676">
        <v>376</v>
      </c>
      <c r="J13676">
        <v>110</v>
      </c>
      <c r="K13676" t="b">
        <v>1</v>
      </c>
    </row>
    <row r="13677" spans="8:11" x14ac:dyDescent="0.25">
      <c r="H13677">
        <v>147</v>
      </c>
      <c r="I13677">
        <v>384</v>
      </c>
      <c r="J13677">
        <v>110</v>
      </c>
      <c r="K13677" t="b">
        <v>1</v>
      </c>
    </row>
    <row r="13678" spans="8:11" x14ac:dyDescent="0.25">
      <c r="H13678">
        <v>147</v>
      </c>
      <c r="I13678">
        <v>392</v>
      </c>
      <c r="J13678">
        <v>110</v>
      </c>
      <c r="K13678" t="b">
        <v>1</v>
      </c>
    </row>
    <row r="13679" spans="8:11" x14ac:dyDescent="0.25">
      <c r="H13679">
        <v>147</v>
      </c>
      <c r="I13679">
        <v>400</v>
      </c>
      <c r="J13679">
        <v>110</v>
      </c>
      <c r="K13679" t="b">
        <v>1</v>
      </c>
    </row>
    <row r="13680" spans="8:11" x14ac:dyDescent="0.25">
      <c r="H13680">
        <v>147</v>
      </c>
      <c r="I13680">
        <v>408</v>
      </c>
      <c r="J13680">
        <v>110</v>
      </c>
      <c r="K13680" t="b">
        <v>1</v>
      </c>
    </row>
    <row r="13681" spans="8:11" x14ac:dyDescent="0.25">
      <c r="H13681">
        <v>147</v>
      </c>
      <c r="I13681">
        <v>416</v>
      </c>
      <c r="J13681">
        <v>110</v>
      </c>
      <c r="K13681" t="b">
        <v>1</v>
      </c>
    </row>
    <row r="13682" spans="8:11" x14ac:dyDescent="0.25">
      <c r="H13682">
        <v>147</v>
      </c>
      <c r="I13682">
        <v>424</v>
      </c>
      <c r="J13682">
        <v>110</v>
      </c>
      <c r="K13682" t="b">
        <v>1</v>
      </c>
    </row>
    <row r="13683" spans="8:11" x14ac:dyDescent="0.25">
      <c r="H13683">
        <v>147</v>
      </c>
      <c r="I13683">
        <v>432</v>
      </c>
      <c r="J13683">
        <v>110</v>
      </c>
      <c r="K13683" t="b">
        <v>1</v>
      </c>
    </row>
    <row r="13684" spans="8:11" x14ac:dyDescent="0.25">
      <c r="H13684">
        <v>147</v>
      </c>
      <c r="I13684">
        <v>440</v>
      </c>
      <c r="J13684">
        <v>110</v>
      </c>
      <c r="K13684" t="b">
        <v>1</v>
      </c>
    </row>
    <row r="13685" spans="8:11" x14ac:dyDescent="0.25">
      <c r="H13685">
        <v>147</v>
      </c>
      <c r="I13685">
        <v>448</v>
      </c>
      <c r="J13685">
        <v>110</v>
      </c>
      <c r="K13685" t="b">
        <v>1</v>
      </c>
    </row>
    <row r="13686" spans="8:11" x14ac:dyDescent="0.25">
      <c r="H13686">
        <v>147</v>
      </c>
      <c r="I13686">
        <v>456</v>
      </c>
      <c r="J13686">
        <v>110</v>
      </c>
      <c r="K13686" t="b">
        <v>1</v>
      </c>
    </row>
    <row r="13687" spans="8:11" x14ac:dyDescent="0.25">
      <c r="H13687">
        <v>147</v>
      </c>
      <c r="I13687">
        <v>464</v>
      </c>
      <c r="J13687">
        <v>110</v>
      </c>
      <c r="K13687" t="b">
        <v>1</v>
      </c>
    </row>
    <row r="13688" spans="8:11" x14ac:dyDescent="0.25">
      <c r="H13688">
        <v>147</v>
      </c>
      <c r="I13688">
        <v>472</v>
      </c>
      <c r="J13688">
        <v>110</v>
      </c>
      <c r="K13688" t="b">
        <v>1</v>
      </c>
    </row>
    <row r="13689" spans="8:11" x14ac:dyDescent="0.25">
      <c r="H13689">
        <v>147</v>
      </c>
      <c r="I13689">
        <v>480</v>
      </c>
      <c r="J13689">
        <v>110</v>
      </c>
      <c r="K13689" t="b">
        <v>1</v>
      </c>
    </row>
    <row r="13690" spans="8:11" x14ac:dyDescent="0.25">
      <c r="H13690">
        <v>147</v>
      </c>
      <c r="I13690">
        <v>488</v>
      </c>
      <c r="J13690">
        <v>110</v>
      </c>
      <c r="K13690" t="b">
        <v>1</v>
      </c>
    </row>
    <row r="13691" spans="8:11" x14ac:dyDescent="0.25">
      <c r="H13691">
        <v>147</v>
      </c>
      <c r="I13691">
        <v>496</v>
      </c>
      <c r="J13691">
        <v>110</v>
      </c>
      <c r="K13691" t="b">
        <v>1</v>
      </c>
    </row>
    <row r="13692" spans="8:11" x14ac:dyDescent="0.25">
      <c r="H13692">
        <v>147</v>
      </c>
      <c r="I13692">
        <v>504</v>
      </c>
      <c r="J13692">
        <v>110</v>
      </c>
      <c r="K13692" t="b">
        <v>1</v>
      </c>
    </row>
    <row r="13693" spans="8:11" x14ac:dyDescent="0.25">
      <c r="H13693">
        <v>147</v>
      </c>
      <c r="I13693">
        <v>512</v>
      </c>
      <c r="J13693">
        <v>110</v>
      </c>
      <c r="K13693" t="b">
        <v>1</v>
      </c>
    </row>
    <row r="13694" spans="8:11" x14ac:dyDescent="0.25">
      <c r="H13694">
        <v>147</v>
      </c>
      <c r="I13694">
        <v>520</v>
      </c>
      <c r="J13694">
        <v>110</v>
      </c>
      <c r="K13694" t="b">
        <v>1</v>
      </c>
    </row>
    <row r="13695" spans="8:11" x14ac:dyDescent="0.25">
      <c r="H13695">
        <v>147</v>
      </c>
      <c r="I13695">
        <v>528</v>
      </c>
      <c r="J13695">
        <v>110</v>
      </c>
      <c r="K13695" t="b">
        <v>1</v>
      </c>
    </row>
    <row r="13696" spans="8:11" x14ac:dyDescent="0.25">
      <c r="H13696">
        <v>147</v>
      </c>
      <c r="I13696">
        <v>536</v>
      </c>
      <c r="J13696">
        <v>110</v>
      </c>
      <c r="K13696" t="b">
        <v>1</v>
      </c>
    </row>
    <row r="13697" spans="8:11" x14ac:dyDescent="0.25">
      <c r="H13697">
        <v>147</v>
      </c>
      <c r="I13697">
        <v>544</v>
      </c>
      <c r="J13697">
        <v>110</v>
      </c>
      <c r="K13697" t="b">
        <v>1</v>
      </c>
    </row>
    <row r="13698" spans="8:11" x14ac:dyDescent="0.25">
      <c r="H13698">
        <v>147</v>
      </c>
      <c r="I13698">
        <v>552</v>
      </c>
      <c r="J13698">
        <v>110</v>
      </c>
      <c r="K13698" t="b">
        <v>1</v>
      </c>
    </row>
    <row r="13699" spans="8:11" x14ac:dyDescent="0.25">
      <c r="H13699">
        <v>147</v>
      </c>
      <c r="I13699">
        <v>560</v>
      </c>
      <c r="J13699">
        <v>110</v>
      </c>
      <c r="K13699" t="b">
        <v>1</v>
      </c>
    </row>
    <row r="13700" spans="8:11" x14ac:dyDescent="0.25">
      <c r="H13700">
        <v>147</v>
      </c>
      <c r="I13700">
        <v>568</v>
      </c>
      <c r="J13700">
        <v>110</v>
      </c>
      <c r="K13700" t="b">
        <v>1</v>
      </c>
    </row>
    <row r="13701" spans="8:11" x14ac:dyDescent="0.25">
      <c r="H13701">
        <v>147</v>
      </c>
      <c r="I13701">
        <v>576</v>
      </c>
      <c r="J13701">
        <v>110</v>
      </c>
      <c r="K13701" t="b">
        <v>1</v>
      </c>
    </row>
    <row r="13702" spans="8:11" x14ac:dyDescent="0.25">
      <c r="H13702">
        <v>147</v>
      </c>
      <c r="I13702">
        <v>584</v>
      </c>
      <c r="J13702">
        <v>110</v>
      </c>
      <c r="K13702" t="b">
        <v>1</v>
      </c>
    </row>
    <row r="13703" spans="8:11" x14ac:dyDescent="0.25">
      <c r="H13703">
        <v>147</v>
      </c>
      <c r="I13703">
        <v>592</v>
      </c>
      <c r="J13703">
        <v>110</v>
      </c>
      <c r="K13703" t="b">
        <v>1</v>
      </c>
    </row>
    <row r="13704" spans="8:11" x14ac:dyDescent="0.25">
      <c r="H13704">
        <v>147</v>
      </c>
      <c r="I13704">
        <v>600</v>
      </c>
      <c r="J13704">
        <v>110</v>
      </c>
      <c r="K13704" t="b">
        <v>1</v>
      </c>
    </row>
    <row r="13705" spans="8:11" x14ac:dyDescent="0.25">
      <c r="H13705">
        <v>147</v>
      </c>
      <c r="I13705">
        <v>608</v>
      </c>
      <c r="J13705">
        <v>110</v>
      </c>
      <c r="K13705" t="b">
        <v>1</v>
      </c>
    </row>
    <row r="13706" spans="8:11" x14ac:dyDescent="0.25">
      <c r="H13706">
        <v>147</v>
      </c>
      <c r="I13706">
        <v>616</v>
      </c>
      <c r="J13706">
        <v>110</v>
      </c>
      <c r="K13706" t="b">
        <v>1</v>
      </c>
    </row>
    <row r="13707" spans="8:11" x14ac:dyDescent="0.25">
      <c r="H13707">
        <v>147</v>
      </c>
      <c r="I13707">
        <v>624</v>
      </c>
      <c r="J13707">
        <v>110</v>
      </c>
      <c r="K13707" t="b">
        <v>1</v>
      </c>
    </row>
    <row r="13708" spans="8:11" x14ac:dyDescent="0.25">
      <c r="H13708">
        <v>147</v>
      </c>
      <c r="I13708">
        <v>632</v>
      </c>
      <c r="J13708">
        <v>110</v>
      </c>
      <c r="K13708" t="b">
        <v>1</v>
      </c>
    </row>
    <row r="13709" spans="8:11" x14ac:dyDescent="0.25">
      <c r="H13709">
        <v>147</v>
      </c>
      <c r="I13709">
        <v>640</v>
      </c>
      <c r="J13709">
        <v>110</v>
      </c>
      <c r="K13709" t="b">
        <v>1</v>
      </c>
    </row>
    <row r="13710" spans="8:11" x14ac:dyDescent="0.25">
      <c r="H13710">
        <v>147</v>
      </c>
      <c r="I13710">
        <v>648</v>
      </c>
      <c r="J13710">
        <v>110</v>
      </c>
      <c r="K13710" t="b">
        <v>1</v>
      </c>
    </row>
    <row r="13711" spans="8:11" x14ac:dyDescent="0.25">
      <c r="H13711">
        <v>147</v>
      </c>
      <c r="I13711">
        <v>656</v>
      </c>
      <c r="J13711">
        <v>110</v>
      </c>
      <c r="K13711" t="b">
        <v>1</v>
      </c>
    </row>
    <row r="13712" spans="8:11" x14ac:dyDescent="0.25">
      <c r="H13712">
        <v>147</v>
      </c>
      <c r="I13712">
        <v>664</v>
      </c>
      <c r="J13712">
        <v>110</v>
      </c>
      <c r="K13712" t="b">
        <v>1</v>
      </c>
    </row>
    <row r="13713" spans="8:11" x14ac:dyDescent="0.25">
      <c r="H13713">
        <v>147</v>
      </c>
      <c r="I13713">
        <v>672</v>
      </c>
      <c r="J13713">
        <v>110</v>
      </c>
      <c r="K13713" t="b">
        <v>1</v>
      </c>
    </row>
    <row r="13714" spans="8:11" x14ac:dyDescent="0.25">
      <c r="H13714">
        <v>147</v>
      </c>
      <c r="I13714">
        <v>680</v>
      </c>
      <c r="J13714">
        <v>110</v>
      </c>
      <c r="K13714" t="b">
        <v>1</v>
      </c>
    </row>
    <row r="13715" spans="8:11" x14ac:dyDescent="0.25">
      <c r="H13715">
        <v>147</v>
      </c>
      <c r="I13715">
        <v>688</v>
      </c>
      <c r="J13715">
        <v>110</v>
      </c>
      <c r="K13715" t="b">
        <v>1</v>
      </c>
    </row>
    <row r="13716" spans="8:11" x14ac:dyDescent="0.25">
      <c r="H13716">
        <v>147</v>
      </c>
      <c r="I13716">
        <v>696</v>
      </c>
      <c r="J13716">
        <v>110</v>
      </c>
      <c r="K13716" t="b">
        <v>1</v>
      </c>
    </row>
    <row r="13717" spans="8:11" x14ac:dyDescent="0.25">
      <c r="H13717">
        <v>147</v>
      </c>
      <c r="I13717">
        <v>704</v>
      </c>
      <c r="J13717">
        <v>110</v>
      </c>
      <c r="K13717" t="b">
        <v>1</v>
      </c>
    </row>
    <row r="13718" spans="8:11" x14ac:dyDescent="0.25">
      <c r="H13718">
        <v>147</v>
      </c>
      <c r="I13718">
        <v>712</v>
      </c>
      <c r="J13718">
        <v>110</v>
      </c>
      <c r="K13718" t="b">
        <v>1</v>
      </c>
    </row>
    <row r="13719" spans="8:11" x14ac:dyDescent="0.25">
      <c r="H13719">
        <v>147</v>
      </c>
      <c r="I13719">
        <v>720</v>
      </c>
      <c r="J13719">
        <v>110</v>
      </c>
      <c r="K13719" t="b">
        <v>1</v>
      </c>
    </row>
    <row r="13720" spans="8:11" x14ac:dyDescent="0.25">
      <c r="H13720">
        <v>147</v>
      </c>
      <c r="I13720">
        <v>728</v>
      </c>
      <c r="J13720">
        <v>110</v>
      </c>
      <c r="K13720" t="b">
        <v>1</v>
      </c>
    </row>
    <row r="13721" spans="8:11" x14ac:dyDescent="0.25">
      <c r="H13721">
        <v>147</v>
      </c>
      <c r="I13721">
        <v>736</v>
      </c>
      <c r="J13721">
        <v>110</v>
      </c>
      <c r="K13721" t="b">
        <v>1</v>
      </c>
    </row>
    <row r="13722" spans="8:11" x14ac:dyDescent="0.25">
      <c r="H13722">
        <v>147</v>
      </c>
      <c r="I13722">
        <v>744</v>
      </c>
      <c r="J13722">
        <v>110</v>
      </c>
      <c r="K13722" t="b">
        <v>1</v>
      </c>
    </row>
    <row r="13723" spans="8:11" x14ac:dyDescent="0.25">
      <c r="H13723">
        <v>147</v>
      </c>
      <c r="I13723">
        <v>752</v>
      </c>
      <c r="J13723">
        <v>110</v>
      </c>
      <c r="K13723" t="b">
        <v>1</v>
      </c>
    </row>
    <row r="13724" spans="8:11" x14ac:dyDescent="0.25">
      <c r="H13724">
        <v>147</v>
      </c>
      <c r="I13724">
        <v>760</v>
      </c>
      <c r="J13724">
        <v>110</v>
      </c>
      <c r="K13724" t="b">
        <v>1</v>
      </c>
    </row>
    <row r="13725" spans="8:11" x14ac:dyDescent="0.25">
      <c r="H13725">
        <v>147</v>
      </c>
      <c r="I13725">
        <v>768</v>
      </c>
      <c r="J13725">
        <v>110</v>
      </c>
      <c r="K13725" t="b">
        <v>1</v>
      </c>
    </row>
    <row r="13726" spans="8:11" x14ac:dyDescent="0.25">
      <c r="H13726">
        <v>147</v>
      </c>
      <c r="I13726">
        <v>776</v>
      </c>
      <c r="J13726">
        <v>110</v>
      </c>
      <c r="K13726" t="b">
        <v>1</v>
      </c>
    </row>
    <row r="13727" spans="8:11" x14ac:dyDescent="0.25">
      <c r="H13727">
        <v>147</v>
      </c>
      <c r="I13727">
        <v>784</v>
      </c>
      <c r="J13727">
        <v>110</v>
      </c>
      <c r="K13727" t="b">
        <v>1</v>
      </c>
    </row>
    <row r="13728" spans="8:11" x14ac:dyDescent="0.25">
      <c r="H13728">
        <v>147</v>
      </c>
      <c r="I13728">
        <v>792</v>
      </c>
      <c r="J13728">
        <v>110</v>
      </c>
      <c r="K13728" t="b">
        <v>1</v>
      </c>
    </row>
    <row r="13729" spans="8:11" x14ac:dyDescent="0.25">
      <c r="H13729">
        <v>147</v>
      </c>
      <c r="I13729">
        <v>800</v>
      </c>
      <c r="J13729">
        <v>110</v>
      </c>
      <c r="K13729" t="b">
        <v>1</v>
      </c>
    </row>
    <row r="13730" spans="8:11" x14ac:dyDescent="0.25">
      <c r="H13730">
        <v>147</v>
      </c>
      <c r="I13730">
        <v>808</v>
      </c>
      <c r="J13730">
        <v>110</v>
      </c>
      <c r="K13730" t="b">
        <v>1</v>
      </c>
    </row>
    <row r="13731" spans="8:11" x14ac:dyDescent="0.25">
      <c r="H13731">
        <v>147</v>
      </c>
      <c r="I13731">
        <v>816</v>
      </c>
      <c r="J13731">
        <v>110</v>
      </c>
      <c r="K13731" t="b">
        <v>1</v>
      </c>
    </row>
    <row r="13732" spans="8:11" x14ac:dyDescent="0.25">
      <c r="H13732">
        <v>147</v>
      </c>
      <c r="I13732">
        <v>824</v>
      </c>
      <c r="J13732">
        <v>110</v>
      </c>
      <c r="K13732" t="b">
        <v>1</v>
      </c>
    </row>
    <row r="13733" spans="8:11" x14ac:dyDescent="0.25">
      <c r="H13733">
        <v>147</v>
      </c>
      <c r="I13733">
        <v>832</v>
      </c>
      <c r="J13733">
        <v>110</v>
      </c>
      <c r="K13733" t="b">
        <v>1</v>
      </c>
    </row>
    <row r="13734" spans="8:11" x14ac:dyDescent="0.25">
      <c r="H13734">
        <v>147</v>
      </c>
      <c r="I13734">
        <v>840</v>
      </c>
      <c r="J13734">
        <v>110</v>
      </c>
      <c r="K13734" t="b">
        <v>1</v>
      </c>
    </row>
    <row r="13735" spans="8:11" x14ac:dyDescent="0.25">
      <c r="H13735">
        <v>147</v>
      </c>
      <c r="I13735">
        <v>848</v>
      </c>
      <c r="J13735">
        <v>110</v>
      </c>
      <c r="K13735" t="b">
        <v>1</v>
      </c>
    </row>
    <row r="13736" spans="8:11" x14ac:dyDescent="0.25">
      <c r="H13736">
        <v>147</v>
      </c>
      <c r="I13736">
        <v>856</v>
      </c>
      <c r="J13736">
        <v>110</v>
      </c>
      <c r="K13736" t="b">
        <v>1</v>
      </c>
    </row>
    <row r="13737" spans="8:11" x14ac:dyDescent="0.25">
      <c r="H13737">
        <v>147</v>
      </c>
      <c r="I13737">
        <v>864</v>
      </c>
      <c r="J13737">
        <v>110</v>
      </c>
      <c r="K13737" t="b">
        <v>1</v>
      </c>
    </row>
    <row r="13738" spans="8:11" x14ac:dyDescent="0.25">
      <c r="H13738">
        <v>147</v>
      </c>
      <c r="I13738">
        <v>872</v>
      </c>
      <c r="J13738">
        <v>110</v>
      </c>
      <c r="K13738" t="b">
        <v>1</v>
      </c>
    </row>
    <row r="13739" spans="8:11" x14ac:dyDescent="0.25">
      <c r="H13739">
        <v>147</v>
      </c>
      <c r="I13739">
        <v>880</v>
      </c>
      <c r="J13739">
        <v>110</v>
      </c>
      <c r="K13739" t="b">
        <v>1</v>
      </c>
    </row>
    <row r="13740" spans="8:11" x14ac:dyDescent="0.25">
      <c r="H13740">
        <v>147</v>
      </c>
      <c r="I13740">
        <v>888</v>
      </c>
      <c r="J13740">
        <v>110</v>
      </c>
      <c r="K13740" t="b">
        <v>1</v>
      </c>
    </row>
    <row r="13741" spans="8:11" x14ac:dyDescent="0.25">
      <c r="H13741">
        <v>147</v>
      </c>
      <c r="I13741">
        <v>896</v>
      </c>
      <c r="J13741">
        <v>110</v>
      </c>
      <c r="K13741" t="b">
        <v>1</v>
      </c>
    </row>
    <row r="13742" spans="8:11" x14ac:dyDescent="0.25">
      <c r="H13742">
        <v>147</v>
      </c>
      <c r="I13742">
        <v>904</v>
      </c>
      <c r="J13742">
        <v>110</v>
      </c>
      <c r="K13742" t="b">
        <v>1</v>
      </c>
    </row>
    <row r="13743" spans="8:11" x14ac:dyDescent="0.25">
      <c r="H13743">
        <v>147</v>
      </c>
      <c r="I13743">
        <v>912</v>
      </c>
      <c r="J13743">
        <v>110</v>
      </c>
      <c r="K13743" t="b">
        <v>1</v>
      </c>
    </row>
    <row r="13744" spans="8:11" x14ac:dyDescent="0.25">
      <c r="H13744">
        <v>147</v>
      </c>
      <c r="I13744">
        <v>920</v>
      </c>
      <c r="J13744">
        <v>110</v>
      </c>
      <c r="K13744" t="b">
        <v>1</v>
      </c>
    </row>
    <row r="13745" spans="8:11" x14ac:dyDescent="0.25">
      <c r="H13745">
        <v>147</v>
      </c>
      <c r="I13745">
        <v>928</v>
      </c>
      <c r="J13745">
        <v>110</v>
      </c>
      <c r="K13745" t="b">
        <v>1</v>
      </c>
    </row>
    <row r="13746" spans="8:11" x14ac:dyDescent="0.25">
      <c r="H13746">
        <v>147</v>
      </c>
      <c r="I13746">
        <v>936</v>
      </c>
      <c r="J13746">
        <v>110</v>
      </c>
      <c r="K13746" t="b">
        <v>1</v>
      </c>
    </row>
    <row r="13747" spans="8:11" x14ac:dyDescent="0.25">
      <c r="H13747">
        <v>147</v>
      </c>
      <c r="I13747">
        <v>944</v>
      </c>
      <c r="J13747">
        <v>110</v>
      </c>
      <c r="K13747" t="b">
        <v>1</v>
      </c>
    </row>
    <row r="13748" spans="8:11" x14ac:dyDescent="0.25">
      <c r="H13748">
        <v>147</v>
      </c>
      <c r="I13748">
        <v>952</v>
      </c>
      <c r="J13748">
        <v>110</v>
      </c>
      <c r="K13748" t="b">
        <v>1</v>
      </c>
    </row>
    <row r="13749" spans="8:11" x14ac:dyDescent="0.25">
      <c r="H13749">
        <v>148</v>
      </c>
      <c r="I13749">
        <v>0</v>
      </c>
      <c r="J13749">
        <v>110</v>
      </c>
      <c r="K13749" t="b">
        <v>1</v>
      </c>
    </row>
    <row r="13750" spans="8:11" x14ac:dyDescent="0.25">
      <c r="H13750">
        <v>148</v>
      </c>
      <c r="I13750">
        <v>8</v>
      </c>
      <c r="J13750">
        <v>110</v>
      </c>
      <c r="K13750" t="b">
        <v>1</v>
      </c>
    </row>
    <row r="13751" spans="8:11" x14ac:dyDescent="0.25">
      <c r="H13751">
        <v>148</v>
      </c>
      <c r="I13751">
        <v>16</v>
      </c>
      <c r="J13751">
        <v>110</v>
      </c>
      <c r="K13751" t="b">
        <v>1</v>
      </c>
    </row>
    <row r="13752" spans="8:11" x14ac:dyDescent="0.25">
      <c r="H13752">
        <v>148</v>
      </c>
      <c r="I13752">
        <v>24</v>
      </c>
      <c r="J13752">
        <v>110</v>
      </c>
      <c r="K13752" t="b">
        <v>1</v>
      </c>
    </row>
    <row r="13753" spans="8:11" x14ac:dyDescent="0.25">
      <c r="H13753">
        <v>148</v>
      </c>
      <c r="I13753">
        <v>32</v>
      </c>
      <c r="J13753">
        <v>110</v>
      </c>
      <c r="K13753" t="b">
        <v>1</v>
      </c>
    </row>
    <row r="13754" spans="8:11" x14ac:dyDescent="0.25">
      <c r="H13754">
        <v>148</v>
      </c>
      <c r="I13754">
        <v>40</v>
      </c>
      <c r="J13754">
        <v>110</v>
      </c>
      <c r="K13754" t="b">
        <v>1</v>
      </c>
    </row>
    <row r="13755" spans="8:11" x14ac:dyDescent="0.25">
      <c r="H13755">
        <v>148</v>
      </c>
      <c r="I13755">
        <v>48</v>
      </c>
      <c r="J13755">
        <v>110</v>
      </c>
      <c r="K13755" t="b">
        <v>1</v>
      </c>
    </row>
    <row r="13756" spans="8:11" x14ac:dyDescent="0.25">
      <c r="H13756">
        <v>148</v>
      </c>
      <c r="I13756">
        <v>56</v>
      </c>
      <c r="J13756">
        <v>110</v>
      </c>
      <c r="K13756" t="b">
        <v>1</v>
      </c>
    </row>
    <row r="13757" spans="8:11" x14ac:dyDescent="0.25">
      <c r="H13757">
        <v>148</v>
      </c>
      <c r="I13757">
        <v>64</v>
      </c>
      <c r="J13757">
        <v>110</v>
      </c>
      <c r="K13757" t="b">
        <v>1</v>
      </c>
    </row>
    <row r="13758" spans="8:11" x14ac:dyDescent="0.25">
      <c r="H13758">
        <v>148</v>
      </c>
      <c r="I13758">
        <v>72</v>
      </c>
      <c r="J13758">
        <v>110</v>
      </c>
      <c r="K13758" t="b">
        <v>1</v>
      </c>
    </row>
    <row r="13759" spans="8:11" x14ac:dyDescent="0.25">
      <c r="H13759">
        <v>148</v>
      </c>
      <c r="I13759">
        <v>80</v>
      </c>
      <c r="J13759">
        <v>110</v>
      </c>
      <c r="K13759" t="b">
        <v>1</v>
      </c>
    </row>
    <row r="13760" spans="8:11" x14ac:dyDescent="0.25">
      <c r="H13760">
        <v>148</v>
      </c>
      <c r="I13760">
        <v>88</v>
      </c>
      <c r="J13760">
        <v>110</v>
      </c>
      <c r="K13760" t="b">
        <v>1</v>
      </c>
    </row>
    <row r="13761" spans="8:11" x14ac:dyDescent="0.25">
      <c r="H13761">
        <v>148</v>
      </c>
      <c r="I13761">
        <v>96</v>
      </c>
      <c r="J13761">
        <v>110</v>
      </c>
      <c r="K13761" t="b">
        <v>1</v>
      </c>
    </row>
    <row r="13762" spans="8:11" x14ac:dyDescent="0.25">
      <c r="H13762">
        <v>148</v>
      </c>
      <c r="I13762">
        <v>104</v>
      </c>
      <c r="J13762">
        <v>110</v>
      </c>
      <c r="K13762" t="b">
        <v>1</v>
      </c>
    </row>
    <row r="13763" spans="8:11" x14ac:dyDescent="0.25">
      <c r="H13763">
        <v>148</v>
      </c>
      <c r="I13763">
        <v>112</v>
      </c>
      <c r="J13763">
        <v>110</v>
      </c>
      <c r="K13763" t="b">
        <v>1</v>
      </c>
    </row>
    <row r="13764" spans="8:11" x14ac:dyDescent="0.25">
      <c r="H13764">
        <v>148</v>
      </c>
      <c r="I13764">
        <v>120</v>
      </c>
      <c r="J13764">
        <v>110</v>
      </c>
      <c r="K13764" t="b">
        <v>1</v>
      </c>
    </row>
    <row r="13765" spans="8:11" x14ac:dyDescent="0.25">
      <c r="H13765">
        <v>148</v>
      </c>
      <c r="I13765">
        <v>128</v>
      </c>
      <c r="J13765">
        <v>110</v>
      </c>
      <c r="K13765" t="b">
        <v>1</v>
      </c>
    </row>
    <row r="13766" spans="8:11" x14ac:dyDescent="0.25">
      <c r="H13766">
        <v>148</v>
      </c>
      <c r="I13766">
        <v>136</v>
      </c>
      <c r="J13766">
        <v>110</v>
      </c>
      <c r="K13766" t="b">
        <v>1</v>
      </c>
    </row>
    <row r="13767" spans="8:11" x14ac:dyDescent="0.25">
      <c r="H13767">
        <v>148</v>
      </c>
      <c r="I13767">
        <v>144</v>
      </c>
      <c r="J13767">
        <v>110</v>
      </c>
      <c r="K13767" t="b">
        <v>1</v>
      </c>
    </row>
    <row r="13768" spans="8:11" x14ac:dyDescent="0.25">
      <c r="H13768">
        <v>148</v>
      </c>
      <c r="I13768">
        <v>152</v>
      </c>
      <c r="J13768">
        <v>110</v>
      </c>
      <c r="K13768" t="b">
        <v>1</v>
      </c>
    </row>
    <row r="13769" spans="8:11" x14ac:dyDescent="0.25">
      <c r="H13769">
        <v>148</v>
      </c>
      <c r="I13769">
        <v>160</v>
      </c>
      <c r="J13769">
        <v>110</v>
      </c>
      <c r="K13769" t="b">
        <v>1</v>
      </c>
    </row>
    <row r="13770" spans="8:11" x14ac:dyDescent="0.25">
      <c r="H13770">
        <v>148</v>
      </c>
      <c r="I13770">
        <v>168</v>
      </c>
      <c r="J13770">
        <v>110</v>
      </c>
      <c r="K13770" t="b">
        <v>1</v>
      </c>
    </row>
    <row r="13771" spans="8:11" x14ac:dyDescent="0.25">
      <c r="H13771">
        <v>148</v>
      </c>
      <c r="I13771">
        <v>176</v>
      </c>
      <c r="J13771">
        <v>110</v>
      </c>
      <c r="K13771" t="b">
        <v>1</v>
      </c>
    </row>
    <row r="13772" spans="8:11" x14ac:dyDescent="0.25">
      <c r="H13772">
        <v>148</v>
      </c>
      <c r="I13772">
        <v>184</v>
      </c>
      <c r="J13772">
        <v>110</v>
      </c>
      <c r="K13772" t="b">
        <v>1</v>
      </c>
    </row>
    <row r="13773" spans="8:11" x14ac:dyDescent="0.25">
      <c r="H13773">
        <v>148</v>
      </c>
      <c r="I13773">
        <v>192</v>
      </c>
      <c r="J13773">
        <v>110</v>
      </c>
      <c r="K13773" t="b">
        <v>1</v>
      </c>
    </row>
    <row r="13774" spans="8:11" x14ac:dyDescent="0.25">
      <c r="H13774">
        <v>148</v>
      </c>
      <c r="I13774">
        <v>200</v>
      </c>
      <c r="J13774">
        <v>110</v>
      </c>
      <c r="K13774" t="b">
        <v>1</v>
      </c>
    </row>
    <row r="13775" spans="8:11" x14ac:dyDescent="0.25">
      <c r="H13775">
        <v>148</v>
      </c>
      <c r="I13775">
        <v>208</v>
      </c>
      <c r="J13775">
        <v>110</v>
      </c>
      <c r="K13775" t="b">
        <v>1</v>
      </c>
    </row>
    <row r="13776" spans="8:11" x14ac:dyDescent="0.25">
      <c r="H13776">
        <v>148</v>
      </c>
      <c r="I13776">
        <v>216</v>
      </c>
      <c r="J13776">
        <v>110</v>
      </c>
      <c r="K13776" t="b">
        <v>1</v>
      </c>
    </row>
    <row r="13777" spans="8:11" x14ac:dyDescent="0.25">
      <c r="H13777">
        <v>148</v>
      </c>
      <c r="I13777">
        <v>224</v>
      </c>
      <c r="J13777">
        <v>110</v>
      </c>
      <c r="K13777" t="b">
        <v>1</v>
      </c>
    </row>
    <row r="13778" spans="8:11" x14ac:dyDescent="0.25">
      <c r="H13778">
        <v>148</v>
      </c>
      <c r="I13778">
        <v>232</v>
      </c>
      <c r="J13778">
        <v>110</v>
      </c>
      <c r="K13778" t="b">
        <v>1</v>
      </c>
    </row>
    <row r="13779" spans="8:11" x14ac:dyDescent="0.25">
      <c r="H13779">
        <v>148</v>
      </c>
      <c r="I13779">
        <v>240</v>
      </c>
      <c r="J13779">
        <v>110</v>
      </c>
      <c r="K13779" t="b">
        <v>1</v>
      </c>
    </row>
    <row r="13780" spans="8:11" x14ac:dyDescent="0.25">
      <c r="H13780">
        <v>148</v>
      </c>
      <c r="I13780">
        <v>248</v>
      </c>
      <c r="J13780">
        <v>110</v>
      </c>
      <c r="K13780" t="b">
        <v>1</v>
      </c>
    </row>
    <row r="13781" spans="8:11" x14ac:dyDescent="0.25">
      <c r="H13781">
        <v>148</v>
      </c>
      <c r="I13781">
        <v>256</v>
      </c>
      <c r="J13781">
        <v>110</v>
      </c>
      <c r="K13781" t="b">
        <v>1</v>
      </c>
    </row>
    <row r="13782" spans="8:11" x14ac:dyDescent="0.25">
      <c r="H13782">
        <v>148</v>
      </c>
      <c r="I13782">
        <v>264</v>
      </c>
      <c r="J13782">
        <v>110</v>
      </c>
      <c r="K13782" t="b">
        <v>1</v>
      </c>
    </row>
    <row r="13783" spans="8:11" x14ac:dyDescent="0.25">
      <c r="H13783">
        <v>148</v>
      </c>
      <c r="I13783">
        <v>272</v>
      </c>
      <c r="J13783">
        <v>110</v>
      </c>
      <c r="K13783" t="b">
        <v>1</v>
      </c>
    </row>
    <row r="13784" spans="8:11" x14ac:dyDescent="0.25">
      <c r="H13784">
        <v>148</v>
      </c>
      <c r="I13784">
        <v>280</v>
      </c>
      <c r="J13784">
        <v>110</v>
      </c>
      <c r="K13784" t="b">
        <v>1</v>
      </c>
    </row>
    <row r="13785" spans="8:11" x14ac:dyDescent="0.25">
      <c r="H13785">
        <v>148</v>
      </c>
      <c r="I13785">
        <v>288</v>
      </c>
      <c r="J13785">
        <v>110</v>
      </c>
      <c r="K13785" t="b">
        <v>1</v>
      </c>
    </row>
    <row r="13786" spans="8:11" x14ac:dyDescent="0.25">
      <c r="H13786">
        <v>148</v>
      </c>
      <c r="I13786">
        <v>296</v>
      </c>
      <c r="J13786">
        <v>110</v>
      </c>
      <c r="K13786" t="b">
        <v>1</v>
      </c>
    </row>
    <row r="13787" spans="8:11" x14ac:dyDescent="0.25">
      <c r="H13787">
        <v>148</v>
      </c>
      <c r="I13787">
        <v>304</v>
      </c>
      <c r="J13787">
        <v>110</v>
      </c>
      <c r="K13787" t="b">
        <v>1</v>
      </c>
    </row>
    <row r="13788" spans="8:11" x14ac:dyDescent="0.25">
      <c r="H13788">
        <v>148</v>
      </c>
      <c r="I13788">
        <v>312</v>
      </c>
      <c r="J13788">
        <v>110</v>
      </c>
      <c r="K13788" t="b">
        <v>1</v>
      </c>
    </row>
    <row r="13789" spans="8:11" x14ac:dyDescent="0.25">
      <c r="H13789">
        <v>148</v>
      </c>
      <c r="I13789">
        <v>320</v>
      </c>
      <c r="J13789">
        <v>110</v>
      </c>
      <c r="K13789" t="b">
        <v>1</v>
      </c>
    </row>
    <row r="13790" spans="8:11" x14ac:dyDescent="0.25">
      <c r="H13790">
        <v>148</v>
      </c>
      <c r="I13790">
        <v>328</v>
      </c>
      <c r="J13790">
        <v>110</v>
      </c>
      <c r="K13790" t="b">
        <v>1</v>
      </c>
    </row>
    <row r="13791" spans="8:11" x14ac:dyDescent="0.25">
      <c r="H13791">
        <v>148</v>
      </c>
      <c r="I13791">
        <v>336</v>
      </c>
      <c r="J13791">
        <v>110</v>
      </c>
      <c r="K13791" t="b">
        <v>1</v>
      </c>
    </row>
    <row r="13792" spans="8:11" x14ac:dyDescent="0.25">
      <c r="H13792">
        <v>148</v>
      </c>
      <c r="I13792">
        <v>344</v>
      </c>
      <c r="J13792">
        <v>110</v>
      </c>
      <c r="K13792" t="b">
        <v>1</v>
      </c>
    </row>
    <row r="13793" spans="8:11" x14ac:dyDescent="0.25">
      <c r="H13793">
        <v>148</v>
      </c>
      <c r="I13793">
        <v>352</v>
      </c>
      <c r="J13793">
        <v>110</v>
      </c>
      <c r="K13793" t="b">
        <v>1</v>
      </c>
    </row>
    <row r="13794" spans="8:11" x14ac:dyDescent="0.25">
      <c r="H13794">
        <v>148</v>
      </c>
      <c r="I13794">
        <v>360</v>
      </c>
      <c r="J13794">
        <v>110</v>
      </c>
      <c r="K13794" t="b">
        <v>1</v>
      </c>
    </row>
    <row r="13795" spans="8:11" x14ac:dyDescent="0.25">
      <c r="H13795">
        <v>148</v>
      </c>
      <c r="I13795">
        <v>368</v>
      </c>
      <c r="J13795">
        <v>110</v>
      </c>
      <c r="K13795" t="b">
        <v>1</v>
      </c>
    </row>
    <row r="13796" spans="8:11" x14ac:dyDescent="0.25">
      <c r="H13796">
        <v>148</v>
      </c>
      <c r="I13796">
        <v>376</v>
      </c>
      <c r="J13796">
        <v>110</v>
      </c>
      <c r="K13796" t="b">
        <v>1</v>
      </c>
    </row>
    <row r="13797" spans="8:11" x14ac:dyDescent="0.25">
      <c r="H13797">
        <v>148</v>
      </c>
      <c r="I13797">
        <v>384</v>
      </c>
      <c r="J13797">
        <v>110</v>
      </c>
      <c r="K13797" t="b">
        <v>1</v>
      </c>
    </row>
    <row r="13798" spans="8:11" x14ac:dyDescent="0.25">
      <c r="H13798">
        <v>148</v>
      </c>
      <c r="I13798">
        <v>392</v>
      </c>
      <c r="J13798">
        <v>110</v>
      </c>
      <c r="K13798" t="b">
        <v>1</v>
      </c>
    </row>
    <row r="13799" spans="8:11" x14ac:dyDescent="0.25">
      <c r="H13799">
        <v>148</v>
      </c>
      <c r="I13799">
        <v>400</v>
      </c>
      <c r="J13799">
        <v>110</v>
      </c>
      <c r="K13799" t="b">
        <v>1</v>
      </c>
    </row>
    <row r="13800" spans="8:11" x14ac:dyDescent="0.25">
      <c r="H13800">
        <v>148</v>
      </c>
      <c r="I13800">
        <v>408</v>
      </c>
      <c r="J13800">
        <v>110</v>
      </c>
      <c r="K13800" t="b">
        <v>1</v>
      </c>
    </row>
    <row r="13801" spans="8:11" x14ac:dyDescent="0.25">
      <c r="H13801">
        <v>148</v>
      </c>
      <c r="I13801">
        <v>416</v>
      </c>
      <c r="J13801">
        <v>110</v>
      </c>
      <c r="K13801" t="b">
        <v>1</v>
      </c>
    </row>
    <row r="13802" spans="8:11" x14ac:dyDescent="0.25">
      <c r="H13802">
        <v>148</v>
      </c>
      <c r="I13802">
        <v>424</v>
      </c>
      <c r="J13802">
        <v>110</v>
      </c>
      <c r="K13802" t="b">
        <v>1</v>
      </c>
    </row>
    <row r="13803" spans="8:11" x14ac:dyDescent="0.25">
      <c r="H13803">
        <v>148</v>
      </c>
      <c r="I13803">
        <v>432</v>
      </c>
      <c r="J13803">
        <v>110</v>
      </c>
      <c r="K13803" t="b">
        <v>1</v>
      </c>
    </row>
    <row r="13804" spans="8:11" x14ac:dyDescent="0.25">
      <c r="H13804">
        <v>148</v>
      </c>
      <c r="I13804">
        <v>440</v>
      </c>
      <c r="J13804">
        <v>110</v>
      </c>
      <c r="K13804" t="b">
        <v>1</v>
      </c>
    </row>
    <row r="13805" spans="8:11" x14ac:dyDescent="0.25">
      <c r="H13805">
        <v>148</v>
      </c>
      <c r="I13805">
        <v>448</v>
      </c>
      <c r="J13805">
        <v>110</v>
      </c>
      <c r="K13805" t="b">
        <v>1</v>
      </c>
    </row>
    <row r="13806" spans="8:11" x14ac:dyDescent="0.25">
      <c r="H13806">
        <v>148</v>
      </c>
      <c r="I13806">
        <v>456</v>
      </c>
      <c r="J13806">
        <v>110</v>
      </c>
      <c r="K13806" t="b">
        <v>1</v>
      </c>
    </row>
    <row r="13807" spans="8:11" x14ac:dyDescent="0.25">
      <c r="H13807">
        <v>148</v>
      </c>
      <c r="I13807">
        <v>464</v>
      </c>
      <c r="J13807">
        <v>110</v>
      </c>
      <c r="K13807" t="b">
        <v>1</v>
      </c>
    </row>
    <row r="13808" spans="8:11" x14ac:dyDescent="0.25">
      <c r="H13808">
        <v>148</v>
      </c>
      <c r="I13808">
        <v>472</v>
      </c>
      <c r="J13808">
        <v>110</v>
      </c>
      <c r="K13808" t="b">
        <v>1</v>
      </c>
    </row>
    <row r="13809" spans="8:11" x14ac:dyDescent="0.25">
      <c r="H13809">
        <v>148</v>
      </c>
      <c r="I13809">
        <v>480</v>
      </c>
      <c r="J13809">
        <v>110</v>
      </c>
      <c r="K13809" t="b">
        <v>1</v>
      </c>
    </row>
    <row r="13810" spans="8:11" x14ac:dyDescent="0.25">
      <c r="H13810">
        <v>148</v>
      </c>
      <c r="I13810">
        <v>488</v>
      </c>
      <c r="J13810">
        <v>110</v>
      </c>
      <c r="K13810" t="b">
        <v>1</v>
      </c>
    </row>
    <row r="13811" spans="8:11" x14ac:dyDescent="0.25">
      <c r="H13811">
        <v>148</v>
      </c>
      <c r="I13811">
        <v>496</v>
      </c>
      <c r="J13811">
        <v>110</v>
      </c>
      <c r="K13811" t="b">
        <v>1</v>
      </c>
    </row>
    <row r="13812" spans="8:11" x14ac:dyDescent="0.25">
      <c r="H13812">
        <v>148</v>
      </c>
      <c r="I13812">
        <v>504</v>
      </c>
      <c r="J13812">
        <v>110</v>
      </c>
      <c r="K13812" t="b">
        <v>1</v>
      </c>
    </row>
    <row r="13813" spans="8:11" x14ac:dyDescent="0.25">
      <c r="H13813">
        <v>148</v>
      </c>
      <c r="I13813">
        <v>512</v>
      </c>
      <c r="J13813">
        <v>110</v>
      </c>
      <c r="K13813" t="b">
        <v>1</v>
      </c>
    </row>
    <row r="13814" spans="8:11" x14ac:dyDescent="0.25">
      <c r="H13814">
        <v>148</v>
      </c>
      <c r="I13814">
        <v>520</v>
      </c>
      <c r="J13814">
        <v>110</v>
      </c>
      <c r="K13814" t="b">
        <v>1</v>
      </c>
    </row>
    <row r="13815" spans="8:11" x14ac:dyDescent="0.25">
      <c r="H13815">
        <v>148</v>
      </c>
      <c r="I13815">
        <v>528</v>
      </c>
      <c r="J13815">
        <v>110</v>
      </c>
      <c r="K13815" t="b">
        <v>1</v>
      </c>
    </row>
    <row r="13816" spans="8:11" x14ac:dyDescent="0.25">
      <c r="H13816">
        <v>148</v>
      </c>
      <c r="I13816">
        <v>536</v>
      </c>
      <c r="J13816">
        <v>110</v>
      </c>
      <c r="K13816" t="b">
        <v>1</v>
      </c>
    </row>
    <row r="13817" spans="8:11" x14ac:dyDescent="0.25">
      <c r="H13817">
        <v>148</v>
      </c>
      <c r="I13817">
        <v>544</v>
      </c>
      <c r="J13817">
        <v>110</v>
      </c>
      <c r="K13817" t="b">
        <v>1</v>
      </c>
    </row>
    <row r="13818" spans="8:11" x14ac:dyDescent="0.25">
      <c r="H13818">
        <v>148</v>
      </c>
      <c r="I13818">
        <v>552</v>
      </c>
      <c r="J13818">
        <v>110</v>
      </c>
      <c r="K13818" t="b">
        <v>1</v>
      </c>
    </row>
    <row r="13819" spans="8:11" x14ac:dyDescent="0.25">
      <c r="H13819">
        <v>148</v>
      </c>
      <c r="I13819">
        <v>560</v>
      </c>
      <c r="J13819">
        <v>110</v>
      </c>
      <c r="K13819" t="b">
        <v>1</v>
      </c>
    </row>
    <row r="13820" spans="8:11" x14ac:dyDescent="0.25">
      <c r="H13820">
        <v>148</v>
      </c>
      <c r="I13820">
        <v>568</v>
      </c>
      <c r="J13820">
        <v>110</v>
      </c>
      <c r="K13820" t="b">
        <v>1</v>
      </c>
    </row>
    <row r="13821" spans="8:11" x14ac:dyDescent="0.25">
      <c r="H13821">
        <v>148</v>
      </c>
      <c r="I13821">
        <v>576</v>
      </c>
      <c r="J13821">
        <v>110</v>
      </c>
      <c r="K13821" t="b">
        <v>1</v>
      </c>
    </row>
    <row r="13822" spans="8:11" x14ac:dyDescent="0.25">
      <c r="H13822">
        <v>148</v>
      </c>
      <c r="I13822">
        <v>584</v>
      </c>
      <c r="J13822">
        <v>110</v>
      </c>
      <c r="K13822" t="b">
        <v>1</v>
      </c>
    </row>
    <row r="13823" spans="8:11" x14ac:dyDescent="0.25">
      <c r="H13823">
        <v>148</v>
      </c>
      <c r="I13823">
        <v>592</v>
      </c>
      <c r="J13823">
        <v>110</v>
      </c>
      <c r="K13823" t="b">
        <v>1</v>
      </c>
    </row>
    <row r="13824" spans="8:11" x14ac:dyDescent="0.25">
      <c r="H13824">
        <v>148</v>
      </c>
      <c r="I13824">
        <v>600</v>
      </c>
      <c r="J13824">
        <v>110</v>
      </c>
      <c r="K13824" t="b">
        <v>1</v>
      </c>
    </row>
    <row r="13825" spans="8:11" x14ac:dyDescent="0.25">
      <c r="H13825">
        <v>148</v>
      </c>
      <c r="I13825">
        <v>608</v>
      </c>
      <c r="J13825">
        <v>110</v>
      </c>
      <c r="K13825" t="b">
        <v>1</v>
      </c>
    </row>
    <row r="13826" spans="8:11" x14ac:dyDescent="0.25">
      <c r="H13826">
        <v>148</v>
      </c>
      <c r="I13826">
        <v>616</v>
      </c>
      <c r="J13826">
        <v>110</v>
      </c>
      <c r="K13826" t="b">
        <v>1</v>
      </c>
    </row>
    <row r="13827" spans="8:11" x14ac:dyDescent="0.25">
      <c r="H13827">
        <v>148</v>
      </c>
      <c r="I13827">
        <v>624</v>
      </c>
      <c r="J13827">
        <v>110</v>
      </c>
      <c r="K13827" t="b">
        <v>1</v>
      </c>
    </row>
    <row r="13828" spans="8:11" x14ac:dyDescent="0.25">
      <c r="H13828">
        <v>148</v>
      </c>
      <c r="I13828">
        <v>632</v>
      </c>
      <c r="J13828">
        <v>110</v>
      </c>
      <c r="K13828" t="b">
        <v>1</v>
      </c>
    </row>
    <row r="13829" spans="8:11" x14ac:dyDescent="0.25">
      <c r="H13829">
        <v>148</v>
      </c>
      <c r="I13829">
        <v>640</v>
      </c>
      <c r="J13829">
        <v>110</v>
      </c>
      <c r="K13829" t="b">
        <v>1</v>
      </c>
    </row>
    <row r="13830" spans="8:11" x14ac:dyDescent="0.25">
      <c r="H13830">
        <v>148</v>
      </c>
      <c r="I13830">
        <v>648</v>
      </c>
      <c r="J13830">
        <v>110</v>
      </c>
      <c r="K13830" t="b">
        <v>1</v>
      </c>
    </row>
    <row r="13831" spans="8:11" x14ac:dyDescent="0.25">
      <c r="H13831">
        <v>148</v>
      </c>
      <c r="I13831">
        <v>656</v>
      </c>
      <c r="J13831">
        <v>110</v>
      </c>
      <c r="K13831" t="b">
        <v>1</v>
      </c>
    </row>
    <row r="13832" spans="8:11" x14ac:dyDescent="0.25">
      <c r="H13832">
        <v>148</v>
      </c>
      <c r="I13832">
        <v>664</v>
      </c>
      <c r="J13832">
        <v>110</v>
      </c>
      <c r="K13832" t="b">
        <v>1</v>
      </c>
    </row>
    <row r="13833" spans="8:11" x14ac:dyDescent="0.25">
      <c r="H13833">
        <v>148</v>
      </c>
      <c r="I13833">
        <v>672</v>
      </c>
      <c r="J13833">
        <v>110</v>
      </c>
      <c r="K13833" t="b">
        <v>1</v>
      </c>
    </row>
    <row r="13834" spans="8:11" x14ac:dyDescent="0.25">
      <c r="H13834">
        <v>148</v>
      </c>
      <c r="I13834">
        <v>680</v>
      </c>
      <c r="J13834">
        <v>110</v>
      </c>
      <c r="K13834" t="b">
        <v>1</v>
      </c>
    </row>
    <row r="13835" spans="8:11" x14ac:dyDescent="0.25">
      <c r="H13835">
        <v>148</v>
      </c>
      <c r="I13835">
        <v>688</v>
      </c>
      <c r="J13835">
        <v>110</v>
      </c>
      <c r="K13835" t="b">
        <v>1</v>
      </c>
    </row>
    <row r="13836" spans="8:11" x14ac:dyDescent="0.25">
      <c r="H13836">
        <v>148</v>
      </c>
      <c r="I13836">
        <v>696</v>
      </c>
      <c r="J13836">
        <v>110</v>
      </c>
      <c r="K13836" t="b">
        <v>1</v>
      </c>
    </row>
    <row r="13837" spans="8:11" x14ac:dyDescent="0.25">
      <c r="H13837">
        <v>148</v>
      </c>
      <c r="I13837">
        <v>704</v>
      </c>
      <c r="J13837">
        <v>110</v>
      </c>
      <c r="K13837" t="b">
        <v>1</v>
      </c>
    </row>
    <row r="13838" spans="8:11" x14ac:dyDescent="0.25">
      <c r="H13838">
        <v>148</v>
      </c>
      <c r="I13838">
        <v>712</v>
      </c>
      <c r="J13838">
        <v>110</v>
      </c>
      <c r="K13838" t="b">
        <v>1</v>
      </c>
    </row>
    <row r="13839" spans="8:11" x14ac:dyDescent="0.25">
      <c r="H13839">
        <v>148</v>
      </c>
      <c r="I13839">
        <v>720</v>
      </c>
      <c r="J13839">
        <v>110</v>
      </c>
      <c r="K13839" t="b">
        <v>1</v>
      </c>
    </row>
    <row r="13840" spans="8:11" x14ac:dyDescent="0.25">
      <c r="H13840">
        <v>148</v>
      </c>
      <c r="I13840">
        <v>728</v>
      </c>
      <c r="J13840">
        <v>110</v>
      </c>
      <c r="K13840" t="b">
        <v>1</v>
      </c>
    </row>
    <row r="13841" spans="8:11" x14ac:dyDescent="0.25">
      <c r="H13841">
        <v>148</v>
      </c>
      <c r="I13841">
        <v>736</v>
      </c>
      <c r="J13841">
        <v>110</v>
      </c>
      <c r="K13841" t="b">
        <v>1</v>
      </c>
    </row>
    <row r="13842" spans="8:11" x14ac:dyDescent="0.25">
      <c r="H13842">
        <v>148</v>
      </c>
      <c r="I13842">
        <v>744</v>
      </c>
      <c r="J13842">
        <v>110</v>
      </c>
      <c r="K13842" t="b">
        <v>1</v>
      </c>
    </row>
    <row r="13843" spans="8:11" x14ac:dyDescent="0.25">
      <c r="H13843">
        <v>148</v>
      </c>
      <c r="I13843">
        <v>752</v>
      </c>
      <c r="J13843">
        <v>110</v>
      </c>
      <c r="K13843" t="b">
        <v>1</v>
      </c>
    </row>
    <row r="13844" spans="8:11" x14ac:dyDescent="0.25">
      <c r="H13844">
        <v>148</v>
      </c>
      <c r="I13844">
        <v>760</v>
      </c>
      <c r="J13844">
        <v>110</v>
      </c>
      <c r="K13844" t="b">
        <v>1</v>
      </c>
    </row>
    <row r="13845" spans="8:11" x14ac:dyDescent="0.25">
      <c r="H13845">
        <v>148</v>
      </c>
      <c r="I13845">
        <v>768</v>
      </c>
      <c r="J13845">
        <v>110</v>
      </c>
      <c r="K13845" t="b">
        <v>1</v>
      </c>
    </row>
    <row r="13846" spans="8:11" x14ac:dyDescent="0.25">
      <c r="H13846">
        <v>148</v>
      </c>
      <c r="I13846">
        <v>776</v>
      </c>
      <c r="J13846">
        <v>110</v>
      </c>
      <c r="K13846" t="b">
        <v>1</v>
      </c>
    </row>
    <row r="13847" spans="8:11" x14ac:dyDescent="0.25">
      <c r="H13847">
        <v>148</v>
      </c>
      <c r="I13847">
        <v>784</v>
      </c>
      <c r="J13847">
        <v>110</v>
      </c>
      <c r="K13847" t="b">
        <v>1</v>
      </c>
    </row>
    <row r="13848" spans="8:11" x14ac:dyDescent="0.25">
      <c r="H13848">
        <v>148</v>
      </c>
      <c r="I13848">
        <v>792</v>
      </c>
      <c r="J13848">
        <v>110</v>
      </c>
      <c r="K13848" t="b">
        <v>1</v>
      </c>
    </row>
    <row r="13849" spans="8:11" x14ac:dyDescent="0.25">
      <c r="H13849">
        <v>148</v>
      </c>
      <c r="I13849">
        <v>800</v>
      </c>
      <c r="J13849">
        <v>110</v>
      </c>
      <c r="K13849" t="b">
        <v>1</v>
      </c>
    </row>
    <row r="13850" spans="8:11" x14ac:dyDescent="0.25">
      <c r="H13850">
        <v>148</v>
      </c>
      <c r="I13850">
        <v>808</v>
      </c>
      <c r="J13850">
        <v>110</v>
      </c>
      <c r="K13850" t="b">
        <v>1</v>
      </c>
    </row>
    <row r="13851" spans="8:11" x14ac:dyDescent="0.25">
      <c r="H13851">
        <v>148</v>
      </c>
      <c r="I13851">
        <v>816</v>
      </c>
      <c r="J13851">
        <v>110</v>
      </c>
      <c r="K13851" t="b">
        <v>1</v>
      </c>
    </row>
    <row r="13852" spans="8:11" x14ac:dyDescent="0.25">
      <c r="H13852">
        <v>148</v>
      </c>
      <c r="I13852">
        <v>824</v>
      </c>
      <c r="J13852">
        <v>110</v>
      </c>
      <c r="K13852" t="b">
        <v>1</v>
      </c>
    </row>
    <row r="13853" spans="8:11" x14ac:dyDescent="0.25">
      <c r="H13853">
        <v>148</v>
      </c>
      <c r="I13853">
        <v>832</v>
      </c>
      <c r="J13853">
        <v>110</v>
      </c>
      <c r="K13853" t="b">
        <v>1</v>
      </c>
    </row>
    <row r="13854" spans="8:11" x14ac:dyDescent="0.25">
      <c r="H13854">
        <v>148</v>
      </c>
      <c r="I13854">
        <v>840</v>
      </c>
      <c r="J13854">
        <v>110</v>
      </c>
      <c r="K13854" t="b">
        <v>1</v>
      </c>
    </row>
    <row r="13855" spans="8:11" x14ac:dyDescent="0.25">
      <c r="H13855">
        <v>148</v>
      </c>
      <c r="I13855">
        <v>848</v>
      </c>
      <c r="J13855">
        <v>110</v>
      </c>
      <c r="K13855" t="b">
        <v>1</v>
      </c>
    </row>
    <row r="13856" spans="8:11" x14ac:dyDescent="0.25">
      <c r="H13856">
        <v>148</v>
      </c>
      <c r="I13856">
        <v>856</v>
      </c>
      <c r="J13856">
        <v>110</v>
      </c>
      <c r="K13856" t="b">
        <v>1</v>
      </c>
    </row>
    <row r="13857" spans="8:11" x14ac:dyDescent="0.25">
      <c r="H13857">
        <v>148</v>
      </c>
      <c r="I13857">
        <v>864</v>
      </c>
      <c r="J13857">
        <v>110</v>
      </c>
      <c r="K13857" t="b">
        <v>1</v>
      </c>
    </row>
    <row r="13858" spans="8:11" x14ac:dyDescent="0.25">
      <c r="H13858">
        <v>148</v>
      </c>
      <c r="I13858">
        <v>872</v>
      </c>
      <c r="J13858">
        <v>110</v>
      </c>
      <c r="K13858" t="b">
        <v>1</v>
      </c>
    </row>
    <row r="13859" spans="8:11" x14ac:dyDescent="0.25">
      <c r="H13859">
        <v>148</v>
      </c>
      <c r="I13859">
        <v>880</v>
      </c>
      <c r="J13859">
        <v>110</v>
      </c>
      <c r="K13859" t="b">
        <v>1</v>
      </c>
    </row>
    <row r="13860" spans="8:11" x14ac:dyDescent="0.25">
      <c r="H13860">
        <v>148</v>
      </c>
      <c r="I13860">
        <v>888</v>
      </c>
      <c r="J13860">
        <v>110</v>
      </c>
      <c r="K13860" t="b">
        <v>1</v>
      </c>
    </row>
    <row r="13861" spans="8:11" x14ac:dyDescent="0.25">
      <c r="H13861">
        <v>148</v>
      </c>
      <c r="I13861">
        <v>896</v>
      </c>
      <c r="J13861">
        <v>110</v>
      </c>
      <c r="K13861" t="b">
        <v>1</v>
      </c>
    </row>
    <row r="13862" spans="8:11" x14ac:dyDescent="0.25">
      <c r="H13862">
        <v>148</v>
      </c>
      <c r="I13862">
        <v>904</v>
      </c>
      <c r="J13862">
        <v>110</v>
      </c>
      <c r="K13862" t="b">
        <v>1</v>
      </c>
    </row>
    <row r="13863" spans="8:11" x14ac:dyDescent="0.25">
      <c r="H13863">
        <v>148</v>
      </c>
      <c r="I13863">
        <v>912</v>
      </c>
      <c r="J13863">
        <v>110</v>
      </c>
      <c r="K13863" t="b">
        <v>1</v>
      </c>
    </row>
    <row r="13864" spans="8:11" x14ac:dyDescent="0.25">
      <c r="H13864">
        <v>148</v>
      </c>
      <c r="I13864">
        <v>920</v>
      </c>
      <c r="J13864">
        <v>110</v>
      </c>
      <c r="K13864" t="b">
        <v>1</v>
      </c>
    </row>
    <row r="13865" spans="8:11" x14ac:dyDescent="0.25">
      <c r="H13865">
        <v>148</v>
      </c>
      <c r="I13865">
        <v>928</v>
      </c>
      <c r="J13865">
        <v>110</v>
      </c>
      <c r="K13865" t="b">
        <v>1</v>
      </c>
    </row>
    <row r="13866" spans="8:11" x14ac:dyDescent="0.25">
      <c r="H13866">
        <v>148</v>
      </c>
      <c r="I13866">
        <v>936</v>
      </c>
      <c r="J13866">
        <v>110</v>
      </c>
      <c r="K13866" t="b">
        <v>1</v>
      </c>
    </row>
    <row r="13867" spans="8:11" x14ac:dyDescent="0.25">
      <c r="H13867">
        <v>148</v>
      </c>
      <c r="I13867">
        <v>944</v>
      </c>
      <c r="J13867">
        <v>110</v>
      </c>
      <c r="K13867" t="b">
        <v>1</v>
      </c>
    </row>
    <row r="13868" spans="8:11" x14ac:dyDescent="0.25">
      <c r="H13868">
        <v>148</v>
      </c>
      <c r="I13868">
        <v>952</v>
      </c>
      <c r="J13868">
        <v>110</v>
      </c>
      <c r="K13868" t="b">
        <v>1</v>
      </c>
    </row>
    <row r="13869" spans="8:11" x14ac:dyDescent="0.25">
      <c r="H13869">
        <v>149</v>
      </c>
      <c r="I13869">
        <v>0</v>
      </c>
      <c r="J13869">
        <v>110</v>
      </c>
      <c r="K13869" t="b">
        <v>1</v>
      </c>
    </row>
    <row r="13870" spans="8:11" x14ac:dyDescent="0.25">
      <c r="H13870">
        <v>149</v>
      </c>
      <c r="I13870">
        <v>6</v>
      </c>
      <c r="J13870">
        <v>110</v>
      </c>
      <c r="K13870" t="b">
        <v>1</v>
      </c>
    </row>
    <row r="13871" spans="8:11" x14ac:dyDescent="0.25">
      <c r="H13871">
        <v>149</v>
      </c>
      <c r="I13871">
        <v>12</v>
      </c>
      <c r="J13871">
        <v>110</v>
      </c>
      <c r="K13871" t="b">
        <v>1</v>
      </c>
    </row>
    <row r="13872" spans="8:11" x14ac:dyDescent="0.25">
      <c r="H13872">
        <v>149</v>
      </c>
      <c r="I13872">
        <v>18</v>
      </c>
      <c r="J13872">
        <v>110</v>
      </c>
      <c r="K13872" t="b">
        <v>1</v>
      </c>
    </row>
    <row r="13873" spans="8:11" x14ac:dyDescent="0.25">
      <c r="H13873">
        <v>149</v>
      </c>
      <c r="I13873">
        <v>24</v>
      </c>
      <c r="J13873">
        <v>110</v>
      </c>
      <c r="K13873" t="b">
        <v>1</v>
      </c>
    </row>
    <row r="13874" spans="8:11" x14ac:dyDescent="0.25">
      <c r="H13874">
        <v>149</v>
      </c>
      <c r="I13874">
        <v>30</v>
      </c>
      <c r="J13874">
        <v>110</v>
      </c>
      <c r="K13874" t="b">
        <v>1</v>
      </c>
    </row>
    <row r="13875" spans="8:11" x14ac:dyDescent="0.25">
      <c r="H13875">
        <v>149</v>
      </c>
      <c r="I13875">
        <v>36</v>
      </c>
      <c r="J13875">
        <v>110</v>
      </c>
      <c r="K13875" t="b">
        <v>1</v>
      </c>
    </row>
    <row r="13876" spans="8:11" x14ac:dyDescent="0.25">
      <c r="H13876">
        <v>149</v>
      </c>
      <c r="I13876">
        <v>42</v>
      </c>
      <c r="J13876">
        <v>110</v>
      </c>
      <c r="K13876" t="b">
        <v>1</v>
      </c>
    </row>
    <row r="13877" spans="8:11" x14ac:dyDescent="0.25">
      <c r="H13877">
        <v>149</v>
      </c>
      <c r="I13877">
        <v>48</v>
      </c>
      <c r="J13877">
        <v>110</v>
      </c>
      <c r="K13877" t="b">
        <v>1</v>
      </c>
    </row>
    <row r="13878" spans="8:11" x14ac:dyDescent="0.25">
      <c r="H13878">
        <v>149</v>
      </c>
      <c r="I13878">
        <v>54</v>
      </c>
      <c r="J13878">
        <v>110</v>
      </c>
      <c r="K13878" t="b">
        <v>1</v>
      </c>
    </row>
    <row r="13879" spans="8:11" x14ac:dyDescent="0.25">
      <c r="H13879">
        <v>149</v>
      </c>
      <c r="I13879">
        <v>60</v>
      </c>
      <c r="J13879">
        <v>110</v>
      </c>
      <c r="K13879" t="b">
        <v>1</v>
      </c>
    </row>
    <row r="13880" spans="8:11" x14ac:dyDescent="0.25">
      <c r="H13880">
        <v>149</v>
      </c>
      <c r="I13880">
        <v>66</v>
      </c>
      <c r="J13880">
        <v>110</v>
      </c>
      <c r="K13880" t="b">
        <v>1</v>
      </c>
    </row>
    <row r="13881" spans="8:11" x14ac:dyDescent="0.25">
      <c r="H13881">
        <v>149</v>
      </c>
      <c r="I13881">
        <v>72</v>
      </c>
      <c r="J13881">
        <v>110</v>
      </c>
      <c r="K13881" t="b">
        <v>1</v>
      </c>
    </row>
    <row r="13882" spans="8:11" x14ac:dyDescent="0.25">
      <c r="H13882">
        <v>149</v>
      </c>
      <c r="I13882">
        <v>78</v>
      </c>
      <c r="J13882">
        <v>110</v>
      </c>
      <c r="K13882" t="b">
        <v>1</v>
      </c>
    </row>
    <row r="13883" spans="8:11" x14ac:dyDescent="0.25">
      <c r="H13883">
        <v>149</v>
      </c>
      <c r="I13883">
        <v>84</v>
      </c>
      <c r="J13883">
        <v>110</v>
      </c>
      <c r="K13883" t="b">
        <v>1</v>
      </c>
    </row>
    <row r="13884" spans="8:11" x14ac:dyDescent="0.25">
      <c r="H13884">
        <v>149</v>
      </c>
      <c r="I13884">
        <v>90</v>
      </c>
      <c r="J13884">
        <v>110</v>
      </c>
      <c r="K13884" t="b">
        <v>1</v>
      </c>
    </row>
    <row r="13885" spans="8:11" x14ac:dyDescent="0.25">
      <c r="H13885">
        <v>149</v>
      </c>
      <c r="I13885">
        <v>96</v>
      </c>
      <c r="J13885">
        <v>110</v>
      </c>
      <c r="K13885" t="b">
        <v>1</v>
      </c>
    </row>
    <row r="13886" spans="8:11" x14ac:dyDescent="0.25">
      <c r="H13886">
        <v>149</v>
      </c>
      <c r="I13886">
        <v>102</v>
      </c>
      <c r="J13886">
        <v>110</v>
      </c>
      <c r="K13886" t="b">
        <v>1</v>
      </c>
    </row>
    <row r="13887" spans="8:11" x14ac:dyDescent="0.25">
      <c r="H13887">
        <v>149</v>
      </c>
      <c r="I13887">
        <v>108</v>
      </c>
      <c r="J13887">
        <v>110</v>
      </c>
      <c r="K13887" t="b">
        <v>1</v>
      </c>
    </row>
    <row r="13888" spans="8:11" x14ac:dyDescent="0.25">
      <c r="H13888">
        <v>149</v>
      </c>
      <c r="I13888">
        <v>114</v>
      </c>
      <c r="J13888">
        <v>110</v>
      </c>
      <c r="K13888" t="b">
        <v>1</v>
      </c>
    </row>
    <row r="13889" spans="8:11" x14ac:dyDescent="0.25">
      <c r="H13889">
        <v>149</v>
      </c>
      <c r="I13889">
        <v>120</v>
      </c>
      <c r="J13889">
        <v>110</v>
      </c>
      <c r="K13889" t="b">
        <v>1</v>
      </c>
    </row>
    <row r="13890" spans="8:11" x14ac:dyDescent="0.25">
      <c r="H13890">
        <v>149</v>
      </c>
      <c r="I13890">
        <v>126</v>
      </c>
      <c r="J13890">
        <v>110</v>
      </c>
      <c r="K13890" t="b">
        <v>1</v>
      </c>
    </row>
    <row r="13891" spans="8:11" x14ac:dyDescent="0.25">
      <c r="H13891">
        <v>149</v>
      </c>
      <c r="I13891">
        <v>132</v>
      </c>
      <c r="J13891">
        <v>110</v>
      </c>
      <c r="K13891" t="b">
        <v>1</v>
      </c>
    </row>
    <row r="13892" spans="8:11" x14ac:dyDescent="0.25">
      <c r="H13892">
        <v>149</v>
      </c>
      <c r="I13892">
        <v>138</v>
      </c>
      <c r="J13892">
        <v>110</v>
      </c>
      <c r="K13892" t="b">
        <v>1</v>
      </c>
    </row>
    <row r="13893" spans="8:11" x14ac:dyDescent="0.25">
      <c r="H13893">
        <v>149</v>
      </c>
      <c r="I13893">
        <v>144</v>
      </c>
      <c r="J13893">
        <v>110</v>
      </c>
      <c r="K13893" t="b">
        <v>1</v>
      </c>
    </row>
    <row r="13894" spans="8:11" x14ac:dyDescent="0.25">
      <c r="H13894">
        <v>149</v>
      </c>
      <c r="I13894">
        <v>150</v>
      </c>
      <c r="J13894">
        <v>110</v>
      </c>
      <c r="K13894" t="b">
        <v>1</v>
      </c>
    </row>
    <row r="13895" spans="8:11" x14ac:dyDescent="0.25">
      <c r="H13895">
        <v>149</v>
      </c>
      <c r="I13895">
        <v>156</v>
      </c>
      <c r="J13895">
        <v>110</v>
      </c>
      <c r="K13895" t="b">
        <v>1</v>
      </c>
    </row>
    <row r="13896" spans="8:11" x14ac:dyDescent="0.25">
      <c r="H13896">
        <v>149</v>
      </c>
      <c r="I13896">
        <v>162</v>
      </c>
      <c r="J13896">
        <v>110</v>
      </c>
      <c r="K13896" t="b">
        <v>1</v>
      </c>
    </row>
    <row r="13897" spans="8:11" x14ac:dyDescent="0.25">
      <c r="H13897">
        <v>149</v>
      </c>
      <c r="I13897">
        <v>168</v>
      </c>
      <c r="J13897">
        <v>110</v>
      </c>
      <c r="K13897" t="b">
        <v>1</v>
      </c>
    </row>
    <row r="13898" spans="8:11" x14ac:dyDescent="0.25">
      <c r="H13898">
        <v>149</v>
      </c>
      <c r="I13898">
        <v>174</v>
      </c>
      <c r="J13898">
        <v>110</v>
      </c>
      <c r="K13898" t="b">
        <v>1</v>
      </c>
    </row>
    <row r="13899" spans="8:11" x14ac:dyDescent="0.25">
      <c r="H13899">
        <v>149</v>
      </c>
      <c r="I13899">
        <v>180</v>
      </c>
      <c r="J13899">
        <v>110</v>
      </c>
      <c r="K13899" t="b">
        <v>1</v>
      </c>
    </row>
    <row r="13900" spans="8:11" x14ac:dyDescent="0.25">
      <c r="H13900">
        <v>149</v>
      </c>
      <c r="I13900">
        <v>186</v>
      </c>
      <c r="J13900">
        <v>110</v>
      </c>
      <c r="K13900" t="b">
        <v>1</v>
      </c>
    </row>
    <row r="13901" spans="8:11" x14ac:dyDescent="0.25">
      <c r="H13901">
        <v>149</v>
      </c>
      <c r="I13901">
        <v>192</v>
      </c>
      <c r="J13901">
        <v>110</v>
      </c>
      <c r="K13901" t="b">
        <v>1</v>
      </c>
    </row>
    <row r="13902" spans="8:11" x14ac:dyDescent="0.25">
      <c r="H13902">
        <v>149</v>
      </c>
      <c r="I13902">
        <v>198</v>
      </c>
      <c r="J13902">
        <v>110</v>
      </c>
      <c r="K13902" t="b">
        <v>1</v>
      </c>
    </row>
    <row r="13903" spans="8:11" x14ac:dyDescent="0.25">
      <c r="H13903">
        <v>149</v>
      </c>
      <c r="I13903">
        <v>204</v>
      </c>
      <c r="J13903">
        <v>110</v>
      </c>
      <c r="K13903" t="b">
        <v>1</v>
      </c>
    </row>
    <row r="13904" spans="8:11" x14ac:dyDescent="0.25">
      <c r="H13904">
        <v>149</v>
      </c>
      <c r="I13904">
        <v>210</v>
      </c>
      <c r="J13904">
        <v>110</v>
      </c>
      <c r="K13904" t="b">
        <v>1</v>
      </c>
    </row>
    <row r="13905" spans="8:11" x14ac:dyDescent="0.25">
      <c r="H13905">
        <v>149</v>
      </c>
      <c r="I13905">
        <v>216</v>
      </c>
      <c r="J13905">
        <v>110</v>
      </c>
      <c r="K13905" t="b">
        <v>1</v>
      </c>
    </row>
    <row r="13906" spans="8:11" x14ac:dyDescent="0.25">
      <c r="H13906">
        <v>149</v>
      </c>
      <c r="I13906">
        <v>222</v>
      </c>
      <c r="J13906">
        <v>110</v>
      </c>
      <c r="K13906" t="b">
        <v>1</v>
      </c>
    </row>
    <row r="13907" spans="8:11" x14ac:dyDescent="0.25">
      <c r="H13907">
        <v>149</v>
      </c>
      <c r="I13907">
        <v>228</v>
      </c>
      <c r="J13907">
        <v>110</v>
      </c>
      <c r="K13907" t="b">
        <v>1</v>
      </c>
    </row>
    <row r="13908" spans="8:11" x14ac:dyDescent="0.25">
      <c r="H13908">
        <v>149</v>
      </c>
      <c r="I13908">
        <v>234</v>
      </c>
      <c r="J13908">
        <v>110</v>
      </c>
      <c r="K13908" t="b">
        <v>1</v>
      </c>
    </row>
    <row r="13909" spans="8:11" x14ac:dyDescent="0.25">
      <c r="H13909">
        <v>149</v>
      </c>
      <c r="I13909">
        <v>240</v>
      </c>
      <c r="J13909">
        <v>110</v>
      </c>
      <c r="K13909" t="b">
        <v>1</v>
      </c>
    </row>
    <row r="13910" spans="8:11" x14ac:dyDescent="0.25">
      <c r="H13910">
        <v>149</v>
      </c>
      <c r="I13910">
        <v>246</v>
      </c>
      <c r="J13910">
        <v>110</v>
      </c>
      <c r="K13910" t="b">
        <v>1</v>
      </c>
    </row>
    <row r="13911" spans="8:11" x14ac:dyDescent="0.25">
      <c r="H13911">
        <v>149</v>
      </c>
      <c r="I13911">
        <v>252</v>
      </c>
      <c r="J13911">
        <v>110</v>
      </c>
      <c r="K13911" t="b">
        <v>1</v>
      </c>
    </row>
    <row r="13912" spans="8:11" x14ac:dyDescent="0.25">
      <c r="H13912">
        <v>149</v>
      </c>
      <c r="I13912">
        <v>258</v>
      </c>
      <c r="J13912">
        <v>110</v>
      </c>
      <c r="K13912" t="b">
        <v>1</v>
      </c>
    </row>
    <row r="13913" spans="8:11" x14ac:dyDescent="0.25">
      <c r="H13913">
        <v>149</v>
      </c>
      <c r="I13913">
        <v>264</v>
      </c>
      <c r="J13913">
        <v>110</v>
      </c>
      <c r="K13913" t="b">
        <v>1</v>
      </c>
    </row>
    <row r="13914" spans="8:11" x14ac:dyDescent="0.25">
      <c r="H13914">
        <v>149</v>
      </c>
      <c r="I13914">
        <v>270</v>
      </c>
      <c r="J13914">
        <v>110</v>
      </c>
      <c r="K13914" t="b">
        <v>1</v>
      </c>
    </row>
    <row r="13915" spans="8:11" x14ac:dyDescent="0.25">
      <c r="H13915">
        <v>149</v>
      </c>
      <c r="I13915">
        <v>276</v>
      </c>
      <c r="J13915">
        <v>110</v>
      </c>
      <c r="K13915" t="b">
        <v>1</v>
      </c>
    </row>
    <row r="13916" spans="8:11" x14ac:dyDescent="0.25">
      <c r="H13916">
        <v>149</v>
      </c>
      <c r="I13916">
        <v>282</v>
      </c>
      <c r="J13916">
        <v>110</v>
      </c>
      <c r="K13916" t="b">
        <v>1</v>
      </c>
    </row>
    <row r="13917" spans="8:11" x14ac:dyDescent="0.25">
      <c r="H13917">
        <v>149</v>
      </c>
      <c r="I13917">
        <v>288</v>
      </c>
      <c r="J13917">
        <v>110</v>
      </c>
      <c r="K13917" t="b">
        <v>1</v>
      </c>
    </row>
    <row r="13918" spans="8:11" x14ac:dyDescent="0.25">
      <c r="H13918">
        <v>149</v>
      </c>
      <c r="I13918">
        <v>294</v>
      </c>
      <c r="J13918">
        <v>110</v>
      </c>
      <c r="K13918" t="b">
        <v>1</v>
      </c>
    </row>
    <row r="13919" spans="8:11" x14ac:dyDescent="0.25">
      <c r="H13919">
        <v>149</v>
      </c>
      <c r="I13919">
        <v>300</v>
      </c>
      <c r="J13919">
        <v>110</v>
      </c>
      <c r="K13919" t="b">
        <v>1</v>
      </c>
    </row>
    <row r="13920" spans="8:11" x14ac:dyDescent="0.25">
      <c r="H13920">
        <v>149</v>
      </c>
      <c r="I13920">
        <v>306</v>
      </c>
      <c r="J13920">
        <v>110</v>
      </c>
      <c r="K13920" t="b">
        <v>1</v>
      </c>
    </row>
    <row r="13921" spans="8:11" x14ac:dyDescent="0.25">
      <c r="H13921">
        <v>149</v>
      </c>
      <c r="I13921">
        <v>312</v>
      </c>
      <c r="J13921">
        <v>110</v>
      </c>
      <c r="K13921" t="b">
        <v>1</v>
      </c>
    </row>
    <row r="13922" spans="8:11" x14ac:dyDescent="0.25">
      <c r="H13922">
        <v>149</v>
      </c>
      <c r="I13922">
        <v>318</v>
      </c>
      <c r="J13922">
        <v>110</v>
      </c>
      <c r="K13922" t="b">
        <v>1</v>
      </c>
    </row>
    <row r="13923" spans="8:11" x14ac:dyDescent="0.25">
      <c r="H13923">
        <v>149</v>
      </c>
      <c r="I13923">
        <v>324</v>
      </c>
      <c r="J13923">
        <v>110</v>
      </c>
      <c r="K13923" t="b">
        <v>1</v>
      </c>
    </row>
    <row r="13924" spans="8:11" x14ac:dyDescent="0.25">
      <c r="H13924">
        <v>149</v>
      </c>
      <c r="I13924">
        <v>330</v>
      </c>
      <c r="J13924">
        <v>110</v>
      </c>
      <c r="K13924" t="b">
        <v>1</v>
      </c>
    </row>
    <row r="13925" spans="8:11" x14ac:dyDescent="0.25">
      <c r="H13925">
        <v>149</v>
      </c>
      <c r="I13925">
        <v>336</v>
      </c>
      <c r="J13925">
        <v>110</v>
      </c>
      <c r="K13925" t="b">
        <v>1</v>
      </c>
    </row>
    <row r="13926" spans="8:11" x14ac:dyDescent="0.25">
      <c r="H13926">
        <v>149</v>
      </c>
      <c r="I13926">
        <v>342</v>
      </c>
      <c r="J13926">
        <v>110</v>
      </c>
      <c r="K13926" t="b">
        <v>1</v>
      </c>
    </row>
    <row r="13927" spans="8:11" x14ac:dyDescent="0.25">
      <c r="H13927">
        <v>149</v>
      </c>
      <c r="I13927">
        <v>348</v>
      </c>
      <c r="J13927">
        <v>110</v>
      </c>
      <c r="K13927" t="b">
        <v>1</v>
      </c>
    </row>
    <row r="13928" spans="8:11" x14ac:dyDescent="0.25">
      <c r="H13928">
        <v>149</v>
      </c>
      <c r="I13928">
        <v>354</v>
      </c>
      <c r="J13928">
        <v>110</v>
      </c>
      <c r="K13928" t="b">
        <v>1</v>
      </c>
    </row>
    <row r="13929" spans="8:11" x14ac:dyDescent="0.25">
      <c r="H13929">
        <v>149</v>
      </c>
      <c r="I13929">
        <v>360</v>
      </c>
      <c r="J13929">
        <v>110</v>
      </c>
      <c r="K13929" t="b">
        <v>1</v>
      </c>
    </row>
    <row r="13930" spans="8:11" x14ac:dyDescent="0.25">
      <c r="H13930">
        <v>149</v>
      </c>
      <c r="I13930">
        <v>366</v>
      </c>
      <c r="J13930">
        <v>110</v>
      </c>
      <c r="K13930" t="b">
        <v>1</v>
      </c>
    </row>
    <row r="13931" spans="8:11" x14ac:dyDescent="0.25">
      <c r="H13931">
        <v>149</v>
      </c>
      <c r="I13931">
        <v>372</v>
      </c>
      <c r="J13931">
        <v>110</v>
      </c>
      <c r="K13931" t="b">
        <v>1</v>
      </c>
    </row>
    <row r="13932" spans="8:11" x14ac:dyDescent="0.25">
      <c r="H13932">
        <v>149</v>
      </c>
      <c r="I13932">
        <v>378</v>
      </c>
      <c r="J13932">
        <v>110</v>
      </c>
      <c r="K13932" t="b">
        <v>1</v>
      </c>
    </row>
    <row r="13933" spans="8:11" x14ac:dyDescent="0.25">
      <c r="H13933">
        <v>149</v>
      </c>
      <c r="I13933">
        <v>384</v>
      </c>
      <c r="J13933">
        <v>110</v>
      </c>
      <c r="K13933" t="b">
        <v>1</v>
      </c>
    </row>
    <row r="13934" spans="8:11" x14ac:dyDescent="0.25">
      <c r="H13934">
        <v>149</v>
      </c>
      <c r="I13934">
        <v>390</v>
      </c>
      <c r="J13934">
        <v>110</v>
      </c>
      <c r="K13934" t="b">
        <v>1</v>
      </c>
    </row>
    <row r="13935" spans="8:11" x14ac:dyDescent="0.25">
      <c r="H13935">
        <v>149</v>
      </c>
      <c r="I13935">
        <v>396</v>
      </c>
      <c r="J13935">
        <v>110</v>
      </c>
      <c r="K13935" t="b">
        <v>1</v>
      </c>
    </row>
    <row r="13936" spans="8:11" x14ac:dyDescent="0.25">
      <c r="H13936">
        <v>149</v>
      </c>
      <c r="I13936">
        <v>402</v>
      </c>
      <c r="J13936">
        <v>110</v>
      </c>
      <c r="K13936" t="b">
        <v>1</v>
      </c>
    </row>
    <row r="13937" spans="8:11" x14ac:dyDescent="0.25">
      <c r="H13937">
        <v>149</v>
      </c>
      <c r="I13937">
        <v>408</v>
      </c>
      <c r="J13937">
        <v>110</v>
      </c>
      <c r="K13937" t="b">
        <v>1</v>
      </c>
    </row>
    <row r="13938" spans="8:11" x14ac:dyDescent="0.25">
      <c r="H13938">
        <v>149</v>
      </c>
      <c r="I13938">
        <v>414</v>
      </c>
      <c r="J13938">
        <v>110</v>
      </c>
      <c r="K13938" t="b">
        <v>1</v>
      </c>
    </row>
    <row r="13939" spans="8:11" x14ac:dyDescent="0.25">
      <c r="H13939">
        <v>149</v>
      </c>
      <c r="I13939">
        <v>420</v>
      </c>
      <c r="J13939">
        <v>110</v>
      </c>
      <c r="K13939" t="b">
        <v>1</v>
      </c>
    </row>
    <row r="13940" spans="8:11" x14ac:dyDescent="0.25">
      <c r="H13940">
        <v>149</v>
      </c>
      <c r="I13940">
        <v>426</v>
      </c>
      <c r="J13940">
        <v>110</v>
      </c>
      <c r="K13940" t="b">
        <v>1</v>
      </c>
    </row>
    <row r="13941" spans="8:11" x14ac:dyDescent="0.25">
      <c r="H13941">
        <v>149</v>
      </c>
      <c r="I13941">
        <v>432</v>
      </c>
      <c r="J13941">
        <v>110</v>
      </c>
      <c r="K13941" t="b">
        <v>1</v>
      </c>
    </row>
    <row r="13942" spans="8:11" x14ac:dyDescent="0.25">
      <c r="H13942">
        <v>149</v>
      </c>
      <c r="I13942">
        <v>438</v>
      </c>
      <c r="J13942">
        <v>110</v>
      </c>
      <c r="K13942" t="b">
        <v>1</v>
      </c>
    </row>
    <row r="13943" spans="8:11" x14ac:dyDescent="0.25">
      <c r="H13943">
        <v>149</v>
      </c>
      <c r="I13943">
        <v>444</v>
      </c>
      <c r="J13943">
        <v>110</v>
      </c>
      <c r="K13943" t="b">
        <v>1</v>
      </c>
    </row>
    <row r="13944" spans="8:11" x14ac:dyDescent="0.25">
      <c r="H13944">
        <v>149</v>
      </c>
      <c r="I13944">
        <v>450</v>
      </c>
      <c r="J13944">
        <v>110</v>
      </c>
      <c r="K13944" t="b">
        <v>1</v>
      </c>
    </row>
    <row r="13945" spans="8:11" x14ac:dyDescent="0.25">
      <c r="H13945">
        <v>149</v>
      </c>
      <c r="I13945">
        <v>456</v>
      </c>
      <c r="J13945">
        <v>110</v>
      </c>
      <c r="K13945" t="b">
        <v>1</v>
      </c>
    </row>
    <row r="13946" spans="8:11" x14ac:dyDescent="0.25">
      <c r="H13946">
        <v>149</v>
      </c>
      <c r="I13946">
        <v>462</v>
      </c>
      <c r="J13946">
        <v>110</v>
      </c>
      <c r="K13946" t="b">
        <v>1</v>
      </c>
    </row>
    <row r="13947" spans="8:11" x14ac:dyDescent="0.25">
      <c r="H13947">
        <v>149</v>
      </c>
      <c r="I13947">
        <v>468</v>
      </c>
      <c r="J13947">
        <v>110</v>
      </c>
      <c r="K13947" t="b">
        <v>1</v>
      </c>
    </row>
    <row r="13948" spans="8:11" x14ac:dyDescent="0.25">
      <c r="H13948">
        <v>149</v>
      </c>
      <c r="I13948">
        <v>474</v>
      </c>
      <c r="J13948">
        <v>110</v>
      </c>
      <c r="K13948" t="b">
        <v>1</v>
      </c>
    </row>
    <row r="13949" spans="8:11" x14ac:dyDescent="0.25">
      <c r="H13949">
        <v>149</v>
      </c>
      <c r="I13949">
        <v>480</v>
      </c>
      <c r="J13949">
        <v>110</v>
      </c>
      <c r="K13949" t="b">
        <v>1</v>
      </c>
    </row>
    <row r="13950" spans="8:11" x14ac:dyDescent="0.25">
      <c r="H13950">
        <v>149</v>
      </c>
      <c r="I13950">
        <v>486</v>
      </c>
      <c r="J13950">
        <v>110</v>
      </c>
      <c r="K13950" t="b">
        <v>1</v>
      </c>
    </row>
    <row r="13951" spans="8:11" x14ac:dyDescent="0.25">
      <c r="H13951">
        <v>149</v>
      </c>
      <c r="I13951">
        <v>492</v>
      </c>
      <c r="J13951">
        <v>110</v>
      </c>
      <c r="K13951" t="b">
        <v>1</v>
      </c>
    </row>
    <row r="13952" spans="8:11" x14ac:dyDescent="0.25">
      <c r="H13952">
        <v>149</v>
      </c>
      <c r="I13952">
        <v>498</v>
      </c>
      <c r="J13952">
        <v>110</v>
      </c>
      <c r="K13952" t="b">
        <v>1</v>
      </c>
    </row>
    <row r="13953" spans="8:11" x14ac:dyDescent="0.25">
      <c r="H13953">
        <v>149</v>
      </c>
      <c r="I13953">
        <v>504</v>
      </c>
      <c r="J13953">
        <v>110</v>
      </c>
      <c r="K13953" t="b">
        <v>1</v>
      </c>
    </row>
    <row r="13954" spans="8:11" x14ac:dyDescent="0.25">
      <c r="H13954">
        <v>149</v>
      </c>
      <c r="I13954">
        <v>510</v>
      </c>
      <c r="J13954">
        <v>110</v>
      </c>
      <c r="K13954" t="b">
        <v>1</v>
      </c>
    </row>
    <row r="13955" spans="8:11" x14ac:dyDescent="0.25">
      <c r="H13955">
        <v>149</v>
      </c>
      <c r="I13955">
        <v>516</v>
      </c>
      <c r="J13955">
        <v>110</v>
      </c>
      <c r="K13955" t="b">
        <v>1</v>
      </c>
    </row>
    <row r="13956" spans="8:11" x14ac:dyDescent="0.25">
      <c r="H13956">
        <v>149</v>
      </c>
      <c r="I13956">
        <v>522</v>
      </c>
      <c r="J13956">
        <v>110</v>
      </c>
      <c r="K13956" t="b">
        <v>1</v>
      </c>
    </row>
    <row r="13957" spans="8:11" x14ac:dyDescent="0.25">
      <c r="H13957">
        <v>149</v>
      </c>
      <c r="I13957">
        <v>528</v>
      </c>
      <c r="J13957">
        <v>110</v>
      </c>
      <c r="K13957" t="b">
        <v>1</v>
      </c>
    </row>
    <row r="13958" spans="8:11" x14ac:dyDescent="0.25">
      <c r="H13958">
        <v>149</v>
      </c>
      <c r="I13958">
        <v>534</v>
      </c>
      <c r="J13958">
        <v>110</v>
      </c>
      <c r="K13958" t="b">
        <v>1</v>
      </c>
    </row>
    <row r="13959" spans="8:11" x14ac:dyDescent="0.25">
      <c r="H13959">
        <v>149</v>
      </c>
      <c r="I13959">
        <v>540</v>
      </c>
      <c r="J13959">
        <v>110</v>
      </c>
      <c r="K13959" t="b">
        <v>1</v>
      </c>
    </row>
    <row r="13960" spans="8:11" x14ac:dyDescent="0.25">
      <c r="H13960">
        <v>149</v>
      </c>
      <c r="I13960">
        <v>546</v>
      </c>
      <c r="J13960">
        <v>110</v>
      </c>
      <c r="K13960" t="b">
        <v>1</v>
      </c>
    </row>
    <row r="13961" spans="8:11" x14ac:dyDescent="0.25">
      <c r="H13961">
        <v>149</v>
      </c>
      <c r="I13961">
        <v>552</v>
      </c>
      <c r="J13961">
        <v>110</v>
      </c>
      <c r="K13961" t="b">
        <v>1</v>
      </c>
    </row>
    <row r="13962" spans="8:11" x14ac:dyDescent="0.25">
      <c r="H13962">
        <v>149</v>
      </c>
      <c r="I13962">
        <v>558</v>
      </c>
      <c r="J13962">
        <v>110</v>
      </c>
      <c r="K13962" t="b">
        <v>1</v>
      </c>
    </row>
    <row r="13963" spans="8:11" x14ac:dyDescent="0.25">
      <c r="H13963">
        <v>149</v>
      </c>
      <c r="I13963">
        <v>564</v>
      </c>
      <c r="J13963">
        <v>110</v>
      </c>
      <c r="K13963" t="b">
        <v>1</v>
      </c>
    </row>
    <row r="13964" spans="8:11" x14ac:dyDescent="0.25">
      <c r="H13964">
        <v>149</v>
      </c>
      <c r="I13964">
        <v>570</v>
      </c>
      <c r="J13964">
        <v>110</v>
      </c>
      <c r="K13964" t="b">
        <v>1</v>
      </c>
    </row>
    <row r="13965" spans="8:11" x14ac:dyDescent="0.25">
      <c r="H13965">
        <v>149</v>
      </c>
      <c r="I13965">
        <v>576</v>
      </c>
      <c r="J13965">
        <v>110</v>
      </c>
      <c r="K13965" t="b">
        <v>1</v>
      </c>
    </row>
    <row r="13966" spans="8:11" x14ac:dyDescent="0.25">
      <c r="H13966">
        <v>149</v>
      </c>
      <c r="I13966">
        <v>582</v>
      </c>
      <c r="J13966">
        <v>110</v>
      </c>
      <c r="K13966" t="b">
        <v>1</v>
      </c>
    </row>
    <row r="13967" spans="8:11" x14ac:dyDescent="0.25">
      <c r="H13967">
        <v>149</v>
      </c>
      <c r="I13967">
        <v>588</v>
      </c>
      <c r="J13967">
        <v>110</v>
      </c>
      <c r="K13967" t="b">
        <v>1</v>
      </c>
    </row>
    <row r="13968" spans="8:11" x14ac:dyDescent="0.25">
      <c r="H13968">
        <v>149</v>
      </c>
      <c r="I13968">
        <v>594</v>
      </c>
      <c r="J13968">
        <v>110</v>
      </c>
      <c r="K13968" t="b">
        <v>1</v>
      </c>
    </row>
    <row r="13969" spans="8:11" x14ac:dyDescent="0.25">
      <c r="H13969">
        <v>149</v>
      </c>
      <c r="I13969">
        <v>600</v>
      </c>
      <c r="J13969">
        <v>110</v>
      </c>
      <c r="K13969" t="b">
        <v>1</v>
      </c>
    </row>
    <row r="13970" spans="8:11" x14ac:dyDescent="0.25">
      <c r="H13970">
        <v>149</v>
      </c>
      <c r="I13970">
        <v>606</v>
      </c>
      <c r="J13970">
        <v>110</v>
      </c>
      <c r="K13970" t="b">
        <v>1</v>
      </c>
    </row>
    <row r="13971" spans="8:11" x14ac:dyDescent="0.25">
      <c r="H13971">
        <v>149</v>
      </c>
      <c r="I13971">
        <v>612</v>
      </c>
      <c r="J13971">
        <v>110</v>
      </c>
      <c r="K13971" t="b">
        <v>1</v>
      </c>
    </row>
    <row r="13972" spans="8:11" x14ac:dyDescent="0.25">
      <c r="H13972">
        <v>149</v>
      </c>
      <c r="I13972">
        <v>618</v>
      </c>
      <c r="J13972">
        <v>110</v>
      </c>
      <c r="K13972" t="b">
        <v>1</v>
      </c>
    </row>
    <row r="13973" spans="8:11" x14ac:dyDescent="0.25">
      <c r="H13973">
        <v>149</v>
      </c>
      <c r="I13973">
        <v>624</v>
      </c>
      <c r="J13973">
        <v>110</v>
      </c>
      <c r="K13973" t="b">
        <v>1</v>
      </c>
    </row>
    <row r="13974" spans="8:11" x14ac:dyDescent="0.25">
      <c r="H13974">
        <v>149</v>
      </c>
      <c r="I13974">
        <v>630</v>
      </c>
      <c r="J13974">
        <v>110</v>
      </c>
      <c r="K13974" t="b">
        <v>1</v>
      </c>
    </row>
    <row r="13975" spans="8:11" x14ac:dyDescent="0.25">
      <c r="H13975">
        <v>149</v>
      </c>
      <c r="I13975">
        <v>636</v>
      </c>
      <c r="J13975">
        <v>110</v>
      </c>
      <c r="K13975" t="b">
        <v>1</v>
      </c>
    </row>
    <row r="13976" spans="8:11" x14ac:dyDescent="0.25">
      <c r="H13976">
        <v>149</v>
      </c>
      <c r="I13976">
        <v>642</v>
      </c>
      <c r="J13976">
        <v>110</v>
      </c>
      <c r="K13976" t="b">
        <v>1</v>
      </c>
    </row>
    <row r="13977" spans="8:11" x14ac:dyDescent="0.25">
      <c r="H13977">
        <v>149</v>
      </c>
      <c r="I13977">
        <v>648</v>
      </c>
      <c r="J13977">
        <v>110</v>
      </c>
      <c r="K13977" t="b">
        <v>1</v>
      </c>
    </row>
    <row r="13978" spans="8:11" x14ac:dyDescent="0.25">
      <c r="H13978">
        <v>149</v>
      </c>
      <c r="I13978">
        <v>654</v>
      </c>
      <c r="J13978">
        <v>110</v>
      </c>
      <c r="K13978" t="b">
        <v>1</v>
      </c>
    </row>
    <row r="13979" spans="8:11" x14ac:dyDescent="0.25">
      <c r="H13979">
        <v>149</v>
      </c>
      <c r="I13979">
        <v>660</v>
      </c>
      <c r="J13979">
        <v>110</v>
      </c>
      <c r="K13979" t="b">
        <v>1</v>
      </c>
    </row>
    <row r="13980" spans="8:11" x14ac:dyDescent="0.25">
      <c r="H13980">
        <v>149</v>
      </c>
      <c r="I13980">
        <v>666</v>
      </c>
      <c r="J13980">
        <v>110</v>
      </c>
      <c r="K13980" t="b">
        <v>1</v>
      </c>
    </row>
    <row r="13981" spans="8:11" x14ac:dyDescent="0.25">
      <c r="H13981">
        <v>149</v>
      </c>
      <c r="I13981">
        <v>672</v>
      </c>
      <c r="J13981">
        <v>110</v>
      </c>
      <c r="K13981" t="b">
        <v>1</v>
      </c>
    </row>
    <row r="13982" spans="8:11" x14ac:dyDescent="0.25">
      <c r="H13982">
        <v>149</v>
      </c>
      <c r="I13982">
        <v>678</v>
      </c>
      <c r="J13982">
        <v>110</v>
      </c>
      <c r="K13982" t="b">
        <v>1</v>
      </c>
    </row>
    <row r="13983" spans="8:11" x14ac:dyDescent="0.25">
      <c r="H13983">
        <v>149</v>
      </c>
      <c r="I13983">
        <v>684</v>
      </c>
      <c r="J13983">
        <v>110</v>
      </c>
      <c r="K13983" t="b">
        <v>1</v>
      </c>
    </row>
    <row r="13984" spans="8:11" x14ac:dyDescent="0.25">
      <c r="H13984">
        <v>149</v>
      </c>
      <c r="I13984">
        <v>690</v>
      </c>
      <c r="J13984">
        <v>110</v>
      </c>
      <c r="K13984" t="b">
        <v>1</v>
      </c>
    </row>
    <row r="13985" spans="8:11" x14ac:dyDescent="0.25">
      <c r="H13985">
        <v>149</v>
      </c>
      <c r="I13985">
        <v>696</v>
      </c>
      <c r="J13985">
        <v>110</v>
      </c>
      <c r="K13985" t="b">
        <v>1</v>
      </c>
    </row>
    <row r="13986" spans="8:11" x14ac:dyDescent="0.25">
      <c r="H13986">
        <v>149</v>
      </c>
      <c r="I13986">
        <v>702</v>
      </c>
      <c r="J13986">
        <v>110</v>
      </c>
      <c r="K13986" t="b">
        <v>1</v>
      </c>
    </row>
    <row r="13987" spans="8:11" x14ac:dyDescent="0.25">
      <c r="H13987">
        <v>149</v>
      </c>
      <c r="I13987">
        <v>708</v>
      </c>
      <c r="J13987">
        <v>110</v>
      </c>
      <c r="K13987" t="b">
        <v>1</v>
      </c>
    </row>
    <row r="13988" spans="8:11" x14ac:dyDescent="0.25">
      <c r="H13988">
        <v>149</v>
      </c>
      <c r="I13988">
        <v>714</v>
      </c>
      <c r="J13988">
        <v>110</v>
      </c>
      <c r="K13988" t="b">
        <v>1</v>
      </c>
    </row>
    <row r="13989" spans="8:11" x14ac:dyDescent="0.25">
      <c r="H13989">
        <v>149</v>
      </c>
      <c r="I13989">
        <v>720</v>
      </c>
      <c r="J13989">
        <v>110</v>
      </c>
      <c r="K13989" t="b">
        <v>1</v>
      </c>
    </row>
    <row r="13990" spans="8:11" x14ac:dyDescent="0.25">
      <c r="H13990">
        <v>149</v>
      </c>
      <c r="I13990">
        <v>726</v>
      </c>
      <c r="J13990">
        <v>110</v>
      </c>
      <c r="K13990" t="b">
        <v>1</v>
      </c>
    </row>
    <row r="13991" spans="8:11" x14ac:dyDescent="0.25">
      <c r="H13991">
        <v>149</v>
      </c>
      <c r="I13991">
        <v>732</v>
      </c>
      <c r="J13991">
        <v>110</v>
      </c>
      <c r="K13991" t="b">
        <v>1</v>
      </c>
    </row>
    <row r="13992" spans="8:11" x14ac:dyDescent="0.25">
      <c r="H13992">
        <v>149</v>
      </c>
      <c r="I13992">
        <v>738</v>
      </c>
      <c r="J13992">
        <v>110</v>
      </c>
      <c r="K13992" t="b">
        <v>1</v>
      </c>
    </row>
    <row r="13993" spans="8:11" x14ac:dyDescent="0.25">
      <c r="H13993">
        <v>149</v>
      </c>
      <c r="I13993">
        <v>744</v>
      </c>
      <c r="J13993">
        <v>110</v>
      </c>
      <c r="K13993" t="b">
        <v>1</v>
      </c>
    </row>
    <row r="13994" spans="8:11" x14ac:dyDescent="0.25">
      <c r="H13994">
        <v>149</v>
      </c>
      <c r="I13994">
        <v>750</v>
      </c>
      <c r="J13994">
        <v>110</v>
      </c>
      <c r="K13994" t="b">
        <v>1</v>
      </c>
    </row>
    <row r="13995" spans="8:11" x14ac:dyDescent="0.25">
      <c r="H13995">
        <v>149</v>
      </c>
      <c r="I13995">
        <v>756</v>
      </c>
      <c r="J13995">
        <v>110</v>
      </c>
      <c r="K13995" t="b">
        <v>1</v>
      </c>
    </row>
    <row r="13996" spans="8:11" x14ac:dyDescent="0.25">
      <c r="H13996">
        <v>149</v>
      </c>
      <c r="I13996">
        <v>762</v>
      </c>
      <c r="J13996">
        <v>110</v>
      </c>
      <c r="K13996" t="b">
        <v>1</v>
      </c>
    </row>
    <row r="13997" spans="8:11" x14ac:dyDescent="0.25">
      <c r="H13997">
        <v>149</v>
      </c>
      <c r="I13997">
        <v>768</v>
      </c>
      <c r="J13997">
        <v>110</v>
      </c>
      <c r="K13997" t="b">
        <v>1</v>
      </c>
    </row>
    <row r="13998" spans="8:11" x14ac:dyDescent="0.25">
      <c r="H13998">
        <v>149</v>
      </c>
      <c r="I13998">
        <v>774</v>
      </c>
      <c r="J13998">
        <v>110</v>
      </c>
      <c r="K13998" t="b">
        <v>1</v>
      </c>
    </row>
    <row r="13999" spans="8:11" x14ac:dyDescent="0.25">
      <c r="H13999">
        <v>149</v>
      </c>
      <c r="I13999">
        <v>780</v>
      </c>
      <c r="J13999">
        <v>110</v>
      </c>
      <c r="K13999" t="b">
        <v>1</v>
      </c>
    </row>
    <row r="14000" spans="8:11" x14ac:dyDescent="0.25">
      <c r="H14000">
        <v>149</v>
      </c>
      <c r="I14000">
        <v>786</v>
      </c>
      <c r="J14000">
        <v>110</v>
      </c>
      <c r="K14000" t="b">
        <v>1</v>
      </c>
    </row>
    <row r="14001" spans="8:11" x14ac:dyDescent="0.25">
      <c r="H14001">
        <v>149</v>
      </c>
      <c r="I14001">
        <v>792</v>
      </c>
      <c r="J14001">
        <v>110</v>
      </c>
      <c r="K14001" t="b">
        <v>1</v>
      </c>
    </row>
    <row r="14002" spans="8:11" x14ac:dyDescent="0.25">
      <c r="H14002">
        <v>149</v>
      </c>
      <c r="I14002">
        <v>798</v>
      </c>
      <c r="J14002">
        <v>110</v>
      </c>
      <c r="K14002" t="b">
        <v>1</v>
      </c>
    </row>
    <row r="14003" spans="8:11" x14ac:dyDescent="0.25">
      <c r="H14003">
        <v>149</v>
      </c>
      <c r="I14003">
        <v>804</v>
      </c>
      <c r="J14003">
        <v>110</v>
      </c>
      <c r="K14003" t="b">
        <v>1</v>
      </c>
    </row>
    <row r="14004" spans="8:11" x14ac:dyDescent="0.25">
      <c r="H14004">
        <v>149</v>
      </c>
      <c r="I14004">
        <v>810</v>
      </c>
      <c r="J14004">
        <v>110</v>
      </c>
      <c r="K14004" t="b">
        <v>1</v>
      </c>
    </row>
    <row r="14005" spans="8:11" x14ac:dyDescent="0.25">
      <c r="H14005">
        <v>149</v>
      </c>
      <c r="I14005">
        <v>816</v>
      </c>
      <c r="J14005">
        <v>110</v>
      </c>
      <c r="K14005" t="b">
        <v>1</v>
      </c>
    </row>
    <row r="14006" spans="8:11" x14ac:dyDescent="0.25">
      <c r="H14006">
        <v>149</v>
      </c>
      <c r="I14006">
        <v>822</v>
      </c>
      <c r="J14006">
        <v>110</v>
      </c>
      <c r="K14006" t="b">
        <v>1</v>
      </c>
    </row>
    <row r="14007" spans="8:11" x14ac:dyDescent="0.25">
      <c r="H14007">
        <v>149</v>
      </c>
      <c r="I14007">
        <v>828</v>
      </c>
      <c r="J14007">
        <v>110</v>
      </c>
      <c r="K14007" t="b">
        <v>1</v>
      </c>
    </row>
    <row r="14008" spans="8:11" x14ac:dyDescent="0.25">
      <c r="H14008">
        <v>149</v>
      </c>
      <c r="I14008">
        <v>834</v>
      </c>
      <c r="J14008">
        <v>110</v>
      </c>
      <c r="K14008" t="b">
        <v>1</v>
      </c>
    </row>
    <row r="14009" spans="8:11" x14ac:dyDescent="0.25">
      <c r="H14009">
        <v>149</v>
      </c>
      <c r="I14009">
        <v>840</v>
      </c>
      <c r="J14009">
        <v>110</v>
      </c>
      <c r="K14009" t="b">
        <v>1</v>
      </c>
    </row>
    <row r="14010" spans="8:11" x14ac:dyDescent="0.25">
      <c r="H14010">
        <v>149</v>
      </c>
      <c r="I14010">
        <v>846</v>
      </c>
      <c r="J14010">
        <v>110</v>
      </c>
      <c r="K14010" t="b">
        <v>1</v>
      </c>
    </row>
    <row r="14011" spans="8:11" x14ac:dyDescent="0.25">
      <c r="H14011">
        <v>149</v>
      </c>
      <c r="I14011">
        <v>852</v>
      </c>
      <c r="J14011">
        <v>110</v>
      </c>
      <c r="K14011" t="b">
        <v>1</v>
      </c>
    </row>
    <row r="14012" spans="8:11" x14ac:dyDescent="0.25">
      <c r="H14012">
        <v>149</v>
      </c>
      <c r="I14012">
        <v>858</v>
      </c>
      <c r="J14012">
        <v>110</v>
      </c>
      <c r="K14012" t="b">
        <v>1</v>
      </c>
    </row>
    <row r="14013" spans="8:11" x14ac:dyDescent="0.25">
      <c r="H14013">
        <v>149</v>
      </c>
      <c r="I14013">
        <v>864</v>
      </c>
      <c r="J14013">
        <v>110</v>
      </c>
      <c r="K14013" t="b">
        <v>1</v>
      </c>
    </row>
    <row r="14014" spans="8:11" x14ac:dyDescent="0.25">
      <c r="H14014">
        <v>149</v>
      </c>
      <c r="I14014">
        <v>870</v>
      </c>
      <c r="J14014">
        <v>110</v>
      </c>
      <c r="K14014" t="b">
        <v>1</v>
      </c>
    </row>
    <row r="14015" spans="8:11" x14ac:dyDescent="0.25">
      <c r="H14015">
        <v>149</v>
      </c>
      <c r="I14015">
        <v>876</v>
      </c>
      <c r="J14015">
        <v>110</v>
      </c>
      <c r="K14015" t="b">
        <v>1</v>
      </c>
    </row>
    <row r="14016" spans="8:11" x14ac:dyDescent="0.25">
      <c r="H14016">
        <v>149</v>
      </c>
      <c r="I14016">
        <v>882</v>
      </c>
      <c r="J14016">
        <v>110</v>
      </c>
      <c r="K14016" t="b">
        <v>1</v>
      </c>
    </row>
    <row r="14017" spans="8:11" x14ac:dyDescent="0.25">
      <c r="H14017">
        <v>149</v>
      </c>
      <c r="I14017">
        <v>888</v>
      </c>
      <c r="J14017">
        <v>110</v>
      </c>
      <c r="K14017" t="b">
        <v>1</v>
      </c>
    </row>
    <row r="14018" spans="8:11" x14ac:dyDescent="0.25">
      <c r="H14018">
        <v>149</v>
      </c>
      <c r="I14018">
        <v>894</v>
      </c>
      <c r="J14018">
        <v>110</v>
      </c>
      <c r="K14018" t="b">
        <v>1</v>
      </c>
    </row>
    <row r="14019" spans="8:11" x14ac:dyDescent="0.25">
      <c r="H14019">
        <v>149</v>
      </c>
      <c r="I14019">
        <v>900</v>
      </c>
      <c r="J14019">
        <v>110</v>
      </c>
      <c r="K14019" t="b">
        <v>1</v>
      </c>
    </row>
    <row r="14020" spans="8:11" x14ac:dyDescent="0.25">
      <c r="H14020">
        <v>149</v>
      </c>
      <c r="I14020">
        <v>906</v>
      </c>
      <c r="J14020">
        <v>110</v>
      </c>
      <c r="K14020" t="b">
        <v>1</v>
      </c>
    </row>
    <row r="14021" spans="8:11" x14ac:dyDescent="0.25">
      <c r="H14021">
        <v>149</v>
      </c>
      <c r="I14021">
        <v>912</v>
      </c>
      <c r="J14021">
        <v>110</v>
      </c>
      <c r="K14021" t="b">
        <v>1</v>
      </c>
    </row>
    <row r="14022" spans="8:11" x14ac:dyDescent="0.25">
      <c r="H14022">
        <v>149</v>
      </c>
      <c r="I14022">
        <v>918</v>
      </c>
      <c r="J14022">
        <v>110</v>
      </c>
      <c r="K14022" t="b">
        <v>1</v>
      </c>
    </row>
    <row r="14023" spans="8:11" x14ac:dyDescent="0.25">
      <c r="H14023">
        <v>149</v>
      </c>
      <c r="I14023">
        <v>924</v>
      </c>
      <c r="J14023">
        <v>110</v>
      </c>
      <c r="K14023" t="b">
        <v>1</v>
      </c>
    </row>
    <row r="14024" spans="8:11" x14ac:dyDescent="0.25">
      <c r="H14024">
        <v>149</v>
      </c>
      <c r="I14024">
        <v>930</v>
      </c>
      <c r="J14024">
        <v>110</v>
      </c>
      <c r="K14024" t="b">
        <v>1</v>
      </c>
    </row>
    <row r="14025" spans="8:11" x14ac:dyDescent="0.25">
      <c r="H14025">
        <v>149</v>
      </c>
      <c r="I14025">
        <v>936</v>
      </c>
      <c r="J14025">
        <v>110</v>
      </c>
      <c r="K14025" t="b">
        <v>1</v>
      </c>
    </row>
    <row r="14026" spans="8:11" x14ac:dyDescent="0.25">
      <c r="H14026">
        <v>149</v>
      </c>
      <c r="I14026">
        <v>942</v>
      </c>
      <c r="J14026">
        <v>110</v>
      </c>
      <c r="K14026" t="b">
        <v>1</v>
      </c>
    </row>
    <row r="14027" spans="8:11" x14ac:dyDescent="0.25">
      <c r="H14027">
        <v>149</v>
      </c>
      <c r="I14027">
        <v>948</v>
      </c>
      <c r="J14027">
        <v>110</v>
      </c>
      <c r="K14027" t="b">
        <v>1</v>
      </c>
    </row>
    <row r="14028" spans="8:11" x14ac:dyDescent="0.25">
      <c r="H14028">
        <v>149</v>
      </c>
      <c r="I14028">
        <v>954</v>
      </c>
      <c r="J14028">
        <v>110</v>
      </c>
      <c r="K14028" t="b">
        <v>1</v>
      </c>
    </row>
    <row r="14029" spans="8:11" x14ac:dyDescent="0.25">
      <c r="H14029">
        <v>150</v>
      </c>
      <c r="I14029">
        <v>0</v>
      </c>
      <c r="J14029">
        <v>110</v>
      </c>
      <c r="K14029" t="b">
        <v>1</v>
      </c>
    </row>
    <row r="14030" spans="8:11" x14ac:dyDescent="0.25">
      <c r="H14030">
        <v>150</v>
      </c>
      <c r="I14030">
        <v>6</v>
      </c>
      <c r="J14030">
        <v>110</v>
      </c>
      <c r="K14030" t="b">
        <v>1</v>
      </c>
    </row>
    <row r="14031" spans="8:11" x14ac:dyDescent="0.25">
      <c r="H14031">
        <v>150</v>
      </c>
      <c r="I14031">
        <v>12</v>
      </c>
      <c r="J14031">
        <v>110</v>
      </c>
      <c r="K14031" t="b">
        <v>1</v>
      </c>
    </row>
    <row r="14032" spans="8:11" x14ac:dyDescent="0.25">
      <c r="H14032">
        <v>150</v>
      </c>
      <c r="I14032">
        <v>18</v>
      </c>
      <c r="J14032">
        <v>110</v>
      </c>
      <c r="K14032" t="b">
        <v>1</v>
      </c>
    </row>
    <row r="14033" spans="8:11" x14ac:dyDescent="0.25">
      <c r="H14033">
        <v>150</v>
      </c>
      <c r="I14033">
        <v>24</v>
      </c>
      <c r="J14033">
        <v>110</v>
      </c>
      <c r="K14033" t="b">
        <v>1</v>
      </c>
    </row>
    <row r="14034" spans="8:11" x14ac:dyDescent="0.25">
      <c r="H14034">
        <v>150</v>
      </c>
      <c r="I14034">
        <v>30</v>
      </c>
      <c r="J14034">
        <v>110</v>
      </c>
      <c r="K14034" t="b">
        <v>1</v>
      </c>
    </row>
    <row r="14035" spans="8:11" x14ac:dyDescent="0.25">
      <c r="H14035">
        <v>150</v>
      </c>
      <c r="I14035">
        <v>36</v>
      </c>
      <c r="J14035">
        <v>110</v>
      </c>
      <c r="K14035" t="b">
        <v>1</v>
      </c>
    </row>
    <row r="14036" spans="8:11" x14ac:dyDescent="0.25">
      <c r="H14036">
        <v>150</v>
      </c>
      <c r="I14036">
        <v>42</v>
      </c>
      <c r="J14036">
        <v>110</v>
      </c>
      <c r="K14036" t="b">
        <v>1</v>
      </c>
    </row>
    <row r="14037" spans="8:11" x14ac:dyDescent="0.25">
      <c r="H14037">
        <v>150</v>
      </c>
      <c r="I14037">
        <v>48</v>
      </c>
      <c r="J14037">
        <v>110</v>
      </c>
      <c r="K14037" t="b">
        <v>1</v>
      </c>
    </row>
    <row r="14038" spans="8:11" x14ac:dyDescent="0.25">
      <c r="H14038">
        <v>150</v>
      </c>
      <c r="I14038">
        <v>54</v>
      </c>
      <c r="J14038">
        <v>110</v>
      </c>
      <c r="K14038" t="b">
        <v>1</v>
      </c>
    </row>
    <row r="14039" spans="8:11" x14ac:dyDescent="0.25">
      <c r="H14039">
        <v>150</v>
      </c>
      <c r="I14039">
        <v>60</v>
      </c>
      <c r="J14039">
        <v>110</v>
      </c>
      <c r="K14039" t="b">
        <v>1</v>
      </c>
    </row>
    <row r="14040" spans="8:11" x14ac:dyDescent="0.25">
      <c r="H14040">
        <v>150</v>
      </c>
      <c r="I14040">
        <v>66</v>
      </c>
      <c r="J14040">
        <v>110</v>
      </c>
      <c r="K14040" t="b">
        <v>1</v>
      </c>
    </row>
    <row r="14041" spans="8:11" x14ac:dyDescent="0.25">
      <c r="H14041">
        <v>150</v>
      </c>
      <c r="I14041">
        <v>72</v>
      </c>
      <c r="J14041">
        <v>110</v>
      </c>
      <c r="K14041" t="b">
        <v>1</v>
      </c>
    </row>
    <row r="14042" spans="8:11" x14ac:dyDescent="0.25">
      <c r="H14042">
        <v>150</v>
      </c>
      <c r="I14042">
        <v>78</v>
      </c>
      <c r="J14042">
        <v>110</v>
      </c>
      <c r="K14042" t="b">
        <v>1</v>
      </c>
    </row>
    <row r="14043" spans="8:11" x14ac:dyDescent="0.25">
      <c r="H14043">
        <v>150</v>
      </c>
      <c r="I14043">
        <v>84</v>
      </c>
      <c r="J14043">
        <v>110</v>
      </c>
      <c r="K14043" t="b">
        <v>1</v>
      </c>
    </row>
    <row r="14044" spans="8:11" x14ac:dyDescent="0.25">
      <c r="H14044">
        <v>150</v>
      </c>
      <c r="I14044">
        <v>90</v>
      </c>
      <c r="J14044">
        <v>110</v>
      </c>
      <c r="K14044" t="b">
        <v>1</v>
      </c>
    </row>
    <row r="14045" spans="8:11" x14ac:dyDescent="0.25">
      <c r="H14045">
        <v>150</v>
      </c>
      <c r="I14045">
        <v>96</v>
      </c>
      <c r="J14045">
        <v>110</v>
      </c>
      <c r="K14045" t="b">
        <v>1</v>
      </c>
    </row>
    <row r="14046" spans="8:11" x14ac:dyDescent="0.25">
      <c r="H14046">
        <v>150</v>
      </c>
      <c r="I14046">
        <v>102</v>
      </c>
      <c r="J14046">
        <v>110</v>
      </c>
      <c r="K14046" t="b">
        <v>1</v>
      </c>
    </row>
    <row r="14047" spans="8:11" x14ac:dyDescent="0.25">
      <c r="H14047">
        <v>150</v>
      </c>
      <c r="I14047">
        <v>108</v>
      </c>
      <c r="J14047">
        <v>110</v>
      </c>
      <c r="K14047" t="b">
        <v>1</v>
      </c>
    </row>
    <row r="14048" spans="8:11" x14ac:dyDescent="0.25">
      <c r="H14048">
        <v>150</v>
      </c>
      <c r="I14048">
        <v>114</v>
      </c>
      <c r="J14048">
        <v>110</v>
      </c>
      <c r="K14048" t="b">
        <v>1</v>
      </c>
    </row>
    <row r="14049" spans="8:11" x14ac:dyDescent="0.25">
      <c r="H14049">
        <v>150</v>
      </c>
      <c r="I14049">
        <v>120</v>
      </c>
      <c r="J14049">
        <v>110</v>
      </c>
      <c r="K14049" t="b">
        <v>1</v>
      </c>
    </row>
    <row r="14050" spans="8:11" x14ac:dyDescent="0.25">
      <c r="H14050">
        <v>150</v>
      </c>
      <c r="I14050">
        <v>126</v>
      </c>
      <c r="J14050">
        <v>110</v>
      </c>
      <c r="K14050" t="b">
        <v>1</v>
      </c>
    </row>
    <row r="14051" spans="8:11" x14ac:dyDescent="0.25">
      <c r="H14051">
        <v>150</v>
      </c>
      <c r="I14051">
        <v>132</v>
      </c>
      <c r="J14051">
        <v>110</v>
      </c>
      <c r="K14051" t="b">
        <v>1</v>
      </c>
    </row>
    <row r="14052" spans="8:11" x14ac:dyDescent="0.25">
      <c r="H14052">
        <v>150</v>
      </c>
      <c r="I14052">
        <v>138</v>
      </c>
      <c r="J14052">
        <v>110</v>
      </c>
      <c r="K14052" t="b">
        <v>1</v>
      </c>
    </row>
    <row r="14053" spans="8:11" x14ac:dyDescent="0.25">
      <c r="H14053">
        <v>150</v>
      </c>
      <c r="I14053">
        <v>144</v>
      </c>
      <c r="J14053">
        <v>110</v>
      </c>
      <c r="K14053" t="b">
        <v>1</v>
      </c>
    </row>
    <row r="14054" spans="8:11" x14ac:dyDescent="0.25">
      <c r="H14054">
        <v>150</v>
      </c>
      <c r="I14054">
        <v>150</v>
      </c>
      <c r="J14054">
        <v>110</v>
      </c>
      <c r="K14054" t="b">
        <v>1</v>
      </c>
    </row>
    <row r="14055" spans="8:11" x14ac:dyDescent="0.25">
      <c r="H14055">
        <v>150</v>
      </c>
      <c r="I14055">
        <v>156</v>
      </c>
      <c r="J14055">
        <v>110</v>
      </c>
      <c r="K14055" t="b">
        <v>1</v>
      </c>
    </row>
    <row r="14056" spans="8:11" x14ac:dyDescent="0.25">
      <c r="H14056">
        <v>150</v>
      </c>
      <c r="I14056">
        <v>162</v>
      </c>
      <c r="J14056">
        <v>110</v>
      </c>
      <c r="K14056" t="b">
        <v>1</v>
      </c>
    </row>
    <row r="14057" spans="8:11" x14ac:dyDescent="0.25">
      <c r="H14057">
        <v>150</v>
      </c>
      <c r="I14057">
        <v>168</v>
      </c>
      <c r="J14057">
        <v>110</v>
      </c>
      <c r="K14057" t="b">
        <v>1</v>
      </c>
    </row>
    <row r="14058" spans="8:11" x14ac:dyDescent="0.25">
      <c r="H14058">
        <v>150</v>
      </c>
      <c r="I14058">
        <v>174</v>
      </c>
      <c r="J14058">
        <v>110</v>
      </c>
      <c r="K14058" t="b">
        <v>1</v>
      </c>
    </row>
    <row r="14059" spans="8:11" x14ac:dyDescent="0.25">
      <c r="H14059">
        <v>150</v>
      </c>
      <c r="I14059">
        <v>180</v>
      </c>
      <c r="J14059">
        <v>110</v>
      </c>
      <c r="K14059" t="b">
        <v>1</v>
      </c>
    </row>
    <row r="14060" spans="8:11" x14ac:dyDescent="0.25">
      <c r="H14060">
        <v>150</v>
      </c>
      <c r="I14060">
        <v>186</v>
      </c>
      <c r="J14060">
        <v>110</v>
      </c>
      <c r="K14060" t="b">
        <v>1</v>
      </c>
    </row>
    <row r="14061" spans="8:11" x14ac:dyDescent="0.25">
      <c r="H14061">
        <v>150</v>
      </c>
      <c r="I14061">
        <v>192</v>
      </c>
      <c r="J14061">
        <v>110</v>
      </c>
      <c r="K14061" t="b">
        <v>1</v>
      </c>
    </row>
    <row r="14062" spans="8:11" x14ac:dyDescent="0.25">
      <c r="H14062">
        <v>150</v>
      </c>
      <c r="I14062">
        <v>198</v>
      </c>
      <c r="J14062">
        <v>110</v>
      </c>
      <c r="K14062" t="b">
        <v>1</v>
      </c>
    </row>
    <row r="14063" spans="8:11" x14ac:dyDescent="0.25">
      <c r="H14063">
        <v>150</v>
      </c>
      <c r="I14063">
        <v>204</v>
      </c>
      <c r="J14063">
        <v>110</v>
      </c>
      <c r="K14063" t="b">
        <v>1</v>
      </c>
    </row>
    <row r="14064" spans="8:11" x14ac:dyDescent="0.25">
      <c r="H14064">
        <v>150</v>
      </c>
      <c r="I14064">
        <v>210</v>
      </c>
      <c r="J14064">
        <v>110</v>
      </c>
      <c r="K14064" t="b">
        <v>1</v>
      </c>
    </row>
    <row r="14065" spans="8:11" x14ac:dyDescent="0.25">
      <c r="H14065">
        <v>150</v>
      </c>
      <c r="I14065">
        <v>216</v>
      </c>
      <c r="J14065">
        <v>110</v>
      </c>
      <c r="K14065" t="b">
        <v>1</v>
      </c>
    </row>
    <row r="14066" spans="8:11" x14ac:dyDescent="0.25">
      <c r="H14066">
        <v>150</v>
      </c>
      <c r="I14066">
        <v>222</v>
      </c>
      <c r="J14066">
        <v>110</v>
      </c>
      <c r="K14066" t="b">
        <v>1</v>
      </c>
    </row>
    <row r="14067" spans="8:11" x14ac:dyDescent="0.25">
      <c r="H14067">
        <v>150</v>
      </c>
      <c r="I14067">
        <v>228</v>
      </c>
      <c r="J14067">
        <v>110</v>
      </c>
      <c r="K14067" t="b">
        <v>1</v>
      </c>
    </row>
    <row r="14068" spans="8:11" x14ac:dyDescent="0.25">
      <c r="H14068">
        <v>150</v>
      </c>
      <c r="I14068">
        <v>234</v>
      </c>
      <c r="J14068">
        <v>110</v>
      </c>
      <c r="K14068" t="b">
        <v>1</v>
      </c>
    </row>
    <row r="14069" spans="8:11" x14ac:dyDescent="0.25">
      <c r="H14069">
        <v>150</v>
      </c>
      <c r="I14069">
        <v>240</v>
      </c>
      <c r="J14069">
        <v>110</v>
      </c>
      <c r="K14069" t="b">
        <v>1</v>
      </c>
    </row>
    <row r="14070" spans="8:11" x14ac:dyDescent="0.25">
      <c r="H14070">
        <v>150</v>
      </c>
      <c r="I14070">
        <v>246</v>
      </c>
      <c r="J14070">
        <v>110</v>
      </c>
      <c r="K14070" t="b">
        <v>1</v>
      </c>
    </row>
    <row r="14071" spans="8:11" x14ac:dyDescent="0.25">
      <c r="H14071">
        <v>150</v>
      </c>
      <c r="I14071">
        <v>252</v>
      </c>
      <c r="J14071">
        <v>110</v>
      </c>
      <c r="K14071" t="b">
        <v>1</v>
      </c>
    </row>
    <row r="14072" spans="8:11" x14ac:dyDescent="0.25">
      <c r="H14072">
        <v>150</v>
      </c>
      <c r="I14072">
        <v>258</v>
      </c>
      <c r="J14072">
        <v>110</v>
      </c>
      <c r="K14072" t="b">
        <v>1</v>
      </c>
    </row>
    <row r="14073" spans="8:11" x14ac:dyDescent="0.25">
      <c r="H14073">
        <v>150</v>
      </c>
      <c r="I14073">
        <v>264</v>
      </c>
      <c r="J14073">
        <v>110</v>
      </c>
      <c r="K14073" t="b">
        <v>1</v>
      </c>
    </row>
    <row r="14074" spans="8:11" x14ac:dyDescent="0.25">
      <c r="H14074">
        <v>150</v>
      </c>
      <c r="I14074">
        <v>270</v>
      </c>
      <c r="J14074">
        <v>110</v>
      </c>
      <c r="K14074" t="b">
        <v>1</v>
      </c>
    </row>
    <row r="14075" spans="8:11" x14ac:dyDescent="0.25">
      <c r="H14075">
        <v>150</v>
      </c>
      <c r="I14075">
        <v>276</v>
      </c>
      <c r="J14075">
        <v>110</v>
      </c>
      <c r="K14075" t="b">
        <v>1</v>
      </c>
    </row>
    <row r="14076" spans="8:11" x14ac:dyDescent="0.25">
      <c r="H14076">
        <v>150</v>
      </c>
      <c r="I14076">
        <v>282</v>
      </c>
      <c r="J14076">
        <v>110</v>
      </c>
      <c r="K14076" t="b">
        <v>1</v>
      </c>
    </row>
    <row r="14077" spans="8:11" x14ac:dyDescent="0.25">
      <c r="H14077">
        <v>150</v>
      </c>
      <c r="I14077">
        <v>288</v>
      </c>
      <c r="J14077">
        <v>110</v>
      </c>
      <c r="K14077" t="b">
        <v>1</v>
      </c>
    </row>
    <row r="14078" spans="8:11" x14ac:dyDescent="0.25">
      <c r="H14078">
        <v>150</v>
      </c>
      <c r="I14078">
        <v>294</v>
      </c>
      <c r="J14078">
        <v>110</v>
      </c>
      <c r="K14078" t="b">
        <v>1</v>
      </c>
    </row>
    <row r="14079" spans="8:11" x14ac:dyDescent="0.25">
      <c r="H14079">
        <v>150</v>
      </c>
      <c r="I14079">
        <v>300</v>
      </c>
      <c r="J14079">
        <v>110</v>
      </c>
      <c r="K14079" t="b">
        <v>1</v>
      </c>
    </row>
    <row r="14080" spans="8:11" x14ac:dyDescent="0.25">
      <c r="H14080">
        <v>150</v>
      </c>
      <c r="I14080">
        <v>306</v>
      </c>
      <c r="J14080">
        <v>110</v>
      </c>
      <c r="K14080" t="b">
        <v>1</v>
      </c>
    </row>
    <row r="14081" spans="8:11" x14ac:dyDescent="0.25">
      <c r="H14081">
        <v>150</v>
      </c>
      <c r="I14081">
        <v>312</v>
      </c>
      <c r="J14081">
        <v>110</v>
      </c>
      <c r="K14081" t="b">
        <v>1</v>
      </c>
    </row>
    <row r="14082" spans="8:11" x14ac:dyDescent="0.25">
      <c r="H14082">
        <v>150</v>
      </c>
      <c r="I14082">
        <v>318</v>
      </c>
      <c r="J14082">
        <v>110</v>
      </c>
      <c r="K14082" t="b">
        <v>1</v>
      </c>
    </row>
    <row r="14083" spans="8:11" x14ac:dyDescent="0.25">
      <c r="H14083">
        <v>150</v>
      </c>
      <c r="I14083">
        <v>324</v>
      </c>
      <c r="J14083">
        <v>110</v>
      </c>
      <c r="K14083" t="b">
        <v>1</v>
      </c>
    </row>
    <row r="14084" spans="8:11" x14ac:dyDescent="0.25">
      <c r="H14084">
        <v>150</v>
      </c>
      <c r="I14084">
        <v>330</v>
      </c>
      <c r="J14084">
        <v>110</v>
      </c>
      <c r="K14084" t="b">
        <v>1</v>
      </c>
    </row>
    <row r="14085" spans="8:11" x14ac:dyDescent="0.25">
      <c r="H14085">
        <v>150</v>
      </c>
      <c r="I14085">
        <v>336</v>
      </c>
      <c r="J14085">
        <v>110</v>
      </c>
      <c r="K14085" t="b">
        <v>1</v>
      </c>
    </row>
    <row r="14086" spans="8:11" x14ac:dyDescent="0.25">
      <c r="H14086">
        <v>150</v>
      </c>
      <c r="I14086">
        <v>342</v>
      </c>
      <c r="J14086">
        <v>110</v>
      </c>
      <c r="K14086" t="b">
        <v>1</v>
      </c>
    </row>
    <row r="14087" spans="8:11" x14ac:dyDescent="0.25">
      <c r="H14087">
        <v>150</v>
      </c>
      <c r="I14087">
        <v>348</v>
      </c>
      <c r="J14087">
        <v>110</v>
      </c>
      <c r="K14087" t="b">
        <v>1</v>
      </c>
    </row>
    <row r="14088" spans="8:11" x14ac:dyDescent="0.25">
      <c r="H14088">
        <v>150</v>
      </c>
      <c r="I14088">
        <v>354</v>
      </c>
      <c r="J14088">
        <v>110</v>
      </c>
      <c r="K14088" t="b">
        <v>1</v>
      </c>
    </row>
    <row r="14089" spans="8:11" x14ac:dyDescent="0.25">
      <c r="H14089">
        <v>150</v>
      </c>
      <c r="I14089">
        <v>360</v>
      </c>
      <c r="J14089">
        <v>110</v>
      </c>
      <c r="K14089" t="b">
        <v>1</v>
      </c>
    </row>
    <row r="14090" spans="8:11" x14ac:dyDescent="0.25">
      <c r="H14090">
        <v>150</v>
      </c>
      <c r="I14090">
        <v>366</v>
      </c>
      <c r="J14090">
        <v>110</v>
      </c>
      <c r="K14090" t="b">
        <v>1</v>
      </c>
    </row>
    <row r="14091" spans="8:11" x14ac:dyDescent="0.25">
      <c r="H14091">
        <v>150</v>
      </c>
      <c r="I14091">
        <v>372</v>
      </c>
      <c r="J14091">
        <v>110</v>
      </c>
      <c r="K14091" t="b">
        <v>1</v>
      </c>
    </row>
    <row r="14092" spans="8:11" x14ac:dyDescent="0.25">
      <c r="H14092">
        <v>150</v>
      </c>
      <c r="I14092">
        <v>378</v>
      </c>
      <c r="J14092">
        <v>110</v>
      </c>
      <c r="K14092" t="b">
        <v>1</v>
      </c>
    </row>
    <row r="14093" spans="8:11" x14ac:dyDescent="0.25">
      <c r="H14093">
        <v>150</v>
      </c>
      <c r="I14093">
        <v>384</v>
      </c>
      <c r="J14093">
        <v>110</v>
      </c>
      <c r="K14093" t="b">
        <v>1</v>
      </c>
    </row>
    <row r="14094" spans="8:11" x14ac:dyDescent="0.25">
      <c r="H14094">
        <v>150</v>
      </c>
      <c r="I14094">
        <v>390</v>
      </c>
      <c r="J14094">
        <v>110</v>
      </c>
      <c r="K14094" t="b">
        <v>1</v>
      </c>
    </row>
    <row r="14095" spans="8:11" x14ac:dyDescent="0.25">
      <c r="H14095">
        <v>150</v>
      </c>
      <c r="I14095">
        <v>396</v>
      </c>
      <c r="J14095">
        <v>110</v>
      </c>
      <c r="K14095" t="b">
        <v>1</v>
      </c>
    </row>
    <row r="14096" spans="8:11" x14ac:dyDescent="0.25">
      <c r="H14096">
        <v>150</v>
      </c>
      <c r="I14096">
        <v>402</v>
      </c>
      <c r="J14096">
        <v>110</v>
      </c>
      <c r="K14096" t="b">
        <v>1</v>
      </c>
    </row>
    <row r="14097" spans="8:11" x14ac:dyDescent="0.25">
      <c r="H14097">
        <v>150</v>
      </c>
      <c r="I14097">
        <v>408</v>
      </c>
      <c r="J14097">
        <v>110</v>
      </c>
      <c r="K14097" t="b">
        <v>1</v>
      </c>
    </row>
    <row r="14098" spans="8:11" x14ac:dyDescent="0.25">
      <c r="H14098">
        <v>150</v>
      </c>
      <c r="I14098">
        <v>414</v>
      </c>
      <c r="J14098">
        <v>110</v>
      </c>
      <c r="K14098" t="b">
        <v>1</v>
      </c>
    </row>
    <row r="14099" spans="8:11" x14ac:dyDescent="0.25">
      <c r="H14099">
        <v>150</v>
      </c>
      <c r="I14099">
        <v>420</v>
      </c>
      <c r="J14099">
        <v>110</v>
      </c>
      <c r="K14099" t="b">
        <v>1</v>
      </c>
    </row>
    <row r="14100" spans="8:11" x14ac:dyDescent="0.25">
      <c r="H14100">
        <v>150</v>
      </c>
      <c r="I14100">
        <v>426</v>
      </c>
      <c r="J14100">
        <v>110</v>
      </c>
      <c r="K14100" t="b">
        <v>1</v>
      </c>
    </row>
    <row r="14101" spans="8:11" x14ac:dyDescent="0.25">
      <c r="H14101">
        <v>150</v>
      </c>
      <c r="I14101">
        <v>432</v>
      </c>
      <c r="J14101">
        <v>110</v>
      </c>
      <c r="K14101" t="b">
        <v>1</v>
      </c>
    </row>
    <row r="14102" spans="8:11" x14ac:dyDescent="0.25">
      <c r="H14102">
        <v>150</v>
      </c>
      <c r="I14102">
        <v>438</v>
      </c>
      <c r="J14102">
        <v>110</v>
      </c>
      <c r="K14102" t="b">
        <v>1</v>
      </c>
    </row>
    <row r="14103" spans="8:11" x14ac:dyDescent="0.25">
      <c r="H14103">
        <v>150</v>
      </c>
      <c r="I14103">
        <v>444</v>
      </c>
      <c r="J14103">
        <v>110</v>
      </c>
      <c r="K14103" t="b">
        <v>1</v>
      </c>
    </row>
    <row r="14104" spans="8:11" x14ac:dyDescent="0.25">
      <c r="H14104">
        <v>150</v>
      </c>
      <c r="I14104">
        <v>450</v>
      </c>
      <c r="J14104">
        <v>110</v>
      </c>
      <c r="K14104" t="b">
        <v>1</v>
      </c>
    </row>
    <row r="14105" spans="8:11" x14ac:dyDescent="0.25">
      <c r="H14105">
        <v>150</v>
      </c>
      <c r="I14105">
        <v>456</v>
      </c>
      <c r="J14105">
        <v>110</v>
      </c>
      <c r="K14105" t="b">
        <v>1</v>
      </c>
    </row>
    <row r="14106" spans="8:11" x14ac:dyDescent="0.25">
      <c r="H14106">
        <v>150</v>
      </c>
      <c r="I14106">
        <v>462</v>
      </c>
      <c r="J14106">
        <v>110</v>
      </c>
      <c r="K14106" t="b">
        <v>1</v>
      </c>
    </row>
    <row r="14107" spans="8:11" x14ac:dyDescent="0.25">
      <c r="H14107">
        <v>150</v>
      </c>
      <c r="I14107">
        <v>468</v>
      </c>
      <c r="J14107">
        <v>110</v>
      </c>
      <c r="K14107" t="b">
        <v>1</v>
      </c>
    </row>
    <row r="14108" spans="8:11" x14ac:dyDescent="0.25">
      <c r="H14108">
        <v>150</v>
      </c>
      <c r="I14108">
        <v>474</v>
      </c>
      <c r="J14108">
        <v>110</v>
      </c>
      <c r="K14108" t="b">
        <v>1</v>
      </c>
    </row>
    <row r="14109" spans="8:11" x14ac:dyDescent="0.25">
      <c r="H14109">
        <v>150</v>
      </c>
      <c r="I14109">
        <v>480</v>
      </c>
      <c r="J14109">
        <v>110</v>
      </c>
      <c r="K14109" t="b">
        <v>1</v>
      </c>
    </row>
    <row r="14110" spans="8:11" x14ac:dyDescent="0.25">
      <c r="H14110">
        <v>150</v>
      </c>
      <c r="I14110">
        <v>486</v>
      </c>
      <c r="J14110">
        <v>110</v>
      </c>
      <c r="K14110" t="b">
        <v>1</v>
      </c>
    </row>
    <row r="14111" spans="8:11" x14ac:dyDescent="0.25">
      <c r="H14111">
        <v>150</v>
      </c>
      <c r="I14111">
        <v>492</v>
      </c>
      <c r="J14111">
        <v>110</v>
      </c>
      <c r="K14111" t="b">
        <v>1</v>
      </c>
    </row>
    <row r="14112" spans="8:11" x14ac:dyDescent="0.25">
      <c r="H14112">
        <v>150</v>
      </c>
      <c r="I14112">
        <v>498</v>
      </c>
      <c r="J14112">
        <v>110</v>
      </c>
      <c r="K14112" t="b">
        <v>1</v>
      </c>
    </row>
    <row r="14113" spans="8:11" x14ac:dyDescent="0.25">
      <c r="H14113">
        <v>150</v>
      </c>
      <c r="I14113">
        <v>504</v>
      </c>
      <c r="J14113">
        <v>110</v>
      </c>
      <c r="K14113" t="b">
        <v>1</v>
      </c>
    </row>
    <row r="14114" spans="8:11" x14ac:dyDescent="0.25">
      <c r="H14114">
        <v>150</v>
      </c>
      <c r="I14114">
        <v>510</v>
      </c>
      <c r="J14114">
        <v>110</v>
      </c>
      <c r="K14114" t="b">
        <v>1</v>
      </c>
    </row>
    <row r="14115" spans="8:11" x14ac:dyDescent="0.25">
      <c r="H14115">
        <v>150</v>
      </c>
      <c r="I14115">
        <v>516</v>
      </c>
      <c r="J14115">
        <v>110</v>
      </c>
      <c r="K14115" t="b">
        <v>1</v>
      </c>
    </row>
    <row r="14116" spans="8:11" x14ac:dyDescent="0.25">
      <c r="H14116">
        <v>150</v>
      </c>
      <c r="I14116">
        <v>522</v>
      </c>
      <c r="J14116">
        <v>110</v>
      </c>
      <c r="K14116" t="b">
        <v>1</v>
      </c>
    </row>
    <row r="14117" spans="8:11" x14ac:dyDescent="0.25">
      <c r="H14117">
        <v>150</v>
      </c>
      <c r="I14117">
        <v>528</v>
      </c>
      <c r="J14117">
        <v>110</v>
      </c>
      <c r="K14117" t="b">
        <v>1</v>
      </c>
    </row>
    <row r="14118" spans="8:11" x14ac:dyDescent="0.25">
      <c r="H14118">
        <v>150</v>
      </c>
      <c r="I14118">
        <v>534</v>
      </c>
      <c r="J14118">
        <v>110</v>
      </c>
      <c r="K14118" t="b">
        <v>1</v>
      </c>
    </row>
    <row r="14119" spans="8:11" x14ac:dyDescent="0.25">
      <c r="H14119">
        <v>150</v>
      </c>
      <c r="I14119">
        <v>540</v>
      </c>
      <c r="J14119">
        <v>110</v>
      </c>
      <c r="K14119" t="b">
        <v>1</v>
      </c>
    </row>
    <row r="14120" spans="8:11" x14ac:dyDescent="0.25">
      <c r="H14120">
        <v>150</v>
      </c>
      <c r="I14120">
        <v>546</v>
      </c>
      <c r="J14120">
        <v>110</v>
      </c>
      <c r="K14120" t="b">
        <v>1</v>
      </c>
    </row>
    <row r="14121" spans="8:11" x14ac:dyDescent="0.25">
      <c r="H14121">
        <v>150</v>
      </c>
      <c r="I14121">
        <v>552</v>
      </c>
      <c r="J14121">
        <v>110</v>
      </c>
      <c r="K14121" t="b">
        <v>1</v>
      </c>
    </row>
    <row r="14122" spans="8:11" x14ac:dyDescent="0.25">
      <c r="H14122">
        <v>150</v>
      </c>
      <c r="I14122">
        <v>558</v>
      </c>
      <c r="J14122">
        <v>110</v>
      </c>
      <c r="K14122" t="b">
        <v>1</v>
      </c>
    </row>
    <row r="14123" spans="8:11" x14ac:dyDescent="0.25">
      <c r="H14123">
        <v>150</v>
      </c>
      <c r="I14123">
        <v>564</v>
      </c>
      <c r="J14123">
        <v>110</v>
      </c>
      <c r="K14123" t="b">
        <v>1</v>
      </c>
    </row>
    <row r="14124" spans="8:11" x14ac:dyDescent="0.25">
      <c r="H14124">
        <v>150</v>
      </c>
      <c r="I14124">
        <v>570</v>
      </c>
      <c r="J14124">
        <v>110</v>
      </c>
      <c r="K14124" t="b">
        <v>1</v>
      </c>
    </row>
    <row r="14125" spans="8:11" x14ac:dyDescent="0.25">
      <c r="H14125">
        <v>150</v>
      </c>
      <c r="I14125">
        <v>576</v>
      </c>
      <c r="J14125">
        <v>110</v>
      </c>
      <c r="K14125" t="b">
        <v>1</v>
      </c>
    </row>
    <row r="14126" spans="8:11" x14ac:dyDescent="0.25">
      <c r="H14126">
        <v>150</v>
      </c>
      <c r="I14126">
        <v>582</v>
      </c>
      <c r="J14126">
        <v>110</v>
      </c>
      <c r="K14126" t="b">
        <v>1</v>
      </c>
    </row>
    <row r="14127" spans="8:11" x14ac:dyDescent="0.25">
      <c r="H14127">
        <v>150</v>
      </c>
      <c r="I14127">
        <v>588</v>
      </c>
      <c r="J14127">
        <v>110</v>
      </c>
      <c r="K14127" t="b">
        <v>1</v>
      </c>
    </row>
    <row r="14128" spans="8:11" x14ac:dyDescent="0.25">
      <c r="H14128">
        <v>150</v>
      </c>
      <c r="I14128">
        <v>594</v>
      </c>
      <c r="J14128">
        <v>110</v>
      </c>
      <c r="K14128" t="b">
        <v>1</v>
      </c>
    </row>
    <row r="14129" spans="8:11" x14ac:dyDescent="0.25">
      <c r="H14129">
        <v>150</v>
      </c>
      <c r="I14129">
        <v>600</v>
      </c>
      <c r="J14129">
        <v>110</v>
      </c>
      <c r="K14129" t="b">
        <v>1</v>
      </c>
    </row>
    <row r="14130" spans="8:11" x14ac:dyDescent="0.25">
      <c r="H14130">
        <v>150</v>
      </c>
      <c r="I14130">
        <v>606</v>
      </c>
      <c r="J14130">
        <v>110</v>
      </c>
      <c r="K14130" t="b">
        <v>1</v>
      </c>
    </row>
    <row r="14131" spans="8:11" x14ac:dyDescent="0.25">
      <c r="H14131">
        <v>150</v>
      </c>
      <c r="I14131">
        <v>612</v>
      </c>
      <c r="J14131">
        <v>110</v>
      </c>
      <c r="K14131" t="b">
        <v>1</v>
      </c>
    </row>
    <row r="14132" spans="8:11" x14ac:dyDescent="0.25">
      <c r="H14132">
        <v>150</v>
      </c>
      <c r="I14132">
        <v>618</v>
      </c>
      <c r="J14132">
        <v>110</v>
      </c>
      <c r="K14132" t="b">
        <v>1</v>
      </c>
    </row>
    <row r="14133" spans="8:11" x14ac:dyDescent="0.25">
      <c r="H14133">
        <v>150</v>
      </c>
      <c r="I14133">
        <v>624</v>
      </c>
      <c r="J14133">
        <v>110</v>
      </c>
      <c r="K14133" t="b">
        <v>1</v>
      </c>
    </row>
    <row r="14134" spans="8:11" x14ac:dyDescent="0.25">
      <c r="H14134">
        <v>150</v>
      </c>
      <c r="I14134">
        <v>630</v>
      </c>
      <c r="J14134">
        <v>110</v>
      </c>
      <c r="K14134" t="b">
        <v>1</v>
      </c>
    </row>
    <row r="14135" spans="8:11" x14ac:dyDescent="0.25">
      <c r="H14135">
        <v>150</v>
      </c>
      <c r="I14135">
        <v>636</v>
      </c>
      <c r="J14135">
        <v>110</v>
      </c>
      <c r="K14135" t="b">
        <v>1</v>
      </c>
    </row>
    <row r="14136" spans="8:11" x14ac:dyDescent="0.25">
      <c r="H14136">
        <v>150</v>
      </c>
      <c r="I14136">
        <v>642</v>
      </c>
      <c r="J14136">
        <v>110</v>
      </c>
      <c r="K14136" t="b">
        <v>1</v>
      </c>
    </row>
    <row r="14137" spans="8:11" x14ac:dyDescent="0.25">
      <c r="H14137">
        <v>150</v>
      </c>
      <c r="I14137">
        <v>648</v>
      </c>
      <c r="J14137">
        <v>110</v>
      </c>
      <c r="K14137" t="b">
        <v>1</v>
      </c>
    </row>
    <row r="14138" spans="8:11" x14ac:dyDescent="0.25">
      <c r="H14138">
        <v>150</v>
      </c>
      <c r="I14138">
        <v>654</v>
      </c>
      <c r="J14138">
        <v>110</v>
      </c>
      <c r="K14138" t="b">
        <v>1</v>
      </c>
    </row>
    <row r="14139" spans="8:11" x14ac:dyDescent="0.25">
      <c r="H14139">
        <v>150</v>
      </c>
      <c r="I14139">
        <v>660</v>
      </c>
      <c r="J14139">
        <v>110</v>
      </c>
      <c r="K14139" t="b">
        <v>1</v>
      </c>
    </row>
    <row r="14140" spans="8:11" x14ac:dyDescent="0.25">
      <c r="H14140">
        <v>150</v>
      </c>
      <c r="I14140">
        <v>666</v>
      </c>
      <c r="J14140">
        <v>110</v>
      </c>
      <c r="K14140" t="b">
        <v>1</v>
      </c>
    </row>
    <row r="14141" spans="8:11" x14ac:dyDescent="0.25">
      <c r="H14141">
        <v>150</v>
      </c>
      <c r="I14141">
        <v>672</v>
      </c>
      <c r="J14141">
        <v>110</v>
      </c>
      <c r="K14141" t="b">
        <v>1</v>
      </c>
    </row>
    <row r="14142" spans="8:11" x14ac:dyDescent="0.25">
      <c r="H14142">
        <v>150</v>
      </c>
      <c r="I14142">
        <v>678</v>
      </c>
      <c r="J14142">
        <v>110</v>
      </c>
      <c r="K14142" t="b">
        <v>1</v>
      </c>
    </row>
    <row r="14143" spans="8:11" x14ac:dyDescent="0.25">
      <c r="H14143">
        <v>150</v>
      </c>
      <c r="I14143">
        <v>684</v>
      </c>
      <c r="J14143">
        <v>110</v>
      </c>
      <c r="K14143" t="b">
        <v>1</v>
      </c>
    </row>
    <row r="14144" spans="8:11" x14ac:dyDescent="0.25">
      <c r="H14144">
        <v>150</v>
      </c>
      <c r="I14144">
        <v>690</v>
      </c>
      <c r="J14144">
        <v>110</v>
      </c>
      <c r="K14144" t="b">
        <v>1</v>
      </c>
    </row>
    <row r="14145" spans="8:11" x14ac:dyDescent="0.25">
      <c r="H14145">
        <v>150</v>
      </c>
      <c r="I14145">
        <v>696</v>
      </c>
      <c r="J14145">
        <v>110</v>
      </c>
      <c r="K14145" t="b">
        <v>1</v>
      </c>
    </row>
    <row r="14146" spans="8:11" x14ac:dyDescent="0.25">
      <c r="H14146">
        <v>150</v>
      </c>
      <c r="I14146">
        <v>702</v>
      </c>
      <c r="J14146">
        <v>110</v>
      </c>
      <c r="K14146" t="b">
        <v>1</v>
      </c>
    </row>
    <row r="14147" spans="8:11" x14ac:dyDescent="0.25">
      <c r="H14147">
        <v>150</v>
      </c>
      <c r="I14147">
        <v>708</v>
      </c>
      <c r="J14147">
        <v>110</v>
      </c>
      <c r="K14147" t="b">
        <v>1</v>
      </c>
    </row>
    <row r="14148" spans="8:11" x14ac:dyDescent="0.25">
      <c r="H14148">
        <v>150</v>
      </c>
      <c r="I14148">
        <v>714</v>
      </c>
      <c r="J14148">
        <v>110</v>
      </c>
      <c r="K14148" t="b">
        <v>1</v>
      </c>
    </row>
    <row r="14149" spans="8:11" x14ac:dyDescent="0.25">
      <c r="H14149">
        <v>150</v>
      </c>
      <c r="I14149">
        <v>720</v>
      </c>
      <c r="J14149">
        <v>110</v>
      </c>
      <c r="K14149" t="b">
        <v>1</v>
      </c>
    </row>
    <row r="14150" spans="8:11" x14ac:dyDescent="0.25">
      <c r="H14150">
        <v>150</v>
      </c>
      <c r="I14150">
        <v>726</v>
      </c>
      <c r="J14150">
        <v>110</v>
      </c>
      <c r="K14150" t="b">
        <v>1</v>
      </c>
    </row>
    <row r="14151" spans="8:11" x14ac:dyDescent="0.25">
      <c r="H14151">
        <v>150</v>
      </c>
      <c r="I14151">
        <v>732</v>
      </c>
      <c r="J14151">
        <v>110</v>
      </c>
      <c r="K14151" t="b">
        <v>1</v>
      </c>
    </row>
    <row r="14152" spans="8:11" x14ac:dyDescent="0.25">
      <c r="H14152">
        <v>150</v>
      </c>
      <c r="I14152">
        <v>738</v>
      </c>
      <c r="J14152">
        <v>110</v>
      </c>
      <c r="K14152" t="b">
        <v>1</v>
      </c>
    </row>
    <row r="14153" spans="8:11" x14ac:dyDescent="0.25">
      <c r="H14153">
        <v>150</v>
      </c>
      <c r="I14153">
        <v>744</v>
      </c>
      <c r="J14153">
        <v>110</v>
      </c>
      <c r="K14153" t="b">
        <v>1</v>
      </c>
    </row>
    <row r="14154" spans="8:11" x14ac:dyDescent="0.25">
      <c r="H14154">
        <v>150</v>
      </c>
      <c r="I14154">
        <v>750</v>
      </c>
      <c r="J14154">
        <v>110</v>
      </c>
      <c r="K14154" t="b">
        <v>1</v>
      </c>
    </row>
    <row r="14155" spans="8:11" x14ac:dyDescent="0.25">
      <c r="H14155">
        <v>150</v>
      </c>
      <c r="I14155">
        <v>756</v>
      </c>
      <c r="J14155">
        <v>110</v>
      </c>
      <c r="K14155" t="b">
        <v>1</v>
      </c>
    </row>
    <row r="14156" spans="8:11" x14ac:dyDescent="0.25">
      <c r="H14156">
        <v>150</v>
      </c>
      <c r="I14156">
        <v>762</v>
      </c>
      <c r="J14156">
        <v>110</v>
      </c>
      <c r="K14156" t="b">
        <v>1</v>
      </c>
    </row>
    <row r="14157" spans="8:11" x14ac:dyDescent="0.25">
      <c r="H14157">
        <v>150</v>
      </c>
      <c r="I14157">
        <v>768</v>
      </c>
      <c r="J14157">
        <v>110</v>
      </c>
      <c r="K14157" t="b">
        <v>1</v>
      </c>
    </row>
    <row r="14158" spans="8:11" x14ac:dyDescent="0.25">
      <c r="H14158">
        <v>150</v>
      </c>
      <c r="I14158">
        <v>774</v>
      </c>
      <c r="J14158">
        <v>110</v>
      </c>
      <c r="K14158" t="b">
        <v>1</v>
      </c>
    </row>
    <row r="14159" spans="8:11" x14ac:dyDescent="0.25">
      <c r="H14159">
        <v>150</v>
      </c>
      <c r="I14159">
        <v>780</v>
      </c>
      <c r="J14159">
        <v>110</v>
      </c>
      <c r="K14159" t="b">
        <v>1</v>
      </c>
    </row>
    <row r="14160" spans="8:11" x14ac:dyDescent="0.25">
      <c r="H14160">
        <v>150</v>
      </c>
      <c r="I14160">
        <v>786</v>
      </c>
      <c r="J14160">
        <v>110</v>
      </c>
      <c r="K14160" t="b">
        <v>1</v>
      </c>
    </row>
    <row r="14161" spans="8:11" x14ac:dyDescent="0.25">
      <c r="H14161">
        <v>150</v>
      </c>
      <c r="I14161">
        <v>792</v>
      </c>
      <c r="J14161">
        <v>110</v>
      </c>
      <c r="K14161" t="b">
        <v>1</v>
      </c>
    </row>
    <row r="14162" spans="8:11" x14ac:dyDescent="0.25">
      <c r="H14162">
        <v>150</v>
      </c>
      <c r="I14162">
        <v>798</v>
      </c>
      <c r="J14162">
        <v>110</v>
      </c>
      <c r="K14162" t="b">
        <v>1</v>
      </c>
    </row>
    <row r="14163" spans="8:11" x14ac:dyDescent="0.25">
      <c r="H14163">
        <v>150</v>
      </c>
      <c r="I14163">
        <v>804</v>
      </c>
      <c r="J14163">
        <v>110</v>
      </c>
      <c r="K14163" t="b">
        <v>1</v>
      </c>
    </row>
    <row r="14164" spans="8:11" x14ac:dyDescent="0.25">
      <c r="H14164">
        <v>150</v>
      </c>
      <c r="I14164">
        <v>810</v>
      </c>
      <c r="J14164">
        <v>110</v>
      </c>
      <c r="K14164" t="b">
        <v>1</v>
      </c>
    </row>
    <row r="14165" spans="8:11" x14ac:dyDescent="0.25">
      <c r="H14165">
        <v>150</v>
      </c>
      <c r="I14165">
        <v>816</v>
      </c>
      <c r="J14165">
        <v>110</v>
      </c>
      <c r="K14165" t="b">
        <v>1</v>
      </c>
    </row>
    <row r="14166" spans="8:11" x14ac:dyDescent="0.25">
      <c r="H14166">
        <v>150</v>
      </c>
      <c r="I14166">
        <v>822</v>
      </c>
      <c r="J14166">
        <v>110</v>
      </c>
      <c r="K14166" t="b">
        <v>1</v>
      </c>
    </row>
    <row r="14167" spans="8:11" x14ac:dyDescent="0.25">
      <c r="H14167">
        <v>150</v>
      </c>
      <c r="I14167">
        <v>828</v>
      </c>
      <c r="J14167">
        <v>110</v>
      </c>
      <c r="K14167" t="b">
        <v>1</v>
      </c>
    </row>
    <row r="14168" spans="8:11" x14ac:dyDescent="0.25">
      <c r="H14168">
        <v>150</v>
      </c>
      <c r="I14168">
        <v>834</v>
      </c>
      <c r="J14168">
        <v>110</v>
      </c>
      <c r="K14168" t="b">
        <v>1</v>
      </c>
    </row>
    <row r="14169" spans="8:11" x14ac:dyDescent="0.25">
      <c r="H14169">
        <v>150</v>
      </c>
      <c r="I14169">
        <v>840</v>
      </c>
      <c r="J14169">
        <v>110</v>
      </c>
      <c r="K14169" t="b">
        <v>1</v>
      </c>
    </row>
    <row r="14170" spans="8:11" x14ac:dyDescent="0.25">
      <c r="H14170">
        <v>150</v>
      </c>
      <c r="I14170">
        <v>846</v>
      </c>
      <c r="J14170">
        <v>110</v>
      </c>
      <c r="K14170" t="b">
        <v>1</v>
      </c>
    </row>
    <row r="14171" spans="8:11" x14ac:dyDescent="0.25">
      <c r="H14171">
        <v>150</v>
      </c>
      <c r="I14171">
        <v>852</v>
      </c>
      <c r="J14171">
        <v>110</v>
      </c>
      <c r="K14171" t="b">
        <v>1</v>
      </c>
    </row>
    <row r="14172" spans="8:11" x14ac:dyDescent="0.25">
      <c r="H14172">
        <v>150</v>
      </c>
      <c r="I14172">
        <v>858</v>
      </c>
      <c r="J14172">
        <v>110</v>
      </c>
      <c r="K14172" t="b">
        <v>1</v>
      </c>
    </row>
    <row r="14173" spans="8:11" x14ac:dyDescent="0.25">
      <c r="H14173">
        <v>150</v>
      </c>
      <c r="I14173">
        <v>864</v>
      </c>
      <c r="J14173">
        <v>110</v>
      </c>
      <c r="K14173" t="b">
        <v>1</v>
      </c>
    </row>
    <row r="14174" spans="8:11" x14ac:dyDescent="0.25">
      <c r="H14174">
        <v>150</v>
      </c>
      <c r="I14174">
        <v>870</v>
      </c>
      <c r="J14174">
        <v>110</v>
      </c>
      <c r="K14174" t="b">
        <v>1</v>
      </c>
    </row>
    <row r="14175" spans="8:11" x14ac:dyDescent="0.25">
      <c r="H14175">
        <v>150</v>
      </c>
      <c r="I14175">
        <v>876</v>
      </c>
      <c r="J14175">
        <v>110</v>
      </c>
      <c r="K14175" t="b">
        <v>1</v>
      </c>
    </row>
    <row r="14176" spans="8:11" x14ac:dyDescent="0.25">
      <c r="H14176">
        <v>150</v>
      </c>
      <c r="I14176">
        <v>882</v>
      </c>
      <c r="J14176">
        <v>110</v>
      </c>
      <c r="K14176" t="b">
        <v>1</v>
      </c>
    </row>
    <row r="14177" spans="8:11" x14ac:dyDescent="0.25">
      <c r="H14177">
        <v>150</v>
      </c>
      <c r="I14177">
        <v>888</v>
      </c>
      <c r="J14177">
        <v>110</v>
      </c>
      <c r="K14177" t="b">
        <v>1</v>
      </c>
    </row>
    <row r="14178" spans="8:11" x14ac:dyDescent="0.25">
      <c r="H14178">
        <v>150</v>
      </c>
      <c r="I14178">
        <v>894</v>
      </c>
      <c r="J14178">
        <v>110</v>
      </c>
      <c r="K14178" t="b">
        <v>1</v>
      </c>
    </row>
    <row r="14179" spans="8:11" x14ac:dyDescent="0.25">
      <c r="H14179">
        <v>150</v>
      </c>
      <c r="I14179">
        <v>900</v>
      </c>
      <c r="J14179">
        <v>110</v>
      </c>
      <c r="K14179" t="b">
        <v>1</v>
      </c>
    </row>
    <row r="14180" spans="8:11" x14ac:dyDescent="0.25">
      <c r="H14180">
        <v>150</v>
      </c>
      <c r="I14180">
        <v>906</v>
      </c>
      <c r="J14180">
        <v>110</v>
      </c>
      <c r="K14180" t="b">
        <v>1</v>
      </c>
    </row>
    <row r="14181" spans="8:11" x14ac:dyDescent="0.25">
      <c r="H14181">
        <v>150</v>
      </c>
      <c r="I14181">
        <v>912</v>
      </c>
      <c r="J14181">
        <v>110</v>
      </c>
      <c r="K14181" t="b">
        <v>1</v>
      </c>
    </row>
    <row r="14182" spans="8:11" x14ac:dyDescent="0.25">
      <c r="H14182">
        <v>150</v>
      </c>
      <c r="I14182">
        <v>918</v>
      </c>
      <c r="J14182">
        <v>110</v>
      </c>
      <c r="K14182" t="b">
        <v>1</v>
      </c>
    </row>
    <row r="14183" spans="8:11" x14ac:dyDescent="0.25">
      <c r="H14183">
        <v>150</v>
      </c>
      <c r="I14183">
        <v>924</v>
      </c>
      <c r="J14183">
        <v>110</v>
      </c>
      <c r="K14183" t="b">
        <v>1</v>
      </c>
    </row>
    <row r="14184" spans="8:11" x14ac:dyDescent="0.25">
      <c r="H14184">
        <v>150</v>
      </c>
      <c r="I14184">
        <v>930</v>
      </c>
      <c r="J14184">
        <v>110</v>
      </c>
      <c r="K14184" t="b">
        <v>1</v>
      </c>
    </row>
    <row r="14185" spans="8:11" x14ac:dyDescent="0.25">
      <c r="H14185">
        <v>150</v>
      </c>
      <c r="I14185">
        <v>936</v>
      </c>
      <c r="J14185">
        <v>110</v>
      </c>
      <c r="K14185" t="b">
        <v>1</v>
      </c>
    </row>
    <row r="14186" spans="8:11" x14ac:dyDescent="0.25">
      <c r="H14186">
        <v>150</v>
      </c>
      <c r="I14186">
        <v>942</v>
      </c>
      <c r="J14186">
        <v>110</v>
      </c>
      <c r="K14186" t="b">
        <v>1</v>
      </c>
    </row>
    <row r="14187" spans="8:11" x14ac:dyDescent="0.25">
      <c r="H14187">
        <v>150</v>
      </c>
      <c r="I14187">
        <v>948</v>
      </c>
      <c r="J14187">
        <v>110</v>
      </c>
      <c r="K14187" t="b">
        <v>1</v>
      </c>
    </row>
    <row r="14188" spans="8:11" x14ac:dyDescent="0.25">
      <c r="H14188">
        <v>150</v>
      </c>
      <c r="I14188">
        <v>954</v>
      </c>
      <c r="J14188">
        <v>110</v>
      </c>
      <c r="K14188" t="b">
        <v>1</v>
      </c>
    </row>
  </sheetData>
  <autoFilter ref="N2:S2">
    <sortState ref="N3:S3715">
      <sortCondition ref="O2"/>
    </sortState>
  </autoFilter>
  <sortState ref="N3:S3642">
    <sortCondition ref="O3:O3642"/>
  </sortState>
  <dataConsolidate/>
  <dataValidations disablePrompts="1" count="1">
    <dataValidation type="list" allowBlank="1" showInputMessage="1" showErrorMessage="1" sqref="E8">
      <formula1>Остановки</formula1>
    </dataValidation>
  </dataValidations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ИД_Остановки!$B$3:$B$467</xm:f>
          </x14:formula1>
          <xm:sqref>R3061:R3072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1:L18"/>
  <sheetViews>
    <sheetView topLeftCell="A7" workbookViewId="0">
      <selection activeCell="C24" sqref="C24"/>
    </sheetView>
  </sheetViews>
  <sheetFormatPr defaultRowHeight="15" x14ac:dyDescent="0.25"/>
  <cols>
    <col min="12" max="12" width="14.28515625" bestFit="1" customWidth="1"/>
  </cols>
  <sheetData>
    <row r="1" spans="4:12" x14ac:dyDescent="0.25">
      <c r="L1" s="60"/>
    </row>
    <row r="3" spans="4:12" x14ac:dyDescent="0.25">
      <c r="D3" t="s">
        <v>652</v>
      </c>
    </row>
    <row r="11" spans="4:12" x14ac:dyDescent="0.25">
      <c r="D11" t="s">
        <v>653</v>
      </c>
    </row>
    <row r="17" spans="2:2" x14ac:dyDescent="0.25">
      <c r="B17" s="55" t="s">
        <v>668</v>
      </c>
    </row>
    <row r="18" spans="2:2" x14ac:dyDescent="0.25">
      <c r="B18" s="55" t="s">
        <v>669</v>
      </c>
    </row>
  </sheetData>
  <dataConsolidate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Form">
                <anchor moveWithCells="1" sizeWithCells="1">
                  <from>
                    <xdr:col>2</xdr:col>
                    <xdr:colOff>361950</xdr:colOff>
                    <xdr:row>3</xdr:row>
                    <xdr:rowOff>28575</xdr:rowOff>
                  </from>
                  <to>
                    <xdr:col>4</xdr:col>
                    <xdr:colOff>466725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ShowFormMatrCor">
                <anchor moveWithCells="1">
                  <from>
                    <xdr:col>1</xdr:col>
                    <xdr:colOff>9525</xdr:colOff>
                    <xdr:row>12</xdr:row>
                    <xdr:rowOff>9525</xdr:rowOff>
                  </from>
                  <to>
                    <xdr:col>3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ShowFormPass">
                <anchor moveWithCells="1" sizeWithCells="1">
                  <from>
                    <xdr:col>4</xdr:col>
                    <xdr:colOff>9525</xdr:colOff>
                    <xdr:row>12</xdr:row>
                    <xdr:rowOff>9525</xdr:rowOff>
                  </from>
                  <to>
                    <xdr:col>5</xdr:col>
                    <xdr:colOff>590550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generateRoute">
                <anchor moveWithCells="1" sizeWithCells="1">
                  <from>
                    <xdr:col>7</xdr:col>
                    <xdr:colOff>28575</xdr:colOff>
                    <xdr:row>12</xdr:row>
                    <xdr:rowOff>19050</xdr:rowOff>
                  </from>
                  <to>
                    <xdr:col>9</xdr:col>
                    <xdr:colOff>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Button 5">
              <controlPr defaultSize="0" print="0" autoFill="0" autoPict="0" macro="[0]!test">
                <anchor moveWithCells="1" sizeWithCells="1">
                  <from>
                    <xdr:col>1</xdr:col>
                    <xdr:colOff>590550</xdr:colOff>
                    <xdr:row>19</xdr:row>
                    <xdr:rowOff>19050</xdr:rowOff>
                  </from>
                  <to>
                    <xdr:col>3</xdr:col>
                    <xdr:colOff>561975</xdr:colOff>
                    <xdr:row>22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Button 6">
              <controlPr defaultSize="0" print="0" autoFill="0" autoPict="0" macro="[0]!ReloadDistance">
                <anchor moveWithCells="1" sizeWithCells="1">
                  <from>
                    <xdr:col>5</xdr:col>
                    <xdr:colOff>28575</xdr:colOff>
                    <xdr:row>19</xdr:row>
                    <xdr:rowOff>9525</xdr:rowOff>
                  </from>
                  <to>
                    <xdr:col>7</xdr:col>
                    <xdr:colOff>123825</xdr:colOff>
                    <xdr:row>22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Q154"/>
  <sheetViews>
    <sheetView topLeftCell="A132" workbookViewId="0">
      <selection activeCell="C151" sqref="C151:C154"/>
    </sheetView>
  </sheetViews>
  <sheetFormatPr defaultRowHeight="15" x14ac:dyDescent="0.25"/>
  <cols>
    <col min="2" max="2" width="13.140625" style="35" customWidth="1"/>
    <col min="3" max="3" width="9.140625" style="35"/>
    <col min="4" max="4" width="33" style="35" customWidth="1"/>
    <col min="6" max="6" width="12.5703125" style="35" customWidth="1"/>
    <col min="7" max="7" width="13" customWidth="1"/>
    <col min="8" max="8" width="6.28515625" customWidth="1"/>
    <col min="9" max="9" width="10.5703125" customWidth="1"/>
    <col min="10" max="10" width="6.42578125" customWidth="1"/>
    <col min="11" max="11" width="10.85546875" customWidth="1"/>
    <col min="12" max="12" width="13.7109375" customWidth="1"/>
    <col min="13" max="13" width="11.42578125" customWidth="1"/>
    <col min="14" max="14" width="8.42578125" bestFit="1" customWidth="1"/>
    <col min="15" max="16" width="6.28515625" customWidth="1"/>
  </cols>
  <sheetData>
    <row r="1" spans="1:17" x14ac:dyDescent="0.25">
      <c r="B1" s="4" t="s">
        <v>664</v>
      </c>
      <c r="C1" s="14">
        <v>5</v>
      </c>
      <c r="D1" s="4" t="s">
        <v>665</v>
      </c>
      <c r="E1" s="14">
        <v>21</v>
      </c>
      <c r="F1" s="4" t="s">
        <v>666</v>
      </c>
      <c r="G1" s="3">
        <f>E1-C1</f>
        <v>16</v>
      </c>
      <c r="I1" s="55" t="s">
        <v>687</v>
      </c>
      <c r="J1" t="s">
        <v>683</v>
      </c>
      <c r="K1" t="s">
        <v>686</v>
      </c>
      <c r="L1" t="s">
        <v>685</v>
      </c>
      <c r="M1" t="s">
        <v>684</v>
      </c>
      <c r="N1" t="s">
        <v>682</v>
      </c>
      <c r="O1" t="s">
        <v>680</v>
      </c>
      <c r="P1" t="s">
        <v>681</v>
      </c>
      <c r="Q1" s="54" t="s">
        <v>688</v>
      </c>
    </row>
    <row r="2" spans="1:17" x14ac:dyDescent="0.25">
      <c r="B2" t="s">
        <v>662</v>
      </c>
      <c r="I2" t="s">
        <v>679</v>
      </c>
      <c r="J2">
        <f>K2+N2</f>
        <v>1382</v>
      </c>
      <c r="K2">
        <f>L2+M2</f>
        <v>826</v>
      </c>
      <c r="L2" s="35">
        <f>SUMIFS(C5:C250,E5:E250,"=а",F5:F250,"&gt;=90")</f>
        <v>517</v>
      </c>
      <c r="M2" s="35">
        <f>SUMIFS(C5:C250,E5:E250,"=а",F5:F250,"&lt;90")</f>
        <v>309</v>
      </c>
      <c r="N2">
        <f>O2+P2</f>
        <v>556</v>
      </c>
      <c r="O2" s="35">
        <f>SUMIF(E5:E250,"=тв",C5:C250)</f>
        <v>308</v>
      </c>
      <c r="P2" s="35">
        <f>SUMIF(E5:E250,"=т",C5:C250)</f>
        <v>248</v>
      </c>
      <c r="Q2" s="54">
        <f>SUMIF(K5:K250,"=отменен",C5:C250)</f>
        <v>81</v>
      </c>
    </row>
    <row r="3" spans="1:17" x14ac:dyDescent="0.25">
      <c r="B3" s="35" t="s">
        <v>663</v>
      </c>
      <c r="G3" s="54"/>
      <c r="I3" t="s">
        <v>678</v>
      </c>
      <c r="K3" s="35">
        <f>L3+M3</f>
        <v>840</v>
      </c>
      <c r="L3">
        <f>270*2</f>
        <v>540</v>
      </c>
      <c r="M3">
        <f>150*2</f>
        <v>300</v>
      </c>
    </row>
    <row r="4" spans="1:17" ht="30" x14ac:dyDescent="0.25">
      <c r="A4" s="53" t="s">
        <v>656</v>
      </c>
      <c r="B4" s="53" t="s">
        <v>660</v>
      </c>
      <c r="C4" s="53" t="s">
        <v>657</v>
      </c>
      <c r="D4" s="53" t="s">
        <v>0</v>
      </c>
      <c r="E4" s="53" t="s">
        <v>658</v>
      </c>
      <c r="F4" s="53" t="s">
        <v>661</v>
      </c>
      <c r="G4" s="53" t="s">
        <v>659</v>
      </c>
      <c r="I4" s="8"/>
      <c r="N4" s="35"/>
    </row>
    <row r="5" spans="1:17" x14ac:dyDescent="0.25">
      <c r="A5">
        <f>ИД_Маршруты!A3</f>
        <v>1</v>
      </c>
      <c r="B5" s="35">
        <v>84</v>
      </c>
      <c r="C5" s="35">
        <v>16</v>
      </c>
      <c r="D5" s="35" t="str">
        <f>ИД_Маршруты!B3</f>
        <v>3 Обувная фабрика - КИМ (прямой)</v>
      </c>
      <c r="E5" s="35" t="str">
        <f>ИД_Маршруты!C3</f>
        <v>тв</v>
      </c>
      <c r="F5" s="35">
        <v>115</v>
      </c>
      <c r="G5">
        <f t="shared" ref="G5:G36" si="0">ROUND(B5/C5,0)</f>
        <v>5</v>
      </c>
      <c r="I5" s="8"/>
    </row>
    <row r="6" spans="1:17" x14ac:dyDescent="0.25">
      <c r="A6" s="35">
        <f>ИД_Маршруты!A4</f>
        <v>2</v>
      </c>
      <c r="B6" s="35">
        <v>84</v>
      </c>
      <c r="C6" s="35">
        <v>16</v>
      </c>
      <c r="D6" s="35" t="str">
        <f>ИД_Маршруты!B4</f>
        <v xml:space="preserve">3 КИМ - Обувная фабрика (обратный) </v>
      </c>
      <c r="E6" s="35" t="str">
        <f>ИД_Маршруты!C4</f>
        <v>тв</v>
      </c>
      <c r="F6" s="35">
        <v>115</v>
      </c>
      <c r="G6" s="35">
        <f t="shared" si="0"/>
        <v>5</v>
      </c>
      <c r="I6" s="8"/>
    </row>
    <row r="7" spans="1:17" x14ac:dyDescent="0.25">
      <c r="A7" s="35">
        <f>ИД_Маршруты!A5</f>
        <v>3</v>
      </c>
      <c r="B7" s="35">
        <v>86</v>
      </c>
      <c r="C7" s="35">
        <v>14</v>
      </c>
      <c r="D7" s="35" t="str">
        <f>ИД_Маршруты!B5</f>
        <v>4 Обувная фабрика - Детский центр (прямой)</v>
      </c>
      <c r="E7" s="35" t="str">
        <f>ИД_Маршруты!C5</f>
        <v>тв</v>
      </c>
      <c r="F7" s="35">
        <v>115</v>
      </c>
      <c r="G7" s="35">
        <f t="shared" si="0"/>
        <v>6</v>
      </c>
      <c r="I7" s="8"/>
    </row>
    <row r="8" spans="1:17" x14ac:dyDescent="0.25">
      <c r="A8" s="35">
        <f>ИД_Маршруты!A6</f>
        <v>4</v>
      </c>
      <c r="B8" s="35">
        <v>86</v>
      </c>
      <c r="C8" s="35">
        <v>14</v>
      </c>
      <c r="D8" s="35" t="str">
        <f>ИД_Маршруты!B6</f>
        <v>4 Детский центр - Обувная фабрика (обратный)</v>
      </c>
      <c r="E8" s="35" t="str">
        <f>ИД_Маршруты!C6</f>
        <v>тв</v>
      </c>
      <c r="F8" s="35">
        <v>115</v>
      </c>
      <c r="G8" s="35">
        <f t="shared" si="0"/>
        <v>6</v>
      </c>
      <c r="I8" s="8"/>
    </row>
    <row r="9" spans="1:17" x14ac:dyDescent="0.25">
      <c r="A9" s="35">
        <f>ИД_Маршруты!A7</f>
        <v>5</v>
      </c>
      <c r="B9" s="35">
        <v>106</v>
      </c>
      <c r="C9" s="35">
        <v>15</v>
      </c>
      <c r="D9" s="35" t="str">
        <f>ИД_Маршруты!B7</f>
        <v>5 ул. Радомская - Жилгородок (прямой)</v>
      </c>
      <c r="E9" s="35" t="str">
        <f>ИД_Маршруты!C7</f>
        <v>тв</v>
      </c>
      <c r="F9" s="35">
        <v>115</v>
      </c>
      <c r="G9" s="35">
        <f t="shared" si="0"/>
        <v>7</v>
      </c>
    </row>
    <row r="10" spans="1:17" x14ac:dyDescent="0.25">
      <c r="A10" s="35">
        <f>ИД_Маршруты!A8</f>
        <v>6</v>
      </c>
      <c r="B10" s="35">
        <v>106</v>
      </c>
      <c r="C10" s="35">
        <v>15</v>
      </c>
      <c r="D10" s="35" t="str">
        <f>ИД_Маршруты!B8</f>
        <v xml:space="preserve">5 Жилгородок - ул. Радомская (обратный) </v>
      </c>
      <c r="E10" s="35" t="str">
        <f>ИД_Маршруты!C8</f>
        <v>тв</v>
      </c>
      <c r="F10" s="35">
        <v>115</v>
      </c>
      <c r="G10" s="35">
        <f t="shared" si="0"/>
        <v>7</v>
      </c>
    </row>
    <row r="11" spans="1:17" x14ac:dyDescent="0.25">
      <c r="A11" s="35">
        <f>ИД_Маршруты!A9</f>
        <v>7</v>
      </c>
      <c r="B11" s="35">
        <v>71</v>
      </c>
      <c r="C11" s="35">
        <v>26</v>
      </c>
      <c r="D11" s="35" t="str">
        <f>ИД_Маршруты!B9</f>
        <v>СТ ВГТЗ - пл. Чекистов (прямой)</v>
      </c>
      <c r="E11" s="35" t="str">
        <f>ИД_Маршруты!C9</f>
        <v>тв</v>
      </c>
      <c r="F11" s="35">
        <v>115</v>
      </c>
      <c r="G11" s="35">
        <f t="shared" si="0"/>
        <v>3</v>
      </c>
    </row>
    <row r="12" spans="1:17" x14ac:dyDescent="0.25">
      <c r="A12" s="35">
        <f>ИД_Маршруты!A10</f>
        <v>8</v>
      </c>
      <c r="B12" s="35">
        <v>71</v>
      </c>
      <c r="C12" s="35">
        <v>26</v>
      </c>
      <c r="D12" s="35" t="str">
        <f>ИД_Маршруты!B10</f>
        <v>СТ пл. Чекистов - ВГТЗ (обратный)</v>
      </c>
      <c r="E12" s="35" t="str">
        <f>ИД_Маршруты!C10</f>
        <v>тв</v>
      </c>
      <c r="F12" s="35">
        <v>115</v>
      </c>
      <c r="G12" s="35">
        <f t="shared" si="0"/>
        <v>3</v>
      </c>
    </row>
    <row r="13" spans="1:17" x14ac:dyDescent="0.25">
      <c r="A13" s="35">
        <f>ИД_Маршруты!A11</f>
        <v>9</v>
      </c>
      <c r="B13" s="35">
        <v>78</v>
      </c>
      <c r="C13" s="35">
        <v>7</v>
      </c>
      <c r="D13" s="35" t="str">
        <f>ИД_Маршруты!B11</f>
        <v>СТ2 стадион Монолит - Елышанка (прямой)</v>
      </c>
      <c r="E13" s="35" t="str">
        <f>ИД_Маршруты!C11</f>
        <v>тв</v>
      </c>
      <c r="F13" s="35">
        <v>350</v>
      </c>
      <c r="G13" s="35">
        <f t="shared" si="0"/>
        <v>11</v>
      </c>
    </row>
    <row r="14" spans="1:17" x14ac:dyDescent="0.25">
      <c r="A14" s="35">
        <f>ИД_Маршруты!A12</f>
        <v>10</v>
      </c>
      <c r="B14" s="35">
        <v>78</v>
      </c>
      <c r="C14" s="35">
        <v>7</v>
      </c>
      <c r="D14" s="35" t="str">
        <f>ИД_Маршруты!B12</f>
        <v>СТ2 Елышанка - стадион Монолит (обратный)</v>
      </c>
      <c r="E14" s="35" t="str">
        <f>ИД_Маршруты!C12</f>
        <v>тв</v>
      </c>
      <c r="F14" s="35">
        <v>350</v>
      </c>
      <c r="G14" s="35">
        <f t="shared" si="0"/>
        <v>11</v>
      </c>
    </row>
    <row r="15" spans="1:17" x14ac:dyDescent="0.25">
      <c r="A15" s="35">
        <f>ИД_Маршруты!A13</f>
        <v>11</v>
      </c>
      <c r="B15" s="35">
        <v>58</v>
      </c>
      <c r="C15" s="35">
        <v>3</v>
      </c>
      <c r="D15" s="35" t="str">
        <f>ИД_Маршруты!B13</f>
        <v>1 Детский центр - ул. Мончегорская (прямой)</v>
      </c>
      <c r="E15" s="35" t="str">
        <f>ИД_Маршруты!C13</f>
        <v>тв</v>
      </c>
      <c r="F15" s="35">
        <v>115</v>
      </c>
      <c r="G15" s="35">
        <f t="shared" si="0"/>
        <v>19</v>
      </c>
    </row>
    <row r="16" spans="1:17" x14ac:dyDescent="0.25">
      <c r="A16" s="35">
        <f>ИД_Маршруты!A14</f>
        <v>12</v>
      </c>
      <c r="B16" s="35">
        <v>58</v>
      </c>
      <c r="C16" s="35">
        <v>3</v>
      </c>
      <c r="D16" s="35" t="str">
        <f>ИД_Маршруты!B14</f>
        <v>1 ул. Мончегорская -Детский центр (обратный)</v>
      </c>
      <c r="E16" s="35" t="str">
        <f>ИД_Маршруты!C14</f>
        <v>тв</v>
      </c>
      <c r="F16" s="35">
        <v>115</v>
      </c>
      <c r="G16" s="35">
        <f t="shared" si="0"/>
        <v>19</v>
      </c>
    </row>
    <row r="17" spans="1:7" x14ac:dyDescent="0.25">
      <c r="A17" s="35">
        <f>ИД_Маршруты!A15</f>
        <v>13</v>
      </c>
      <c r="B17" s="35">
        <v>38</v>
      </c>
      <c r="C17" s="35">
        <v>9</v>
      </c>
      <c r="D17" s="35" t="str">
        <f>ИД_Маршруты!B15</f>
        <v>2 Детский центр - 36 школа (прямой)</v>
      </c>
      <c r="E17" s="35" t="str">
        <f>ИД_Маршруты!C15</f>
        <v>тв</v>
      </c>
      <c r="F17" s="35">
        <v>115</v>
      </c>
      <c r="G17" s="35">
        <f t="shared" si="0"/>
        <v>4</v>
      </c>
    </row>
    <row r="18" spans="1:7" x14ac:dyDescent="0.25">
      <c r="A18" s="35">
        <f>ИД_Маршруты!A16</f>
        <v>14</v>
      </c>
      <c r="B18" s="35">
        <v>38</v>
      </c>
      <c r="C18" s="35">
        <v>9</v>
      </c>
      <c r="D18" s="35" t="str">
        <f>ИД_Маршруты!B16</f>
        <v>2 36 школа - Детский центр (обратный)</v>
      </c>
      <c r="E18" s="35" t="str">
        <f>ИД_Маршруты!C16</f>
        <v>тв</v>
      </c>
      <c r="F18" s="35">
        <v>115</v>
      </c>
      <c r="G18" s="35">
        <f t="shared" si="0"/>
        <v>4</v>
      </c>
    </row>
    <row r="19" spans="1:7" x14ac:dyDescent="0.25">
      <c r="A19" s="35">
        <f>ИД_Маршруты!A17</f>
        <v>15</v>
      </c>
      <c r="B19" s="35">
        <v>190</v>
      </c>
      <c r="C19" s="35">
        <v>41</v>
      </c>
      <c r="D19" s="35" t="str">
        <f>ИД_Маршруты!B17</f>
        <v>9 пл. Куйбышева - Спартановка (прямой)</v>
      </c>
      <c r="E19" s="35" t="str">
        <f>ИД_Маршруты!C17</f>
        <v>т</v>
      </c>
      <c r="F19" s="35">
        <v>110</v>
      </c>
      <c r="G19" s="35">
        <f t="shared" si="0"/>
        <v>5</v>
      </c>
    </row>
    <row r="20" spans="1:7" x14ac:dyDescent="0.25">
      <c r="A20" s="35">
        <f>ИД_Маршруты!A18</f>
        <v>16</v>
      </c>
      <c r="B20" s="35">
        <v>190</v>
      </c>
      <c r="C20" s="35">
        <v>41</v>
      </c>
      <c r="D20" s="35" t="str">
        <f>ИД_Маршруты!B18</f>
        <v>9 Спартановка - пл. Куйбышева (обратный)</v>
      </c>
      <c r="E20" s="35" t="str">
        <f>ИД_Маршруты!C18</f>
        <v>т</v>
      </c>
      <c r="F20" s="35">
        <v>110</v>
      </c>
      <c r="G20" s="35">
        <f t="shared" si="0"/>
        <v>5</v>
      </c>
    </row>
    <row r="21" spans="1:7" x14ac:dyDescent="0.25">
      <c r="A21" s="35">
        <f>ИД_Маршруты!A19</f>
        <v>17</v>
      </c>
      <c r="B21" s="35">
        <v>97</v>
      </c>
      <c r="C21" s="35">
        <v>8</v>
      </c>
      <c r="D21" s="35" t="str">
        <f>ИД_Маршруты!B19</f>
        <v>10 ул. им. Землячки - пл. Куйбышева (прямой)</v>
      </c>
      <c r="E21" s="35" t="str">
        <f>ИД_Маршруты!C19</f>
        <v>т</v>
      </c>
      <c r="F21" s="35">
        <v>110</v>
      </c>
      <c r="G21" s="35">
        <f t="shared" si="0"/>
        <v>12</v>
      </c>
    </row>
    <row r="22" spans="1:7" x14ac:dyDescent="0.25">
      <c r="A22" s="35">
        <f>ИД_Маршруты!A20</f>
        <v>18</v>
      </c>
      <c r="B22" s="35">
        <v>97</v>
      </c>
      <c r="C22" s="35">
        <v>8</v>
      </c>
      <c r="D22" s="35" t="str">
        <f>ИД_Маршруты!B20</f>
        <v>10 пл. Куйбышева - ул. им. Землячки (обратный)</v>
      </c>
      <c r="E22" s="35" t="str">
        <f>ИД_Маршруты!C20</f>
        <v>т</v>
      </c>
      <c r="F22" s="35">
        <v>110</v>
      </c>
      <c r="G22" s="35">
        <f t="shared" si="0"/>
        <v>12</v>
      </c>
    </row>
    <row r="23" spans="1:7" x14ac:dyDescent="0.25">
      <c r="A23" s="35">
        <f>ИД_Маршруты!A21</f>
        <v>19</v>
      </c>
      <c r="B23" s="35">
        <v>126</v>
      </c>
      <c r="C23" s="35">
        <v>14</v>
      </c>
      <c r="D23" s="35" t="str">
        <f>ИД_Маршруты!B21</f>
        <v>12 Детский центр - Спартановка (прямой)</v>
      </c>
      <c r="E23" s="35" t="str">
        <f>ИД_Маршруты!C21</f>
        <v>т</v>
      </c>
      <c r="F23" s="35">
        <v>110</v>
      </c>
      <c r="G23" s="35">
        <f t="shared" si="0"/>
        <v>9</v>
      </c>
    </row>
    <row r="24" spans="1:7" x14ac:dyDescent="0.25">
      <c r="A24" s="35">
        <f>ИД_Маршруты!A22</f>
        <v>20</v>
      </c>
      <c r="B24" s="35">
        <v>126</v>
      </c>
      <c r="C24" s="35">
        <v>14</v>
      </c>
      <c r="D24" s="35" t="str">
        <f>ИД_Маршруты!B22</f>
        <v>12 Спартановка - Детский центр (обратный)</v>
      </c>
      <c r="E24" s="35" t="str">
        <f>ИД_Маршруты!C22</f>
        <v>т</v>
      </c>
      <c r="F24" s="35">
        <v>110</v>
      </c>
      <c r="G24" s="35">
        <f t="shared" si="0"/>
        <v>9</v>
      </c>
    </row>
    <row r="25" spans="1:7" x14ac:dyDescent="0.25">
      <c r="A25" s="35">
        <f>ИД_Маршруты!A23</f>
        <v>21</v>
      </c>
      <c r="B25" s="35">
        <v>126</v>
      </c>
      <c r="C25" s="35">
        <v>14</v>
      </c>
      <c r="D25" s="35" t="str">
        <f>ИД_Маршруты!B23</f>
        <v>12В Спартановка - ЖД вокзал (прямой)</v>
      </c>
      <c r="E25" s="35" t="str">
        <f>ИД_Маршруты!C23</f>
        <v>т</v>
      </c>
      <c r="F25" s="35">
        <v>110</v>
      </c>
      <c r="G25" s="35">
        <f t="shared" si="0"/>
        <v>9</v>
      </c>
    </row>
    <row r="26" spans="1:7" x14ac:dyDescent="0.25">
      <c r="A26" s="35">
        <f>ИД_Маршруты!A24</f>
        <v>22</v>
      </c>
      <c r="B26" s="35">
        <v>126</v>
      </c>
      <c r="C26" s="35">
        <v>14</v>
      </c>
      <c r="D26" s="35" t="str">
        <f>ИД_Маршруты!B24</f>
        <v>12В ЖД вокзал - Спартановка (обратный)</v>
      </c>
      <c r="E26" s="35" t="str">
        <f>ИД_Маршруты!C24</f>
        <v>т</v>
      </c>
      <c r="F26" s="35">
        <v>110</v>
      </c>
      <c r="G26" s="35">
        <f t="shared" si="0"/>
        <v>9</v>
      </c>
    </row>
    <row r="27" spans="1:7" x14ac:dyDescent="0.25">
      <c r="A27" s="35">
        <f>ИД_Маршруты!A25</f>
        <v>23</v>
      </c>
      <c r="B27" s="35">
        <v>78</v>
      </c>
      <c r="C27" s="35">
        <v>4</v>
      </c>
      <c r="D27" s="35" t="str">
        <f>ИД_Маршруты!B25</f>
        <v>15 ЖД вокзал - Больничный комплекс (прямой)</v>
      </c>
      <c r="E27" s="35" t="str">
        <f>ИД_Маршруты!C25</f>
        <v>т</v>
      </c>
      <c r="F27" s="35">
        <v>110</v>
      </c>
      <c r="G27" s="35">
        <f t="shared" si="0"/>
        <v>20</v>
      </c>
    </row>
    <row r="28" spans="1:7" x14ac:dyDescent="0.25">
      <c r="A28" s="35">
        <f>ИД_Маршруты!A26</f>
        <v>24</v>
      </c>
      <c r="B28" s="35">
        <v>78</v>
      </c>
      <c r="C28" s="35">
        <v>4</v>
      </c>
      <c r="D28" s="35" t="str">
        <f>ИД_Маршруты!B26</f>
        <v>15 Больничный комплекс - ЖД вокзал (обратный)</v>
      </c>
      <c r="E28" s="35" t="str">
        <f>ИД_Маршруты!C26</f>
        <v>т</v>
      </c>
      <c r="F28" s="35">
        <v>110</v>
      </c>
      <c r="G28" s="35">
        <f t="shared" si="0"/>
        <v>20</v>
      </c>
    </row>
    <row r="29" spans="1:7" x14ac:dyDescent="0.25">
      <c r="A29" s="35">
        <f>ИД_Маршруты!A27</f>
        <v>25</v>
      </c>
      <c r="B29" s="35">
        <v>119</v>
      </c>
      <c r="C29" s="35">
        <v>23</v>
      </c>
      <c r="D29" s="35" t="str">
        <f>ИД_Маршруты!B27</f>
        <v>15А пл. Куйбышева - Больничный комплекс (прямой)</v>
      </c>
      <c r="E29" s="35" t="str">
        <f>ИД_Маршруты!C27</f>
        <v>т</v>
      </c>
      <c r="F29" s="35">
        <v>110</v>
      </c>
      <c r="G29" s="35">
        <f t="shared" si="0"/>
        <v>5</v>
      </c>
    </row>
    <row r="30" spans="1:7" x14ac:dyDescent="0.25">
      <c r="A30" s="35">
        <f>ИД_Маршруты!A28</f>
        <v>26</v>
      </c>
      <c r="B30" s="35">
        <v>119</v>
      </c>
      <c r="C30" s="35">
        <v>23</v>
      </c>
      <c r="D30" s="35" t="str">
        <f>ИД_Маршруты!B28</f>
        <v>15А Больничный комплекс - пл. Куйбышева (обратный)</v>
      </c>
      <c r="E30" s="35" t="str">
        <f>ИД_Маршруты!C28</f>
        <v>т</v>
      </c>
      <c r="F30" s="35">
        <v>110</v>
      </c>
      <c r="G30" s="35">
        <f t="shared" si="0"/>
        <v>5</v>
      </c>
    </row>
    <row r="31" spans="1:7" x14ac:dyDescent="0.25">
      <c r="A31" s="35">
        <f>ИД_Маршруты!A29</f>
        <v>27</v>
      </c>
      <c r="B31" s="35">
        <v>61</v>
      </c>
      <c r="C31" s="35">
        <v>2</v>
      </c>
      <c r="D31" s="35" t="str">
        <f>ИД_Маршруты!B29</f>
        <v>6 ул. КИМ - Школа №36 (прямой)</v>
      </c>
      <c r="E31" s="35" t="str">
        <f>ИД_Маршруты!C29</f>
        <v>тв</v>
      </c>
      <c r="F31" s="35">
        <v>115</v>
      </c>
      <c r="G31" s="35">
        <f t="shared" si="0"/>
        <v>31</v>
      </c>
    </row>
    <row r="32" spans="1:7" x14ac:dyDescent="0.25">
      <c r="A32" s="35">
        <f>ИД_Маршруты!A30</f>
        <v>28</v>
      </c>
      <c r="B32" s="35">
        <v>61</v>
      </c>
      <c r="C32" s="35">
        <v>2</v>
      </c>
      <c r="D32" s="35" t="str">
        <f>ИД_Маршруты!B30</f>
        <v>6 Школа №36 - ул. КИМ (обратный)</v>
      </c>
      <c r="E32" s="35" t="str">
        <f>ИД_Маршруты!C30</f>
        <v>тв</v>
      </c>
      <c r="F32" s="35">
        <v>115</v>
      </c>
      <c r="G32" s="35">
        <f t="shared" si="0"/>
        <v>31</v>
      </c>
    </row>
    <row r="33" spans="1:11" x14ac:dyDescent="0.25">
      <c r="A33" s="35">
        <f>ИД_Маршруты!A31</f>
        <v>29</v>
      </c>
      <c r="B33" s="35">
        <v>107</v>
      </c>
      <c r="C33" s="35">
        <v>5</v>
      </c>
      <c r="D33" s="35" t="str">
        <f>ИД_Маршруты!B31</f>
        <v>7 ул. КИМ - Жилгородок (прямой)</v>
      </c>
      <c r="E33" s="35" t="str">
        <f>ИД_Маршруты!C31</f>
        <v>тв</v>
      </c>
      <c r="F33" s="35">
        <v>115</v>
      </c>
      <c r="G33" s="35">
        <f t="shared" si="0"/>
        <v>21</v>
      </c>
    </row>
    <row r="34" spans="1:11" x14ac:dyDescent="0.25">
      <c r="A34" s="35">
        <f>ИД_Маршруты!A32</f>
        <v>30</v>
      </c>
      <c r="B34" s="35">
        <v>107</v>
      </c>
      <c r="C34" s="35">
        <v>5</v>
      </c>
      <c r="D34" s="35" t="str">
        <f>ИД_Маршруты!B32</f>
        <v>7 Жилгородок - ул. КИМ (обратный)</v>
      </c>
      <c r="E34" s="35" t="str">
        <f>ИД_Маршруты!C32</f>
        <v>тв</v>
      </c>
      <c r="F34" s="35">
        <v>115</v>
      </c>
      <c r="G34" s="35">
        <f t="shared" si="0"/>
        <v>21</v>
      </c>
    </row>
    <row r="35" spans="1:11" x14ac:dyDescent="0.25">
      <c r="A35" s="35">
        <f>ИД_Маршруты!A33</f>
        <v>31</v>
      </c>
      <c r="B35" s="35">
        <v>85</v>
      </c>
      <c r="C35" s="35">
        <v>15</v>
      </c>
      <c r="D35" s="35" t="str">
        <f>ИД_Маршруты!B33</f>
        <v>10 Жилгородок - Детский центр (прямой)</v>
      </c>
      <c r="E35" s="35" t="str">
        <f>ИД_Маршруты!C33</f>
        <v>тв</v>
      </c>
      <c r="F35" s="35">
        <v>115</v>
      </c>
      <c r="G35" s="35">
        <f t="shared" si="0"/>
        <v>6</v>
      </c>
    </row>
    <row r="36" spans="1:11" x14ac:dyDescent="0.25">
      <c r="A36" s="35">
        <f>ИД_Маршруты!A34</f>
        <v>32</v>
      </c>
      <c r="B36" s="35">
        <v>85</v>
      </c>
      <c r="C36" s="35">
        <v>15</v>
      </c>
      <c r="D36" s="35" t="str">
        <f>ИД_Маршруты!B34</f>
        <v>10 Детский центр - Жилгородок (обратный)</v>
      </c>
      <c r="E36" s="35" t="str">
        <f>ИД_Маршруты!C34</f>
        <v>тв</v>
      </c>
      <c r="F36" s="35">
        <v>115</v>
      </c>
      <c r="G36" s="35">
        <f t="shared" si="0"/>
        <v>6</v>
      </c>
    </row>
    <row r="37" spans="1:11" x14ac:dyDescent="0.25">
      <c r="A37" s="35">
        <f>ИД_Маршруты!A35</f>
        <v>33</v>
      </c>
      <c r="B37" s="35">
        <v>67</v>
      </c>
      <c r="C37" s="35">
        <v>28</v>
      </c>
      <c r="D37" s="35" t="str">
        <f>ИД_Маршруты!B35</f>
        <v>11 ОАО Каустик - Судоверфь (прямой)</v>
      </c>
      <c r="E37" s="35" t="str">
        <f>ИД_Маршруты!C35</f>
        <v>тв</v>
      </c>
      <c r="F37" s="35">
        <v>115</v>
      </c>
      <c r="G37" s="35">
        <f t="shared" ref="G37:G68" si="1">ROUND(B37/C37,0)</f>
        <v>2</v>
      </c>
    </row>
    <row r="38" spans="1:11" x14ac:dyDescent="0.25">
      <c r="A38" s="35">
        <f>ИД_Маршруты!A36</f>
        <v>34</v>
      </c>
      <c r="B38" s="35">
        <v>67</v>
      </c>
      <c r="C38" s="35">
        <v>28</v>
      </c>
      <c r="D38" s="35" t="str">
        <f>ИД_Маршруты!B36</f>
        <v>11 Судоверфь - ОАО Каустик (обратный)</v>
      </c>
      <c r="E38" s="35" t="str">
        <f>ИД_Маршруты!C36</f>
        <v>тв</v>
      </c>
      <c r="F38" s="35">
        <v>115</v>
      </c>
      <c r="G38" s="35">
        <f t="shared" si="1"/>
        <v>2</v>
      </c>
    </row>
    <row r="39" spans="1:11" x14ac:dyDescent="0.25">
      <c r="A39" s="35">
        <f>ИД_Маршруты!A37</f>
        <v>35</v>
      </c>
      <c r="B39" s="35">
        <v>92</v>
      </c>
      <c r="C39" s="35">
        <v>4</v>
      </c>
      <c r="D39" s="35" t="str">
        <f>ИД_Маршруты!B37</f>
        <v>12 Школа №36 - Жилгородок (прямой)</v>
      </c>
      <c r="E39" s="35" t="str">
        <f>ИД_Маршруты!C37</f>
        <v>тв</v>
      </c>
      <c r="F39" s="35">
        <v>115</v>
      </c>
      <c r="G39" s="35">
        <f t="shared" si="1"/>
        <v>23</v>
      </c>
    </row>
    <row r="40" spans="1:11" x14ac:dyDescent="0.25">
      <c r="A40" s="35">
        <f>ИД_Маршруты!A38</f>
        <v>36</v>
      </c>
      <c r="B40" s="35">
        <v>92</v>
      </c>
      <c r="C40" s="35">
        <v>4</v>
      </c>
      <c r="D40" s="35" t="str">
        <f>ИД_Маршруты!B38</f>
        <v>12 Жилгородок - Школа №36 (обратный)</v>
      </c>
      <c r="E40" s="35" t="str">
        <f>ИД_Маршруты!C38</f>
        <v>тв</v>
      </c>
      <c r="F40" s="35">
        <v>115</v>
      </c>
      <c r="G40" s="35">
        <f t="shared" si="1"/>
        <v>23</v>
      </c>
    </row>
    <row r="41" spans="1:11" x14ac:dyDescent="0.25">
      <c r="A41" s="35">
        <f>ИД_Маршруты!A39</f>
        <v>37</v>
      </c>
      <c r="B41" s="35">
        <v>98</v>
      </c>
      <c r="C41" s="35">
        <v>11</v>
      </c>
      <c r="D41" s="35" t="str">
        <f>ИД_Маршруты!B39</f>
        <v>98 Речпорт - ТРЦ "Комсомолл" (прямой)</v>
      </c>
      <c r="E41" s="35" t="str">
        <f>ИД_Маршруты!C39</f>
        <v>а</v>
      </c>
      <c r="F41" s="35">
        <v>75</v>
      </c>
      <c r="G41" s="35">
        <f t="shared" si="1"/>
        <v>9</v>
      </c>
    </row>
    <row r="42" spans="1:11" x14ac:dyDescent="0.25">
      <c r="A42" s="35">
        <f>ИД_Маршруты!A40</f>
        <v>38</v>
      </c>
      <c r="B42" s="35">
        <v>98</v>
      </c>
      <c r="C42" s="35">
        <v>11</v>
      </c>
      <c r="D42" s="35" t="str">
        <f>ИД_Маршруты!B40</f>
        <v>98 ТРЦ "Комсомолл" - Речпорт (обратный)</v>
      </c>
      <c r="E42" s="35" t="str">
        <f>ИД_Маршруты!C40</f>
        <v>а</v>
      </c>
      <c r="F42" s="35">
        <v>75</v>
      </c>
      <c r="G42" s="35">
        <f t="shared" si="1"/>
        <v>9</v>
      </c>
    </row>
    <row r="43" spans="1:11" x14ac:dyDescent="0.25">
      <c r="A43" s="35">
        <f>ИД_Маршруты!A41</f>
        <v>39</v>
      </c>
      <c r="B43" s="35">
        <v>100</v>
      </c>
      <c r="C43" s="35">
        <v>2</v>
      </c>
      <c r="D43" s="35" t="str">
        <f>ИД_Маршруты!B41</f>
        <v>4 ЖД Больница - пл. Ленина (прямой)</v>
      </c>
      <c r="E43" s="35" t="str">
        <f>ИД_Маршруты!C41</f>
        <v>а</v>
      </c>
      <c r="F43" s="35">
        <v>70</v>
      </c>
      <c r="G43" s="35">
        <f t="shared" si="1"/>
        <v>50</v>
      </c>
    </row>
    <row r="44" spans="1:11" x14ac:dyDescent="0.25">
      <c r="A44" s="35">
        <f>ИД_Маршруты!A42</f>
        <v>40</v>
      </c>
      <c r="B44" s="35">
        <v>100</v>
      </c>
      <c r="C44" s="35">
        <v>2</v>
      </c>
      <c r="D44" s="35" t="str">
        <f>ИД_Маршруты!B42</f>
        <v>4 пл. Ленина - ЖД Больница (обратный)</v>
      </c>
      <c r="E44" s="35" t="str">
        <f>ИД_Маршруты!C42</f>
        <v>а</v>
      </c>
      <c r="F44" s="35">
        <v>70</v>
      </c>
      <c r="G44" s="35">
        <f t="shared" si="1"/>
        <v>50</v>
      </c>
    </row>
    <row r="45" spans="1:11" x14ac:dyDescent="0.25">
      <c r="A45" s="35">
        <f>ИД_Маршруты!A43</f>
        <v>41</v>
      </c>
      <c r="B45" s="35">
        <v>50</v>
      </c>
      <c r="C45" s="35">
        <v>2</v>
      </c>
      <c r="D45" s="35" t="str">
        <f>ИД_Маршруты!B43</f>
        <v>11а пл. ВГТЗ - пос. Верхнезареченский (прямой)</v>
      </c>
      <c r="E45" s="35" t="str">
        <f>ИД_Маршруты!C43</f>
        <v>а</v>
      </c>
      <c r="F45" s="35">
        <v>80</v>
      </c>
      <c r="G45" s="35">
        <f t="shared" si="1"/>
        <v>25</v>
      </c>
    </row>
    <row r="46" spans="1:11" x14ac:dyDescent="0.25">
      <c r="A46" s="35">
        <f>ИД_Маршруты!A44</f>
        <v>42</v>
      </c>
      <c r="B46" s="35">
        <v>50</v>
      </c>
      <c r="C46" s="35">
        <v>2</v>
      </c>
      <c r="D46" s="35" t="str">
        <f>ИД_Маршруты!B44</f>
        <v>11а пос. Верхнезареченский - пл. ВГТЗ (обратный)</v>
      </c>
      <c r="E46" s="35" t="str">
        <f>ИД_Маршруты!C44</f>
        <v>а</v>
      </c>
      <c r="F46" s="35">
        <v>80</v>
      </c>
      <c r="G46" s="35">
        <f t="shared" si="1"/>
        <v>25</v>
      </c>
    </row>
    <row r="47" spans="1:11" x14ac:dyDescent="0.25">
      <c r="A47" s="35">
        <f>ИД_Маршруты!A45</f>
        <v>43</v>
      </c>
      <c r="B47" s="35">
        <v>60</v>
      </c>
      <c r="C47" s="35">
        <v>1</v>
      </c>
      <c r="D47" s="35" t="str">
        <f>ИД_Маршруты!B45</f>
        <v>32 СНТ Татьянка - к/т Юбилейный (прямой)</v>
      </c>
      <c r="E47" s="35" t="str">
        <f>ИД_Маршруты!C45</f>
        <v>а</v>
      </c>
      <c r="F47" s="35">
        <v>80</v>
      </c>
      <c r="G47" s="35">
        <f t="shared" si="1"/>
        <v>60</v>
      </c>
      <c r="K47" s="35" t="s">
        <v>667</v>
      </c>
    </row>
    <row r="48" spans="1:11" x14ac:dyDescent="0.25">
      <c r="A48" s="35">
        <f>ИД_Маршруты!A46</f>
        <v>44</v>
      </c>
      <c r="B48" s="35">
        <v>60</v>
      </c>
      <c r="C48" s="35">
        <v>1</v>
      </c>
      <c r="D48" s="35" t="str">
        <f>ИД_Маршруты!B46</f>
        <v>32 к/т Юбилейный - СНТ Татьянка (обратный)</v>
      </c>
      <c r="E48" s="35" t="str">
        <f>ИД_Маршруты!C46</f>
        <v>а</v>
      </c>
      <c r="F48" s="35">
        <v>80</v>
      </c>
      <c r="G48" s="35">
        <f t="shared" si="1"/>
        <v>60</v>
      </c>
      <c r="K48" s="35" t="s">
        <v>667</v>
      </c>
    </row>
    <row r="49" spans="1:11" x14ac:dyDescent="0.25">
      <c r="A49" s="35">
        <f>ИД_Маршруты!A47</f>
        <v>45</v>
      </c>
      <c r="B49" s="35">
        <v>60</v>
      </c>
      <c r="C49" s="35">
        <v>2</v>
      </c>
      <c r="D49" s="35" t="str">
        <f>ИД_Маршруты!B47</f>
        <v>48 ВГТЗ - Дачи (кольцевой)</v>
      </c>
      <c r="E49" s="35" t="str">
        <f>ИД_Маршруты!C47</f>
        <v>а</v>
      </c>
      <c r="F49" s="35">
        <v>110</v>
      </c>
      <c r="G49" s="35">
        <f t="shared" si="1"/>
        <v>30</v>
      </c>
      <c r="K49" s="35" t="s">
        <v>667</v>
      </c>
    </row>
    <row r="50" spans="1:11" x14ac:dyDescent="0.25">
      <c r="A50" s="35">
        <f>ИД_Маршруты!A48</f>
        <v>46</v>
      </c>
      <c r="B50" s="35">
        <v>60</v>
      </c>
      <c r="C50" s="35">
        <v>2</v>
      </c>
      <c r="D50" s="35" t="str">
        <f>ИД_Маршруты!B48</f>
        <v>50Э Обувная фабрика - дачи Автотранспортник (прямой)</v>
      </c>
      <c r="E50" s="35" t="str">
        <f>ИД_Маршруты!C48</f>
        <v>а</v>
      </c>
      <c r="F50" s="35">
        <v>80</v>
      </c>
      <c r="G50" s="35">
        <f t="shared" si="1"/>
        <v>30</v>
      </c>
      <c r="K50" s="35" t="s">
        <v>667</v>
      </c>
    </row>
    <row r="51" spans="1:11" x14ac:dyDescent="0.25">
      <c r="A51" s="35">
        <f>ИД_Маршруты!A49</f>
        <v>47</v>
      </c>
      <c r="B51" s="35">
        <v>60</v>
      </c>
      <c r="C51" s="35">
        <v>2</v>
      </c>
      <c r="D51" s="35" t="str">
        <f>ИД_Маршруты!B49</f>
        <v>50Э дачи Автотранспортник - Обувная фабрика (обратный)</v>
      </c>
      <c r="E51" s="35" t="str">
        <f>ИД_Маршруты!C49</f>
        <v>а</v>
      </c>
      <c r="F51" s="35">
        <v>80</v>
      </c>
      <c r="G51" s="35">
        <f t="shared" si="1"/>
        <v>30</v>
      </c>
      <c r="K51" s="35" t="s">
        <v>667</v>
      </c>
    </row>
    <row r="52" spans="1:11" x14ac:dyDescent="0.25">
      <c r="A52" s="35">
        <f>ИД_Маршруты!A50</f>
        <v>48</v>
      </c>
      <c r="B52" s="35">
        <v>120</v>
      </c>
      <c r="C52" s="35">
        <v>1</v>
      </c>
      <c r="D52" s="35" t="str">
        <f>ИД_Маршруты!B50</f>
        <v>52Э ЖД вокзал - пос. Майский (прямой)</v>
      </c>
      <c r="E52" s="35" t="str">
        <f>ИД_Маршруты!C50</f>
        <v>а</v>
      </c>
      <c r="F52" s="35">
        <v>80</v>
      </c>
      <c r="G52" s="35">
        <f t="shared" si="1"/>
        <v>120</v>
      </c>
    </row>
    <row r="53" spans="1:11" x14ac:dyDescent="0.25">
      <c r="A53" s="35">
        <f>ИД_Маршруты!A51</f>
        <v>49</v>
      </c>
      <c r="B53" s="35">
        <v>120</v>
      </c>
      <c r="C53" s="35">
        <v>1</v>
      </c>
      <c r="D53" s="35" t="str">
        <f>ИД_Маршруты!B51</f>
        <v>52Э пос. Майский - ЖД вокзал (обратный)</v>
      </c>
      <c r="E53" s="35" t="str">
        <f>ИД_Маршруты!C51</f>
        <v>а</v>
      </c>
      <c r="F53" s="35">
        <v>80</v>
      </c>
      <c r="G53" s="35">
        <f t="shared" si="1"/>
        <v>120</v>
      </c>
    </row>
    <row r="54" spans="1:11" x14ac:dyDescent="0.25">
      <c r="A54" s="35">
        <f>ИД_Маршруты!A52</f>
        <v>50</v>
      </c>
      <c r="B54" s="35">
        <v>70</v>
      </c>
      <c r="C54" s="35">
        <v>1</v>
      </c>
      <c r="D54" s="35" t="str">
        <f>ИД_Маршруты!B52</f>
        <v>5А ул. Тулака - Дачи (прямой)</v>
      </c>
      <c r="E54" s="35" t="str">
        <f>ИД_Маршруты!C52</f>
        <v>а</v>
      </c>
      <c r="F54" s="35">
        <v>55</v>
      </c>
      <c r="G54" s="35">
        <f t="shared" si="1"/>
        <v>70</v>
      </c>
    </row>
    <row r="55" spans="1:11" x14ac:dyDescent="0.25">
      <c r="A55" s="35">
        <f>ИД_Маршруты!A53</f>
        <v>51</v>
      </c>
      <c r="B55" s="35">
        <v>70</v>
      </c>
      <c r="C55" s="35">
        <v>1</v>
      </c>
      <c r="D55" s="35" t="str">
        <f>ИД_Маршруты!B53</f>
        <v>5А Дачи - ул. Тулака (обратный)</v>
      </c>
      <c r="E55" s="35" t="str">
        <f>ИД_Маршруты!C53</f>
        <v>а</v>
      </c>
      <c r="F55" s="35">
        <v>55</v>
      </c>
      <c r="G55" s="35">
        <f t="shared" si="1"/>
        <v>70</v>
      </c>
    </row>
    <row r="56" spans="1:11" x14ac:dyDescent="0.25">
      <c r="A56" s="35">
        <f>ИД_Маршруты!A54</f>
        <v>52</v>
      </c>
      <c r="B56" s="35">
        <v>60</v>
      </c>
      <c r="C56" s="35">
        <v>2</v>
      </c>
      <c r="D56" s="35" t="str">
        <f>ИД_Маршруты!B54</f>
        <v>45 пос. Руднева - Дачи Кировец (прямой)</v>
      </c>
      <c r="E56" s="35" t="str">
        <f>ИД_Маршруты!C54</f>
        <v>а</v>
      </c>
      <c r="F56" s="35">
        <v>95</v>
      </c>
      <c r="G56" s="35">
        <f t="shared" si="1"/>
        <v>30</v>
      </c>
      <c r="K56" s="35" t="s">
        <v>667</v>
      </c>
    </row>
    <row r="57" spans="1:11" x14ac:dyDescent="0.25">
      <c r="A57" s="35">
        <f>ИД_Маршруты!A55</f>
        <v>53</v>
      </c>
      <c r="B57" s="35">
        <v>60</v>
      </c>
      <c r="C57" s="35">
        <v>2</v>
      </c>
      <c r="D57" s="35" t="str">
        <f>ИД_Маршруты!B55</f>
        <v>45 Дачи Кировец - пос. Руднева (обратный)</v>
      </c>
      <c r="E57" s="35" t="str">
        <f>ИД_Маршруты!C55</f>
        <v>а</v>
      </c>
      <c r="F57" s="35">
        <v>95</v>
      </c>
      <c r="G57" s="35">
        <f t="shared" si="1"/>
        <v>30</v>
      </c>
      <c r="K57" s="35" t="s">
        <v>667</v>
      </c>
    </row>
    <row r="58" spans="1:11" x14ac:dyDescent="0.25">
      <c r="A58" s="35">
        <f>ИД_Маршруты!A56</f>
        <v>54</v>
      </c>
      <c r="B58" s="35">
        <v>132</v>
      </c>
      <c r="C58" s="35">
        <v>20</v>
      </c>
      <c r="D58" s="35" t="str">
        <f>ИД_Маршруты!B56</f>
        <v>21 ЖД вокзал - пос. ГЭС (прямой)</v>
      </c>
      <c r="E58" s="35" t="str">
        <f>ИД_Маршруты!C56</f>
        <v>а</v>
      </c>
      <c r="F58" s="35">
        <v>110</v>
      </c>
      <c r="G58" s="35">
        <f t="shared" si="1"/>
        <v>7</v>
      </c>
      <c r="I58" s="35">
        <v>80</v>
      </c>
      <c r="J58" s="35">
        <v>1</v>
      </c>
    </row>
    <row r="59" spans="1:11" x14ac:dyDescent="0.25">
      <c r="A59" s="35">
        <f>ИД_Маршруты!A57</f>
        <v>55</v>
      </c>
      <c r="B59" s="35">
        <v>132</v>
      </c>
      <c r="C59" s="35">
        <v>20</v>
      </c>
      <c r="D59" s="35" t="str">
        <f>ИД_Маршруты!B57</f>
        <v>21 пос. ГЭС - ЖД вокзал (обратный)</v>
      </c>
      <c r="E59" s="35" t="str">
        <f>ИД_Маршруты!C57</f>
        <v>а</v>
      </c>
      <c r="F59" s="35">
        <v>110</v>
      </c>
      <c r="G59" s="35">
        <f t="shared" si="1"/>
        <v>7</v>
      </c>
      <c r="I59" s="35">
        <v>80</v>
      </c>
      <c r="J59" s="35">
        <v>1</v>
      </c>
    </row>
    <row r="60" spans="1:11" x14ac:dyDescent="0.25">
      <c r="A60" s="35">
        <f>ИД_Маршруты!A58</f>
        <v>56</v>
      </c>
      <c r="B60" s="35">
        <v>60</v>
      </c>
      <c r="C60" s="35">
        <v>2</v>
      </c>
      <c r="D60" s="35" t="str">
        <f>ИД_Маршруты!B58</f>
        <v>78 Химический завод - к/т Юбилейный (прямой)</v>
      </c>
      <c r="E60" s="35" t="str">
        <f>ИД_Маршруты!C58</f>
        <v>а</v>
      </c>
      <c r="F60" s="35">
        <v>80</v>
      </c>
      <c r="G60" s="35">
        <f t="shared" si="1"/>
        <v>30</v>
      </c>
      <c r="K60" s="35" t="s">
        <v>667</v>
      </c>
    </row>
    <row r="61" spans="1:11" x14ac:dyDescent="0.25">
      <c r="A61" s="35">
        <f>ИД_Маршруты!A59</f>
        <v>57</v>
      </c>
      <c r="B61" s="35">
        <v>60</v>
      </c>
      <c r="C61" s="35">
        <v>2</v>
      </c>
      <c r="D61" s="35" t="str">
        <f>ИД_Маршруты!B59</f>
        <v>78 к/т Юбилейный - Химический завод (обратный)</v>
      </c>
      <c r="E61" s="35" t="str">
        <f>ИД_Маршруты!C59</f>
        <v>а</v>
      </c>
      <c r="F61" s="35">
        <v>80</v>
      </c>
      <c r="G61" s="35">
        <f t="shared" si="1"/>
        <v>30</v>
      </c>
      <c r="K61" s="35" t="s">
        <v>667</v>
      </c>
    </row>
    <row r="62" spans="1:11" x14ac:dyDescent="0.25">
      <c r="A62" s="35">
        <f>ИД_Маршруты!A60</f>
        <v>58</v>
      </c>
      <c r="B62" s="35">
        <v>56</v>
      </c>
      <c r="C62" s="35">
        <v>4</v>
      </c>
      <c r="D62" s="35" t="str">
        <f>ИД_Маршруты!B60</f>
        <v>6А Каустик - Набережная (прямой)</v>
      </c>
      <c r="E62" s="35" t="str">
        <f>ИД_Маршруты!C60</f>
        <v>а</v>
      </c>
      <c r="F62" s="35">
        <v>80</v>
      </c>
      <c r="G62" s="35">
        <f t="shared" si="1"/>
        <v>14</v>
      </c>
    </row>
    <row r="63" spans="1:11" x14ac:dyDescent="0.25">
      <c r="A63" s="35">
        <f>ИД_Маршруты!A61</f>
        <v>59</v>
      </c>
      <c r="B63" s="35">
        <v>56</v>
      </c>
      <c r="C63" s="35">
        <v>4</v>
      </c>
      <c r="D63" s="35" t="str">
        <f>ИД_Маршруты!B61</f>
        <v>6А Набережная - Каустик (обратный)</v>
      </c>
      <c r="E63" s="35" t="str">
        <f>ИД_Маршруты!C61</f>
        <v>а</v>
      </c>
      <c r="F63" s="35">
        <v>80</v>
      </c>
      <c r="G63" s="35">
        <f t="shared" si="1"/>
        <v>14</v>
      </c>
    </row>
    <row r="64" spans="1:11" x14ac:dyDescent="0.25">
      <c r="A64" s="35">
        <f>ИД_Маршруты!A62</f>
        <v>60</v>
      </c>
      <c r="B64" s="35">
        <v>60</v>
      </c>
      <c r="C64" s="35">
        <v>2</v>
      </c>
      <c r="D64" s="35" t="str">
        <f>ИД_Маршруты!B62</f>
        <v>7Э пр-т Металлургов - Дачи (прямой)</v>
      </c>
      <c r="E64" s="35" t="str">
        <f>ИД_Маршруты!C62</f>
        <v>а</v>
      </c>
      <c r="F64" s="35">
        <v>80</v>
      </c>
      <c r="G64" s="35">
        <f t="shared" si="1"/>
        <v>30</v>
      </c>
      <c r="K64" s="35" t="s">
        <v>667</v>
      </c>
    </row>
    <row r="65" spans="1:11" x14ac:dyDescent="0.25">
      <c r="A65" s="35">
        <f>ИД_Маршруты!A63</f>
        <v>61</v>
      </c>
      <c r="B65" s="35">
        <v>60</v>
      </c>
      <c r="C65" s="35">
        <v>2</v>
      </c>
      <c r="D65" s="35" t="str">
        <f>ИД_Маршруты!B63</f>
        <v>7Э Дачи - пр-т Металлургов (обратный)</v>
      </c>
      <c r="E65" s="35" t="str">
        <f>ИД_Маршруты!C63</f>
        <v>а</v>
      </c>
      <c r="F65" s="35">
        <v>80</v>
      </c>
      <c r="G65" s="35">
        <f t="shared" si="1"/>
        <v>30</v>
      </c>
      <c r="K65" s="35" t="s">
        <v>667</v>
      </c>
    </row>
    <row r="66" spans="1:11" x14ac:dyDescent="0.25">
      <c r="A66" s="35">
        <f>ИД_Маршруты!A64</f>
        <v>62</v>
      </c>
      <c r="B66" s="35">
        <v>60</v>
      </c>
      <c r="C66" s="35">
        <v>2</v>
      </c>
      <c r="D66" s="35" t="str">
        <f>ИД_Маршруты!B64</f>
        <v>60Э ул. Тулака - дачи Спутник (прямой)</v>
      </c>
      <c r="E66" s="35" t="str">
        <f>ИД_Маршруты!C64</f>
        <v>а</v>
      </c>
      <c r="F66" s="35">
        <v>95</v>
      </c>
      <c r="G66" s="35">
        <f t="shared" si="1"/>
        <v>30</v>
      </c>
      <c r="K66" s="35" t="s">
        <v>667</v>
      </c>
    </row>
    <row r="67" spans="1:11" x14ac:dyDescent="0.25">
      <c r="A67" s="35">
        <f>ИД_Маршруты!A65</f>
        <v>63</v>
      </c>
      <c r="B67" s="35">
        <v>60</v>
      </c>
      <c r="C67" s="35">
        <v>2</v>
      </c>
      <c r="D67" s="35" t="str">
        <f>ИД_Маршруты!B65</f>
        <v>60Э дачи Спутник - ул. Тулака (обратный)</v>
      </c>
      <c r="E67" s="35" t="str">
        <f>ИД_Маршруты!C65</f>
        <v>а</v>
      </c>
      <c r="F67" s="35">
        <v>95</v>
      </c>
      <c r="G67" s="35">
        <f t="shared" si="1"/>
        <v>30</v>
      </c>
      <c r="K67" s="35" t="s">
        <v>667</v>
      </c>
    </row>
    <row r="68" spans="1:11" x14ac:dyDescent="0.25">
      <c r="A68" s="35">
        <f>ИД_Маршруты!A66</f>
        <v>64</v>
      </c>
      <c r="B68" s="35">
        <v>86</v>
      </c>
      <c r="C68" s="35">
        <v>1</v>
      </c>
      <c r="D68" s="35" t="str">
        <f>ИД_Маршруты!B66</f>
        <v>89 ЖД вокзал - пос. Песчанка (прямой)</v>
      </c>
      <c r="E68" s="35" t="str">
        <f>ИД_Маршруты!C66</f>
        <v>а</v>
      </c>
      <c r="F68" s="35">
        <v>110</v>
      </c>
      <c r="G68" s="35">
        <f t="shared" si="1"/>
        <v>86</v>
      </c>
    </row>
    <row r="69" spans="1:11" x14ac:dyDescent="0.25">
      <c r="A69" s="35">
        <f>ИД_Маршруты!A67</f>
        <v>65</v>
      </c>
      <c r="B69" s="35">
        <v>86</v>
      </c>
      <c r="C69" s="35">
        <v>1</v>
      </c>
      <c r="D69" s="35" t="str">
        <f>ИД_Маршруты!B67</f>
        <v>89 пос. Песчанка - ЖД вокзал (обратный)</v>
      </c>
      <c r="E69" s="35" t="str">
        <f>ИД_Маршруты!C67</f>
        <v>а</v>
      </c>
      <c r="F69" s="35">
        <v>110</v>
      </c>
      <c r="G69" s="35">
        <f t="shared" ref="G69:G100" si="2">ROUND(B69/C69,0)</f>
        <v>86</v>
      </c>
    </row>
    <row r="70" spans="1:11" x14ac:dyDescent="0.25">
      <c r="A70" s="35">
        <f>ИД_Маршруты!A68</f>
        <v>66</v>
      </c>
      <c r="B70" s="35">
        <v>36</v>
      </c>
      <c r="C70" s="35">
        <v>1</v>
      </c>
      <c r="D70" s="35" t="str">
        <f>ИД_Маршруты!B68</f>
        <v>8 пл. Титова - пос. Вишневая балка (прямой)</v>
      </c>
      <c r="E70" s="35" t="str">
        <f>ИД_Маршруты!C68</f>
        <v>а</v>
      </c>
      <c r="F70" s="35">
        <v>50</v>
      </c>
      <c r="G70" s="35">
        <f t="shared" si="2"/>
        <v>36</v>
      </c>
    </row>
    <row r="71" spans="1:11" x14ac:dyDescent="0.25">
      <c r="A71" s="35">
        <f>ИД_Маршруты!A69</f>
        <v>67</v>
      </c>
      <c r="B71" s="35">
        <v>36</v>
      </c>
      <c r="C71" s="35">
        <v>1</v>
      </c>
      <c r="D71" s="35" t="str">
        <f>ИД_Маршруты!B69</f>
        <v>8 пос. Вишневая балка - пл. Титова (обратный)</v>
      </c>
      <c r="E71" s="35" t="str">
        <f>ИД_Маршруты!C69</f>
        <v>а</v>
      </c>
      <c r="F71" s="35">
        <v>50</v>
      </c>
      <c r="G71" s="35">
        <f t="shared" si="2"/>
        <v>36</v>
      </c>
    </row>
    <row r="72" spans="1:11" x14ac:dyDescent="0.25">
      <c r="A72" s="35">
        <f>ИД_Маршруты!A70</f>
        <v>68</v>
      </c>
      <c r="B72" s="35">
        <v>60</v>
      </c>
      <c r="C72" s="35">
        <v>2</v>
      </c>
      <c r="D72" s="35" t="str">
        <f>ИД_Маршруты!B70</f>
        <v>57Э 33-я школа- дачи Шельф (прямой)</v>
      </c>
      <c r="E72" s="35" t="str">
        <f>ИД_Маршруты!C70</f>
        <v>а</v>
      </c>
      <c r="F72" s="35">
        <v>95</v>
      </c>
      <c r="G72" s="35">
        <f t="shared" si="2"/>
        <v>30</v>
      </c>
      <c r="K72" s="35" t="s">
        <v>667</v>
      </c>
    </row>
    <row r="73" spans="1:11" x14ac:dyDescent="0.25">
      <c r="A73" s="35">
        <f>ИД_Маршруты!A71</f>
        <v>69</v>
      </c>
      <c r="B73" s="35">
        <v>60</v>
      </c>
      <c r="C73" s="35">
        <v>2</v>
      </c>
      <c r="D73" s="35" t="str">
        <f>ИД_Маршруты!B71</f>
        <v>57Э дачи Шельф - 33-я школа(обратный)</v>
      </c>
      <c r="E73" s="35" t="str">
        <f>ИД_Маршруты!C71</f>
        <v>а</v>
      </c>
      <c r="F73" s="35">
        <v>95</v>
      </c>
      <c r="G73" s="35">
        <f t="shared" si="2"/>
        <v>30</v>
      </c>
      <c r="K73" s="35" t="s">
        <v>667</v>
      </c>
    </row>
    <row r="74" spans="1:11" x14ac:dyDescent="0.25">
      <c r="A74" s="35">
        <f>ИД_Маршруты!A72</f>
        <v>70</v>
      </c>
      <c r="B74" s="35">
        <v>60</v>
      </c>
      <c r="C74" s="35">
        <v>1</v>
      </c>
      <c r="D74" s="35" t="str">
        <f>ИД_Маршруты!B72</f>
        <v>53Э Волгоград Автовокзал - дачи Орошенец (прямой)</v>
      </c>
      <c r="E74" s="35" t="str">
        <f>ИД_Маршруты!C72</f>
        <v>а</v>
      </c>
      <c r="F74" s="35">
        <v>95</v>
      </c>
      <c r="G74" s="35">
        <f>ROUND(B74/C74,0)</f>
        <v>60</v>
      </c>
      <c r="I74" s="35">
        <v>60</v>
      </c>
      <c r="J74" s="35">
        <v>1</v>
      </c>
      <c r="K74" s="35" t="s">
        <v>667</v>
      </c>
    </row>
    <row r="75" spans="1:11" x14ac:dyDescent="0.25">
      <c r="A75" s="35">
        <f>ИД_Маршруты!A73</f>
        <v>71</v>
      </c>
      <c r="B75" s="35">
        <v>60</v>
      </c>
      <c r="C75" s="35">
        <v>1</v>
      </c>
      <c r="D75" s="35" t="str">
        <f>ИД_Маршруты!B73</f>
        <v>53Э дачи Орошенец - Волгоград Автовокзал (обратный)</v>
      </c>
      <c r="E75" s="35" t="str">
        <f>ИД_Маршруты!C73</f>
        <v>а</v>
      </c>
      <c r="F75" s="35">
        <v>95</v>
      </c>
      <c r="G75" s="35">
        <f>ROUND(B75/C75,0)</f>
        <v>60</v>
      </c>
      <c r="I75" s="35">
        <v>60</v>
      </c>
      <c r="J75" s="35">
        <v>1</v>
      </c>
      <c r="K75" s="35" t="s">
        <v>667</v>
      </c>
    </row>
    <row r="76" spans="1:11" x14ac:dyDescent="0.25">
      <c r="A76" s="35">
        <f>ИД_Маршруты!A74</f>
        <v>72</v>
      </c>
      <c r="B76" s="35">
        <v>51</v>
      </c>
      <c r="C76" s="35">
        <v>13</v>
      </c>
      <c r="D76" s="35" t="str">
        <f>ИД_Маршруты!B74</f>
        <v>6Э 61 школа - Аэропорт (прямой)</v>
      </c>
      <c r="E76" s="35" t="str">
        <f>ИД_Маршруты!C74</f>
        <v>а</v>
      </c>
      <c r="F76" s="35">
        <v>80</v>
      </c>
      <c r="G76" s="35">
        <f t="shared" si="2"/>
        <v>4</v>
      </c>
      <c r="I76" s="35">
        <v>50</v>
      </c>
      <c r="J76" s="35">
        <v>1</v>
      </c>
    </row>
    <row r="77" spans="1:11" x14ac:dyDescent="0.25">
      <c r="A77" s="35">
        <f>ИД_Маршруты!A75</f>
        <v>73</v>
      </c>
      <c r="B77" s="35">
        <v>51</v>
      </c>
      <c r="C77" s="35">
        <v>13</v>
      </c>
      <c r="D77" s="35" t="str">
        <f>ИД_Маршруты!B75</f>
        <v>6Э Аэропорт - 61 школа (обратный)</v>
      </c>
      <c r="E77" s="35" t="str">
        <f>ИД_Маршруты!C75</f>
        <v>а</v>
      </c>
      <c r="F77" s="35">
        <v>80</v>
      </c>
      <c r="G77" s="35">
        <f t="shared" si="2"/>
        <v>4</v>
      </c>
    </row>
    <row r="78" spans="1:11" x14ac:dyDescent="0.25">
      <c r="A78" s="35">
        <f>ИД_Маршруты!A76</f>
        <v>74</v>
      </c>
      <c r="B78" s="35">
        <v>60</v>
      </c>
      <c r="C78" s="35">
        <v>2</v>
      </c>
      <c r="D78" s="35" t="str">
        <f>ИД_Маршруты!B76</f>
        <v>56Э Ермана - Лесник-2 (прямой)</v>
      </c>
      <c r="E78" s="35" t="str">
        <f>ИД_Маршруты!C76</f>
        <v>а</v>
      </c>
      <c r="F78" s="35">
        <v>95</v>
      </c>
      <c r="G78" s="35">
        <f t="shared" si="2"/>
        <v>30</v>
      </c>
      <c r="K78" s="35" t="s">
        <v>667</v>
      </c>
    </row>
    <row r="79" spans="1:11" x14ac:dyDescent="0.25">
      <c r="A79" s="35">
        <f>ИД_Маршруты!A77</f>
        <v>75</v>
      </c>
      <c r="B79" s="35">
        <v>60</v>
      </c>
      <c r="C79" s="35">
        <v>2</v>
      </c>
      <c r="D79" s="35" t="str">
        <f>ИД_Маршруты!B77</f>
        <v>56Э Лесник-2 - Ермана (обратный)</v>
      </c>
      <c r="E79" s="35" t="str">
        <f>ИД_Маршруты!C77</f>
        <v>а</v>
      </c>
      <c r="F79" s="35">
        <v>95</v>
      </c>
      <c r="G79" s="35">
        <f t="shared" si="2"/>
        <v>30</v>
      </c>
      <c r="K79" s="35" t="s">
        <v>667</v>
      </c>
    </row>
    <row r="80" spans="1:11" x14ac:dyDescent="0.25">
      <c r="A80" s="35">
        <f>ИД_Маршруты!A78</f>
        <v>76</v>
      </c>
      <c r="B80" s="35">
        <v>210</v>
      </c>
      <c r="C80" s="35">
        <v>41</v>
      </c>
      <c r="D80" s="35" t="str">
        <f>ИД_Маршруты!B78</f>
        <v>77 к/т Юбилейный - ТРК "Комсомолл" (прямой)</v>
      </c>
      <c r="E80" s="35" t="str">
        <f>ИД_Маршруты!C78</f>
        <v>а</v>
      </c>
      <c r="F80" s="35">
        <v>110</v>
      </c>
      <c r="G80" s="35">
        <f t="shared" si="2"/>
        <v>5</v>
      </c>
    </row>
    <row r="81" spans="1:11" x14ac:dyDescent="0.25">
      <c r="A81" s="35">
        <f>ИД_Маршруты!A79</f>
        <v>77</v>
      </c>
      <c r="B81" s="35">
        <v>210</v>
      </c>
      <c r="C81" s="35">
        <v>41</v>
      </c>
      <c r="D81" s="35" t="str">
        <f>ИД_Маршруты!B79</f>
        <v>77 ТРК "Комсомолл" - к/т Юбилейный (обратный)</v>
      </c>
      <c r="E81" s="35" t="str">
        <f>ИД_Маршруты!C79</f>
        <v>а</v>
      </c>
      <c r="F81" s="35">
        <v>110</v>
      </c>
      <c r="G81" s="35">
        <f t="shared" si="2"/>
        <v>5</v>
      </c>
      <c r="I81" s="35">
        <v>140</v>
      </c>
      <c r="J81" s="35">
        <v>2</v>
      </c>
    </row>
    <row r="82" spans="1:11" x14ac:dyDescent="0.25">
      <c r="A82" s="35">
        <f>ИД_Маршруты!A80</f>
        <v>78</v>
      </c>
      <c r="B82" s="35">
        <v>140</v>
      </c>
      <c r="C82" s="35">
        <v>2</v>
      </c>
      <c r="D82" s="35" t="str">
        <f>ИД_Маршруты!B80</f>
        <v>99Э пл. им. Дзержинского - Дамба (прямой)</v>
      </c>
      <c r="E82" s="35" t="str">
        <f>ИД_Маршруты!C80</f>
        <v>а</v>
      </c>
      <c r="F82" s="35">
        <v>110</v>
      </c>
      <c r="G82" s="35">
        <f>ROUND(B82/C82,0)</f>
        <v>70</v>
      </c>
      <c r="I82" s="35">
        <v>140</v>
      </c>
      <c r="J82" s="35">
        <v>2</v>
      </c>
      <c r="K82" s="35" t="s">
        <v>667</v>
      </c>
    </row>
    <row r="83" spans="1:11" x14ac:dyDescent="0.25">
      <c r="A83" s="35">
        <f>ИД_Маршруты!A81</f>
        <v>79</v>
      </c>
      <c r="B83" s="35">
        <v>60</v>
      </c>
      <c r="C83" s="35">
        <v>2</v>
      </c>
      <c r="D83" s="35" t="str">
        <f>ИД_Маршруты!B81</f>
        <v>99Э Дамба - пл. им. Дзержинского (обратный)</v>
      </c>
      <c r="E83" s="35" t="str">
        <f>ИД_Маршруты!C81</f>
        <v>а</v>
      </c>
      <c r="F83" s="35">
        <v>110</v>
      </c>
      <c r="G83" s="35">
        <f t="shared" si="2"/>
        <v>30</v>
      </c>
      <c r="K83" s="35" t="s">
        <v>667</v>
      </c>
    </row>
    <row r="84" spans="1:11" x14ac:dyDescent="0.25">
      <c r="A84" s="35">
        <f>ИД_Маршруты!A82</f>
        <v>80</v>
      </c>
      <c r="B84" s="35">
        <v>60</v>
      </c>
      <c r="C84" s="35">
        <v>2</v>
      </c>
      <c r="D84" s="35" t="str">
        <f>ИД_Маршруты!B82</f>
        <v>54Э ЖД вокзал - дачи Слава (прямой)</v>
      </c>
      <c r="E84" s="35" t="str">
        <f>ИД_Маршруты!C82</f>
        <v>а</v>
      </c>
      <c r="F84" s="35">
        <v>95</v>
      </c>
      <c r="G84" s="35">
        <f t="shared" si="2"/>
        <v>30</v>
      </c>
      <c r="K84" s="35" t="s">
        <v>667</v>
      </c>
    </row>
    <row r="85" spans="1:11" x14ac:dyDescent="0.25">
      <c r="A85" s="35">
        <f>ИД_Маршруты!A83</f>
        <v>81</v>
      </c>
      <c r="B85" s="35">
        <v>130</v>
      </c>
      <c r="C85" s="35">
        <v>1</v>
      </c>
      <c r="D85" s="35" t="str">
        <f>ИД_Маршруты!B83</f>
        <v>54Э дачи Слава - ЖД вокзал (обратный)</v>
      </c>
      <c r="E85" s="35" t="str">
        <f>ИД_Маршруты!C83</f>
        <v>а</v>
      </c>
      <c r="F85" s="35">
        <v>95</v>
      </c>
      <c r="G85" s="35">
        <f t="shared" si="2"/>
        <v>130</v>
      </c>
      <c r="I85" s="35">
        <v>130</v>
      </c>
      <c r="J85" s="35">
        <v>1</v>
      </c>
      <c r="K85" s="35" t="s">
        <v>667</v>
      </c>
    </row>
    <row r="86" spans="1:11" x14ac:dyDescent="0.25">
      <c r="A86" s="35">
        <f>ИД_Маршруты!A84</f>
        <v>82</v>
      </c>
      <c r="B86" s="35">
        <v>130</v>
      </c>
      <c r="C86" s="35">
        <v>1</v>
      </c>
      <c r="D86" s="35" t="str">
        <f>ИД_Маршруты!B84</f>
        <v>58Э з-д Петрова - Дачи Здоровье (прямой)</v>
      </c>
      <c r="E86" s="35" t="str">
        <f>ИД_Маршруты!C84</f>
        <v>а</v>
      </c>
      <c r="F86" s="35">
        <v>95</v>
      </c>
      <c r="G86" s="35">
        <f t="shared" si="2"/>
        <v>130</v>
      </c>
      <c r="I86" s="35">
        <v>130</v>
      </c>
      <c r="J86" s="35">
        <v>1</v>
      </c>
      <c r="K86" s="35" t="s">
        <v>667</v>
      </c>
    </row>
    <row r="87" spans="1:11" x14ac:dyDescent="0.25">
      <c r="A87" s="35">
        <f>ИД_Маршруты!A85</f>
        <v>83</v>
      </c>
      <c r="B87" s="35">
        <v>170</v>
      </c>
      <c r="C87" s="35">
        <v>1</v>
      </c>
      <c r="D87" s="35" t="str">
        <f>ИД_Маршруты!B85</f>
        <v>58Э Дачи Здоровье - з-д Петрова (обратный)</v>
      </c>
      <c r="E87" s="35" t="str">
        <f>ИД_Маршруты!C85</f>
        <v>а</v>
      </c>
      <c r="F87" s="35">
        <v>95</v>
      </c>
      <c r="G87" s="35">
        <f t="shared" si="2"/>
        <v>170</v>
      </c>
      <c r="I87" s="35">
        <v>170</v>
      </c>
      <c r="J87" s="35">
        <v>1</v>
      </c>
      <c r="K87" s="35" t="s">
        <v>667</v>
      </c>
    </row>
    <row r="88" spans="1:11" x14ac:dyDescent="0.25">
      <c r="A88" s="35">
        <f>ИД_Маршруты!A86</f>
        <v>84</v>
      </c>
      <c r="B88" s="35">
        <v>60</v>
      </c>
      <c r="C88" s="35">
        <v>1</v>
      </c>
      <c r="D88" s="35" t="str">
        <f>ИД_Маршруты!B86</f>
        <v>1к Аллея Героев (кольцевой)</v>
      </c>
      <c r="E88" s="35" t="str">
        <f>ИД_Маршруты!C86</f>
        <v>а</v>
      </c>
      <c r="F88" s="35">
        <v>50</v>
      </c>
      <c r="G88" s="35">
        <f t="shared" si="2"/>
        <v>60</v>
      </c>
      <c r="I88" s="35">
        <v>170</v>
      </c>
      <c r="J88" s="35">
        <v>1</v>
      </c>
    </row>
    <row r="89" spans="1:11" x14ac:dyDescent="0.25">
      <c r="A89" s="35">
        <f>ИД_Маршруты!A87</f>
        <v>85</v>
      </c>
      <c r="B89" s="35">
        <v>132</v>
      </c>
      <c r="C89" s="35">
        <v>22</v>
      </c>
      <c r="D89" s="35" t="str">
        <f>ИД_Маршруты!B87</f>
        <v>2 ул. Тополевая (угол парка) - ЖД Вокзал (прямой)</v>
      </c>
      <c r="E89" s="35" t="str">
        <f>ИД_Маршруты!C87</f>
        <v>а</v>
      </c>
      <c r="F89" s="35">
        <v>100</v>
      </c>
      <c r="G89" s="35">
        <f t="shared" si="2"/>
        <v>6</v>
      </c>
    </row>
    <row r="90" spans="1:11" x14ac:dyDescent="0.25">
      <c r="A90" s="35">
        <f>ИД_Маршруты!A88</f>
        <v>86</v>
      </c>
      <c r="B90" s="35">
        <v>132</v>
      </c>
      <c r="C90" s="35">
        <v>22</v>
      </c>
      <c r="D90" s="35" t="str">
        <f>ИД_Маршруты!B88</f>
        <v>2 ЖД Вокзал - ул. Тополевая (угол парка) (обратный)</v>
      </c>
      <c r="E90" s="35" t="str">
        <f>ИД_Маршруты!C88</f>
        <v>а</v>
      </c>
      <c r="F90" s="35">
        <v>100</v>
      </c>
      <c r="G90" s="35">
        <f t="shared" si="2"/>
        <v>6</v>
      </c>
    </row>
    <row r="91" spans="1:11" x14ac:dyDescent="0.25">
      <c r="A91" s="35">
        <f>ИД_Маршруты!A89</f>
        <v>87</v>
      </c>
      <c r="B91" s="35">
        <v>62</v>
      </c>
      <c r="C91" s="35">
        <v>1</v>
      </c>
      <c r="D91" s="35" t="str">
        <f>ИД_Маршруты!B89</f>
        <v>6К ул. им. Землячки - Аэропорт (прямой)</v>
      </c>
      <c r="E91" s="35" t="str">
        <f>ИД_Маршруты!C89</f>
        <v>а</v>
      </c>
      <c r="F91" s="35">
        <v>55</v>
      </c>
      <c r="G91" s="35">
        <f t="shared" si="2"/>
        <v>62</v>
      </c>
    </row>
    <row r="92" spans="1:11" x14ac:dyDescent="0.25">
      <c r="A92" s="35">
        <f>ИД_Маршруты!A90</f>
        <v>88</v>
      </c>
      <c r="B92" s="35">
        <v>62</v>
      </c>
      <c r="C92" s="35">
        <v>1</v>
      </c>
      <c r="D92" s="35" t="str">
        <f>ИД_Маршруты!B90</f>
        <v>6К Аэропорт - ул. им. Землячки (обратный)</v>
      </c>
      <c r="E92" s="35" t="str">
        <f>ИД_Маршруты!C90</f>
        <v>а</v>
      </c>
      <c r="F92" s="35">
        <v>55</v>
      </c>
      <c r="G92" s="35">
        <f t="shared" si="2"/>
        <v>62</v>
      </c>
    </row>
    <row r="93" spans="1:11" x14ac:dyDescent="0.25">
      <c r="A93" s="35">
        <f>ИД_Маршруты!A91</f>
        <v>89</v>
      </c>
      <c r="B93" s="35">
        <v>158</v>
      </c>
      <c r="C93" s="35">
        <v>1</v>
      </c>
      <c r="D93" s="35" t="str">
        <f>ИД_Маршруты!B91</f>
        <v>10А ул. Мясникова - пос. Водстрой (прямой)</v>
      </c>
      <c r="E93" s="35" t="str">
        <f>ИД_Маршруты!C91</f>
        <v>а</v>
      </c>
      <c r="F93" s="35">
        <v>80</v>
      </c>
      <c r="G93" s="35">
        <f t="shared" si="2"/>
        <v>158</v>
      </c>
      <c r="I93" s="35">
        <v>158</v>
      </c>
      <c r="J93" s="35">
        <v>1</v>
      </c>
      <c r="K93" s="35" t="s">
        <v>667</v>
      </c>
    </row>
    <row r="94" spans="1:11" x14ac:dyDescent="0.25">
      <c r="A94" s="35">
        <f>ИД_Маршруты!A92</f>
        <v>90</v>
      </c>
      <c r="B94" s="35">
        <v>158</v>
      </c>
      <c r="C94" s="35">
        <v>1</v>
      </c>
      <c r="D94" s="35" t="str">
        <f>ИД_Маршруты!B92</f>
        <v>10А пос. Водстрой - ул. Мясникова (обратный)</v>
      </c>
      <c r="E94" s="35" t="str">
        <f>ИД_Маршруты!C92</f>
        <v>а</v>
      </c>
      <c r="F94" s="35">
        <v>80</v>
      </c>
      <c r="G94" s="35">
        <f t="shared" si="2"/>
        <v>158</v>
      </c>
      <c r="I94" s="35">
        <v>158</v>
      </c>
      <c r="J94" s="35">
        <v>1</v>
      </c>
      <c r="K94" s="35" t="s">
        <v>667</v>
      </c>
    </row>
    <row r="95" spans="1:11" x14ac:dyDescent="0.25">
      <c r="A95" s="35">
        <f>ИД_Маршруты!A93</f>
        <v>91</v>
      </c>
      <c r="B95" s="35">
        <v>50</v>
      </c>
      <c r="C95" s="35">
        <v>1</v>
      </c>
      <c r="D95" s="35" t="str">
        <f>ИД_Маршруты!B93</f>
        <v>11 пл. ВГТЗ - пос. Верхнезареченский (прямой)</v>
      </c>
      <c r="E95" s="35" t="str">
        <f>ИД_Маршруты!C93</f>
        <v>а</v>
      </c>
      <c r="F95" s="35">
        <v>80</v>
      </c>
      <c r="G95" s="35">
        <f t="shared" si="2"/>
        <v>50</v>
      </c>
      <c r="I95" s="35">
        <v>150</v>
      </c>
      <c r="J95" s="35">
        <v>1</v>
      </c>
      <c r="K95" s="35" t="s">
        <v>667</v>
      </c>
    </row>
    <row r="96" spans="1:11" x14ac:dyDescent="0.25">
      <c r="A96" s="35">
        <f>ИД_Маршруты!A94</f>
        <v>92</v>
      </c>
      <c r="B96" s="35">
        <v>50</v>
      </c>
      <c r="C96" s="35">
        <v>1</v>
      </c>
      <c r="D96" s="35" t="str">
        <f>ИД_Маршруты!B94</f>
        <v>11 пос. Верхнезареченский - пл. ВГТЗ (обратный)</v>
      </c>
      <c r="E96" s="35" t="str">
        <f>ИД_Маршруты!C94</f>
        <v>а</v>
      </c>
      <c r="F96" s="35">
        <v>80</v>
      </c>
      <c r="G96" s="35">
        <f t="shared" si="2"/>
        <v>50</v>
      </c>
      <c r="I96" s="35">
        <v>150</v>
      </c>
      <c r="J96" s="35">
        <v>1</v>
      </c>
      <c r="K96" s="35" t="s">
        <v>667</v>
      </c>
    </row>
    <row r="97" spans="1:11" x14ac:dyDescent="0.25">
      <c r="A97" s="35">
        <f>ИД_Маршруты!A95</f>
        <v>93</v>
      </c>
      <c r="B97" s="35">
        <v>94</v>
      </c>
      <c r="C97" s="35">
        <v>2</v>
      </c>
      <c r="D97" s="35" t="str">
        <f>ИД_Маршруты!B95</f>
        <v>12ф ЖД вокзал - пос. Верхняя Ельшанка (прямой)</v>
      </c>
      <c r="E97" s="35" t="str">
        <f>ИД_Маршруты!C95</f>
        <v>а</v>
      </c>
      <c r="F97" s="35">
        <v>80</v>
      </c>
      <c r="G97" s="35">
        <f t="shared" si="2"/>
        <v>47</v>
      </c>
      <c r="I97" s="35">
        <v>110</v>
      </c>
      <c r="J97" s="35">
        <v>2</v>
      </c>
      <c r="K97" s="35" t="s">
        <v>667</v>
      </c>
    </row>
    <row r="98" spans="1:11" x14ac:dyDescent="0.25">
      <c r="A98" s="35">
        <f>ИД_Маршруты!A96</f>
        <v>94</v>
      </c>
      <c r="B98" s="35">
        <v>94</v>
      </c>
      <c r="C98" s="35">
        <v>2</v>
      </c>
      <c r="D98" s="35" t="str">
        <f>ИД_Маршруты!B96</f>
        <v>12ф пос. Верхняя Ельшанка - ЖД вокзал (обратный)</v>
      </c>
      <c r="E98" s="35" t="str">
        <f>ИД_Маршруты!C96</f>
        <v>а</v>
      </c>
      <c r="F98" s="35">
        <v>80</v>
      </c>
      <c r="G98" s="35">
        <f t="shared" si="2"/>
        <v>47</v>
      </c>
      <c r="I98" s="35">
        <v>110</v>
      </c>
      <c r="J98" s="35">
        <v>2</v>
      </c>
      <c r="K98" s="35" t="s">
        <v>667</v>
      </c>
    </row>
    <row r="99" spans="1:11" x14ac:dyDescent="0.25">
      <c r="A99" s="35">
        <f>ИД_Маршруты!A97</f>
        <v>95</v>
      </c>
      <c r="B99" s="35">
        <v>60</v>
      </c>
      <c r="C99" s="35">
        <v>2</v>
      </c>
      <c r="D99" s="35" t="str">
        <f>ИД_Маршруты!B97</f>
        <v>19 ул. Кагальникская - депо Сарепта (прямой)</v>
      </c>
      <c r="E99" s="35" t="str">
        <f>ИД_Маршруты!C97</f>
        <v>а</v>
      </c>
      <c r="F99" s="35">
        <v>80</v>
      </c>
      <c r="G99" s="35">
        <f t="shared" si="2"/>
        <v>30</v>
      </c>
      <c r="K99" s="35" t="s">
        <v>667</v>
      </c>
    </row>
    <row r="100" spans="1:11" x14ac:dyDescent="0.25">
      <c r="A100" s="35">
        <f>ИД_Маршруты!A98</f>
        <v>96</v>
      </c>
      <c r="B100" s="35">
        <v>60</v>
      </c>
      <c r="C100" s="35">
        <v>2</v>
      </c>
      <c r="D100" s="35" t="str">
        <f>ИД_Маршруты!B98</f>
        <v>19 депо Сарепта - ул. Кагальникская (обратный)</v>
      </c>
      <c r="E100" s="35" t="str">
        <f>ИД_Маршруты!C98</f>
        <v>а</v>
      </c>
      <c r="F100" s="35">
        <v>80</v>
      </c>
      <c r="G100" s="35">
        <f t="shared" si="2"/>
        <v>30</v>
      </c>
      <c r="K100" s="35" t="s">
        <v>667</v>
      </c>
    </row>
    <row r="101" spans="1:11" x14ac:dyDescent="0.25">
      <c r="A101" s="35">
        <f>ИД_Маршруты!A99</f>
        <v>97</v>
      </c>
      <c r="B101" s="35">
        <v>104</v>
      </c>
      <c r="C101" s="35">
        <v>14</v>
      </c>
      <c r="D101" s="35" t="str">
        <f>ИД_Маршруты!B99</f>
        <v>20 пл. им. Дзержинского - Аллея Героев (прямой)</v>
      </c>
      <c r="E101" s="35" t="str">
        <f>ИД_Маршруты!C99</f>
        <v>а</v>
      </c>
      <c r="F101" s="35">
        <v>108</v>
      </c>
      <c r="G101" s="35">
        <f t="shared" ref="G101:G132" si="3">ROUND(B101/C101,0)</f>
        <v>7</v>
      </c>
    </row>
    <row r="102" spans="1:11" x14ac:dyDescent="0.25">
      <c r="A102" s="35">
        <f>ИД_Маршруты!A100</f>
        <v>98</v>
      </c>
      <c r="B102" s="35">
        <v>104</v>
      </c>
      <c r="C102" s="35">
        <v>14</v>
      </c>
      <c r="D102" s="35" t="str">
        <f>ИД_Маршруты!B100</f>
        <v>20 Аллея Героев - пл. им. Дзержинского (обратный)</v>
      </c>
      <c r="E102" s="35" t="str">
        <f>ИД_Маршруты!C100</f>
        <v>а</v>
      </c>
      <c r="F102" s="35">
        <v>108</v>
      </c>
      <c r="G102" s="35">
        <f t="shared" si="3"/>
        <v>7</v>
      </c>
    </row>
    <row r="103" spans="1:11" x14ac:dyDescent="0.25">
      <c r="A103" s="35">
        <f>ИД_Маршруты!A101</f>
        <v>99</v>
      </c>
      <c r="B103" s="35">
        <v>60</v>
      </c>
      <c r="C103" s="35">
        <v>2</v>
      </c>
      <c r="D103" s="35" t="str">
        <f>ИД_Маршруты!B101</f>
        <v>22 ул. Комарова - Кардиоцентр (прямой)</v>
      </c>
      <c r="E103" s="35" t="str">
        <f>ИД_Маршруты!C101</f>
        <v>а</v>
      </c>
      <c r="F103" s="35">
        <v>80</v>
      </c>
      <c r="G103" s="35">
        <f t="shared" si="3"/>
        <v>30</v>
      </c>
      <c r="K103" s="35" t="s">
        <v>667</v>
      </c>
    </row>
    <row r="104" spans="1:11" x14ac:dyDescent="0.25">
      <c r="A104" s="35">
        <f>ИД_Маршруты!A102</f>
        <v>100</v>
      </c>
      <c r="B104" s="35">
        <v>60</v>
      </c>
      <c r="C104" s="35">
        <v>2</v>
      </c>
      <c r="D104" s="35" t="str">
        <f>ИД_Маршруты!B102</f>
        <v>22 Кардиоцентр - ул. Комарова (обратный)</v>
      </c>
      <c r="E104" s="35" t="str">
        <f>ИД_Маршруты!C102</f>
        <v>а</v>
      </c>
      <c r="F104" s="35">
        <v>80</v>
      </c>
      <c r="G104" s="35">
        <f t="shared" si="3"/>
        <v>30</v>
      </c>
      <c r="K104" s="35" t="s">
        <v>667</v>
      </c>
    </row>
    <row r="105" spans="1:11" x14ac:dyDescent="0.25">
      <c r="A105" s="35">
        <f>ИД_Маршруты!A103</f>
        <v>101</v>
      </c>
      <c r="B105" s="35">
        <v>162</v>
      </c>
      <c r="C105" s="35">
        <v>23</v>
      </c>
      <c r="D105" s="35" t="str">
        <f>ИД_Маршруты!B103</f>
        <v>25 Спартановка - ТРЦ Акварель (прямой)</v>
      </c>
      <c r="E105" s="35" t="str">
        <f>ИД_Маршруты!C103</f>
        <v>а</v>
      </c>
      <c r="F105" s="35">
        <v>108</v>
      </c>
      <c r="G105" s="35">
        <f t="shared" si="3"/>
        <v>7</v>
      </c>
    </row>
    <row r="106" spans="1:11" x14ac:dyDescent="0.25">
      <c r="A106" s="35">
        <f>ИД_Маршруты!A104</f>
        <v>102</v>
      </c>
      <c r="B106" s="35">
        <v>162</v>
      </c>
      <c r="C106" s="35">
        <v>23</v>
      </c>
      <c r="D106" s="35" t="str">
        <f>ИД_Маршруты!B104</f>
        <v>25 ТРЦ Акварель - Спартановка (обратный)</v>
      </c>
      <c r="E106" s="35" t="str">
        <f>ИД_Маршруты!C104</f>
        <v>а</v>
      </c>
      <c r="F106" s="35">
        <v>108</v>
      </c>
      <c r="G106" s="35">
        <f t="shared" si="3"/>
        <v>7</v>
      </c>
    </row>
    <row r="107" spans="1:11" x14ac:dyDescent="0.25">
      <c r="A107" s="35">
        <f>ИД_Маршруты!A105</f>
        <v>103</v>
      </c>
      <c r="B107" s="35">
        <v>140</v>
      </c>
      <c r="C107" s="35">
        <v>1</v>
      </c>
      <c r="D107" s="35" t="str">
        <f>ИД_Маршруты!B105</f>
        <v>29Э к/т Юбилейный - Кардиоцентр (прямой)</v>
      </c>
      <c r="E107" s="35" t="str">
        <f>ИД_Маршруты!C105</f>
        <v>а</v>
      </c>
      <c r="F107" s="35">
        <v>80</v>
      </c>
      <c r="G107" s="35">
        <f>ROUND(B107/C107,0)</f>
        <v>140</v>
      </c>
      <c r="I107" s="35">
        <v>140</v>
      </c>
      <c r="J107" s="35">
        <v>1</v>
      </c>
      <c r="K107" s="35" t="s">
        <v>667</v>
      </c>
    </row>
    <row r="108" spans="1:11" x14ac:dyDescent="0.25">
      <c r="A108" s="35">
        <f>ИД_Маршруты!A106</f>
        <v>104</v>
      </c>
      <c r="B108" s="35">
        <v>140</v>
      </c>
      <c r="C108" s="35">
        <v>1</v>
      </c>
      <c r="D108" s="35" t="str">
        <f>ИД_Маршруты!B106</f>
        <v>29Э Кардиоцентр - к/т Юбилейный (обратный)</v>
      </c>
      <c r="E108" s="35" t="str">
        <f>ИД_Маршруты!C106</f>
        <v>а</v>
      </c>
      <c r="F108" s="35">
        <v>80</v>
      </c>
      <c r="G108" s="35">
        <f>ROUND(B108/C108,0)</f>
        <v>140</v>
      </c>
      <c r="I108" s="35">
        <v>140</v>
      </c>
      <c r="J108" s="35">
        <v>1</v>
      </c>
      <c r="K108" s="35" t="s">
        <v>667</v>
      </c>
    </row>
    <row r="109" spans="1:11" x14ac:dyDescent="0.25">
      <c r="A109" s="35">
        <f>ИД_Маршруты!A107</f>
        <v>105</v>
      </c>
      <c r="B109" s="35">
        <v>60</v>
      </c>
      <c r="C109" s="35">
        <v>2</v>
      </c>
      <c r="D109" s="35" t="str">
        <f>ИД_Маршруты!B107</f>
        <v>30 Химзавод - МЧС-40 (прямой)</v>
      </c>
      <c r="E109" s="35" t="str">
        <f>ИД_Маршруты!C107</f>
        <v>а</v>
      </c>
      <c r="F109" s="35">
        <v>80</v>
      </c>
      <c r="G109" s="35">
        <f t="shared" si="3"/>
        <v>30</v>
      </c>
      <c r="K109" s="35" t="s">
        <v>667</v>
      </c>
    </row>
    <row r="110" spans="1:11" x14ac:dyDescent="0.25">
      <c r="A110" s="35">
        <f>ИД_Маршруты!A108</f>
        <v>106</v>
      </c>
      <c r="B110" s="35">
        <v>60</v>
      </c>
      <c r="C110" s="35">
        <v>2</v>
      </c>
      <c r="D110" s="35" t="str">
        <f>ИД_Маршруты!B108</f>
        <v>30 МЧС-40 - Химзавод (обратный)</v>
      </c>
      <c r="E110" s="35" t="str">
        <f>ИД_Маршруты!C108</f>
        <v>а</v>
      </c>
      <c r="F110" s="35">
        <v>80</v>
      </c>
      <c r="G110" s="35">
        <f t="shared" si="3"/>
        <v>30</v>
      </c>
      <c r="K110" s="35" t="s">
        <v>667</v>
      </c>
    </row>
    <row r="111" spans="1:11" x14ac:dyDescent="0.25">
      <c r="A111" s="35">
        <f>ИД_Маршруты!A109</f>
        <v>107</v>
      </c>
      <c r="B111" s="35">
        <v>60</v>
      </c>
      <c r="C111" s="35">
        <v>2</v>
      </c>
      <c r="D111" s="35" t="str">
        <f>ИД_Маршруты!B109</f>
        <v>31 пос. Татьянка-1 - КСП Заря (прямой)</v>
      </c>
      <c r="E111" s="35" t="str">
        <f>ИД_Маршруты!C109</f>
        <v>а</v>
      </c>
      <c r="F111" s="35">
        <v>80</v>
      </c>
      <c r="G111" s="35">
        <f t="shared" si="3"/>
        <v>30</v>
      </c>
      <c r="K111" s="35" t="s">
        <v>667</v>
      </c>
    </row>
    <row r="112" spans="1:11" x14ac:dyDescent="0.25">
      <c r="A112" s="35">
        <f>ИД_Маршруты!A110</f>
        <v>108</v>
      </c>
      <c r="B112" s="35">
        <v>60</v>
      </c>
      <c r="C112" s="35">
        <v>2</v>
      </c>
      <c r="D112" s="35" t="str">
        <f>ИД_Маршруты!B110</f>
        <v>31 КСП Заря - пос. Татьянка-1 (обратный)</v>
      </c>
      <c r="E112" s="35" t="str">
        <f>ИД_Маршруты!C110</f>
        <v>а</v>
      </c>
      <c r="F112" s="35">
        <v>80</v>
      </c>
      <c r="G112" s="35">
        <f t="shared" si="3"/>
        <v>30</v>
      </c>
      <c r="K112" s="35" t="s">
        <v>667</v>
      </c>
    </row>
    <row r="113" spans="1:11" x14ac:dyDescent="0.25">
      <c r="A113" s="35">
        <f>ИД_Маршруты!A111</f>
        <v>109</v>
      </c>
      <c r="B113" s="35">
        <v>94</v>
      </c>
      <c r="C113" s="35">
        <v>10</v>
      </c>
      <c r="D113" s="35" t="str">
        <f>ИД_Маршруты!B111</f>
        <v>31К пос. Верхняя Ельшанка - пос. Горная Поляна (прямой)</v>
      </c>
      <c r="E113" s="35" t="str">
        <f>ИД_Маршруты!C111</f>
        <v>а</v>
      </c>
      <c r="F113" s="35">
        <v>75</v>
      </c>
      <c r="G113" s="35">
        <f t="shared" si="3"/>
        <v>9</v>
      </c>
    </row>
    <row r="114" spans="1:11" x14ac:dyDescent="0.25">
      <c r="A114" s="35">
        <f>ИД_Маршруты!A112</f>
        <v>110</v>
      </c>
      <c r="B114" s="35">
        <v>94</v>
      </c>
      <c r="C114" s="35">
        <v>10</v>
      </c>
      <c r="D114" s="35" t="str">
        <f>ИД_Маршруты!B112</f>
        <v>31К пос. Горная Поляна - пос. Верхняя Ельшанка (обратный)</v>
      </c>
      <c r="E114" s="35" t="str">
        <f>ИД_Маршруты!C112</f>
        <v>а</v>
      </c>
      <c r="F114" s="35">
        <v>75</v>
      </c>
      <c r="G114" s="35">
        <f t="shared" si="3"/>
        <v>9</v>
      </c>
    </row>
    <row r="115" spans="1:11" x14ac:dyDescent="0.25">
      <c r="A115" s="35">
        <f>ИД_Маршруты!A113</f>
        <v>111</v>
      </c>
      <c r="B115" s="35">
        <v>60</v>
      </c>
      <c r="C115" s="35">
        <v>2</v>
      </c>
      <c r="D115" s="35" t="str">
        <f>ИД_Маршруты!B113</f>
        <v>33 ЖД вокзал - пос. Горная Поляна (прямой)</v>
      </c>
      <c r="E115" s="35" t="str">
        <f>ИД_Маршруты!C113</f>
        <v>а</v>
      </c>
      <c r="F115" s="35">
        <v>80</v>
      </c>
      <c r="G115" s="35">
        <f t="shared" si="3"/>
        <v>30</v>
      </c>
      <c r="K115" s="35" t="s">
        <v>667</v>
      </c>
    </row>
    <row r="116" spans="1:11" x14ac:dyDescent="0.25">
      <c r="A116" s="35">
        <f>ИД_Маршруты!A114</f>
        <v>112</v>
      </c>
      <c r="B116" s="35">
        <v>60</v>
      </c>
      <c r="C116" s="35">
        <v>2</v>
      </c>
      <c r="D116" s="35" t="str">
        <f>ИД_Маршруты!B114</f>
        <v>33 пос. Горная Поляна - ЖД Вокзал (обратный)</v>
      </c>
      <c r="E116" s="35" t="str">
        <f>ИД_Маршруты!C114</f>
        <v>а</v>
      </c>
      <c r="F116" s="35">
        <v>80</v>
      </c>
      <c r="G116" s="35">
        <f t="shared" si="3"/>
        <v>30</v>
      </c>
      <c r="K116" s="35" t="s">
        <v>667</v>
      </c>
    </row>
    <row r="117" spans="1:11" x14ac:dyDescent="0.25">
      <c r="A117" s="35">
        <f>ИД_Маршруты!A115</f>
        <v>113</v>
      </c>
      <c r="B117" s="35">
        <v>100</v>
      </c>
      <c r="C117" s="35">
        <v>20</v>
      </c>
      <c r="D117" s="35" t="str">
        <f>ИД_Маршруты!B115</f>
        <v>35 Болничный комплекс - мкр. Тулака (прямой)</v>
      </c>
      <c r="E117" s="35" t="str">
        <f>ИД_Маршруты!C115</f>
        <v>а</v>
      </c>
      <c r="F117" s="35">
        <v>108</v>
      </c>
      <c r="G117" s="35">
        <f t="shared" si="3"/>
        <v>5</v>
      </c>
    </row>
    <row r="118" spans="1:11" x14ac:dyDescent="0.25">
      <c r="A118" s="35">
        <f>ИД_Маршруты!A116</f>
        <v>114</v>
      </c>
      <c r="B118" s="35">
        <v>100</v>
      </c>
      <c r="C118" s="35">
        <v>20</v>
      </c>
      <c r="D118" s="35" t="str">
        <f>ИД_Маршруты!B116</f>
        <v>35 мкр. Тулака - Болничный комплекс (обратный)</v>
      </c>
      <c r="E118" s="35" t="str">
        <f>ИД_Маршруты!C116</f>
        <v>а</v>
      </c>
      <c r="F118" s="35">
        <v>108</v>
      </c>
      <c r="G118" s="35">
        <f t="shared" si="3"/>
        <v>5</v>
      </c>
    </row>
    <row r="119" spans="1:11" x14ac:dyDescent="0.25">
      <c r="A119" s="35">
        <f>ИД_Маршруты!A117</f>
        <v>115</v>
      </c>
      <c r="B119" s="35">
        <v>60</v>
      </c>
      <c r="C119" s="35">
        <v>2</v>
      </c>
      <c r="D119" s="35" t="str">
        <f>ИД_Маршруты!B117</f>
        <v>39 Центр содействия мигрантам (ЦСМ) - ЖД вокзал (прямой)</v>
      </c>
      <c r="E119" s="35" t="str">
        <f>ИД_Маршруты!C117</f>
        <v>а</v>
      </c>
      <c r="F119" s="35">
        <v>80</v>
      </c>
      <c r="G119" s="35">
        <f t="shared" si="3"/>
        <v>30</v>
      </c>
      <c r="K119" s="35" t="s">
        <v>667</v>
      </c>
    </row>
    <row r="120" spans="1:11" x14ac:dyDescent="0.25">
      <c r="A120" s="35">
        <f>ИД_Маршруты!A118</f>
        <v>116</v>
      </c>
      <c r="B120" s="35">
        <v>60</v>
      </c>
      <c r="C120" s="35">
        <v>2</v>
      </c>
      <c r="D120" s="35" t="str">
        <f>ИД_Маршруты!B118</f>
        <v xml:space="preserve">39 ЖД вокзал - Центр содействия мигрантам (ЦСМ) (обратный) </v>
      </c>
      <c r="E120" s="35" t="str">
        <f>ИД_Маршруты!C118</f>
        <v>а</v>
      </c>
      <c r="F120" s="35">
        <v>80</v>
      </c>
      <c r="G120" s="35">
        <f t="shared" si="3"/>
        <v>30</v>
      </c>
      <c r="K120" s="35" t="s">
        <v>667</v>
      </c>
    </row>
    <row r="121" spans="1:11" x14ac:dyDescent="0.25">
      <c r="A121" s="35">
        <f>ИД_Маршруты!A119</f>
        <v>117</v>
      </c>
      <c r="B121" s="35">
        <v>68</v>
      </c>
      <c r="C121" s="35">
        <v>9</v>
      </c>
      <c r="D121" s="35" t="str">
        <f>ИД_Маршруты!B119</f>
        <v>43 ул. 39-й Гвардейской - Алюминиевый завод (обратный)</v>
      </c>
      <c r="E121" s="35" t="str">
        <f>ИД_Маршруты!C119</f>
        <v>а</v>
      </c>
      <c r="F121" s="35">
        <v>39</v>
      </c>
      <c r="G121" s="35">
        <f t="shared" si="3"/>
        <v>8</v>
      </c>
    </row>
    <row r="122" spans="1:11" x14ac:dyDescent="0.25">
      <c r="A122" s="35">
        <f>ИД_Маршруты!A120</f>
        <v>118</v>
      </c>
      <c r="B122" s="35">
        <v>68</v>
      </c>
      <c r="C122" s="35">
        <v>9</v>
      </c>
      <c r="D122" s="35" t="str">
        <f>ИД_Маршруты!B120</f>
        <v>43 Алюминиевый завод - ул. 39-й Гвардейской (прямой)</v>
      </c>
      <c r="E122" s="35" t="str">
        <f>ИД_Маршруты!C120</f>
        <v>а</v>
      </c>
      <c r="F122" s="35">
        <v>39</v>
      </c>
      <c r="G122" s="35">
        <f t="shared" si="3"/>
        <v>8</v>
      </c>
    </row>
    <row r="123" spans="1:11" x14ac:dyDescent="0.25">
      <c r="A123" s="35">
        <f>ИД_Маршруты!A121</f>
        <v>119</v>
      </c>
      <c r="B123" s="35">
        <v>100</v>
      </c>
      <c r="C123" s="35">
        <v>1</v>
      </c>
      <c r="D123" s="35" t="str">
        <f>ИД_Маршруты!B121</f>
        <v>44 Химзавод - дачи Кировец (прямой)</v>
      </c>
      <c r="E123" s="35" t="str">
        <f>ИД_Маршруты!C121</f>
        <v>а</v>
      </c>
      <c r="F123" s="35">
        <v>50</v>
      </c>
      <c r="G123" s="35">
        <f t="shared" si="3"/>
        <v>100</v>
      </c>
    </row>
    <row r="124" spans="1:11" x14ac:dyDescent="0.25">
      <c r="A124" s="35">
        <f>ИД_Маршруты!A122</f>
        <v>120</v>
      </c>
      <c r="B124" s="35">
        <v>100</v>
      </c>
      <c r="C124" s="35">
        <v>1</v>
      </c>
      <c r="D124" s="35" t="str">
        <f>ИД_Маршруты!B122</f>
        <v>44 дачи Кировец - Химзавод (обратный)</v>
      </c>
      <c r="E124" s="35" t="str">
        <f>ИД_Маршруты!C122</f>
        <v>а</v>
      </c>
      <c r="F124" s="35">
        <v>50</v>
      </c>
      <c r="G124" s="35">
        <f t="shared" si="3"/>
        <v>100</v>
      </c>
    </row>
    <row r="125" spans="1:11" x14ac:dyDescent="0.25">
      <c r="A125" s="35">
        <f>ИД_Маршруты!A123</f>
        <v>121</v>
      </c>
      <c r="B125" s="35">
        <v>60</v>
      </c>
      <c r="C125" s="35">
        <v>2</v>
      </c>
      <c r="D125" s="35" t="str">
        <f>ИД_Маршруты!B123</f>
        <v>49 Капустная балка - Авиагородок (прямой)</v>
      </c>
      <c r="E125" s="35" t="str">
        <f>ИД_Маршруты!C123</f>
        <v>а</v>
      </c>
      <c r="F125" s="35">
        <v>80</v>
      </c>
      <c r="G125" s="35">
        <f t="shared" si="3"/>
        <v>30</v>
      </c>
      <c r="K125" s="35" t="s">
        <v>667</v>
      </c>
    </row>
    <row r="126" spans="1:11" x14ac:dyDescent="0.25">
      <c r="A126" s="35">
        <f>ИД_Маршруты!A124</f>
        <v>122</v>
      </c>
      <c r="B126" s="35">
        <v>60</v>
      </c>
      <c r="C126" s="35">
        <v>2</v>
      </c>
      <c r="D126" s="35" t="str">
        <f>ИД_Маршруты!B124</f>
        <v>49 Авиагородок - Капустная балка (обратный)</v>
      </c>
      <c r="E126" s="35" t="str">
        <f>ИД_Маршруты!C124</f>
        <v>а</v>
      </c>
      <c r="F126" s="35">
        <v>80</v>
      </c>
      <c r="G126" s="35">
        <f t="shared" si="3"/>
        <v>30</v>
      </c>
      <c r="K126" s="35" t="s">
        <v>667</v>
      </c>
    </row>
    <row r="127" spans="1:11" x14ac:dyDescent="0.25">
      <c r="A127" s="35">
        <f>ИД_Маршруты!A125</f>
        <v>123</v>
      </c>
      <c r="B127" s="35">
        <v>178</v>
      </c>
      <c r="C127" s="35">
        <v>24</v>
      </c>
      <c r="D127" s="35" t="str">
        <f>ИД_Маршруты!B125</f>
        <v>55 7-я больница - к/т Юбилейный (прямой)</v>
      </c>
      <c r="E127" s="35" t="str">
        <f>ИД_Маршруты!C125</f>
        <v>а</v>
      </c>
      <c r="F127" s="35">
        <v>108</v>
      </c>
      <c r="G127" s="35">
        <f t="shared" si="3"/>
        <v>7</v>
      </c>
    </row>
    <row r="128" spans="1:11" x14ac:dyDescent="0.25">
      <c r="A128" s="35">
        <f>ИД_Маршруты!A126</f>
        <v>124</v>
      </c>
      <c r="B128" s="35">
        <v>178</v>
      </c>
      <c r="C128" s="35">
        <v>24</v>
      </c>
      <c r="D128" s="35" t="str">
        <f>ИД_Маршруты!B126</f>
        <v>55 к/т Юбилейный - 7-я больница (обратный)</v>
      </c>
      <c r="E128" s="35" t="str">
        <f>ИД_Маршруты!C126</f>
        <v>а</v>
      </c>
      <c r="F128" s="35">
        <v>108</v>
      </c>
      <c r="G128" s="35">
        <f t="shared" si="3"/>
        <v>7</v>
      </c>
    </row>
    <row r="129" spans="1:10" x14ac:dyDescent="0.25">
      <c r="A129" s="35">
        <f>ИД_Маршруты!A127</f>
        <v>125</v>
      </c>
      <c r="B129" s="35">
        <v>168</v>
      </c>
      <c r="C129" s="35">
        <v>22</v>
      </c>
      <c r="D129" s="35" t="str">
        <f>ИД_Маршруты!B127</f>
        <v>55К ОАО Каустик - ул. Тулака (прямой)</v>
      </c>
      <c r="E129" s="35" t="str">
        <f>ИД_Маршруты!C127</f>
        <v>а</v>
      </c>
      <c r="F129" s="35">
        <v>39</v>
      </c>
      <c r="G129" s="35">
        <f t="shared" si="3"/>
        <v>8</v>
      </c>
      <c r="I129" s="35">
        <v>74</v>
      </c>
      <c r="J129" s="35">
        <v>1</v>
      </c>
    </row>
    <row r="130" spans="1:10" x14ac:dyDescent="0.25">
      <c r="A130" s="35">
        <f>ИД_Маршруты!A128</f>
        <v>126</v>
      </c>
      <c r="B130" s="35">
        <v>168</v>
      </c>
      <c r="C130" s="35">
        <v>22</v>
      </c>
      <c r="D130" s="35" t="str">
        <f>ИД_Маршруты!B128</f>
        <v>55К ул. Тулака - ОАО Каустик (обратный)</v>
      </c>
      <c r="E130" s="35" t="str">
        <f>ИД_Маршруты!C128</f>
        <v>а</v>
      </c>
      <c r="F130" s="35">
        <v>39</v>
      </c>
      <c r="G130" s="35">
        <f t="shared" si="3"/>
        <v>8</v>
      </c>
      <c r="I130" s="35">
        <v>74</v>
      </c>
      <c r="J130" s="35">
        <v>1</v>
      </c>
    </row>
    <row r="131" spans="1:10" x14ac:dyDescent="0.25">
      <c r="A131" s="35">
        <f>ИД_Маршруты!A129</f>
        <v>127</v>
      </c>
      <c r="B131" s="35">
        <v>84</v>
      </c>
      <c r="C131" s="35">
        <v>10</v>
      </c>
      <c r="D131" s="35" t="str">
        <f>ИД_Маршруты!B129</f>
        <v>59 ул. Грамши (Школа №61) - ул. им. Землячки (прямой)</v>
      </c>
      <c r="E131" s="35" t="str">
        <f>ИД_Маршруты!C129</f>
        <v>а</v>
      </c>
      <c r="F131" s="35">
        <v>95</v>
      </c>
      <c r="G131" s="35">
        <f t="shared" si="3"/>
        <v>8</v>
      </c>
    </row>
    <row r="132" spans="1:10" x14ac:dyDescent="0.25">
      <c r="A132" s="35">
        <f>ИД_Маршруты!A130</f>
        <v>128</v>
      </c>
      <c r="B132" s="35">
        <v>84</v>
      </c>
      <c r="C132" s="35">
        <v>10</v>
      </c>
      <c r="D132" s="35" t="str">
        <f>ИД_Маршруты!B130</f>
        <v>59 ул. им. Землячки - ул. Грамши (Школа №61) (обратный)</v>
      </c>
      <c r="E132" s="35" t="str">
        <f>ИД_Маршруты!C130</f>
        <v>а</v>
      </c>
      <c r="F132" s="35">
        <v>95</v>
      </c>
      <c r="G132" s="35">
        <f t="shared" si="3"/>
        <v>8</v>
      </c>
    </row>
    <row r="133" spans="1:10" x14ac:dyDescent="0.25">
      <c r="A133" s="35">
        <f>ИД_Маршруты!A131</f>
        <v>129</v>
      </c>
      <c r="B133" s="35">
        <v>38</v>
      </c>
      <c r="C133" s="35">
        <v>7</v>
      </c>
      <c r="D133" s="35" t="str">
        <f>ИД_Маршруты!B131</f>
        <v>61 пл. им. Дзержинского - пос. Верхнезареченский (прямой)</v>
      </c>
      <c r="E133" s="35" t="str">
        <f>ИД_Маршруты!C131</f>
        <v>а</v>
      </c>
      <c r="F133" s="35">
        <v>39</v>
      </c>
      <c r="G133" s="35">
        <f t="shared" ref="G133:G154" si="4">ROUND(B133/C133,0)</f>
        <v>5</v>
      </c>
    </row>
    <row r="134" spans="1:10" x14ac:dyDescent="0.25">
      <c r="A134" s="35">
        <f>ИД_Маршруты!A132</f>
        <v>130</v>
      </c>
      <c r="B134" s="35">
        <v>38</v>
      </c>
      <c r="C134" s="35">
        <v>7</v>
      </c>
      <c r="D134" s="35" t="str">
        <f>ИД_Маршруты!B132</f>
        <v>61 пос. Верхнезареченский - пл. им. Дзержинского (обратный)</v>
      </c>
      <c r="E134" s="35" t="str">
        <f>ИД_Маршруты!C132</f>
        <v>а</v>
      </c>
      <c r="F134" s="35">
        <v>39</v>
      </c>
      <c r="G134" s="35">
        <f t="shared" si="4"/>
        <v>5</v>
      </c>
    </row>
    <row r="135" spans="1:10" x14ac:dyDescent="0.25">
      <c r="A135" s="35">
        <f>ИД_Маршруты!A133</f>
        <v>131</v>
      </c>
      <c r="B135" s="35">
        <v>90</v>
      </c>
      <c r="C135" s="35">
        <v>11</v>
      </c>
      <c r="D135" s="35" t="str">
        <f>ИД_Маршруты!B133</f>
        <v>65 ул. им. Тулака - Жилгородок (прямой)</v>
      </c>
      <c r="E135" s="35" t="str">
        <f>ИД_Маршруты!C133</f>
        <v>а</v>
      </c>
      <c r="F135" s="35">
        <v>108</v>
      </c>
      <c r="G135" s="35">
        <f t="shared" si="4"/>
        <v>8</v>
      </c>
    </row>
    <row r="136" spans="1:10" x14ac:dyDescent="0.25">
      <c r="A136" s="35">
        <f>ИД_Маршруты!A134</f>
        <v>132</v>
      </c>
      <c r="B136" s="35">
        <v>90</v>
      </c>
      <c r="C136" s="35">
        <v>11</v>
      </c>
      <c r="D136" s="35" t="str">
        <f>ИД_Маршруты!B134</f>
        <v>65 Жилгородок - ул. им. Тулака (обратный)</v>
      </c>
      <c r="E136" s="35" t="str">
        <f>ИД_Маршруты!C134</f>
        <v>а</v>
      </c>
      <c r="F136" s="35">
        <v>108</v>
      </c>
      <c r="G136" s="35">
        <f t="shared" si="4"/>
        <v>8</v>
      </c>
    </row>
    <row r="137" spans="1:10" x14ac:dyDescent="0.25">
      <c r="A137" s="35">
        <f>ИД_Маршруты!A135</f>
        <v>133</v>
      </c>
      <c r="B137" s="35">
        <v>78</v>
      </c>
      <c r="C137" s="35">
        <v>18</v>
      </c>
      <c r="D137" s="35" t="str">
        <f>ИД_Маршруты!B135</f>
        <v>68 пос. Водстрой - пос. ГЭС (прямой)</v>
      </c>
      <c r="E137" s="35" t="str">
        <f>ИД_Маршруты!C135</f>
        <v>а</v>
      </c>
      <c r="F137" s="35">
        <v>39</v>
      </c>
      <c r="G137" s="35">
        <f t="shared" si="4"/>
        <v>4</v>
      </c>
    </row>
    <row r="138" spans="1:10" x14ac:dyDescent="0.25">
      <c r="A138" s="35">
        <f>ИД_Маршруты!A136</f>
        <v>134</v>
      </c>
      <c r="B138" s="35">
        <v>78</v>
      </c>
      <c r="C138" s="35">
        <v>18</v>
      </c>
      <c r="D138" s="35" t="str">
        <f>ИД_Маршруты!B136</f>
        <v>68 пос. ГЭС - пос. Водстрой (обратный)</v>
      </c>
      <c r="E138" s="35" t="str">
        <f>ИД_Маршруты!C136</f>
        <v>а</v>
      </c>
      <c r="F138" s="35">
        <v>39</v>
      </c>
      <c r="G138" s="35">
        <f t="shared" si="4"/>
        <v>4</v>
      </c>
    </row>
    <row r="139" spans="1:10" x14ac:dyDescent="0.25">
      <c r="A139" s="35">
        <f>ИД_Маршруты!A137</f>
        <v>135</v>
      </c>
      <c r="B139" s="35">
        <v>86</v>
      </c>
      <c r="C139" s="35">
        <v>12</v>
      </c>
      <c r="D139" s="35" t="str">
        <f>ИД_Маршруты!B137</f>
        <v>79 пос. Татьянка 2 - Дома речников (прямой)</v>
      </c>
      <c r="E139" s="35" t="str">
        <f>ИД_Маршруты!C137</f>
        <v>а</v>
      </c>
      <c r="F139" s="35">
        <v>39</v>
      </c>
      <c r="G139" s="35">
        <f t="shared" si="4"/>
        <v>7</v>
      </c>
    </row>
    <row r="140" spans="1:10" x14ac:dyDescent="0.25">
      <c r="A140" s="35">
        <f>ИД_Маршруты!A138</f>
        <v>136</v>
      </c>
      <c r="B140" s="35">
        <v>86</v>
      </c>
      <c r="C140" s="35">
        <v>12</v>
      </c>
      <c r="D140" s="35" t="str">
        <f>ИД_Маршруты!B138</f>
        <v>79 Дома речников - пос. Татьянка 2 (обратный)</v>
      </c>
      <c r="E140" s="35" t="str">
        <f>ИД_Маршруты!C138</f>
        <v>а</v>
      </c>
      <c r="F140" s="35">
        <v>39</v>
      </c>
      <c r="G140" s="35">
        <f t="shared" si="4"/>
        <v>7</v>
      </c>
    </row>
    <row r="141" spans="1:10" x14ac:dyDescent="0.25">
      <c r="A141" s="35">
        <f>ИД_Маршруты!A139</f>
        <v>137</v>
      </c>
      <c r="B141" s="35">
        <v>108</v>
      </c>
      <c r="C141" s="35">
        <v>13</v>
      </c>
      <c r="D141" s="35" t="str">
        <f>ИД_Маршруты!B139</f>
        <v>85 Жилгородок - Кардиоцентр (прямой)</v>
      </c>
      <c r="E141" s="35" t="str">
        <f>ИД_Маршруты!C139</f>
        <v>а</v>
      </c>
      <c r="F141" s="35">
        <v>108</v>
      </c>
      <c r="G141" s="35">
        <f t="shared" si="4"/>
        <v>8</v>
      </c>
    </row>
    <row r="142" spans="1:10" x14ac:dyDescent="0.25">
      <c r="A142" s="35">
        <f>ИД_Маршруты!A140</f>
        <v>138</v>
      </c>
      <c r="B142" s="35">
        <v>108</v>
      </c>
      <c r="C142" s="35">
        <v>13</v>
      </c>
      <c r="D142" s="35" t="str">
        <f>ИД_Маршруты!B140</f>
        <v>85 Кардиоцентр - Жилгородок (обратный)</v>
      </c>
      <c r="E142" s="35" t="str">
        <f>ИД_Маршруты!C140</f>
        <v>а</v>
      </c>
      <c r="F142" s="35">
        <v>108</v>
      </c>
      <c r="G142" s="35">
        <f t="shared" si="4"/>
        <v>8</v>
      </c>
    </row>
    <row r="143" spans="1:10" x14ac:dyDescent="0.25">
      <c r="A143" s="35">
        <f>ИД_Маршруты!A141</f>
        <v>139</v>
      </c>
      <c r="B143" s="35">
        <v>88</v>
      </c>
      <c r="C143" s="35">
        <v>8</v>
      </c>
      <c r="D143" s="35" t="str">
        <f>ИД_Маршруты!B141</f>
        <v>88 ЖД вокзал - пос. Максима Горького (прямой)</v>
      </c>
      <c r="E143" s="35" t="str">
        <f>ИД_Маршруты!C141</f>
        <v>а</v>
      </c>
      <c r="F143" s="35">
        <v>110</v>
      </c>
      <c r="G143" s="35">
        <f t="shared" si="4"/>
        <v>11</v>
      </c>
    </row>
    <row r="144" spans="1:10" x14ac:dyDescent="0.25">
      <c r="A144" s="35">
        <f>ИД_Маршруты!A142</f>
        <v>140</v>
      </c>
      <c r="B144" s="35">
        <v>88</v>
      </c>
      <c r="C144" s="35">
        <v>8</v>
      </c>
      <c r="D144" s="35" t="str">
        <f>ИД_Маршруты!B142</f>
        <v>88 пос. Максима Горького - ЖД вокзал (обратный)</v>
      </c>
      <c r="E144" s="35" t="str">
        <f>ИД_Маршруты!C142</f>
        <v>а</v>
      </c>
      <c r="F144" s="35">
        <v>110</v>
      </c>
      <c r="G144" s="35">
        <f t="shared" si="4"/>
        <v>11</v>
      </c>
    </row>
    <row r="145" spans="1:10" x14ac:dyDescent="0.25">
      <c r="A145" s="35">
        <f>ИД_Маршруты!A143</f>
        <v>141</v>
      </c>
      <c r="B145" s="35">
        <v>206</v>
      </c>
      <c r="C145" s="35">
        <v>37</v>
      </c>
      <c r="D145" s="35" t="str">
        <f>ИД_Маршруты!B143</f>
        <v>95 пос. ГЭС - ул. Тополевая (прямой)</v>
      </c>
      <c r="E145" s="35" t="str">
        <f>ИД_Маршруты!C143</f>
        <v>а</v>
      </c>
      <c r="F145" s="35">
        <v>108</v>
      </c>
      <c r="G145" s="35">
        <f t="shared" si="4"/>
        <v>6</v>
      </c>
      <c r="I145" s="35">
        <v>50</v>
      </c>
      <c r="J145" s="35">
        <v>1</v>
      </c>
    </row>
    <row r="146" spans="1:10" x14ac:dyDescent="0.25">
      <c r="A146" s="35">
        <f>ИД_Маршруты!A144</f>
        <v>142</v>
      </c>
      <c r="B146" s="35">
        <v>206</v>
      </c>
      <c r="C146" s="35">
        <v>37</v>
      </c>
      <c r="D146" s="35" t="str">
        <f>ИД_Маршруты!B144</f>
        <v>95 ул. Тополевая - пос. ГЭС (обратный)</v>
      </c>
      <c r="E146" s="35" t="str">
        <f>ИД_Маршруты!C144</f>
        <v>а</v>
      </c>
      <c r="F146" s="35">
        <v>108</v>
      </c>
      <c r="G146" s="35">
        <f t="shared" si="4"/>
        <v>6</v>
      </c>
      <c r="I146" s="35">
        <v>50</v>
      </c>
      <c r="J146" s="35">
        <v>1</v>
      </c>
    </row>
    <row r="147" spans="1:10" x14ac:dyDescent="0.25">
      <c r="A147" s="35">
        <f>ИД_Маршруты!A145</f>
        <v>143</v>
      </c>
      <c r="B147" s="35">
        <v>40</v>
      </c>
      <c r="C147" s="35">
        <v>10</v>
      </c>
      <c r="D147" s="35" t="str">
        <f>ИД_Маршруты!B145</f>
        <v>13 Стадион "Монолит" - ул. Александра Матросова (прямой)</v>
      </c>
      <c r="E147" s="35" t="str">
        <f>ИД_Маршруты!C145</f>
        <v>тв</v>
      </c>
      <c r="F147" s="35">
        <v>115</v>
      </c>
      <c r="G147" s="35">
        <f t="shared" si="4"/>
        <v>4</v>
      </c>
    </row>
    <row r="148" spans="1:10" x14ac:dyDescent="0.25">
      <c r="A148" s="35">
        <f>ИД_Маршруты!A146</f>
        <v>144</v>
      </c>
      <c r="B148" s="35">
        <v>40</v>
      </c>
      <c r="C148" s="35">
        <v>10</v>
      </c>
      <c r="D148" s="35" t="str">
        <f>ИД_Маршруты!B146</f>
        <v>13 ул. Александра Матросова - Стадион "Монолит" (обратный)</v>
      </c>
      <c r="E148" s="35" t="str">
        <f>ИД_Маршруты!C146</f>
        <v>тв</v>
      </c>
      <c r="F148" s="35">
        <v>115</v>
      </c>
      <c r="G148" s="35">
        <f t="shared" si="4"/>
        <v>4</v>
      </c>
    </row>
    <row r="149" spans="1:10" x14ac:dyDescent="0.25">
      <c r="A149" s="35">
        <f>ИД_Маршруты!A147</f>
        <v>145</v>
      </c>
      <c r="B149" s="35">
        <v>90</v>
      </c>
      <c r="C149" s="35">
        <v>13</v>
      </c>
      <c r="D149" s="35" t="str">
        <f>ИД_Маршруты!B147</f>
        <v>6 ЖД вокзал - Аэропорт (прямой)</v>
      </c>
      <c r="E149" s="35" t="str">
        <f>ИД_Маршруты!C147</f>
        <v>а</v>
      </c>
      <c r="F149" s="35">
        <v>80</v>
      </c>
      <c r="G149" s="35">
        <f t="shared" si="4"/>
        <v>7</v>
      </c>
    </row>
    <row r="150" spans="1:10" x14ac:dyDescent="0.25">
      <c r="A150" s="35">
        <f>ИД_Маршруты!A148</f>
        <v>146</v>
      </c>
      <c r="B150" s="35">
        <v>90</v>
      </c>
      <c r="C150" s="35">
        <v>13</v>
      </c>
      <c r="D150" s="35" t="str">
        <f>ИД_Маршруты!B148</f>
        <v>6 Аэропорт - ЖД вокзал (обратный)</v>
      </c>
      <c r="E150" s="73" t="str">
        <f>ИД_Маршруты!C148</f>
        <v>а</v>
      </c>
      <c r="F150" s="35">
        <v>80</v>
      </c>
      <c r="G150" s="35">
        <f t="shared" si="4"/>
        <v>7</v>
      </c>
    </row>
    <row r="151" spans="1:10" x14ac:dyDescent="0.25">
      <c r="A151" s="73">
        <f>ИД_Маршруты!A149</f>
        <v>147</v>
      </c>
      <c r="B151" s="35">
        <v>75</v>
      </c>
      <c r="C151" s="35">
        <v>10</v>
      </c>
      <c r="D151" s="73" t="str">
        <f>ИД_Маршруты!B149</f>
        <v>10А ул. Землячки - пл. Возрождения (прямой)</v>
      </c>
      <c r="E151" s="73" t="str">
        <f>ИД_Маршруты!C149</f>
        <v>т</v>
      </c>
      <c r="F151" s="35">
        <v>110</v>
      </c>
      <c r="G151" s="73">
        <f t="shared" si="4"/>
        <v>8</v>
      </c>
    </row>
    <row r="152" spans="1:10" x14ac:dyDescent="0.25">
      <c r="A152" s="73">
        <f>ИД_Маршруты!A150</f>
        <v>148</v>
      </c>
      <c r="B152" s="35">
        <v>75</v>
      </c>
      <c r="C152" s="73">
        <v>10</v>
      </c>
      <c r="D152" s="73" t="str">
        <f>ИД_Маршруты!B150</f>
        <v>10А пл. Возрождения - ул. Землячки (обратный)</v>
      </c>
      <c r="E152" s="73" t="str">
        <f>ИД_Маршруты!C150</f>
        <v>т</v>
      </c>
      <c r="F152" s="73">
        <v>110</v>
      </c>
      <c r="G152" s="73">
        <f t="shared" si="4"/>
        <v>8</v>
      </c>
    </row>
    <row r="153" spans="1:10" x14ac:dyDescent="0.25">
      <c r="A153" s="73">
        <f>ИД_Маршруты!A151</f>
        <v>149</v>
      </c>
      <c r="B153" s="35">
        <v>60</v>
      </c>
      <c r="C153" s="73">
        <v>10</v>
      </c>
      <c r="D153" s="73" t="str">
        <f>ИД_Маршруты!B151</f>
        <v>18 Обувная фабрика - ул. Тополевая (прямой)</v>
      </c>
      <c r="E153" s="73" t="str">
        <f>ИД_Маршруты!C151</f>
        <v>т</v>
      </c>
      <c r="F153" s="73">
        <v>110</v>
      </c>
      <c r="G153" s="73">
        <f t="shared" si="4"/>
        <v>6</v>
      </c>
    </row>
    <row r="154" spans="1:10" x14ac:dyDescent="0.25">
      <c r="A154" s="73">
        <f>ИД_Маршруты!A152</f>
        <v>150</v>
      </c>
      <c r="B154" s="35">
        <v>60</v>
      </c>
      <c r="C154" s="73">
        <v>10</v>
      </c>
      <c r="D154" s="73" t="str">
        <f>ИД_Маршруты!B152</f>
        <v>18 ул. Тополевая - Обувная фабрика (обратный)</v>
      </c>
      <c r="E154" s="73" t="str">
        <f>ИД_Маршруты!C152</f>
        <v>т</v>
      </c>
      <c r="F154" s="73">
        <v>110</v>
      </c>
      <c r="G154" s="73">
        <f t="shared" si="4"/>
        <v>6</v>
      </c>
    </row>
  </sheetData>
  <sortState ref="A5:G150">
    <sortCondition ref="A5:A150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2:Q103"/>
  <sheetViews>
    <sheetView topLeftCell="A4" workbookViewId="0">
      <selection activeCell="I7" sqref="I7"/>
    </sheetView>
  </sheetViews>
  <sheetFormatPr defaultRowHeight="15" x14ac:dyDescent="0.25"/>
  <cols>
    <col min="1" max="1" width="10.7109375" customWidth="1"/>
    <col min="2" max="2" width="11.42578125" customWidth="1"/>
    <col min="3" max="3" width="40.140625" customWidth="1"/>
    <col min="4" max="4" width="10" customWidth="1"/>
    <col min="5" max="5" width="7" customWidth="1"/>
    <col min="6" max="6" width="24.140625" customWidth="1"/>
    <col min="7" max="7" width="8.7109375" customWidth="1"/>
    <col min="8" max="8" width="12.85546875" customWidth="1"/>
    <col min="9" max="9" width="38.28515625" customWidth="1"/>
  </cols>
  <sheetData>
    <row r="2" spans="1:17" x14ac:dyDescent="0.25">
      <c r="B2" t="s">
        <v>676</v>
      </c>
    </row>
    <row r="3" spans="1:17" ht="30" x14ac:dyDescent="0.25">
      <c r="A3" s="9" t="s">
        <v>237</v>
      </c>
      <c r="B3" s="56" t="s">
        <v>238</v>
      </c>
      <c r="C3" s="56" t="s">
        <v>670</v>
      </c>
    </row>
    <row r="4" spans="1:17" x14ac:dyDescent="0.25">
      <c r="A4" s="57">
        <v>1</v>
      </c>
      <c r="B4" s="2">
        <f>INDEX(Остановки,MATCH(C4,ИД_Остановки!$B$3:$B$467,0),1)</f>
        <v>248</v>
      </c>
      <c r="C4" s="14" t="s">
        <v>617</v>
      </c>
      <c r="H4" t="s">
        <v>674</v>
      </c>
      <c r="I4">
        <v>3227</v>
      </c>
      <c r="L4" s="35"/>
      <c r="M4" s="35"/>
      <c r="N4" s="35"/>
      <c r="O4" s="35"/>
      <c r="P4" s="35"/>
      <c r="Q4" s="35"/>
    </row>
    <row r="5" spans="1:17" x14ac:dyDescent="0.25">
      <c r="A5" s="57">
        <v>2</v>
      </c>
      <c r="B5" s="2">
        <f>INDEX(Остановки,MATCH(C5,ИД_Остановки!$B$3:$B$467,0),1)</f>
        <v>249</v>
      </c>
      <c r="C5" s="14" t="s">
        <v>372</v>
      </c>
      <c r="H5" t="s">
        <v>673</v>
      </c>
      <c r="I5">
        <f>SUM(J7:J28)</f>
        <v>3227</v>
      </c>
      <c r="L5" s="35"/>
      <c r="M5" s="35"/>
      <c r="N5" s="35"/>
      <c r="O5" s="35"/>
      <c r="P5" s="35"/>
      <c r="Q5" s="35"/>
    </row>
    <row r="6" spans="1:17" x14ac:dyDescent="0.25">
      <c r="A6" s="57">
        <v>3</v>
      </c>
      <c r="B6" s="2">
        <f>INDEX(Остановки,MATCH(C6,ИД_Остановки!$B$3:$B$467,0),1)</f>
        <v>250</v>
      </c>
      <c r="C6" s="14" t="s">
        <v>373</v>
      </c>
      <c r="H6" t="s">
        <v>671</v>
      </c>
      <c r="I6" t="s">
        <v>672</v>
      </c>
      <c r="J6" t="s">
        <v>673</v>
      </c>
      <c r="K6" t="s">
        <v>675</v>
      </c>
      <c r="L6" s="35"/>
      <c r="M6" s="35"/>
      <c r="N6" s="35"/>
      <c r="O6" s="35"/>
      <c r="P6" s="35"/>
      <c r="Q6" s="35"/>
    </row>
    <row r="7" spans="1:17" x14ac:dyDescent="0.25">
      <c r="A7" s="57">
        <v>4</v>
      </c>
      <c r="B7" s="2">
        <f>INDEX(Остановки,MATCH(C7,ИД_Остановки!$B$3:$B$467,0),1)</f>
        <v>222</v>
      </c>
      <c r="C7" s="14" t="s">
        <v>354</v>
      </c>
      <c r="H7" s="59">
        <v>142</v>
      </c>
      <c r="I7" t="str">
        <f>INDEX(Маршруты,MATCH(H7,ИД_Маршруты!$A$3:$A$200,0),2)</f>
        <v>95 ул. Тополевая - пос. ГЭС (обратный)</v>
      </c>
      <c r="J7">
        <v>438</v>
      </c>
      <c r="K7" s="58">
        <f t="shared" ref="K7:K28" si="0">J7/$I$5</f>
        <v>0.13572977998140687</v>
      </c>
      <c r="L7" s="35"/>
      <c r="M7" s="35"/>
      <c r="N7" s="35"/>
      <c r="O7" s="35"/>
      <c r="P7" s="35"/>
      <c r="Q7" s="35"/>
    </row>
    <row r="8" spans="1:17" x14ac:dyDescent="0.25">
      <c r="A8" s="57">
        <v>5</v>
      </c>
      <c r="B8" s="2">
        <f>INDEX(Остановки,MATCH(C8,ИД_Остановки!$B$3:$B$467,0),1)</f>
        <v>243</v>
      </c>
      <c r="C8" s="14" t="s">
        <v>368</v>
      </c>
      <c r="H8" s="59">
        <v>149</v>
      </c>
      <c r="I8" t="str">
        <f>INDEX(Маршруты,MATCH(H8,ИД_Маршруты!$A$3:$A$200,0),2)</f>
        <v>18 Обувная фабрика - ул. Тополевая (прямой)</v>
      </c>
      <c r="J8">
        <v>117</v>
      </c>
      <c r="K8" s="58">
        <f t="shared" si="0"/>
        <v>3.6256585063526497E-2</v>
      </c>
      <c r="L8" s="35"/>
      <c r="M8" s="35"/>
      <c r="N8" s="35"/>
      <c r="O8" s="35"/>
      <c r="P8" s="35"/>
      <c r="Q8" s="35"/>
    </row>
    <row r="9" spans="1:17" x14ac:dyDescent="0.25">
      <c r="A9" s="57">
        <v>6</v>
      </c>
      <c r="B9" s="2">
        <f>INDEX(Остановки,MATCH(C9,ИД_Остановки!$B$3:$B$467,0),1)</f>
        <v>251</v>
      </c>
      <c r="C9" s="14" t="s">
        <v>164</v>
      </c>
      <c r="H9" s="59">
        <v>125</v>
      </c>
      <c r="I9" t="str">
        <f>INDEX(Маршруты,MATCH(H9,ИД_Маршруты!$A$3:$A$200,0),2)</f>
        <v>55К ОАО Каустик - ул. Тулака (прямой)</v>
      </c>
      <c r="J9">
        <v>244</v>
      </c>
      <c r="K9" s="58">
        <f t="shared" si="0"/>
        <v>7.5612023551286017E-2</v>
      </c>
      <c r="L9" s="35"/>
      <c r="M9" s="35"/>
      <c r="N9" s="35"/>
      <c r="O9" s="35"/>
      <c r="P9" s="35"/>
      <c r="Q9" s="35"/>
    </row>
    <row r="10" spans="1:17" x14ac:dyDescent="0.25">
      <c r="A10" s="57">
        <v>7</v>
      </c>
      <c r="B10" s="2">
        <f>INDEX(Остановки,MATCH(C10,ИД_Остановки!$B$3:$B$467,0),1)</f>
        <v>244</v>
      </c>
      <c r="C10" s="14" t="s">
        <v>133</v>
      </c>
      <c r="D10" s="76" t="s">
        <v>677</v>
      </c>
      <c r="H10" s="59">
        <v>76</v>
      </c>
      <c r="I10" t="str">
        <f>INDEX(Маршруты,MATCH(H10,ИД_Маршруты!$A$3:$A$200,0),2)</f>
        <v>77 к/т Юбилейный - ТРК "Комсомолл" (прямой)</v>
      </c>
      <c r="J10">
        <v>246</v>
      </c>
      <c r="K10" s="58">
        <f t="shared" si="0"/>
        <v>7.6231794236132633E-2</v>
      </c>
      <c r="L10" s="35"/>
      <c r="M10" s="35"/>
      <c r="N10" s="35"/>
      <c r="O10" s="35"/>
      <c r="P10" s="35"/>
      <c r="Q10" s="35"/>
    </row>
    <row r="11" spans="1:17" x14ac:dyDescent="0.25">
      <c r="A11" s="57">
        <v>8</v>
      </c>
      <c r="B11" s="2">
        <f>INDEX(Остановки,MATCH(C11,ИД_Остановки!$B$3:$B$467,0),1)</f>
        <v>245</v>
      </c>
      <c r="C11" s="14" t="s">
        <v>369</v>
      </c>
      <c r="D11" s="76"/>
      <c r="E11">
        <v>149</v>
      </c>
      <c r="F11" t="str">
        <f>INDEX(Маршруты,E11,2)</f>
        <v>18 Обувная фабрика - ул. Тополевая (прямой)</v>
      </c>
      <c r="H11" s="59">
        <v>123</v>
      </c>
      <c r="I11" t="str">
        <f>INDEX(Маршруты,MATCH(H11,ИД_Маршруты!$A$3:$A$200,0),2)</f>
        <v>55 7-я больница - к/т Юбилейный (прямой)</v>
      </c>
      <c r="J11">
        <v>293</v>
      </c>
      <c r="K11" s="58">
        <f t="shared" si="0"/>
        <v>9.0796405330027891E-2</v>
      </c>
      <c r="L11" s="35"/>
      <c r="M11" s="35"/>
      <c r="N11" s="35"/>
      <c r="O11" s="35"/>
      <c r="P11" s="35"/>
      <c r="Q11" s="35"/>
    </row>
    <row r="12" spans="1:17" x14ac:dyDescent="0.25">
      <c r="A12" s="57">
        <v>9</v>
      </c>
      <c r="B12" s="2">
        <f>INDEX(Остановки,MATCH(C12,ИД_Остановки!$B$3:$B$467,0),1)</f>
        <v>236</v>
      </c>
      <c r="C12" s="14" t="s">
        <v>130</v>
      </c>
      <c r="H12" s="59">
        <v>85</v>
      </c>
      <c r="I12" t="str">
        <f>INDEX(Маршруты,MATCH(H12,ИД_Маршруты!$A$3:$A$200,0),2)</f>
        <v>2 ул. Тополевая (угол парка) - ЖД Вокзал (прямой)</v>
      </c>
      <c r="J12">
        <v>289</v>
      </c>
      <c r="K12" s="58">
        <f t="shared" si="0"/>
        <v>8.9556863960334673E-2</v>
      </c>
      <c r="L12" s="35"/>
      <c r="M12" s="35"/>
      <c r="N12" s="35"/>
      <c r="O12" s="35"/>
      <c r="P12" s="35"/>
      <c r="Q12" s="35"/>
    </row>
    <row r="13" spans="1:17" x14ac:dyDescent="0.25">
      <c r="A13" s="57">
        <v>10</v>
      </c>
      <c r="B13" s="2">
        <f>INDEX(Остановки,MATCH(C13,ИД_Остановки!$B$3:$B$467,0),1)</f>
        <v>252</v>
      </c>
      <c r="C13" s="14" t="s">
        <v>135</v>
      </c>
      <c r="H13" s="59">
        <v>53</v>
      </c>
      <c r="I13" t="str">
        <f>INDEX(Маршруты,MATCH(H13,ИД_Маршруты!$A$3:$A$200,0),2)</f>
        <v>45 Дачи Кировец - пос. Руднева (обратный)</v>
      </c>
      <c r="J13">
        <v>24</v>
      </c>
      <c r="K13" s="58">
        <f t="shared" si="0"/>
        <v>7.437248218159281E-3</v>
      </c>
      <c r="L13" s="35"/>
      <c r="M13" s="35"/>
      <c r="N13" s="35"/>
      <c r="O13" s="35"/>
      <c r="P13" s="35"/>
      <c r="Q13" s="35"/>
    </row>
    <row r="14" spans="1:17" x14ac:dyDescent="0.25">
      <c r="A14" s="57">
        <v>11</v>
      </c>
      <c r="B14" s="2">
        <f>INDEX(Остановки,MATCH(C14,ИД_Остановки!$B$3:$B$467,0),1)</f>
        <v>288</v>
      </c>
      <c r="C14" s="14" t="s">
        <v>388</v>
      </c>
      <c r="H14" s="59">
        <v>46</v>
      </c>
      <c r="I14" t="str">
        <f>INDEX(Маршруты,MATCH(H14,ИД_Маршруты!$A$3:$A$200,0),2)</f>
        <v>50Э Обувная фабрика - дачи Автотранспортник (прямой)</v>
      </c>
      <c r="J14">
        <v>43</v>
      </c>
      <c r="K14" s="58">
        <f t="shared" si="0"/>
        <v>1.3325069724202046E-2</v>
      </c>
      <c r="L14" s="35"/>
      <c r="M14" s="35"/>
      <c r="N14" s="35"/>
      <c r="O14" s="35"/>
      <c r="P14" s="35"/>
      <c r="Q14" s="35"/>
    </row>
    <row r="15" spans="1:17" x14ac:dyDescent="0.25">
      <c r="A15" s="57">
        <v>12</v>
      </c>
      <c r="B15" s="2">
        <f>INDEX(Остановки,MATCH(C15,ИД_Остановки!$B$3:$B$467,0),1)</f>
        <v>254</v>
      </c>
      <c r="C15" s="14" t="s">
        <v>136</v>
      </c>
      <c r="H15" s="59">
        <v>122</v>
      </c>
      <c r="I15" t="str">
        <f>INDEX(Маршруты,MATCH(H15,ИД_Маршруты!$A$3:$A$200,0),2)</f>
        <v>49 Авиагородок - Капустная балка (обратный)</v>
      </c>
      <c r="J15">
        <v>108</v>
      </c>
      <c r="K15" s="58">
        <f t="shared" si="0"/>
        <v>3.3467616981716762E-2</v>
      </c>
      <c r="L15" s="35"/>
      <c r="M15" s="35"/>
      <c r="N15" s="35"/>
      <c r="O15" s="35"/>
      <c r="P15" s="35"/>
      <c r="Q15" s="35"/>
    </row>
    <row r="16" spans="1:17" x14ac:dyDescent="0.25">
      <c r="A16" s="57">
        <v>13</v>
      </c>
      <c r="B16" s="2">
        <f>INDEX(Остановки,MATCH(C16,ИД_Остановки!$B$3:$B$467,0),1)</f>
        <v>160</v>
      </c>
      <c r="C16" s="14" t="s">
        <v>323</v>
      </c>
      <c r="H16" s="59">
        <v>74</v>
      </c>
      <c r="I16" t="str">
        <f>INDEX(Маршруты,MATCH(H16,ИД_Маршруты!$A$3:$A$200,0),2)</f>
        <v>56Э Ермана - Лесник-2 (прямой)</v>
      </c>
      <c r="J16">
        <v>26</v>
      </c>
      <c r="K16" s="58">
        <f t="shared" si="0"/>
        <v>8.0570189030058879E-3</v>
      </c>
      <c r="L16" s="35"/>
      <c r="M16" s="35"/>
      <c r="N16" s="35"/>
      <c r="O16" s="35"/>
      <c r="P16" s="35"/>
      <c r="Q16" s="35"/>
    </row>
    <row r="17" spans="1:17" x14ac:dyDescent="0.25">
      <c r="A17" s="57">
        <v>14</v>
      </c>
      <c r="B17" s="2">
        <f>INDEX(Остановки,MATCH(C17,ИД_Остановки!$B$3:$B$467,0),1)</f>
        <v>337</v>
      </c>
      <c r="C17" s="14" t="s">
        <v>407</v>
      </c>
      <c r="H17" s="59">
        <v>104</v>
      </c>
      <c r="I17" t="str">
        <f>INDEX(Маршруты,MATCH(H17,ИД_Маршруты!$A$3:$A$200,0),2)</f>
        <v>29Э Кардиоцентр - к/т Юбилейный (обратный)</v>
      </c>
      <c r="J17">
        <v>3</v>
      </c>
      <c r="K17" s="58">
        <f t="shared" si="0"/>
        <v>9.2965602726991013E-4</v>
      </c>
      <c r="L17" s="35"/>
      <c r="M17" s="35"/>
      <c r="N17" s="35"/>
      <c r="O17" s="35"/>
      <c r="P17" s="35"/>
      <c r="Q17" s="35"/>
    </row>
    <row r="18" spans="1:17" x14ac:dyDescent="0.25">
      <c r="A18" s="57">
        <v>15</v>
      </c>
      <c r="B18" s="2">
        <f>INDEX(Остановки,MATCH(C18,ИД_Остановки!$B$3:$B$467,0),1)</f>
        <v>441</v>
      </c>
      <c r="C18" s="14" t="s">
        <v>645</v>
      </c>
      <c r="D18" s="33" t="s">
        <v>689</v>
      </c>
      <c r="H18" s="59">
        <v>86</v>
      </c>
      <c r="I18" t="str">
        <f>INDEX(Маршруты,MATCH(H18,ИД_Маршруты!$A$3:$A$200,0),2)</f>
        <v>2 ЖД Вокзал - ул. Тополевая (угол парка) (обратный)</v>
      </c>
      <c r="J18">
        <v>188</v>
      </c>
      <c r="K18" s="58">
        <f t="shared" si="0"/>
        <v>5.8258444375581038E-2</v>
      </c>
      <c r="L18" s="35"/>
      <c r="M18" s="35"/>
      <c r="N18" s="35"/>
      <c r="O18" s="35"/>
      <c r="P18" s="35"/>
      <c r="Q18" s="35"/>
    </row>
    <row r="19" spans="1:17" x14ac:dyDescent="0.25">
      <c r="A19" s="57">
        <v>16</v>
      </c>
      <c r="B19" s="2" t="e">
        <f>INDEX(Остановки,MATCH(C19,ИД_Остановки!$B$3:$B$467,0),1)</f>
        <v>#N/A</v>
      </c>
      <c r="C19" s="14"/>
      <c r="H19" s="59">
        <v>124</v>
      </c>
      <c r="I19" t="str">
        <f>INDEX(Маршруты,MATCH(H19,ИД_Маршруты!$A$3:$A$200,0),2)</f>
        <v>55 к/т Юбилейный - 7-я больница (обратный)</v>
      </c>
      <c r="J19">
        <v>166</v>
      </c>
      <c r="K19" s="58">
        <f t="shared" si="0"/>
        <v>5.1440966842268364E-2</v>
      </c>
      <c r="L19" s="35"/>
      <c r="M19" s="35"/>
      <c r="N19" s="35"/>
      <c r="O19" s="35"/>
      <c r="P19" s="35"/>
      <c r="Q19" s="35"/>
    </row>
    <row r="20" spans="1:17" x14ac:dyDescent="0.25">
      <c r="A20" s="57">
        <v>17</v>
      </c>
      <c r="B20" s="2" t="e">
        <f>INDEX(Остановки,MATCH(C20,ИД_Остановки!$B$3:$B$467,0),1)</f>
        <v>#N/A</v>
      </c>
      <c r="C20" s="14"/>
      <c r="H20" s="59">
        <v>141</v>
      </c>
      <c r="I20" t="str">
        <f>INDEX(Маршруты,MATCH(H20,ИД_Маршруты!$A$3:$A$200,0),2)</f>
        <v>95 пос. ГЭС - ул. Тополевая (прямой)</v>
      </c>
      <c r="J20">
        <v>287</v>
      </c>
      <c r="K20" s="58">
        <f t="shared" si="0"/>
        <v>8.8937093275488072E-2</v>
      </c>
      <c r="L20" s="35"/>
      <c r="M20" s="35"/>
      <c r="N20" s="35"/>
      <c r="O20" s="35"/>
      <c r="P20" s="35"/>
      <c r="Q20" s="35"/>
    </row>
    <row r="21" spans="1:17" x14ac:dyDescent="0.25">
      <c r="A21" s="57">
        <v>18</v>
      </c>
      <c r="B21" s="2" t="e">
        <f>INDEX(Остановки,MATCH(C21,ИД_Остановки!$B$3:$B$467,0),1)</f>
        <v>#N/A</v>
      </c>
      <c r="C21" s="14"/>
      <c r="H21" s="59">
        <v>77</v>
      </c>
      <c r="I21" t="str">
        <f>INDEX(Маршруты,MATCH(H21,ИД_Маршруты!$A$3:$A$200,0),2)</f>
        <v>77 ТРК "Комсомолл" - к/т Юбилейный (обратный)</v>
      </c>
      <c r="J21">
        <v>177</v>
      </c>
      <c r="K21" s="58">
        <f t="shared" si="0"/>
        <v>5.4849705608924701E-2</v>
      </c>
      <c r="L21" s="35"/>
      <c r="M21" s="35"/>
      <c r="N21" s="35"/>
      <c r="O21" s="35"/>
      <c r="P21" s="35"/>
      <c r="Q21" s="35"/>
    </row>
    <row r="22" spans="1:17" x14ac:dyDescent="0.25">
      <c r="A22" s="57">
        <v>19</v>
      </c>
      <c r="B22" s="2" t="e">
        <f>INDEX(Остановки,MATCH(C22,ИД_Остановки!$B$3:$B$467,0),1)</f>
        <v>#N/A</v>
      </c>
      <c r="C22" s="14"/>
      <c r="H22" s="59">
        <v>150</v>
      </c>
      <c r="I22" t="str">
        <f>INDEX(Маршруты,MATCH(H22,ИД_Маршруты!$A$3:$A$200,0),2)</f>
        <v>18 ул. Тополевая - Обувная фабрика (обратный)</v>
      </c>
      <c r="J22">
        <v>314</v>
      </c>
      <c r="K22" s="58">
        <f t="shared" si="0"/>
        <v>9.7303997520917257E-2</v>
      </c>
      <c r="L22" s="35"/>
      <c r="M22" s="35"/>
      <c r="N22" s="35"/>
      <c r="O22" s="35"/>
      <c r="P22" s="35"/>
      <c r="Q22" s="35"/>
    </row>
    <row r="23" spans="1:17" x14ac:dyDescent="0.25">
      <c r="A23" s="57">
        <v>20</v>
      </c>
      <c r="B23" s="2" t="e">
        <f>INDEX(Остановки,MATCH(C23,ИД_Остановки!$B$3:$B$467,0),1)</f>
        <v>#N/A</v>
      </c>
      <c r="C23" s="14"/>
      <c r="H23" s="59">
        <v>126</v>
      </c>
      <c r="I23" t="str">
        <f>INDEX(Маршруты,MATCH(H23,ИД_Маршруты!$A$3:$A$200,0),2)</f>
        <v>55К ул. Тулака - ОАО Каустик (обратный)</v>
      </c>
      <c r="J23">
        <v>179</v>
      </c>
      <c r="K23" s="58">
        <f t="shared" si="0"/>
        <v>5.5469476293771303E-2</v>
      </c>
      <c r="L23" s="35"/>
      <c r="M23" s="35"/>
      <c r="N23" s="35"/>
      <c r="O23" s="35"/>
      <c r="P23" s="35"/>
      <c r="Q23" s="35"/>
    </row>
    <row r="24" spans="1:17" x14ac:dyDescent="0.25">
      <c r="A24" s="57">
        <v>21</v>
      </c>
      <c r="B24" s="2" t="e">
        <f>INDEX(Остановки,MATCH(C24,ИД_Остановки!$B$3:$B$467,0),1)</f>
        <v>#N/A</v>
      </c>
      <c r="C24" s="14"/>
      <c r="H24" s="59">
        <v>52</v>
      </c>
      <c r="I24" t="str">
        <f>INDEX(Маршруты,MATCH(H24,ИД_Маршруты!$A$3:$A$200,0),2)</f>
        <v>45 пос. Руднева - Дачи Кировец (прямой)</v>
      </c>
      <c r="J24">
        <v>1</v>
      </c>
      <c r="K24" s="58">
        <f t="shared" si="0"/>
        <v>3.0988534242330339E-4</v>
      </c>
      <c r="L24" s="35"/>
      <c r="M24" s="35"/>
      <c r="N24" s="35"/>
      <c r="O24" s="35"/>
      <c r="P24" s="35"/>
      <c r="Q24" s="35"/>
    </row>
    <row r="25" spans="1:17" x14ac:dyDescent="0.25">
      <c r="A25" s="57">
        <v>22</v>
      </c>
      <c r="B25" s="2" t="e">
        <f>INDEX(Остановки,MATCH(C25,ИД_Остановки!$B$3:$B$467,0),1)</f>
        <v>#N/A</v>
      </c>
      <c r="C25" s="14"/>
      <c r="H25" s="59">
        <v>121</v>
      </c>
      <c r="I25" t="str">
        <f>INDEX(Маршруты,MATCH(H25,ИД_Маршруты!$A$3:$A$200,0),2)</f>
        <v>49 Капустная балка - Авиагородок (прямой)</v>
      </c>
      <c r="J25">
        <v>31</v>
      </c>
      <c r="K25" s="58">
        <f t="shared" si="0"/>
        <v>9.6064456151224043E-3</v>
      </c>
      <c r="L25" s="35"/>
      <c r="M25" s="35"/>
      <c r="N25" s="35"/>
      <c r="O25" s="35"/>
      <c r="P25" s="35"/>
      <c r="Q25" s="35"/>
    </row>
    <row r="26" spans="1:17" x14ac:dyDescent="0.25">
      <c r="A26" s="57">
        <v>23</v>
      </c>
      <c r="B26" s="2" t="e">
        <f>INDEX(Остановки,MATCH(C26,ИД_Остановки!$B$3:$B$467,0),1)</f>
        <v>#N/A</v>
      </c>
      <c r="C26" s="14"/>
      <c r="H26" s="59">
        <v>47</v>
      </c>
      <c r="I26" t="str">
        <f>INDEX(Маршруты,MATCH(H26,ИД_Маршруты!$A$3:$A$200,0),2)</f>
        <v>50Э дачи Автотранспортник - Обувная фабрика (обратный)</v>
      </c>
      <c r="J26">
        <v>37</v>
      </c>
      <c r="K26" s="58">
        <f t="shared" si="0"/>
        <v>1.1465757669662225E-2</v>
      </c>
      <c r="L26" s="35"/>
      <c r="M26" s="35"/>
      <c r="N26" s="35"/>
      <c r="O26" s="35"/>
      <c r="P26" s="35"/>
      <c r="Q26" s="35"/>
    </row>
    <row r="27" spans="1:17" x14ac:dyDescent="0.25">
      <c r="A27" s="57">
        <v>24</v>
      </c>
      <c r="B27" s="2" t="e">
        <f>INDEX(Остановки,MATCH(C27,ИД_Остановки!$B$3:$B$467,0),1)</f>
        <v>#N/A</v>
      </c>
      <c r="C27" s="14"/>
      <c r="H27" s="59">
        <v>103</v>
      </c>
      <c r="I27" t="str">
        <f>INDEX(Маршруты,MATCH(H27,ИД_Маршруты!$A$3:$A$200,0),2)</f>
        <v>29Э к/т Юбилейный - Кардиоцентр (прямой)</v>
      </c>
      <c r="J27">
        <v>7</v>
      </c>
      <c r="K27" s="58">
        <f t="shared" si="0"/>
        <v>2.1691973969631237E-3</v>
      </c>
    </row>
    <row r="28" spans="1:17" x14ac:dyDescent="0.25">
      <c r="A28" s="57">
        <v>25</v>
      </c>
      <c r="B28" s="2" t="e">
        <f>INDEX(Остановки,MATCH(C28,ИД_Остановки!$B$3:$B$467,0),1)</f>
        <v>#N/A</v>
      </c>
      <c r="C28" s="14"/>
      <c r="H28" s="59">
        <v>75</v>
      </c>
      <c r="I28" t="str">
        <f>INDEX(Маршруты,MATCH(H28,ИД_Маршруты!$A$3:$A$200,0),2)</f>
        <v>56Э Лесник-2 - Ермана (обратный)</v>
      </c>
      <c r="J28">
        <v>9</v>
      </c>
      <c r="K28" s="58">
        <f t="shared" si="0"/>
        <v>2.7889680818097306E-3</v>
      </c>
    </row>
    <row r="29" spans="1:17" x14ac:dyDescent="0.25">
      <c r="A29" s="57">
        <v>26</v>
      </c>
      <c r="B29" s="2" t="e">
        <f>INDEX(Остановки,MATCH(C29,ИД_Остановки!$B$3:$B$467,0),1)</f>
        <v>#N/A</v>
      </c>
      <c r="C29" s="14"/>
    </row>
    <row r="30" spans="1:17" x14ac:dyDescent="0.25">
      <c r="A30" s="57">
        <v>27</v>
      </c>
      <c r="B30" s="2" t="e">
        <f>INDEX(Остановки,MATCH(C30,ИД_Остановки!$B$3:$B$467,0),1)</f>
        <v>#N/A</v>
      </c>
      <c r="C30" s="14"/>
    </row>
    <row r="31" spans="1:17" x14ac:dyDescent="0.25">
      <c r="A31" s="57">
        <v>28</v>
      </c>
      <c r="B31" s="2" t="e">
        <f>INDEX(Остановки,MATCH(C31,ИД_Остановки!$B$3:$B$467,0),1)</f>
        <v>#N/A</v>
      </c>
      <c r="C31" s="14"/>
    </row>
    <row r="32" spans="1:17" x14ac:dyDescent="0.25">
      <c r="A32" s="57">
        <v>29</v>
      </c>
      <c r="B32" s="2" t="e">
        <f>INDEX(Остановки,MATCH(C32,ИД_Остановки!$B$3:$B$467,0),1)</f>
        <v>#N/A</v>
      </c>
      <c r="C32" s="14"/>
    </row>
    <row r="33" spans="1:3" x14ac:dyDescent="0.25">
      <c r="A33" s="57">
        <v>30</v>
      </c>
      <c r="B33" s="2" t="e">
        <f>INDEX(Остановки,MATCH(C33,ИД_Остановки!$B$3:$B$467,0),1)</f>
        <v>#N/A</v>
      </c>
      <c r="C33" s="14"/>
    </row>
    <row r="34" spans="1:3" x14ac:dyDescent="0.25">
      <c r="A34" s="57">
        <v>31</v>
      </c>
      <c r="B34" s="2" t="e">
        <f>INDEX(Остановки,MATCH(C34,ИД_Остановки!$B$3:$B$467,0),1)</f>
        <v>#N/A</v>
      </c>
      <c r="C34" s="14"/>
    </row>
    <row r="35" spans="1:3" x14ac:dyDescent="0.25">
      <c r="A35" s="57">
        <v>32</v>
      </c>
      <c r="B35" s="2" t="e">
        <f>INDEX(Остановки,MATCH(C35,ИД_Остановки!$B$3:$B$467,0),1)</f>
        <v>#N/A</v>
      </c>
      <c r="C35" s="14"/>
    </row>
    <row r="36" spans="1:3" x14ac:dyDescent="0.25">
      <c r="A36" s="57">
        <v>33</v>
      </c>
      <c r="B36" s="2" t="e">
        <f>INDEX(Остановки,MATCH(C36,ИД_Остановки!$B$3:$B$467,0),1)</f>
        <v>#N/A</v>
      </c>
      <c r="C36" s="14"/>
    </row>
    <row r="37" spans="1:3" x14ac:dyDescent="0.25">
      <c r="A37" s="57">
        <v>34</v>
      </c>
      <c r="B37" s="2" t="e">
        <f>INDEX(Остановки,MATCH(C37,ИД_Остановки!$B$3:$B$467,0),1)</f>
        <v>#N/A</v>
      </c>
      <c r="C37" s="14"/>
    </row>
    <row r="38" spans="1:3" x14ac:dyDescent="0.25">
      <c r="A38" s="57">
        <v>35</v>
      </c>
      <c r="B38" s="2" t="e">
        <f>INDEX(Остановки,MATCH(C38,ИД_Остановки!$B$3:$B$467,0),1)</f>
        <v>#N/A</v>
      </c>
      <c r="C38" s="14"/>
    </row>
    <row r="39" spans="1:3" x14ac:dyDescent="0.25">
      <c r="A39" s="57">
        <v>36</v>
      </c>
      <c r="B39" s="2" t="e">
        <f>INDEX(Остановки,MATCH(C39,ИД_Остановки!$B$3:$B$467,0),1)</f>
        <v>#N/A</v>
      </c>
      <c r="C39" s="14"/>
    </row>
    <row r="40" spans="1:3" x14ac:dyDescent="0.25">
      <c r="A40" s="57">
        <v>37</v>
      </c>
      <c r="B40" s="2" t="e">
        <f>INDEX(Остановки,MATCH(C40,ИД_Остановки!$B$3:$B$467,0),1)</f>
        <v>#N/A</v>
      </c>
      <c r="C40" s="14"/>
    </row>
    <row r="41" spans="1:3" x14ac:dyDescent="0.25">
      <c r="A41" s="57">
        <v>38</v>
      </c>
      <c r="B41" s="2" t="e">
        <f>INDEX(Остановки,MATCH(C41,ИД_Остановки!$B$3:$B$467,0),1)</f>
        <v>#N/A</v>
      </c>
      <c r="C41" s="14"/>
    </row>
    <row r="42" spans="1:3" x14ac:dyDescent="0.25">
      <c r="A42" s="57">
        <v>39</v>
      </c>
      <c r="B42" s="2" t="e">
        <f>INDEX(Остановки,MATCH(C42,ИД_Остановки!$B$3:$B$467,0),1)</f>
        <v>#N/A</v>
      </c>
      <c r="C42" s="14"/>
    </row>
    <row r="43" spans="1:3" x14ac:dyDescent="0.25">
      <c r="A43" s="57">
        <v>40</v>
      </c>
      <c r="B43" s="2" t="e">
        <f>INDEX(Остановки,MATCH(C43,ИД_Остановки!$B$3:$B$467,0),1)</f>
        <v>#N/A</v>
      </c>
      <c r="C43" s="14"/>
    </row>
    <row r="44" spans="1:3" x14ac:dyDescent="0.25">
      <c r="A44" s="57">
        <v>41</v>
      </c>
      <c r="B44" s="2" t="e">
        <f>INDEX(Остановки,MATCH(C44,ИД_Остановки!$B$3:$B$467,0),1)</f>
        <v>#N/A</v>
      </c>
      <c r="C44" s="14"/>
    </row>
    <row r="45" spans="1:3" x14ac:dyDescent="0.25">
      <c r="A45" s="57">
        <v>42</v>
      </c>
      <c r="B45" s="2" t="e">
        <f>INDEX(Остановки,MATCH(C45,ИД_Остановки!$B$3:$B$467,0),1)</f>
        <v>#N/A</v>
      </c>
      <c r="C45" s="14"/>
    </row>
    <row r="46" spans="1:3" x14ac:dyDescent="0.25">
      <c r="A46" s="57">
        <v>43</v>
      </c>
      <c r="B46" s="2" t="e">
        <f>INDEX(Остановки,MATCH(C46,ИД_Остановки!$B$3:$B$467,0),1)</f>
        <v>#N/A</v>
      </c>
      <c r="C46" s="14"/>
    </row>
    <row r="47" spans="1:3" x14ac:dyDescent="0.25">
      <c r="A47" s="57">
        <v>44</v>
      </c>
      <c r="B47" s="2" t="e">
        <f>INDEX(Остановки,MATCH(C47,ИД_Остановки!$B$3:$B$467,0),1)</f>
        <v>#N/A</v>
      </c>
      <c r="C47" s="14"/>
    </row>
    <row r="48" spans="1:3" x14ac:dyDescent="0.25">
      <c r="A48" s="57">
        <v>45</v>
      </c>
      <c r="B48" s="2" t="e">
        <f>INDEX(Остановки,MATCH(C48,ИД_Остановки!$B$3:$B$467,0),1)</f>
        <v>#N/A</v>
      </c>
      <c r="C48" s="14"/>
    </row>
    <row r="49" spans="1:3" x14ac:dyDescent="0.25">
      <c r="A49" s="57">
        <v>46</v>
      </c>
      <c r="B49" s="2" t="e">
        <f>INDEX(Остановки,MATCH(C49,ИД_Остановки!$B$3:$B$467,0),1)</f>
        <v>#N/A</v>
      </c>
      <c r="C49" s="14"/>
    </row>
    <row r="50" spans="1:3" x14ac:dyDescent="0.25">
      <c r="A50" s="57">
        <v>47</v>
      </c>
      <c r="B50" s="2" t="e">
        <f>INDEX(Остановки,MATCH(C50,ИД_Остановки!$B$3:$B$467,0),1)</f>
        <v>#N/A</v>
      </c>
      <c r="C50" s="14"/>
    </row>
    <row r="51" spans="1:3" x14ac:dyDescent="0.25">
      <c r="A51" s="57">
        <v>48</v>
      </c>
      <c r="B51" s="2" t="e">
        <f>INDEX(Остановки,MATCH(C51,ИД_Остановки!$B$3:$B$467,0),1)</f>
        <v>#N/A</v>
      </c>
      <c r="C51" s="14"/>
    </row>
    <row r="52" spans="1:3" x14ac:dyDescent="0.25">
      <c r="A52" s="57">
        <v>49</v>
      </c>
      <c r="B52" s="2" t="e">
        <f>INDEX(Остановки,MATCH(C52,ИД_Остановки!$B$3:$B$467,0),1)</f>
        <v>#N/A</v>
      </c>
      <c r="C52" s="14"/>
    </row>
    <row r="53" spans="1:3" x14ac:dyDescent="0.25">
      <c r="A53" s="57">
        <v>50</v>
      </c>
      <c r="B53" s="2" t="e">
        <f>INDEX(Остановки,MATCH(C53,ИД_Остановки!$B$3:$B$467,0),1)</f>
        <v>#N/A</v>
      </c>
      <c r="C53" s="14"/>
    </row>
    <row r="54" spans="1:3" x14ac:dyDescent="0.25">
      <c r="A54" s="57">
        <v>51</v>
      </c>
      <c r="B54" s="2" t="e">
        <f>INDEX(Остановки,MATCH(C54,ИД_Остановки!$B$3:$B$467,0),1)</f>
        <v>#N/A</v>
      </c>
      <c r="C54" s="14"/>
    </row>
    <row r="55" spans="1:3" x14ac:dyDescent="0.25">
      <c r="A55" s="57">
        <v>52</v>
      </c>
      <c r="B55" s="2" t="e">
        <f>INDEX(Остановки,MATCH(C55,ИД_Остановки!$B$3:$B$467,0),1)</f>
        <v>#N/A</v>
      </c>
      <c r="C55" s="14"/>
    </row>
    <row r="56" spans="1:3" x14ac:dyDescent="0.25">
      <c r="A56" s="57">
        <v>53</v>
      </c>
      <c r="B56" s="2" t="e">
        <f>INDEX(Остановки,MATCH(C56,ИД_Остановки!$B$3:$B$467,0),1)</f>
        <v>#N/A</v>
      </c>
      <c r="C56" s="14"/>
    </row>
    <row r="57" spans="1:3" x14ac:dyDescent="0.25">
      <c r="A57" s="57">
        <v>54</v>
      </c>
      <c r="B57" s="2" t="e">
        <f>INDEX(Остановки,MATCH(C57,ИД_Остановки!$B$3:$B$467,0),1)</f>
        <v>#N/A</v>
      </c>
      <c r="C57" s="14"/>
    </row>
    <row r="58" spans="1:3" x14ac:dyDescent="0.25">
      <c r="A58" s="57">
        <v>55</v>
      </c>
      <c r="B58" s="2" t="e">
        <f>INDEX(Остановки,MATCH(C58,ИД_Остановки!$B$3:$B$467,0),1)</f>
        <v>#N/A</v>
      </c>
      <c r="C58" s="14"/>
    </row>
    <row r="59" spans="1:3" x14ac:dyDescent="0.25">
      <c r="A59" s="57">
        <v>56</v>
      </c>
      <c r="B59" s="2" t="e">
        <f>INDEX(Остановки,MATCH(C59,ИД_Остановки!$B$3:$B$467,0),1)</f>
        <v>#N/A</v>
      </c>
      <c r="C59" s="14"/>
    </row>
    <row r="60" spans="1:3" x14ac:dyDescent="0.25">
      <c r="A60" s="57">
        <v>57</v>
      </c>
      <c r="B60" s="2" t="e">
        <f>INDEX(Остановки,MATCH(C60,ИД_Остановки!$B$3:$B$467,0),1)</f>
        <v>#N/A</v>
      </c>
      <c r="C60" s="14"/>
    </row>
    <row r="61" spans="1:3" x14ac:dyDescent="0.25">
      <c r="A61" s="57">
        <v>58</v>
      </c>
      <c r="B61" s="2" t="e">
        <f>INDEX(Остановки,MATCH(C61,ИД_Остановки!$B$3:$B$467,0),1)</f>
        <v>#N/A</v>
      </c>
      <c r="C61" s="14"/>
    </row>
    <row r="62" spans="1:3" x14ac:dyDescent="0.25">
      <c r="A62" s="57">
        <v>59</v>
      </c>
      <c r="B62" s="2" t="e">
        <f>INDEX(Остановки,MATCH(C62,ИД_Остановки!$B$3:$B$467,0),1)</f>
        <v>#N/A</v>
      </c>
      <c r="C62" s="14"/>
    </row>
    <row r="63" spans="1:3" x14ac:dyDescent="0.25">
      <c r="A63" s="57">
        <v>60</v>
      </c>
      <c r="B63" s="2" t="e">
        <f>INDEX(Остановки,MATCH(C63,ИД_Остановки!$B$3:$B$467,0),1)</f>
        <v>#N/A</v>
      </c>
      <c r="C63" s="14"/>
    </row>
    <row r="64" spans="1:3" x14ac:dyDescent="0.25">
      <c r="A64" s="57">
        <v>61</v>
      </c>
      <c r="B64" s="2" t="e">
        <f>INDEX(Остановки,MATCH(C64,ИД_Остановки!$B$3:$B$467,0),1)</f>
        <v>#N/A</v>
      </c>
      <c r="C64" s="14"/>
    </row>
    <row r="65" spans="1:3" x14ac:dyDescent="0.25">
      <c r="A65" s="57">
        <v>62</v>
      </c>
      <c r="B65" s="2" t="e">
        <f>INDEX(Остановки,MATCH(C65,ИД_Остановки!$B$3:$B$467,0),1)</f>
        <v>#N/A</v>
      </c>
      <c r="C65" s="14"/>
    </row>
    <row r="66" spans="1:3" x14ac:dyDescent="0.25">
      <c r="A66" s="57">
        <v>63</v>
      </c>
      <c r="B66" s="2" t="e">
        <f>INDEX(Остановки,MATCH(C66,ИД_Остановки!$B$3:$B$467,0),1)</f>
        <v>#N/A</v>
      </c>
      <c r="C66" s="14"/>
    </row>
    <row r="67" spans="1:3" x14ac:dyDescent="0.25">
      <c r="A67" s="57">
        <v>64</v>
      </c>
      <c r="B67" s="2" t="e">
        <f>INDEX(Остановки,MATCH(C67,ИД_Остановки!$B$3:$B$467,0),1)</f>
        <v>#N/A</v>
      </c>
      <c r="C67" s="14"/>
    </row>
    <row r="68" spans="1:3" x14ac:dyDescent="0.25">
      <c r="A68" s="57">
        <v>65</v>
      </c>
      <c r="B68" s="2" t="e">
        <f>INDEX(Остановки,MATCH(C68,ИД_Остановки!$B$3:$B$467,0),1)</f>
        <v>#N/A</v>
      </c>
      <c r="C68" s="14"/>
    </row>
    <row r="69" spans="1:3" x14ac:dyDescent="0.25">
      <c r="A69" s="57">
        <v>66</v>
      </c>
      <c r="B69" s="2" t="e">
        <f>INDEX(Остановки,MATCH(C69,ИД_Остановки!$B$3:$B$467,0),1)</f>
        <v>#N/A</v>
      </c>
      <c r="C69" s="14"/>
    </row>
    <row r="70" spans="1:3" x14ac:dyDescent="0.25">
      <c r="A70" s="57">
        <v>67</v>
      </c>
      <c r="B70" s="2" t="e">
        <f>INDEX(Остановки,MATCH(C70,ИД_Остановки!$B$3:$B$467,0),1)</f>
        <v>#N/A</v>
      </c>
      <c r="C70" s="14"/>
    </row>
    <row r="71" spans="1:3" x14ac:dyDescent="0.25">
      <c r="A71" s="57">
        <v>68</v>
      </c>
      <c r="B71" s="2" t="e">
        <f>INDEX(Остановки,MATCH(C71,ИД_Остановки!$B$3:$B$467,0),1)</f>
        <v>#N/A</v>
      </c>
      <c r="C71" s="14"/>
    </row>
    <row r="72" spans="1:3" x14ac:dyDescent="0.25">
      <c r="A72" s="57">
        <v>69</v>
      </c>
      <c r="B72" s="2" t="e">
        <f>INDEX(Остановки,MATCH(C72,ИД_Остановки!$B$3:$B$467,0),1)</f>
        <v>#N/A</v>
      </c>
      <c r="C72" s="14"/>
    </row>
    <row r="73" spans="1:3" x14ac:dyDescent="0.25">
      <c r="A73" s="57">
        <v>70</v>
      </c>
      <c r="B73" s="2" t="e">
        <f>INDEX(Остановки,MATCH(C73,ИД_Остановки!$B$3:$B$467,0),1)</f>
        <v>#N/A</v>
      </c>
      <c r="C73" s="14"/>
    </row>
    <row r="74" spans="1:3" x14ac:dyDescent="0.25">
      <c r="A74" s="57">
        <v>71</v>
      </c>
      <c r="B74" s="2" t="e">
        <f>INDEX(Остановки,MATCH(C74,ИД_Остановки!$B$3:$B$467,0),1)</f>
        <v>#N/A</v>
      </c>
      <c r="C74" s="14"/>
    </row>
    <row r="75" spans="1:3" x14ac:dyDescent="0.25">
      <c r="A75" s="57">
        <v>72</v>
      </c>
      <c r="B75" s="2" t="e">
        <f>INDEX(Остановки,MATCH(C75,ИД_Остановки!$B$3:$B$467,0),1)</f>
        <v>#N/A</v>
      </c>
      <c r="C75" s="14"/>
    </row>
    <row r="76" spans="1:3" x14ac:dyDescent="0.25">
      <c r="A76" s="57">
        <v>73</v>
      </c>
      <c r="B76" s="2" t="e">
        <f>INDEX(Остановки,MATCH(C76,ИД_Остановки!$B$3:$B$467,0),1)</f>
        <v>#N/A</v>
      </c>
      <c r="C76" s="14"/>
    </row>
    <row r="77" spans="1:3" x14ac:dyDescent="0.25">
      <c r="A77" s="57">
        <v>74</v>
      </c>
      <c r="B77" s="2" t="e">
        <f>INDEX(Остановки,MATCH(C77,ИД_Остановки!$B$3:$B$467,0),1)</f>
        <v>#N/A</v>
      </c>
      <c r="C77" s="14"/>
    </row>
    <row r="78" spans="1:3" x14ac:dyDescent="0.25">
      <c r="A78" s="57">
        <v>75</v>
      </c>
      <c r="B78" s="2" t="e">
        <f>INDEX(Остановки,MATCH(C78,ИД_Остановки!$B$3:$B$467,0),1)</f>
        <v>#N/A</v>
      </c>
      <c r="C78" s="14"/>
    </row>
    <row r="79" spans="1:3" x14ac:dyDescent="0.25">
      <c r="A79" s="57">
        <v>76</v>
      </c>
      <c r="B79" s="2" t="e">
        <f>INDEX(Остановки,MATCH(C79,ИД_Остановки!$B$3:$B$467,0),1)</f>
        <v>#N/A</v>
      </c>
      <c r="C79" s="14"/>
    </row>
    <row r="80" spans="1:3" x14ac:dyDescent="0.25">
      <c r="A80" s="57">
        <v>77</v>
      </c>
      <c r="B80" s="2" t="e">
        <f>INDEX(Остановки,MATCH(C80,ИД_Остановки!$B$3:$B$467,0),1)</f>
        <v>#N/A</v>
      </c>
      <c r="C80" s="14"/>
    </row>
    <row r="81" spans="1:3" x14ac:dyDescent="0.25">
      <c r="A81" s="57">
        <v>78</v>
      </c>
      <c r="B81" s="2" t="e">
        <f>INDEX(Остановки,MATCH(C81,ИД_Остановки!$B$3:$B$467,0),1)</f>
        <v>#N/A</v>
      </c>
      <c r="C81" s="14"/>
    </row>
    <row r="82" spans="1:3" x14ac:dyDescent="0.25">
      <c r="A82" s="57">
        <v>79</v>
      </c>
      <c r="B82" s="2" t="e">
        <f>INDEX(Остановки,MATCH(C82,ИД_Остановки!$B$3:$B$467,0),1)</f>
        <v>#N/A</v>
      </c>
      <c r="C82" s="14"/>
    </row>
    <row r="83" spans="1:3" x14ac:dyDescent="0.25">
      <c r="A83" s="57">
        <v>80</v>
      </c>
      <c r="B83" s="2" t="e">
        <f>INDEX(Остановки,MATCH(C83,ИД_Остановки!$B$3:$B$467,0),1)</f>
        <v>#N/A</v>
      </c>
      <c r="C83" s="14"/>
    </row>
    <row r="84" spans="1:3" x14ac:dyDescent="0.25">
      <c r="A84" s="57">
        <v>81</v>
      </c>
      <c r="B84" s="2" t="e">
        <f>INDEX(Остановки,MATCH(C84,ИД_Остановки!$B$3:$B$467,0),1)</f>
        <v>#N/A</v>
      </c>
      <c r="C84" s="14"/>
    </row>
    <row r="85" spans="1:3" x14ac:dyDescent="0.25">
      <c r="A85" s="57">
        <v>82</v>
      </c>
      <c r="B85" s="2" t="e">
        <f>INDEX(Остановки,MATCH(C85,ИД_Остановки!$B$3:$B$467,0),1)</f>
        <v>#N/A</v>
      </c>
      <c r="C85" s="14"/>
    </row>
    <row r="86" spans="1:3" x14ac:dyDescent="0.25">
      <c r="A86" s="57">
        <v>83</v>
      </c>
      <c r="B86" s="2" t="e">
        <f>INDEX(Остановки,MATCH(C86,ИД_Остановки!$B$3:$B$467,0),1)</f>
        <v>#N/A</v>
      </c>
      <c r="C86" s="14"/>
    </row>
    <row r="87" spans="1:3" x14ac:dyDescent="0.25">
      <c r="A87" s="57">
        <v>84</v>
      </c>
      <c r="B87" s="2" t="e">
        <f>INDEX(Остановки,MATCH(C87,ИД_Остановки!$B$3:$B$467,0),1)</f>
        <v>#N/A</v>
      </c>
      <c r="C87" s="14"/>
    </row>
    <row r="88" spans="1:3" x14ac:dyDescent="0.25">
      <c r="A88" s="57">
        <v>85</v>
      </c>
      <c r="B88" s="2" t="e">
        <f>INDEX(Остановки,MATCH(C88,ИД_Остановки!$B$3:$B$467,0),1)</f>
        <v>#N/A</v>
      </c>
      <c r="C88" s="14"/>
    </row>
    <row r="89" spans="1:3" x14ac:dyDescent="0.25">
      <c r="A89" s="57">
        <v>86</v>
      </c>
      <c r="B89" s="2" t="e">
        <f>INDEX(Остановки,MATCH(C89,ИД_Остановки!$B$3:$B$467,0),1)</f>
        <v>#N/A</v>
      </c>
      <c r="C89" s="14"/>
    </row>
    <row r="90" spans="1:3" x14ac:dyDescent="0.25">
      <c r="A90" s="57">
        <v>87</v>
      </c>
      <c r="B90" s="2" t="e">
        <f>INDEX(Остановки,MATCH(C90,ИД_Остановки!$B$3:$B$467,0),1)</f>
        <v>#N/A</v>
      </c>
      <c r="C90" s="14"/>
    </row>
    <row r="91" spans="1:3" x14ac:dyDescent="0.25">
      <c r="A91" s="57">
        <v>88</v>
      </c>
      <c r="B91" s="2" t="e">
        <f>INDEX(Остановки,MATCH(C91,ИД_Остановки!$B$3:$B$467,0),1)</f>
        <v>#N/A</v>
      </c>
      <c r="C91" s="14"/>
    </row>
    <row r="92" spans="1:3" x14ac:dyDescent="0.25">
      <c r="A92" s="57">
        <v>89</v>
      </c>
      <c r="B92" s="2" t="e">
        <f>INDEX(Остановки,MATCH(C92,ИД_Остановки!$B$3:$B$467,0),1)</f>
        <v>#N/A</v>
      </c>
      <c r="C92" s="14"/>
    </row>
    <row r="93" spans="1:3" x14ac:dyDescent="0.25">
      <c r="A93" s="57">
        <v>90</v>
      </c>
      <c r="B93" s="2" t="e">
        <f>INDEX(Остановки,MATCH(C93,ИД_Остановки!$B$3:$B$467,0),1)</f>
        <v>#N/A</v>
      </c>
      <c r="C93" s="14"/>
    </row>
    <row r="94" spans="1:3" x14ac:dyDescent="0.25">
      <c r="A94" s="57">
        <v>91</v>
      </c>
      <c r="B94" s="2" t="e">
        <f>INDEX(Остановки,MATCH(C94,ИД_Остановки!$B$3:$B$467,0),1)</f>
        <v>#N/A</v>
      </c>
      <c r="C94" s="14"/>
    </row>
    <row r="95" spans="1:3" x14ac:dyDescent="0.25">
      <c r="A95" s="57">
        <v>92</v>
      </c>
      <c r="B95" s="2" t="e">
        <f>INDEX(Остановки,MATCH(C95,ИД_Остановки!$B$3:$B$467,0),1)</f>
        <v>#N/A</v>
      </c>
      <c r="C95" s="14"/>
    </row>
    <row r="96" spans="1:3" x14ac:dyDescent="0.25">
      <c r="A96" s="57">
        <v>93</v>
      </c>
      <c r="B96" s="2" t="e">
        <f>INDEX(Остановки,MATCH(C96,ИД_Остановки!$B$3:$B$467,0),1)</f>
        <v>#N/A</v>
      </c>
      <c r="C96" s="14"/>
    </row>
    <row r="97" spans="1:3" x14ac:dyDescent="0.25">
      <c r="A97" s="57">
        <v>94</v>
      </c>
      <c r="B97" s="2" t="e">
        <f>INDEX(Остановки,MATCH(C97,ИД_Остановки!$B$3:$B$467,0),1)</f>
        <v>#N/A</v>
      </c>
      <c r="C97" s="14"/>
    </row>
    <row r="98" spans="1:3" x14ac:dyDescent="0.25">
      <c r="A98" s="57">
        <v>95</v>
      </c>
      <c r="B98" s="2" t="e">
        <f>INDEX(Остановки,MATCH(C98,ИД_Остановки!$B$3:$B$467,0),1)</f>
        <v>#N/A</v>
      </c>
      <c r="C98" s="14"/>
    </row>
    <row r="99" spans="1:3" x14ac:dyDescent="0.25">
      <c r="A99" s="57">
        <v>96</v>
      </c>
      <c r="B99" s="2" t="e">
        <f>INDEX(Остановки,MATCH(C99,ИД_Остановки!$B$3:$B$467,0),1)</f>
        <v>#N/A</v>
      </c>
      <c r="C99" s="14"/>
    </row>
    <row r="100" spans="1:3" x14ac:dyDescent="0.25">
      <c r="A100" s="57">
        <v>97</v>
      </c>
      <c r="B100" s="2" t="e">
        <f>INDEX(Остановки,MATCH(C100,ИД_Остановки!$B$3:$B$467,0),1)</f>
        <v>#N/A</v>
      </c>
      <c r="C100" s="14"/>
    </row>
    <row r="101" spans="1:3" x14ac:dyDescent="0.25">
      <c r="A101" s="57">
        <v>98</v>
      </c>
      <c r="B101" s="2" t="e">
        <f>INDEX(Остановки,MATCH(C101,ИД_Остановки!$B$3:$B$467,0),1)</f>
        <v>#N/A</v>
      </c>
      <c r="C101" s="14"/>
    </row>
    <row r="102" spans="1:3" x14ac:dyDescent="0.25">
      <c r="A102" s="57">
        <v>99</v>
      </c>
      <c r="B102" s="2" t="e">
        <f>INDEX(Остановки,MATCH(C102,ИД_Остановки!$B$3:$B$467,0),1)</f>
        <v>#N/A</v>
      </c>
      <c r="C102" s="14"/>
    </row>
    <row r="103" spans="1:3" x14ac:dyDescent="0.25">
      <c r="A103" s="57">
        <v>100</v>
      </c>
      <c r="B103" s="2" t="e">
        <f>INDEX(Остановки,MATCH(C103,ИД_Остановки!$B$3:$B$467,0),1)</f>
        <v>#N/A</v>
      </c>
      <c r="C103" s="14"/>
    </row>
  </sheetData>
  <dataConsolidate/>
  <mergeCells count="1">
    <mergeCell ref="D10:D11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СтруктураМаршрута">
                <anchor moveWithCells="1" sizeWithCells="1">
                  <from>
                    <xdr:col>4</xdr:col>
                    <xdr:colOff>285750</xdr:colOff>
                    <xdr:row>11</xdr:row>
                    <xdr:rowOff>152400</xdr:rowOff>
                  </from>
                  <to>
                    <xdr:col>5</xdr:col>
                    <xdr:colOff>1238250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5" name="List Box 8">
              <controlPr defaultSize="0" autoLine="0" autoPict="0">
                <anchor moveWithCells="1">
                  <from>
                    <xdr:col>3</xdr:col>
                    <xdr:colOff>114300</xdr:colOff>
                    <xdr:row>2</xdr:row>
                    <xdr:rowOff>19050</xdr:rowOff>
                  </from>
                  <to>
                    <xdr:col>6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6" name="Button 10">
              <controlPr defaultSize="0" print="0" autoFill="0" autoPict="0" macro="[0]!CopyRoute">
                <anchor moveWithCells="1" sizeWithCells="1">
                  <from>
                    <xdr:col>4</xdr:col>
                    <xdr:colOff>38100</xdr:colOff>
                    <xdr:row>7</xdr:row>
                    <xdr:rowOff>76200</xdr:rowOff>
                  </from>
                  <to>
                    <xdr:col>6</xdr:col>
                    <xdr:colOff>142875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7" name="Button 11">
              <controlPr defaultSize="0" print="0" autoFill="0" autoPict="0" macro="[0]!РасчетВсехМаршрутов">
                <anchor moveWithCells="1" sizeWithCells="1">
                  <from>
                    <xdr:col>4</xdr:col>
                    <xdr:colOff>57150</xdr:colOff>
                    <xdr:row>18</xdr:row>
                    <xdr:rowOff>66675</xdr:rowOff>
                  </from>
                  <to>
                    <xdr:col>5</xdr:col>
                    <xdr:colOff>1400175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ИД_Остановки!$B$3:$B$447</xm:f>
          </x14:formula1>
          <xm:sqref>C4:C103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6</vt:i4>
      </vt:variant>
    </vt:vector>
  </HeadingPairs>
  <TitlesOfParts>
    <vt:vector size="11" baseType="lpstr">
      <vt:lpstr>ИД_Остановки</vt:lpstr>
      <vt:lpstr>ИД_Маршруты</vt:lpstr>
      <vt:lpstr>Кнопки</vt:lpstr>
      <vt:lpstr>для рейсов</vt:lpstr>
      <vt:lpstr>Трафик маршрута</vt:lpstr>
      <vt:lpstr>КолМаршрутов</vt:lpstr>
      <vt:lpstr>КолМаршутов</vt:lpstr>
      <vt:lpstr>КолОстановок</vt:lpstr>
      <vt:lpstr>КолРейсов</vt:lpstr>
      <vt:lpstr>Маршруты</vt:lpstr>
      <vt:lpstr>Остановки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Панфилов Александр</dc:creator>
  <cp:lastModifiedBy>Панфилов Александр</cp:lastModifiedBy>
  <dcterms:created xsi:type="dcterms:W3CDTF">2017-09-10T19:06:38Z</dcterms:created>
  <dcterms:modified xsi:type="dcterms:W3CDTF">2018-01-25T08:53:55Z</dcterms:modified>
</cp:coreProperties>
</file>